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GS\Miscelleneous\LANOSREP\Macros\Stock Market Related\"/>
    </mc:Choice>
  </mc:AlternateContent>
  <bookViews>
    <workbookView xWindow="0" yWindow="0" windowWidth="23040" windowHeight="8832" firstSheet="2" activeTab="4"/>
  </bookViews>
  <sheets>
    <sheet name="Portfolio" sheetId="2" r:id="rId1"/>
    <sheet name="nse" sheetId="4" state="hidden" r:id="rId2"/>
    <sheet name="Stocks" sheetId="6" r:id="rId3"/>
    <sheet name="Sheet1" sheetId="5" r:id="rId4"/>
    <sheet name="Export Data" sheetId="7" r:id="rId5"/>
    <sheet name="TotalBuySellGraph" sheetId="9" r:id="rId6"/>
    <sheet name="Basic data" sheetId="10" r:id="rId7"/>
    <sheet name="Rough Calculation" sheetId="8" r:id="rId8"/>
  </sheets>
  <functionGroups builtInGroupCount="18"/>
  <definedNames>
    <definedName name="_xlnm._FilterDatabase" localSheetId="0" hidden="1">Portfolio!$B$4:$T$1600</definedName>
    <definedName name="_xlnm._FilterDatabase" localSheetId="2" hidden="1">Stocks!$B$1:$B$1597</definedName>
  </definedNames>
  <calcPr calcId="152511"/>
</workbook>
</file>

<file path=xl/calcChain.xml><?xml version="1.0" encoding="utf-8"?>
<calcChain xmlns="http://schemas.openxmlformats.org/spreadsheetml/2006/main">
  <c r="AR100" i="7" l="1"/>
  <c r="AR99" i="7"/>
  <c r="AR98" i="7"/>
  <c r="AR97" i="7"/>
  <c r="AR96" i="7"/>
  <c r="AR95" i="7"/>
  <c r="AR94" i="7"/>
  <c r="AR93" i="7"/>
  <c r="AR92" i="7"/>
  <c r="AR91" i="7"/>
  <c r="AR90" i="7"/>
  <c r="AR89" i="7"/>
  <c r="AR88" i="7"/>
  <c r="AR87" i="7"/>
  <c r="AR86" i="7"/>
  <c r="AR85" i="7"/>
  <c r="AR84" i="7"/>
  <c r="AR83" i="7"/>
  <c r="AR82" i="7"/>
  <c r="AR81" i="7"/>
  <c r="AR80" i="7"/>
  <c r="AR79" i="7"/>
  <c r="AR78" i="7"/>
  <c r="AR77" i="7"/>
  <c r="AR76" i="7"/>
  <c r="AR75" i="7"/>
  <c r="AR74" i="7"/>
  <c r="AR73" i="7"/>
  <c r="AR72" i="7"/>
  <c r="AR71" i="7"/>
  <c r="AR70" i="7"/>
  <c r="AR69" i="7"/>
  <c r="AR68" i="7"/>
  <c r="AR67" i="7"/>
  <c r="AR66" i="7"/>
  <c r="AR65" i="7"/>
  <c r="AR64" i="7"/>
  <c r="AR63" i="7"/>
  <c r="AR62" i="7"/>
  <c r="AR61" i="7"/>
  <c r="AR60" i="7"/>
  <c r="AR59" i="7"/>
  <c r="AR58" i="7"/>
  <c r="AR57" i="7"/>
  <c r="AR56" i="7"/>
  <c r="AR55" i="7"/>
  <c r="AR54" i="7"/>
  <c r="AR53" i="7"/>
  <c r="AR52" i="7"/>
  <c r="AR51" i="7"/>
  <c r="AR50" i="7"/>
  <c r="AR49" i="7"/>
  <c r="AR48" i="7"/>
  <c r="AR47" i="7"/>
  <c r="AR46" i="7"/>
  <c r="AR45" i="7"/>
  <c r="AR44" i="7"/>
  <c r="AR43" i="7"/>
  <c r="AR42" i="7"/>
  <c r="AR41" i="7"/>
  <c r="AR40" i="7"/>
  <c r="AR39" i="7"/>
  <c r="AR38" i="7"/>
  <c r="AR37" i="7"/>
  <c r="AR36" i="7"/>
  <c r="AR35" i="7"/>
  <c r="AR34" i="7"/>
  <c r="AR33" i="7"/>
  <c r="AR32" i="7"/>
  <c r="AR31" i="7"/>
  <c r="AR30" i="7"/>
  <c r="AR29" i="7"/>
  <c r="AR28" i="7"/>
  <c r="AR27" i="7"/>
  <c r="AR26" i="7"/>
  <c r="AR25" i="7"/>
  <c r="AR24" i="7"/>
  <c r="AR23" i="7"/>
  <c r="AR22" i="7"/>
  <c r="AR21" i="7"/>
  <c r="AR20" i="7"/>
  <c r="AR19" i="7"/>
  <c r="AR18" i="7"/>
  <c r="AR17" i="7"/>
  <c r="AR16" i="7"/>
  <c r="AR15" i="7"/>
  <c r="AR14" i="7"/>
  <c r="AR13" i="7"/>
  <c r="AR12" i="7"/>
  <c r="AR11" i="7"/>
  <c r="AR10" i="7"/>
  <c r="AR9" i="7"/>
  <c r="AR8" i="7"/>
  <c r="AR7" i="7"/>
  <c r="AR6" i="7"/>
  <c r="AR5" i="7"/>
  <c r="AR4" i="7"/>
  <c r="AR3" i="7"/>
  <c r="AR2" i="7"/>
  <c r="D1" i="7" l="1"/>
  <c r="B6" i="10" l="1"/>
  <c r="B1" i="8" l="1"/>
  <c r="A2" i="8"/>
  <c r="B3" i="8"/>
  <c r="B4" i="8"/>
  <c r="H4" i="8"/>
  <c r="I4" i="8"/>
  <c r="B5" i="8"/>
  <c r="J5" i="8"/>
  <c r="B6" i="8"/>
  <c r="C6" i="8" l="1"/>
  <c r="E6" i="8" s="1"/>
  <c r="BB2" i="7"/>
  <c r="BB3" i="7"/>
  <c r="AZ3" i="7"/>
  <c r="AZ2" i="7"/>
  <c r="AY3" i="7"/>
  <c r="AY2" i="7"/>
  <c r="E15" i="8" l="1"/>
  <c r="E16" i="8" s="1"/>
  <c r="E17" i="8" s="1"/>
  <c r="E18" i="8" s="1"/>
  <c r="E19" i="8" s="1"/>
  <c r="E20" i="8" s="1"/>
  <c r="E21" i="8" s="1"/>
  <c r="E22" i="8" s="1"/>
  <c r="E23" i="8" s="1"/>
  <c r="E24" i="8" s="1"/>
  <c r="G18" i="6" l="1"/>
  <c r="F18" i="6"/>
  <c r="K9" i="2"/>
  <c r="J9" i="2"/>
  <c r="G9" i="2"/>
  <c r="D9" i="2"/>
  <c r="C9" i="2"/>
  <c r="L9" i="2" l="1"/>
  <c r="C6" i="2"/>
  <c r="C7" i="2"/>
  <c r="C8" i="2"/>
  <c r="D4667" i="2"/>
  <c r="D4668" i="2"/>
  <c r="D4669" i="2"/>
  <c r="D4670" i="2"/>
  <c r="D4671" i="2"/>
  <c r="D4672" i="2"/>
  <c r="D4673" i="2"/>
  <c r="D4674" i="2"/>
  <c r="D4675" i="2"/>
  <c r="D4676" i="2"/>
  <c r="D4677" i="2"/>
  <c r="D4678" i="2"/>
  <c r="D4679" i="2"/>
  <c r="D4680" i="2"/>
  <c r="D4681" i="2"/>
  <c r="D4682" i="2"/>
  <c r="D4683" i="2"/>
  <c r="D4684" i="2"/>
  <c r="D4685" i="2"/>
  <c r="D4686" i="2"/>
  <c r="D4687" i="2"/>
  <c r="D4688" i="2"/>
  <c r="D4689" i="2"/>
  <c r="D4690" i="2"/>
  <c r="D4691" i="2"/>
  <c r="D4692" i="2"/>
  <c r="D4693" i="2"/>
  <c r="D4694" i="2"/>
  <c r="D4695" i="2"/>
  <c r="D4696" i="2"/>
  <c r="D4697" i="2"/>
  <c r="D4698" i="2"/>
  <c r="D4699" i="2"/>
  <c r="D4700" i="2"/>
  <c r="D4701" i="2"/>
  <c r="D4702" i="2"/>
  <c r="D4703" i="2"/>
  <c r="D4704" i="2"/>
  <c r="D4705" i="2"/>
  <c r="D4706" i="2"/>
  <c r="D4707" i="2"/>
  <c r="D4708" i="2"/>
  <c r="D4709" i="2"/>
  <c r="D4710" i="2"/>
  <c r="D4711" i="2"/>
  <c r="D4712" i="2"/>
  <c r="D4713" i="2"/>
  <c r="D4714" i="2"/>
  <c r="D4715" i="2"/>
  <c r="D4716" i="2"/>
  <c r="D4717" i="2"/>
  <c r="D4718" i="2"/>
  <c r="D4719" i="2"/>
  <c r="D4720" i="2"/>
  <c r="D4721" i="2"/>
  <c r="D4722" i="2"/>
  <c r="D4723" i="2"/>
  <c r="D4724" i="2"/>
  <c r="D4725" i="2"/>
  <c r="D4726" i="2"/>
  <c r="D4727" i="2"/>
  <c r="D4728" i="2"/>
  <c r="D4729" i="2"/>
  <c r="D4730" i="2"/>
  <c r="D4731" i="2"/>
  <c r="D4732" i="2"/>
  <c r="D4733" i="2"/>
  <c r="D4734" i="2"/>
  <c r="D4735" i="2"/>
  <c r="D4736" i="2"/>
  <c r="D4737" i="2"/>
  <c r="D4738" i="2"/>
  <c r="D4739" i="2"/>
  <c r="D4740" i="2"/>
  <c r="D4741" i="2"/>
  <c r="D4742" i="2"/>
  <c r="D4743" i="2"/>
  <c r="D4744" i="2"/>
  <c r="D4745" i="2"/>
  <c r="D4746" i="2"/>
  <c r="D4747" i="2"/>
  <c r="D4748" i="2"/>
  <c r="D4749" i="2"/>
  <c r="D4750" i="2"/>
  <c r="D4751" i="2"/>
  <c r="D4752" i="2"/>
  <c r="D4753" i="2"/>
  <c r="D4754" i="2"/>
  <c r="D4755" i="2"/>
  <c r="D4756" i="2"/>
  <c r="D4757" i="2"/>
  <c r="D4758" i="2"/>
  <c r="D4759" i="2"/>
  <c r="D4760" i="2"/>
  <c r="D4761" i="2"/>
  <c r="D4762" i="2"/>
  <c r="D4763" i="2"/>
  <c r="D4764" i="2"/>
  <c r="D4765" i="2"/>
  <c r="D4766" i="2"/>
  <c r="D4767" i="2"/>
  <c r="D4768" i="2"/>
  <c r="D4769" i="2"/>
  <c r="D4770" i="2"/>
  <c r="D4771" i="2"/>
  <c r="D4772" i="2"/>
  <c r="D4773" i="2"/>
  <c r="D4774" i="2"/>
  <c r="D4775" i="2"/>
  <c r="D4776" i="2"/>
  <c r="D4777" i="2"/>
  <c r="D4778" i="2"/>
  <c r="D4779" i="2"/>
  <c r="D4780" i="2"/>
  <c r="D4781" i="2"/>
  <c r="D4782" i="2"/>
  <c r="D4783" i="2"/>
  <c r="D4784" i="2"/>
  <c r="D4785" i="2"/>
  <c r="D4786" i="2"/>
  <c r="D4787" i="2"/>
  <c r="D4788" i="2"/>
  <c r="D4789" i="2"/>
  <c r="D4790" i="2"/>
  <c r="D4791" i="2"/>
  <c r="D4792" i="2"/>
  <c r="D4793" i="2"/>
  <c r="D4794" i="2"/>
  <c r="D4795" i="2"/>
  <c r="D4796" i="2"/>
  <c r="D4797" i="2"/>
  <c r="D4798" i="2"/>
  <c r="D4799" i="2"/>
  <c r="D4800" i="2"/>
  <c r="D4801" i="2"/>
  <c r="D4802" i="2"/>
  <c r="D4803" i="2"/>
  <c r="D4804" i="2"/>
  <c r="D4805" i="2"/>
  <c r="D4806" i="2"/>
  <c r="D4807" i="2"/>
  <c r="D4808" i="2"/>
  <c r="D4809" i="2"/>
  <c r="D4810" i="2"/>
  <c r="D4811" i="2"/>
  <c r="D4812" i="2"/>
  <c r="D4813" i="2"/>
  <c r="D4814" i="2"/>
  <c r="D4815" i="2"/>
  <c r="D4816" i="2"/>
  <c r="D4817" i="2"/>
  <c r="D4818" i="2"/>
  <c r="D4819" i="2"/>
  <c r="D4820" i="2"/>
  <c r="D4821" i="2"/>
  <c r="D4822" i="2"/>
  <c r="D4823" i="2"/>
  <c r="D4824" i="2"/>
  <c r="D4825" i="2"/>
  <c r="D4826" i="2"/>
  <c r="D4827" i="2"/>
  <c r="D4828" i="2"/>
  <c r="D4829" i="2"/>
  <c r="D4830" i="2"/>
  <c r="D4831" i="2"/>
  <c r="D4832" i="2"/>
  <c r="D4833" i="2"/>
  <c r="D4834" i="2"/>
  <c r="D4835" i="2"/>
  <c r="D4836" i="2"/>
  <c r="D4837" i="2"/>
  <c r="D4838" i="2"/>
  <c r="D4839" i="2"/>
  <c r="D4840" i="2"/>
  <c r="D4841" i="2"/>
  <c r="D4842" i="2"/>
  <c r="D4843" i="2"/>
  <c r="D4844" i="2"/>
  <c r="D4845" i="2"/>
  <c r="D4846" i="2"/>
  <c r="D4847" i="2"/>
  <c r="D4848" i="2"/>
  <c r="D4849" i="2"/>
  <c r="D4850" i="2"/>
  <c r="D4851" i="2"/>
  <c r="D4852" i="2"/>
  <c r="D4853" i="2"/>
  <c r="D4854" i="2"/>
  <c r="D4855" i="2"/>
  <c r="D4856" i="2"/>
  <c r="D4857" i="2"/>
  <c r="D4858" i="2"/>
  <c r="D4859" i="2"/>
  <c r="D4860" i="2"/>
  <c r="D4861" i="2"/>
  <c r="D4862" i="2"/>
  <c r="D4863" i="2"/>
  <c r="D4864" i="2"/>
  <c r="D4865" i="2"/>
  <c r="D4866" i="2"/>
  <c r="D4867" i="2"/>
  <c r="D4868" i="2"/>
  <c r="D4869" i="2"/>
  <c r="D4870" i="2"/>
  <c r="D4871" i="2"/>
  <c r="D4872" i="2"/>
  <c r="D4873" i="2"/>
  <c r="D4874" i="2"/>
  <c r="D4875" i="2"/>
  <c r="D4876" i="2"/>
  <c r="D4877" i="2"/>
  <c r="D4878" i="2"/>
  <c r="D4879" i="2"/>
  <c r="D4880" i="2"/>
  <c r="D4881" i="2"/>
  <c r="D4882" i="2"/>
  <c r="D4883" i="2"/>
  <c r="D4884" i="2"/>
  <c r="D4885" i="2"/>
  <c r="D4886" i="2"/>
  <c r="D4887" i="2"/>
  <c r="D4888" i="2"/>
  <c r="D4889" i="2"/>
  <c r="D4890" i="2"/>
  <c r="D4891" i="2"/>
  <c r="D4892" i="2"/>
  <c r="D4893" i="2"/>
  <c r="D4894" i="2"/>
  <c r="D4895" i="2"/>
  <c r="D4896" i="2"/>
  <c r="D4897" i="2"/>
  <c r="D4898" i="2"/>
  <c r="D4899" i="2"/>
  <c r="D4900" i="2"/>
  <c r="D4901" i="2"/>
  <c r="D4902" i="2"/>
  <c r="D4903" i="2"/>
  <c r="D4904" i="2"/>
  <c r="D4905" i="2"/>
  <c r="D4906" i="2"/>
  <c r="D4907" i="2"/>
  <c r="D4908" i="2"/>
  <c r="D4909" i="2"/>
  <c r="D4910" i="2"/>
  <c r="D4911" i="2"/>
  <c r="D4912" i="2"/>
  <c r="D4913" i="2"/>
  <c r="D4914" i="2"/>
  <c r="D4915" i="2"/>
  <c r="D4916" i="2"/>
  <c r="D4917" i="2"/>
  <c r="D4918" i="2"/>
  <c r="D4919" i="2"/>
  <c r="D4920" i="2"/>
  <c r="D4921" i="2"/>
  <c r="D4922" i="2"/>
  <c r="D4923" i="2"/>
  <c r="D4924" i="2"/>
  <c r="D4925" i="2"/>
  <c r="D4926" i="2"/>
  <c r="D4927" i="2"/>
  <c r="D4928" i="2"/>
  <c r="D4929" i="2"/>
  <c r="D4930" i="2"/>
  <c r="D4931" i="2"/>
  <c r="D4932" i="2"/>
  <c r="D4933" i="2"/>
  <c r="D4934" i="2"/>
  <c r="D4935" i="2"/>
  <c r="D4936" i="2"/>
  <c r="D4937" i="2"/>
  <c r="D4938" i="2"/>
  <c r="D4939" i="2"/>
  <c r="D4940" i="2"/>
  <c r="D4941" i="2"/>
  <c r="D4942" i="2"/>
  <c r="D4943" i="2"/>
  <c r="D4944" i="2"/>
  <c r="D4945" i="2"/>
  <c r="D4946" i="2"/>
  <c r="D4947" i="2"/>
  <c r="D4948" i="2"/>
  <c r="D4949" i="2"/>
  <c r="D4950" i="2"/>
  <c r="D4951" i="2"/>
  <c r="D4952" i="2"/>
  <c r="D4953" i="2"/>
  <c r="D4954" i="2"/>
  <c r="D4955" i="2"/>
  <c r="D4956" i="2"/>
  <c r="D4957" i="2"/>
  <c r="D4958" i="2"/>
  <c r="D4959" i="2"/>
  <c r="D4960" i="2"/>
  <c r="D4961" i="2"/>
  <c r="D4962" i="2"/>
  <c r="D4963" i="2"/>
  <c r="D4964" i="2"/>
  <c r="D4965" i="2"/>
  <c r="D4966" i="2"/>
  <c r="D4967" i="2"/>
  <c r="D4968" i="2"/>
  <c r="D4969" i="2"/>
  <c r="D4970" i="2"/>
  <c r="D4971" i="2"/>
  <c r="D4972" i="2"/>
  <c r="D4973" i="2"/>
  <c r="D4974" i="2"/>
  <c r="D4975" i="2"/>
  <c r="D4976" i="2"/>
  <c r="D4977" i="2"/>
  <c r="D4978" i="2"/>
  <c r="D4979" i="2"/>
  <c r="D4980" i="2"/>
  <c r="D4981" i="2"/>
  <c r="D4982" i="2"/>
  <c r="D4983" i="2"/>
  <c r="D4984" i="2"/>
  <c r="D4985" i="2"/>
  <c r="D4986" i="2"/>
  <c r="D4987" i="2"/>
  <c r="D4988" i="2"/>
  <c r="D4989" i="2"/>
  <c r="D4990" i="2"/>
  <c r="D4991" i="2"/>
  <c r="D4992" i="2"/>
  <c r="D4993" i="2"/>
  <c r="D4994" i="2"/>
  <c r="D4995" i="2"/>
  <c r="D4996" i="2"/>
  <c r="D4997" i="2"/>
  <c r="D4998" i="2"/>
  <c r="D4999" i="2"/>
  <c r="D5000" i="2"/>
  <c r="D5001" i="2"/>
  <c r="D5002" i="2"/>
  <c r="D5003" i="2"/>
  <c r="D5004" i="2"/>
  <c r="D5005" i="2"/>
  <c r="D5006" i="2"/>
  <c r="D5007" i="2"/>
  <c r="D5008" i="2"/>
  <c r="D5009" i="2"/>
  <c r="D5010" i="2"/>
  <c r="D5011" i="2"/>
  <c r="D5012" i="2"/>
  <c r="D5013" i="2"/>
  <c r="D5014" i="2"/>
  <c r="D5015" i="2"/>
  <c r="D5016" i="2"/>
  <c r="D5017" i="2"/>
  <c r="D5018" i="2"/>
  <c r="D5019" i="2"/>
  <c r="D5020" i="2"/>
  <c r="D5021" i="2"/>
  <c r="D5022" i="2"/>
  <c r="D5023" i="2"/>
  <c r="D5024" i="2"/>
  <c r="D5025" i="2"/>
  <c r="D5026" i="2"/>
  <c r="D5027" i="2"/>
  <c r="D5028" i="2"/>
  <c r="D5029" i="2"/>
  <c r="D5030" i="2"/>
  <c r="D5031" i="2"/>
  <c r="D5032" i="2"/>
  <c r="D5033" i="2"/>
  <c r="D5034" i="2"/>
  <c r="D5035" i="2"/>
  <c r="D5036" i="2"/>
  <c r="D5037" i="2"/>
  <c r="D5038" i="2"/>
  <c r="D5039" i="2"/>
  <c r="D5040" i="2"/>
  <c r="D5041" i="2"/>
  <c r="D5042" i="2"/>
  <c r="D5043" i="2"/>
  <c r="D5044" i="2"/>
  <c r="D5045" i="2"/>
  <c r="D5046" i="2"/>
  <c r="D5047" i="2"/>
  <c r="D5048" i="2"/>
  <c r="D5049" i="2"/>
  <c r="D5050" i="2"/>
  <c r="D5051" i="2"/>
  <c r="D5052" i="2"/>
  <c r="D5053" i="2"/>
  <c r="D5054" i="2"/>
  <c r="D5055" i="2"/>
  <c r="D5056" i="2"/>
  <c r="D5057" i="2"/>
  <c r="D5058" i="2"/>
  <c r="D5059" i="2"/>
  <c r="D5060" i="2"/>
  <c r="D5061" i="2"/>
  <c r="D5062" i="2"/>
  <c r="D5063" i="2"/>
  <c r="D5064" i="2"/>
  <c r="D5065" i="2"/>
  <c r="D5066" i="2"/>
  <c r="D5067" i="2"/>
  <c r="D5068" i="2"/>
  <c r="D5069" i="2"/>
  <c r="D5070" i="2"/>
  <c r="D5071" i="2"/>
  <c r="D5072" i="2"/>
  <c r="D5073" i="2"/>
  <c r="D5074" i="2"/>
  <c r="D5075" i="2"/>
  <c r="D5076" i="2"/>
  <c r="D5077" i="2"/>
  <c r="D5078" i="2"/>
  <c r="D5079" i="2"/>
  <c r="D5080" i="2"/>
  <c r="D5081" i="2"/>
  <c r="D5082" i="2"/>
  <c r="D5083" i="2"/>
  <c r="D5084" i="2"/>
  <c r="D5085" i="2"/>
  <c r="D5086" i="2"/>
  <c r="D5087" i="2"/>
  <c r="D5088" i="2"/>
  <c r="D5089" i="2"/>
  <c r="D5090" i="2"/>
  <c r="D5091" i="2"/>
  <c r="D5092" i="2"/>
  <c r="D5093" i="2"/>
  <c r="D5094" i="2"/>
  <c r="D5095" i="2"/>
  <c r="D5096" i="2"/>
  <c r="D5097" i="2"/>
  <c r="D5098" i="2"/>
  <c r="D5099" i="2"/>
  <c r="D5100" i="2"/>
  <c r="D5101" i="2"/>
  <c r="D5102" i="2"/>
  <c r="D5103" i="2"/>
  <c r="D5104" i="2"/>
  <c r="D5105" i="2"/>
  <c r="D5106" i="2"/>
  <c r="D5107" i="2"/>
  <c r="D5108" i="2"/>
  <c r="D5109" i="2"/>
  <c r="D5110" i="2"/>
  <c r="D5111" i="2"/>
  <c r="D5112" i="2"/>
  <c r="D5113" i="2"/>
  <c r="D5114" i="2"/>
  <c r="D5115" i="2"/>
  <c r="D5116" i="2"/>
  <c r="D5117" i="2"/>
  <c r="D5118" i="2"/>
  <c r="D5119" i="2"/>
  <c r="D5120" i="2"/>
  <c r="D5121" i="2"/>
  <c r="D5122" i="2"/>
  <c r="D5123" i="2"/>
  <c r="D5124" i="2"/>
  <c r="D5125" i="2"/>
  <c r="D5126" i="2"/>
  <c r="D5127" i="2"/>
  <c r="D5128" i="2"/>
  <c r="D5129" i="2"/>
  <c r="D5130" i="2"/>
  <c r="D5131" i="2"/>
  <c r="D5132" i="2"/>
  <c r="D5133" i="2"/>
  <c r="D5134" i="2"/>
  <c r="D5135" i="2"/>
  <c r="D5136" i="2"/>
  <c r="D5137" i="2"/>
  <c r="D5138" i="2"/>
  <c r="D5139" i="2"/>
  <c r="D5140" i="2"/>
  <c r="D5141" i="2"/>
  <c r="D5142" i="2"/>
  <c r="D5143" i="2"/>
  <c r="D5144" i="2"/>
  <c r="D5145" i="2"/>
  <c r="D5146" i="2"/>
  <c r="D5147" i="2"/>
  <c r="D5148" i="2"/>
  <c r="D5149" i="2"/>
  <c r="D5150" i="2"/>
  <c r="D5151" i="2"/>
  <c r="D5152" i="2"/>
  <c r="D5153" i="2"/>
  <c r="D5154" i="2"/>
  <c r="D5155" i="2"/>
  <c r="D5156" i="2"/>
  <c r="D5157" i="2"/>
  <c r="D5158" i="2"/>
  <c r="D5159" i="2"/>
  <c r="D5160" i="2"/>
  <c r="D5161" i="2"/>
  <c r="D5162" i="2"/>
  <c r="D5163" i="2"/>
  <c r="D5164" i="2"/>
  <c r="D5165" i="2"/>
  <c r="D5166" i="2"/>
  <c r="D5167" i="2"/>
  <c r="D5168" i="2"/>
  <c r="D5169" i="2"/>
  <c r="D5170" i="2"/>
  <c r="D5171" i="2"/>
  <c r="D5172" i="2"/>
  <c r="D5173" i="2"/>
  <c r="D5174" i="2"/>
  <c r="D5175" i="2"/>
  <c r="D5176" i="2"/>
  <c r="D5177" i="2"/>
  <c r="D5178" i="2"/>
  <c r="D5179" i="2"/>
  <c r="D5180" i="2"/>
  <c r="D5181" i="2"/>
  <c r="D5182" i="2"/>
  <c r="D5183" i="2"/>
  <c r="D5184" i="2"/>
  <c r="D5185" i="2"/>
  <c r="D5186" i="2"/>
  <c r="D5187" i="2"/>
  <c r="D5188" i="2"/>
  <c r="D5189" i="2"/>
  <c r="D5190" i="2"/>
  <c r="D5191" i="2"/>
  <c r="D5192" i="2"/>
  <c r="D5193" i="2"/>
  <c r="D5194" i="2"/>
  <c r="D5195" i="2"/>
  <c r="D5196" i="2"/>
  <c r="D5197" i="2"/>
  <c r="D5198" i="2"/>
  <c r="D5199" i="2"/>
  <c r="D5200" i="2"/>
  <c r="D5201" i="2"/>
  <c r="D5202" i="2"/>
  <c r="D5203" i="2"/>
  <c r="D5204" i="2"/>
  <c r="D5205" i="2"/>
  <c r="D5206" i="2"/>
  <c r="D5207" i="2"/>
  <c r="D5208" i="2"/>
  <c r="D5209" i="2"/>
  <c r="D5210" i="2"/>
  <c r="D5211" i="2"/>
  <c r="D5212" i="2"/>
  <c r="D5213" i="2"/>
  <c r="D5214" i="2"/>
  <c r="D5215" i="2"/>
  <c r="D5216" i="2"/>
  <c r="D5217" i="2"/>
  <c r="D5218" i="2"/>
  <c r="D5219" i="2"/>
  <c r="D5220" i="2"/>
  <c r="D5221" i="2"/>
  <c r="D5222" i="2"/>
  <c r="D5223" i="2"/>
  <c r="D5224" i="2"/>
  <c r="D5225" i="2"/>
  <c r="D5226" i="2"/>
  <c r="D5227" i="2"/>
  <c r="D5228" i="2"/>
  <c r="D5229" i="2"/>
  <c r="D5230" i="2"/>
  <c r="D5231" i="2"/>
  <c r="D5232" i="2"/>
  <c r="D5233" i="2"/>
  <c r="D5234" i="2"/>
  <c r="D5235" i="2"/>
  <c r="D5236" i="2"/>
  <c r="D5237" i="2"/>
  <c r="D5238" i="2"/>
  <c r="D5239" i="2"/>
  <c r="D5240" i="2"/>
  <c r="D5241" i="2"/>
  <c r="D5242" i="2"/>
  <c r="D5243" i="2"/>
  <c r="D5244" i="2"/>
  <c r="D5245" i="2"/>
  <c r="D5246" i="2"/>
  <c r="D5247" i="2"/>
  <c r="D5248" i="2"/>
  <c r="D5249" i="2"/>
  <c r="D5250" i="2"/>
  <c r="D5251" i="2"/>
  <c r="D5252" i="2"/>
  <c r="D5253" i="2"/>
  <c r="D5254" i="2"/>
  <c r="D5255" i="2"/>
  <c r="D5256" i="2"/>
  <c r="D5257" i="2"/>
  <c r="D5258" i="2"/>
  <c r="D5259" i="2"/>
  <c r="D5260" i="2"/>
  <c r="D5261" i="2"/>
  <c r="D5262" i="2"/>
  <c r="D5263" i="2"/>
  <c r="D5264" i="2"/>
  <c r="D5265" i="2"/>
  <c r="D5266" i="2"/>
  <c r="D5267" i="2"/>
  <c r="D5268" i="2"/>
  <c r="D5269" i="2"/>
  <c r="D5270" i="2"/>
  <c r="D5271" i="2"/>
  <c r="D5272" i="2"/>
  <c r="D5273" i="2"/>
  <c r="D5274" i="2"/>
  <c r="D5275" i="2"/>
  <c r="D5276" i="2"/>
  <c r="D5277" i="2"/>
  <c r="D5278" i="2"/>
  <c r="D5279" i="2"/>
  <c r="D5280" i="2"/>
  <c r="D5281" i="2"/>
  <c r="D5282" i="2"/>
  <c r="D5283" i="2"/>
  <c r="D5284" i="2"/>
  <c r="D5285" i="2"/>
  <c r="D5286" i="2"/>
  <c r="D5287" i="2"/>
  <c r="D5288" i="2"/>
  <c r="D5289" i="2"/>
  <c r="D5290" i="2"/>
  <c r="D5291" i="2"/>
  <c r="D5292" i="2"/>
  <c r="D5293" i="2"/>
  <c r="D5294" i="2"/>
  <c r="D5295" i="2"/>
  <c r="D5296" i="2"/>
  <c r="D5297" i="2"/>
  <c r="D5298" i="2"/>
  <c r="D5299" i="2"/>
  <c r="D5300" i="2"/>
  <c r="D5301" i="2"/>
  <c r="D5302" i="2"/>
  <c r="D5303" i="2"/>
  <c r="D5304" i="2"/>
  <c r="D5305" i="2"/>
  <c r="D5306" i="2"/>
  <c r="D5307" i="2"/>
  <c r="D5308" i="2"/>
  <c r="D5309" i="2"/>
  <c r="D5310" i="2"/>
  <c r="D5311" i="2"/>
  <c r="D5312" i="2"/>
  <c r="D5313" i="2"/>
  <c r="D5314" i="2"/>
  <c r="D5315" i="2"/>
  <c r="D5316" i="2"/>
  <c r="D5317" i="2"/>
  <c r="D5318" i="2"/>
  <c r="D5319" i="2"/>
  <c r="D5320" i="2"/>
  <c r="D5321" i="2"/>
  <c r="D5322" i="2"/>
  <c r="D5323" i="2"/>
  <c r="D5324" i="2"/>
  <c r="D5325" i="2"/>
  <c r="D5326" i="2"/>
  <c r="D5327" i="2"/>
  <c r="D5328" i="2"/>
  <c r="D5329" i="2"/>
  <c r="D5330" i="2"/>
  <c r="D5331" i="2"/>
  <c r="D5332" i="2"/>
  <c r="D5333" i="2"/>
  <c r="D5334" i="2"/>
  <c r="D5335" i="2"/>
  <c r="D5336" i="2"/>
  <c r="D5337" i="2"/>
  <c r="D5338" i="2"/>
  <c r="D5339" i="2"/>
  <c r="D5340" i="2"/>
  <c r="D5341" i="2"/>
  <c r="D5342" i="2"/>
  <c r="D5343" i="2"/>
  <c r="D5344" i="2"/>
  <c r="D5345" i="2"/>
  <c r="D5346" i="2"/>
  <c r="D5347" i="2"/>
  <c r="D5348" i="2"/>
  <c r="D5349" i="2"/>
  <c r="D5350" i="2"/>
  <c r="D5351" i="2"/>
  <c r="D5352" i="2"/>
  <c r="D5353" i="2"/>
  <c r="D5354" i="2"/>
  <c r="D5355" i="2"/>
  <c r="D5356" i="2"/>
  <c r="D5357" i="2"/>
  <c r="D5358" i="2"/>
  <c r="D5359" i="2"/>
  <c r="D5360" i="2"/>
  <c r="D5361" i="2"/>
  <c r="D5362" i="2"/>
  <c r="D5363" i="2"/>
  <c r="D5364" i="2"/>
  <c r="D5365" i="2"/>
  <c r="D5366" i="2"/>
  <c r="D5367" i="2"/>
  <c r="D5368" i="2"/>
  <c r="D5369" i="2"/>
  <c r="D5370" i="2"/>
  <c r="D5371" i="2"/>
  <c r="D5372" i="2"/>
  <c r="D5373" i="2"/>
  <c r="D5374" i="2"/>
  <c r="D5375" i="2"/>
  <c r="D5376" i="2"/>
  <c r="D5377" i="2"/>
  <c r="D5378" i="2"/>
  <c r="D5379" i="2"/>
  <c r="D5380" i="2"/>
  <c r="D5381" i="2"/>
  <c r="D5382" i="2"/>
  <c r="D5383" i="2"/>
  <c r="D5384" i="2"/>
  <c r="D5385" i="2"/>
  <c r="D5386" i="2"/>
  <c r="D5387" i="2"/>
  <c r="D5388" i="2"/>
  <c r="D5389" i="2"/>
  <c r="D5390" i="2"/>
  <c r="D5391" i="2"/>
  <c r="D5392" i="2"/>
  <c r="D5393" i="2"/>
  <c r="D5394" i="2"/>
  <c r="D5395" i="2"/>
  <c r="D5396" i="2"/>
  <c r="D5397" i="2"/>
  <c r="D5398" i="2"/>
  <c r="D5399" i="2"/>
  <c r="D5400" i="2"/>
  <c r="D5401" i="2"/>
  <c r="D5402" i="2"/>
  <c r="D5403" i="2"/>
  <c r="D5404" i="2"/>
  <c r="D5405" i="2"/>
  <c r="D5406" i="2"/>
  <c r="D5407" i="2"/>
  <c r="D5408" i="2"/>
  <c r="D5409" i="2"/>
  <c r="D5410" i="2"/>
  <c r="D5411" i="2"/>
  <c r="D5412" i="2"/>
  <c r="D5413" i="2"/>
  <c r="D5414" i="2"/>
  <c r="D5415" i="2"/>
  <c r="D5416" i="2"/>
  <c r="D5417" i="2"/>
  <c r="D5418" i="2"/>
  <c r="D5419" i="2"/>
  <c r="D5420" i="2"/>
  <c r="D5421" i="2"/>
  <c r="D5422" i="2"/>
  <c r="D5423" i="2"/>
  <c r="D5424" i="2"/>
  <c r="D5425" i="2"/>
  <c r="D5426" i="2"/>
  <c r="D5427" i="2"/>
  <c r="D5428" i="2"/>
  <c r="D5429" i="2"/>
  <c r="D5430" i="2"/>
  <c r="D5431" i="2"/>
  <c r="D5432" i="2"/>
  <c r="D5433" i="2"/>
  <c r="D5434" i="2"/>
  <c r="D5435" i="2"/>
  <c r="D5436" i="2"/>
  <c r="D5437" i="2"/>
  <c r="D5438" i="2"/>
  <c r="D5439" i="2"/>
  <c r="D5440" i="2"/>
  <c r="D5441" i="2"/>
  <c r="D5442" i="2"/>
  <c r="D5443" i="2"/>
  <c r="D5444" i="2"/>
  <c r="D5445" i="2"/>
  <c r="D5446" i="2"/>
  <c r="D5447" i="2"/>
  <c r="D5448" i="2"/>
  <c r="D5449" i="2"/>
  <c r="D5450" i="2"/>
  <c r="D5451" i="2"/>
  <c r="D5452" i="2"/>
  <c r="D5453" i="2"/>
  <c r="D5454" i="2"/>
  <c r="D5455" i="2"/>
  <c r="D5456" i="2"/>
  <c r="D5457" i="2"/>
  <c r="D5458" i="2"/>
  <c r="D5459" i="2"/>
  <c r="D5460" i="2"/>
  <c r="D5461" i="2"/>
  <c r="D5462" i="2"/>
  <c r="D5463" i="2"/>
  <c r="D5464" i="2"/>
  <c r="D5465" i="2"/>
  <c r="D5466" i="2"/>
  <c r="D5467" i="2"/>
  <c r="D5468" i="2"/>
  <c r="D5469" i="2"/>
  <c r="D5470" i="2"/>
  <c r="D5471" i="2"/>
  <c r="D5472" i="2"/>
  <c r="D5473" i="2"/>
  <c r="D5474" i="2"/>
  <c r="D5475" i="2"/>
  <c r="D5476" i="2"/>
  <c r="D5477" i="2"/>
  <c r="D5478" i="2"/>
  <c r="D5479" i="2"/>
  <c r="D5480" i="2"/>
  <c r="D5481" i="2"/>
  <c r="D5482" i="2"/>
  <c r="D5483" i="2"/>
  <c r="D5484" i="2"/>
  <c r="D5485" i="2"/>
  <c r="D5486" i="2"/>
  <c r="D5487" i="2"/>
  <c r="D5488" i="2"/>
  <c r="D5489" i="2"/>
  <c r="D5490" i="2"/>
  <c r="D5491" i="2"/>
  <c r="D5492" i="2"/>
  <c r="D5493" i="2"/>
  <c r="D5494" i="2"/>
  <c r="D5495" i="2"/>
  <c r="D5496" i="2"/>
  <c r="D5497" i="2"/>
  <c r="D5498" i="2"/>
  <c r="D5499" i="2"/>
  <c r="D5500" i="2"/>
  <c r="D5501" i="2"/>
  <c r="D5502" i="2"/>
  <c r="D5503" i="2"/>
  <c r="D5504" i="2"/>
  <c r="D5505" i="2"/>
  <c r="D5506" i="2"/>
  <c r="D5507" i="2"/>
  <c r="D5508" i="2"/>
  <c r="D5509" i="2"/>
  <c r="D5510" i="2"/>
  <c r="D5511" i="2"/>
  <c r="D5512" i="2"/>
  <c r="D5513" i="2"/>
  <c r="D5514" i="2"/>
  <c r="D5515" i="2"/>
  <c r="D5516" i="2"/>
  <c r="D5517" i="2"/>
  <c r="D5518" i="2"/>
  <c r="D5519" i="2"/>
  <c r="D5520" i="2"/>
  <c r="D5521" i="2"/>
  <c r="D5522" i="2"/>
  <c r="D5523" i="2"/>
  <c r="D5524" i="2"/>
  <c r="D5525" i="2"/>
  <c r="D5526" i="2"/>
  <c r="D5527" i="2"/>
  <c r="D5528" i="2"/>
  <c r="D5529" i="2"/>
  <c r="D5530" i="2"/>
  <c r="D5531" i="2"/>
  <c r="D5532" i="2"/>
  <c r="D5533" i="2"/>
  <c r="D5534" i="2"/>
  <c r="D5535" i="2"/>
  <c r="D5536" i="2"/>
  <c r="D5537" i="2"/>
  <c r="D5538" i="2"/>
  <c r="D5539" i="2"/>
  <c r="D5540" i="2"/>
  <c r="D5541" i="2"/>
  <c r="D5542" i="2"/>
  <c r="D5543" i="2"/>
  <c r="D5544" i="2"/>
  <c r="D5545" i="2"/>
  <c r="D5546" i="2"/>
  <c r="D5547" i="2"/>
  <c r="D5548" i="2"/>
  <c r="D5549" i="2"/>
  <c r="D5550" i="2"/>
  <c r="D5551" i="2"/>
  <c r="D5552" i="2"/>
  <c r="D5553" i="2"/>
  <c r="D5554" i="2"/>
  <c r="D5555" i="2"/>
  <c r="D5556" i="2"/>
  <c r="D5557" i="2"/>
  <c r="D5558" i="2"/>
  <c r="D5559" i="2"/>
  <c r="D5560" i="2"/>
  <c r="D5561" i="2"/>
  <c r="D5562" i="2"/>
  <c r="D5563" i="2"/>
  <c r="D5564" i="2"/>
  <c r="D5565" i="2"/>
  <c r="D5566" i="2"/>
  <c r="D5567" i="2"/>
  <c r="D5568" i="2"/>
  <c r="D5569" i="2"/>
  <c r="D5570" i="2"/>
  <c r="D5571" i="2"/>
  <c r="D5572" i="2"/>
  <c r="D5573" i="2"/>
  <c r="D5574" i="2"/>
  <c r="D5575" i="2"/>
  <c r="D5576" i="2"/>
  <c r="D5577" i="2"/>
  <c r="D5578" i="2"/>
  <c r="D5579" i="2"/>
  <c r="D5580" i="2"/>
  <c r="D5581" i="2"/>
  <c r="D5582" i="2"/>
  <c r="D5583" i="2"/>
  <c r="D5584" i="2"/>
  <c r="D5585" i="2"/>
  <c r="D5586" i="2"/>
  <c r="D5587" i="2"/>
  <c r="D5588" i="2"/>
  <c r="D5589" i="2"/>
  <c r="D5590" i="2"/>
  <c r="D5591" i="2"/>
  <c r="D5592" i="2"/>
  <c r="D5593" i="2"/>
  <c r="D5594" i="2"/>
  <c r="D5595" i="2"/>
  <c r="D5596" i="2"/>
  <c r="D5597" i="2"/>
  <c r="D5598" i="2"/>
  <c r="D5599" i="2"/>
  <c r="D5600" i="2"/>
  <c r="D5601" i="2"/>
  <c r="D5602" i="2"/>
  <c r="D5603" i="2"/>
  <c r="D5604" i="2"/>
  <c r="D5605" i="2"/>
  <c r="D5606" i="2"/>
  <c r="D5607" i="2"/>
  <c r="D5608" i="2"/>
  <c r="D5609" i="2"/>
  <c r="D5610" i="2"/>
  <c r="D5611" i="2"/>
  <c r="D5612" i="2"/>
  <c r="D5613" i="2"/>
  <c r="D5614" i="2"/>
  <c r="D5615" i="2"/>
  <c r="D5616" i="2"/>
  <c r="D5617" i="2"/>
  <c r="D5618" i="2"/>
  <c r="D5619" i="2"/>
  <c r="D5620" i="2"/>
  <c r="D5621" i="2"/>
  <c r="D5622" i="2"/>
  <c r="D5623" i="2"/>
  <c r="D5624" i="2"/>
  <c r="D5625" i="2"/>
  <c r="D5626" i="2"/>
  <c r="D5627" i="2"/>
  <c r="D5628" i="2"/>
  <c r="D5629" i="2"/>
  <c r="D5630" i="2"/>
  <c r="D5631" i="2"/>
  <c r="D5632" i="2"/>
  <c r="D5633" i="2"/>
  <c r="D5634" i="2"/>
  <c r="D5635" i="2"/>
  <c r="D5636" i="2"/>
  <c r="D5637" i="2"/>
  <c r="D5638" i="2"/>
  <c r="D5639" i="2"/>
  <c r="D5640" i="2"/>
  <c r="D5641" i="2"/>
  <c r="D5642" i="2"/>
  <c r="D5643" i="2"/>
  <c r="D5644" i="2"/>
  <c r="D5645" i="2"/>
  <c r="D5646" i="2"/>
  <c r="D5647" i="2"/>
  <c r="D5648" i="2"/>
  <c r="D5649" i="2"/>
  <c r="D5650" i="2"/>
  <c r="D5651" i="2"/>
  <c r="D5652" i="2"/>
  <c r="D5653" i="2"/>
  <c r="D5654" i="2"/>
  <c r="D5655" i="2"/>
  <c r="D5656" i="2"/>
  <c r="D5657" i="2"/>
  <c r="D5658" i="2"/>
  <c r="D5659" i="2"/>
  <c r="D5660" i="2"/>
  <c r="D5661" i="2"/>
  <c r="D5662" i="2"/>
  <c r="D5663" i="2"/>
  <c r="D5664" i="2"/>
  <c r="D5665" i="2"/>
  <c r="D5666" i="2"/>
  <c r="D5667" i="2"/>
  <c r="D5668" i="2"/>
  <c r="D5669" i="2"/>
  <c r="D5670" i="2"/>
  <c r="D5671" i="2"/>
  <c r="D5672" i="2"/>
  <c r="D5673" i="2"/>
  <c r="D5674" i="2"/>
  <c r="D5675" i="2"/>
  <c r="D5676" i="2"/>
  <c r="D5677" i="2"/>
  <c r="D5678" i="2"/>
  <c r="D5679" i="2"/>
  <c r="D5680" i="2"/>
  <c r="D5681" i="2"/>
  <c r="D5682" i="2"/>
  <c r="D5683" i="2"/>
  <c r="D5684" i="2"/>
  <c r="D5685" i="2"/>
  <c r="D5686" i="2"/>
  <c r="D5687" i="2"/>
  <c r="D5688" i="2"/>
  <c r="D5689" i="2"/>
  <c r="D5690" i="2"/>
  <c r="D5691" i="2"/>
  <c r="D5692" i="2"/>
  <c r="D5693" i="2"/>
  <c r="D5694" i="2"/>
  <c r="D5695" i="2"/>
  <c r="D5696" i="2"/>
  <c r="D5697" i="2"/>
  <c r="D5698" i="2"/>
  <c r="D5699" i="2"/>
  <c r="D5700" i="2"/>
  <c r="D5701" i="2"/>
  <c r="D5702" i="2"/>
  <c r="D5703" i="2"/>
  <c r="D5704" i="2"/>
  <c r="D5705" i="2"/>
  <c r="D5706" i="2"/>
  <c r="D5707" i="2"/>
  <c r="D5708" i="2"/>
  <c r="D5709" i="2"/>
  <c r="D5710" i="2"/>
  <c r="D5711" i="2"/>
  <c r="D5712" i="2"/>
  <c r="D5713" i="2"/>
  <c r="D5714" i="2"/>
  <c r="D5715" i="2"/>
  <c r="D5716" i="2"/>
  <c r="D5717" i="2"/>
  <c r="D5718" i="2"/>
  <c r="D5719" i="2"/>
  <c r="D5720" i="2"/>
  <c r="D5721" i="2"/>
  <c r="D5722" i="2"/>
  <c r="D5723" i="2"/>
  <c r="D5724" i="2"/>
  <c r="D5725" i="2"/>
  <c r="D5726" i="2"/>
  <c r="D5727" i="2"/>
  <c r="D5728" i="2"/>
  <c r="D5729" i="2"/>
  <c r="D5730" i="2"/>
  <c r="D5731" i="2"/>
  <c r="D5732" i="2"/>
  <c r="D5733" i="2"/>
  <c r="D5734" i="2"/>
  <c r="D5735" i="2"/>
  <c r="D5736" i="2"/>
  <c r="D5737" i="2"/>
  <c r="D5738" i="2"/>
  <c r="D5739" i="2"/>
  <c r="D5740" i="2"/>
  <c r="D5741" i="2"/>
  <c r="D5742" i="2"/>
  <c r="D5743" i="2"/>
  <c r="D5744" i="2"/>
  <c r="D5745" i="2"/>
  <c r="D5746" i="2"/>
  <c r="D5747" i="2"/>
  <c r="D5748" i="2"/>
  <c r="D5749" i="2"/>
  <c r="D5750" i="2"/>
  <c r="D5751" i="2"/>
  <c r="D5752" i="2"/>
  <c r="D5753" i="2"/>
  <c r="D5754" i="2"/>
  <c r="D5755" i="2"/>
  <c r="D5756" i="2"/>
  <c r="D5757" i="2"/>
  <c r="D5758" i="2"/>
  <c r="D5759" i="2"/>
  <c r="D5760" i="2"/>
  <c r="D5761" i="2"/>
  <c r="D5762" i="2"/>
  <c r="D5763" i="2"/>
  <c r="D5764" i="2"/>
  <c r="D5765" i="2"/>
  <c r="D5766" i="2"/>
  <c r="D5767" i="2"/>
  <c r="D5768" i="2"/>
  <c r="D5769" i="2"/>
  <c r="D5770" i="2"/>
  <c r="D5771" i="2"/>
  <c r="D5772" i="2"/>
  <c r="D5773" i="2"/>
  <c r="D5774" i="2"/>
  <c r="D5775" i="2"/>
  <c r="D5776" i="2"/>
  <c r="D5777" i="2"/>
  <c r="D5778" i="2"/>
  <c r="D5779" i="2"/>
  <c r="D5780" i="2"/>
  <c r="D5781" i="2"/>
  <c r="D5782" i="2"/>
  <c r="D5783" i="2"/>
  <c r="D5784" i="2"/>
  <c r="D5785" i="2"/>
  <c r="D5786" i="2"/>
  <c r="D5787" i="2"/>
  <c r="D5788" i="2"/>
  <c r="D5789" i="2"/>
  <c r="D5790" i="2"/>
  <c r="D5791" i="2"/>
  <c r="D5792" i="2"/>
  <c r="D5793" i="2"/>
  <c r="D5794" i="2"/>
  <c r="D5795" i="2"/>
  <c r="D5796" i="2"/>
  <c r="D5797" i="2"/>
  <c r="D5798" i="2"/>
  <c r="D5799" i="2"/>
  <c r="D5800" i="2"/>
  <c r="D5801" i="2"/>
  <c r="D5802" i="2"/>
  <c r="D5803" i="2"/>
  <c r="D5804" i="2"/>
  <c r="D5805" i="2"/>
  <c r="D5806" i="2"/>
  <c r="D5807" i="2"/>
  <c r="D5808" i="2"/>
  <c r="D5809" i="2"/>
  <c r="D5810" i="2"/>
  <c r="D5811" i="2"/>
  <c r="D5812" i="2"/>
  <c r="D5813" i="2"/>
  <c r="D5814" i="2"/>
  <c r="D5815" i="2"/>
  <c r="D5816" i="2"/>
  <c r="D5817" i="2"/>
  <c r="D5818" i="2"/>
  <c r="D5819" i="2"/>
  <c r="D5820" i="2"/>
  <c r="D5821" i="2"/>
  <c r="D5822" i="2"/>
  <c r="D5823" i="2"/>
  <c r="D5824" i="2"/>
  <c r="D5825" i="2"/>
  <c r="D5826" i="2"/>
  <c r="D5827" i="2"/>
  <c r="D5828" i="2"/>
  <c r="D5829" i="2"/>
  <c r="D5830" i="2"/>
  <c r="D5831" i="2"/>
  <c r="D5832" i="2"/>
  <c r="D5833" i="2"/>
  <c r="D5834" i="2"/>
  <c r="D5835" i="2"/>
  <c r="D5836" i="2"/>
  <c r="D5837" i="2"/>
  <c r="D5838" i="2"/>
  <c r="D5839" i="2"/>
  <c r="D5840" i="2"/>
  <c r="D5841" i="2"/>
  <c r="D5842" i="2"/>
  <c r="D5843" i="2"/>
  <c r="D5844" i="2"/>
  <c r="D5845" i="2"/>
  <c r="D5846" i="2"/>
  <c r="D5847" i="2"/>
  <c r="D5848" i="2"/>
  <c r="D5849" i="2"/>
  <c r="D5850" i="2"/>
  <c r="D5851" i="2"/>
  <c r="D5852" i="2"/>
  <c r="D5853" i="2"/>
  <c r="D5854" i="2"/>
  <c r="D5855" i="2"/>
  <c r="D5856" i="2"/>
  <c r="D5857" i="2"/>
  <c r="D5858" i="2"/>
  <c r="D5859" i="2"/>
  <c r="D5860" i="2"/>
  <c r="D5861" i="2"/>
  <c r="D5862" i="2"/>
  <c r="D5863" i="2"/>
  <c r="D5864" i="2"/>
  <c r="D5865" i="2"/>
  <c r="D5866" i="2"/>
  <c r="D5867" i="2"/>
  <c r="D5868" i="2"/>
  <c r="D5869" i="2"/>
  <c r="D5870" i="2"/>
  <c r="D5871" i="2"/>
  <c r="D5872" i="2"/>
  <c r="D5873" i="2"/>
  <c r="D5874" i="2"/>
  <c r="D5875" i="2"/>
  <c r="D5876" i="2"/>
  <c r="D5877" i="2"/>
  <c r="D5878" i="2"/>
  <c r="D5879" i="2"/>
  <c r="D5880" i="2"/>
  <c r="D5881" i="2"/>
  <c r="D5882" i="2"/>
  <c r="D5883" i="2"/>
  <c r="D5884" i="2"/>
  <c r="D5885" i="2"/>
  <c r="D5886" i="2"/>
  <c r="D5887" i="2"/>
  <c r="D5888" i="2"/>
  <c r="D5889" i="2"/>
  <c r="D5890" i="2"/>
  <c r="D5891" i="2"/>
  <c r="D5892" i="2"/>
  <c r="D5893" i="2"/>
  <c r="D5894" i="2"/>
  <c r="D5895" i="2"/>
  <c r="D5896" i="2"/>
  <c r="D5897" i="2"/>
  <c r="D5898" i="2"/>
  <c r="D5899" i="2"/>
  <c r="D5900" i="2"/>
  <c r="D5901" i="2"/>
  <c r="D5902" i="2"/>
  <c r="D5903" i="2"/>
  <c r="D5904" i="2"/>
  <c r="D5905" i="2"/>
  <c r="D5906" i="2"/>
  <c r="D5907" i="2"/>
  <c r="D5908" i="2"/>
  <c r="D5909" i="2"/>
  <c r="D5910" i="2"/>
  <c r="D5911" i="2"/>
  <c r="D5912" i="2"/>
  <c r="D5913" i="2"/>
  <c r="D5914" i="2"/>
  <c r="D5915" i="2"/>
  <c r="D5916" i="2"/>
  <c r="D5917" i="2"/>
  <c r="D5918" i="2"/>
  <c r="D5919" i="2"/>
  <c r="D5920" i="2"/>
  <c r="D5921" i="2"/>
  <c r="D5922" i="2"/>
  <c r="D5923" i="2"/>
  <c r="D5924" i="2"/>
  <c r="D5925" i="2"/>
  <c r="D5926" i="2"/>
  <c r="D5927" i="2"/>
  <c r="D5928" i="2"/>
  <c r="D5929" i="2"/>
  <c r="D5930" i="2"/>
  <c r="D5931" i="2"/>
  <c r="D5932" i="2"/>
  <c r="D5933" i="2"/>
  <c r="D5934" i="2"/>
  <c r="D5935" i="2"/>
  <c r="D5936" i="2"/>
  <c r="D5937" i="2"/>
  <c r="D5938" i="2"/>
  <c r="D5939" i="2"/>
  <c r="D5940" i="2"/>
  <c r="D5941" i="2"/>
  <c r="D5942" i="2"/>
  <c r="D5943" i="2"/>
  <c r="D5944" i="2"/>
  <c r="D5945" i="2"/>
  <c r="D5946" i="2"/>
  <c r="D5947" i="2"/>
  <c r="D5948" i="2"/>
  <c r="D5949" i="2"/>
  <c r="D5950" i="2"/>
  <c r="D5951" i="2"/>
  <c r="D5952" i="2"/>
  <c r="D5953" i="2"/>
  <c r="D5954" i="2"/>
  <c r="D5955" i="2"/>
  <c r="D5956" i="2"/>
  <c r="D5957" i="2"/>
  <c r="D5958" i="2"/>
  <c r="D5959" i="2"/>
  <c r="D5960" i="2"/>
  <c r="D5961" i="2"/>
  <c r="D5962" i="2"/>
  <c r="D5963" i="2"/>
  <c r="D5964" i="2"/>
  <c r="D5965" i="2"/>
  <c r="D5966" i="2"/>
  <c r="D5967" i="2"/>
  <c r="D5968" i="2"/>
  <c r="D5969" i="2"/>
  <c r="D5970" i="2"/>
  <c r="D5971" i="2"/>
  <c r="D5972" i="2"/>
  <c r="D5973" i="2"/>
  <c r="D5974" i="2"/>
  <c r="D5975" i="2"/>
  <c r="D5976" i="2"/>
  <c r="D5977" i="2"/>
  <c r="D5978" i="2"/>
  <c r="D5979" i="2"/>
  <c r="D5980" i="2"/>
  <c r="D5981" i="2"/>
  <c r="D5982" i="2"/>
  <c r="D5983" i="2"/>
  <c r="D5984" i="2"/>
  <c r="D5985" i="2"/>
  <c r="D5986" i="2"/>
  <c r="D5987" i="2"/>
  <c r="D5988" i="2"/>
  <c r="D5989" i="2"/>
  <c r="D5990" i="2"/>
  <c r="D5991" i="2"/>
  <c r="D5992" i="2"/>
  <c r="D5993" i="2"/>
  <c r="D5994" i="2"/>
  <c r="D5995" i="2"/>
  <c r="D5996" i="2"/>
  <c r="D5997" i="2"/>
  <c r="D5998" i="2"/>
  <c r="D5999" i="2"/>
  <c r="D6000" i="2"/>
  <c r="D6001" i="2"/>
  <c r="D6002" i="2"/>
  <c r="D6003" i="2"/>
  <c r="D6004" i="2"/>
  <c r="D6005" i="2"/>
  <c r="D6006" i="2"/>
  <c r="D6007" i="2"/>
  <c r="D6008" i="2"/>
  <c r="D6009" i="2"/>
  <c r="D6010" i="2"/>
  <c r="D6011" i="2"/>
  <c r="D6012" i="2"/>
  <c r="D6013" i="2"/>
  <c r="D6014" i="2"/>
  <c r="D6015" i="2"/>
  <c r="D6016" i="2"/>
  <c r="D6017" i="2"/>
  <c r="D6018" i="2"/>
  <c r="D6019" i="2"/>
  <c r="D6020" i="2"/>
  <c r="D6021" i="2"/>
  <c r="D6022" i="2"/>
  <c r="D6023" i="2"/>
  <c r="D6024" i="2"/>
  <c r="D6025" i="2"/>
  <c r="D6026" i="2"/>
  <c r="D6027" i="2"/>
  <c r="D6028" i="2"/>
  <c r="D6029" i="2"/>
  <c r="D6030" i="2"/>
  <c r="D6031" i="2"/>
  <c r="D6032" i="2"/>
  <c r="D6033" i="2"/>
  <c r="D6034" i="2"/>
  <c r="D6035" i="2"/>
  <c r="D6036" i="2"/>
  <c r="D6037" i="2"/>
  <c r="D6038" i="2"/>
  <c r="D6039" i="2"/>
  <c r="D6040" i="2"/>
  <c r="D6041" i="2"/>
  <c r="D6042" i="2"/>
  <c r="D6043" i="2"/>
  <c r="D6044" i="2"/>
  <c r="D6045" i="2"/>
  <c r="D6046" i="2"/>
  <c r="D6047" i="2"/>
  <c r="D6048" i="2"/>
  <c r="D6049" i="2"/>
  <c r="D6050" i="2"/>
  <c r="D6051" i="2"/>
  <c r="D6052" i="2"/>
  <c r="D6053" i="2"/>
  <c r="D6054" i="2"/>
  <c r="D6055" i="2"/>
  <c r="D6056" i="2"/>
  <c r="D6057" i="2"/>
  <c r="D6058" i="2"/>
  <c r="D6059" i="2"/>
  <c r="D6060" i="2"/>
  <c r="D6061" i="2"/>
  <c r="D6062" i="2"/>
  <c r="D6063" i="2"/>
  <c r="D6064" i="2"/>
  <c r="D6065" i="2"/>
  <c r="D6066" i="2"/>
  <c r="D6067" i="2"/>
  <c r="D6068" i="2"/>
  <c r="D6069" i="2"/>
  <c r="D6070" i="2"/>
  <c r="D6071" i="2"/>
  <c r="D6072" i="2"/>
  <c r="D6073" i="2"/>
  <c r="D6074" i="2"/>
  <c r="D6075" i="2"/>
  <c r="D6076" i="2"/>
  <c r="D6077" i="2"/>
  <c r="D6078" i="2"/>
  <c r="D6079" i="2"/>
  <c r="D6080" i="2"/>
  <c r="D6081" i="2"/>
  <c r="D6082" i="2"/>
  <c r="D6083" i="2"/>
  <c r="D6084" i="2"/>
  <c r="D6085" i="2"/>
  <c r="D6086" i="2"/>
  <c r="D6087" i="2"/>
  <c r="D6088" i="2"/>
  <c r="D6089" i="2"/>
  <c r="D6090" i="2"/>
  <c r="D6091" i="2"/>
  <c r="D6092" i="2"/>
  <c r="D6093" i="2"/>
  <c r="D6094" i="2"/>
  <c r="D6095" i="2"/>
  <c r="D6096" i="2"/>
  <c r="D6097" i="2"/>
  <c r="D6098" i="2"/>
  <c r="D6099" i="2"/>
  <c r="D6100" i="2"/>
  <c r="D6101" i="2"/>
  <c r="D6102" i="2"/>
  <c r="D6103" i="2"/>
  <c r="D6104" i="2"/>
  <c r="D6105" i="2"/>
  <c r="D6106" i="2"/>
  <c r="D6107" i="2"/>
  <c r="D6108" i="2"/>
  <c r="D6109" i="2"/>
  <c r="D6110" i="2"/>
  <c r="D6111" i="2"/>
  <c r="D6112" i="2"/>
  <c r="D6113" i="2"/>
  <c r="D6114" i="2"/>
  <c r="D6115" i="2"/>
  <c r="D6116" i="2"/>
  <c r="D6117" i="2"/>
  <c r="D6118" i="2"/>
  <c r="D6119" i="2"/>
  <c r="D6120" i="2"/>
  <c r="D6121" i="2"/>
  <c r="D6122" i="2"/>
  <c r="D6123" i="2"/>
  <c r="D6124" i="2"/>
  <c r="D6125" i="2"/>
  <c r="D6126" i="2"/>
  <c r="D6127" i="2"/>
  <c r="D6128" i="2"/>
  <c r="D6129" i="2"/>
  <c r="D6130" i="2"/>
  <c r="D6131" i="2"/>
  <c r="D6132" i="2"/>
  <c r="D6133" i="2"/>
  <c r="D6134" i="2"/>
  <c r="D6135" i="2"/>
  <c r="D6136" i="2"/>
  <c r="D6137" i="2"/>
  <c r="D6138" i="2"/>
  <c r="D6139" i="2"/>
  <c r="D6140" i="2"/>
  <c r="D6141" i="2"/>
  <c r="D6142" i="2"/>
  <c r="D6143" i="2"/>
  <c r="D6144" i="2"/>
  <c r="D6145" i="2"/>
  <c r="D6146" i="2"/>
  <c r="D6147" i="2"/>
  <c r="D6148" i="2"/>
  <c r="D6149" i="2"/>
  <c r="D6150" i="2"/>
  <c r="D6151" i="2"/>
  <c r="D6152" i="2"/>
  <c r="D6153" i="2"/>
  <c r="D6154" i="2"/>
  <c r="D6155" i="2"/>
  <c r="D6156" i="2"/>
  <c r="D6157" i="2"/>
  <c r="D6158" i="2"/>
  <c r="D6159" i="2"/>
  <c r="D6160" i="2"/>
  <c r="D6161" i="2"/>
  <c r="D6162" i="2"/>
  <c r="D6163" i="2"/>
  <c r="D6164" i="2"/>
  <c r="D6165" i="2"/>
  <c r="D6166" i="2"/>
  <c r="D6167" i="2"/>
  <c r="D6168" i="2"/>
  <c r="D6169" i="2"/>
  <c r="D6170" i="2"/>
  <c r="D6171" i="2"/>
  <c r="D6172" i="2"/>
  <c r="D6173" i="2"/>
  <c r="D6174" i="2"/>
  <c r="D6175" i="2"/>
  <c r="D6176" i="2"/>
  <c r="D6177" i="2"/>
  <c r="D6178" i="2"/>
  <c r="D6179" i="2"/>
  <c r="D6180" i="2"/>
  <c r="D6181" i="2"/>
  <c r="D6182" i="2"/>
  <c r="D6183" i="2"/>
  <c r="D6184" i="2"/>
  <c r="D6185" i="2"/>
  <c r="D6186" i="2"/>
  <c r="D6187" i="2"/>
  <c r="D6188" i="2"/>
  <c r="D6189" i="2"/>
  <c r="D6190" i="2"/>
  <c r="D6191" i="2"/>
  <c r="D6192" i="2"/>
  <c r="D6193" i="2"/>
  <c r="D6194" i="2"/>
  <c r="D6195" i="2"/>
  <c r="D6196" i="2"/>
  <c r="D6197" i="2"/>
  <c r="D6198" i="2"/>
  <c r="D6199" i="2"/>
  <c r="D6200" i="2"/>
  <c r="D6201" i="2"/>
  <c r="D6202" i="2"/>
  <c r="D6203" i="2"/>
  <c r="D6204" i="2"/>
  <c r="D6205" i="2"/>
  <c r="D6206" i="2"/>
  <c r="D6207" i="2"/>
  <c r="D6208" i="2"/>
  <c r="D6209" i="2"/>
  <c r="D6210" i="2"/>
  <c r="D6211" i="2"/>
  <c r="D6212" i="2"/>
  <c r="D6213" i="2"/>
  <c r="D6214" i="2"/>
  <c r="D6215" i="2"/>
  <c r="D6216" i="2"/>
  <c r="D6217" i="2"/>
  <c r="D6218" i="2"/>
  <c r="D6219" i="2"/>
  <c r="D6220" i="2"/>
  <c r="D6221" i="2"/>
  <c r="D6222" i="2"/>
  <c r="D6223" i="2"/>
  <c r="D6224" i="2"/>
  <c r="D6225" i="2"/>
  <c r="D6226" i="2"/>
  <c r="D6227" i="2"/>
  <c r="D6228" i="2"/>
  <c r="D6229" i="2"/>
  <c r="D6230" i="2"/>
  <c r="D6231" i="2"/>
  <c r="D6232" i="2"/>
  <c r="D6233" i="2"/>
  <c r="D6234" i="2"/>
  <c r="D6235" i="2"/>
  <c r="D623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C5022" i="2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5204" i="2"/>
  <c r="C5205" i="2"/>
  <c r="C5206" i="2"/>
  <c r="C5207" i="2"/>
  <c r="C5208" i="2"/>
  <c r="C5209" i="2"/>
  <c r="C5210" i="2"/>
  <c r="C5211" i="2"/>
  <c r="C5212" i="2"/>
  <c r="C5213" i="2"/>
  <c r="C5214" i="2"/>
  <c r="C5215" i="2"/>
  <c r="C5216" i="2"/>
  <c r="C5217" i="2"/>
  <c r="C5218" i="2"/>
  <c r="C5219" i="2"/>
  <c r="C5220" i="2"/>
  <c r="C5221" i="2"/>
  <c r="C5222" i="2"/>
  <c r="C5223" i="2"/>
  <c r="C5224" i="2"/>
  <c r="C5225" i="2"/>
  <c r="C5226" i="2"/>
  <c r="C5227" i="2"/>
  <c r="C5228" i="2"/>
  <c r="C5229" i="2"/>
  <c r="C5230" i="2"/>
  <c r="C5231" i="2"/>
  <c r="C5232" i="2"/>
  <c r="C5233" i="2"/>
  <c r="C5234" i="2"/>
  <c r="C5235" i="2"/>
  <c r="C5236" i="2"/>
  <c r="C5237" i="2"/>
  <c r="C5238" i="2"/>
  <c r="C5239" i="2"/>
  <c r="C5240" i="2"/>
  <c r="C5241" i="2"/>
  <c r="C5242" i="2"/>
  <c r="C5243" i="2"/>
  <c r="C5244" i="2"/>
  <c r="C5245" i="2"/>
  <c r="C5246" i="2"/>
  <c r="C5247" i="2"/>
  <c r="C5248" i="2"/>
  <c r="C5249" i="2"/>
  <c r="C5250" i="2"/>
  <c r="C5251" i="2"/>
  <c r="C5252" i="2"/>
  <c r="C5253" i="2"/>
  <c r="C5254" i="2"/>
  <c r="C5255" i="2"/>
  <c r="C5256" i="2"/>
  <c r="C5257" i="2"/>
  <c r="C5258" i="2"/>
  <c r="C5259" i="2"/>
  <c r="C5260" i="2"/>
  <c r="C5261" i="2"/>
  <c r="C5262" i="2"/>
  <c r="C5263" i="2"/>
  <c r="C5264" i="2"/>
  <c r="C5265" i="2"/>
  <c r="C5266" i="2"/>
  <c r="C5267" i="2"/>
  <c r="C5268" i="2"/>
  <c r="C5269" i="2"/>
  <c r="C5270" i="2"/>
  <c r="C5271" i="2"/>
  <c r="C5272" i="2"/>
  <c r="C5273" i="2"/>
  <c r="C5274" i="2"/>
  <c r="C5275" i="2"/>
  <c r="C5276" i="2"/>
  <c r="C5277" i="2"/>
  <c r="C5278" i="2"/>
  <c r="C5279" i="2"/>
  <c r="C5280" i="2"/>
  <c r="C5281" i="2"/>
  <c r="C5282" i="2"/>
  <c r="C5283" i="2"/>
  <c r="C5284" i="2"/>
  <c r="C5285" i="2"/>
  <c r="C5286" i="2"/>
  <c r="C5287" i="2"/>
  <c r="C5288" i="2"/>
  <c r="C5289" i="2"/>
  <c r="C5290" i="2"/>
  <c r="C5291" i="2"/>
  <c r="C5292" i="2"/>
  <c r="C5293" i="2"/>
  <c r="C5294" i="2"/>
  <c r="C5295" i="2"/>
  <c r="C5296" i="2"/>
  <c r="C5297" i="2"/>
  <c r="C5298" i="2"/>
  <c r="C5299" i="2"/>
  <c r="C5300" i="2"/>
  <c r="C5301" i="2"/>
  <c r="C5302" i="2"/>
  <c r="C5303" i="2"/>
  <c r="C5304" i="2"/>
  <c r="C5305" i="2"/>
  <c r="C5306" i="2"/>
  <c r="C5307" i="2"/>
  <c r="C5308" i="2"/>
  <c r="C5309" i="2"/>
  <c r="C5310" i="2"/>
  <c r="C5311" i="2"/>
  <c r="C5312" i="2"/>
  <c r="C5313" i="2"/>
  <c r="C5314" i="2"/>
  <c r="C5315" i="2"/>
  <c r="C5316" i="2"/>
  <c r="C5317" i="2"/>
  <c r="C5318" i="2"/>
  <c r="C5319" i="2"/>
  <c r="C5320" i="2"/>
  <c r="C5321" i="2"/>
  <c r="C5322" i="2"/>
  <c r="C5323" i="2"/>
  <c r="C5324" i="2"/>
  <c r="C5325" i="2"/>
  <c r="C5326" i="2"/>
  <c r="C5327" i="2"/>
  <c r="C5328" i="2"/>
  <c r="C5329" i="2"/>
  <c r="C5330" i="2"/>
  <c r="C5331" i="2"/>
  <c r="C5332" i="2"/>
  <c r="C5333" i="2"/>
  <c r="C5334" i="2"/>
  <c r="C5335" i="2"/>
  <c r="C5336" i="2"/>
  <c r="C5337" i="2"/>
  <c r="C5338" i="2"/>
  <c r="C5339" i="2"/>
  <c r="C5340" i="2"/>
  <c r="C5341" i="2"/>
  <c r="C5342" i="2"/>
  <c r="C5343" i="2"/>
  <c r="C5344" i="2"/>
  <c r="C5345" i="2"/>
  <c r="C5346" i="2"/>
  <c r="C5347" i="2"/>
  <c r="C5348" i="2"/>
  <c r="C5349" i="2"/>
  <c r="C5350" i="2"/>
  <c r="C5351" i="2"/>
  <c r="C5352" i="2"/>
  <c r="C5353" i="2"/>
  <c r="C5354" i="2"/>
  <c r="C5355" i="2"/>
  <c r="C5356" i="2"/>
  <c r="C5357" i="2"/>
  <c r="C5358" i="2"/>
  <c r="C5359" i="2"/>
  <c r="C5360" i="2"/>
  <c r="C5361" i="2"/>
  <c r="C5362" i="2"/>
  <c r="C5363" i="2"/>
  <c r="C5364" i="2"/>
  <c r="C5365" i="2"/>
  <c r="C5366" i="2"/>
  <c r="C5367" i="2"/>
  <c r="C5368" i="2"/>
  <c r="C5369" i="2"/>
  <c r="C5370" i="2"/>
  <c r="C5371" i="2"/>
  <c r="C5372" i="2"/>
  <c r="C5373" i="2"/>
  <c r="C5374" i="2"/>
  <c r="C5375" i="2"/>
  <c r="C5376" i="2"/>
  <c r="C5377" i="2"/>
  <c r="C5378" i="2"/>
  <c r="C5379" i="2"/>
  <c r="C5380" i="2"/>
  <c r="C5381" i="2"/>
  <c r="C5382" i="2"/>
  <c r="C5383" i="2"/>
  <c r="C5384" i="2"/>
  <c r="C5385" i="2"/>
  <c r="C5386" i="2"/>
  <c r="C5387" i="2"/>
  <c r="C5388" i="2"/>
  <c r="C5389" i="2"/>
  <c r="C5390" i="2"/>
  <c r="C5391" i="2"/>
  <c r="C5392" i="2"/>
  <c r="C5393" i="2"/>
  <c r="C5394" i="2"/>
  <c r="C5395" i="2"/>
  <c r="C5396" i="2"/>
  <c r="C5397" i="2"/>
  <c r="C5398" i="2"/>
  <c r="C5399" i="2"/>
  <c r="C5400" i="2"/>
  <c r="C5401" i="2"/>
  <c r="C5402" i="2"/>
  <c r="C5403" i="2"/>
  <c r="C5404" i="2"/>
  <c r="C5405" i="2"/>
  <c r="C5406" i="2"/>
  <c r="C5407" i="2"/>
  <c r="C5408" i="2"/>
  <c r="C5409" i="2"/>
  <c r="C5410" i="2"/>
  <c r="C5411" i="2"/>
  <c r="C5412" i="2"/>
  <c r="C5413" i="2"/>
  <c r="C5414" i="2"/>
  <c r="C5415" i="2"/>
  <c r="C5416" i="2"/>
  <c r="C5417" i="2"/>
  <c r="C5418" i="2"/>
  <c r="C5419" i="2"/>
  <c r="C5420" i="2"/>
  <c r="C5421" i="2"/>
  <c r="C5422" i="2"/>
  <c r="C5423" i="2"/>
  <c r="C5424" i="2"/>
  <c r="C5425" i="2"/>
  <c r="C5426" i="2"/>
  <c r="C5427" i="2"/>
  <c r="C5428" i="2"/>
  <c r="C5429" i="2"/>
  <c r="C5430" i="2"/>
  <c r="C5431" i="2"/>
  <c r="C5432" i="2"/>
  <c r="C5433" i="2"/>
  <c r="C5434" i="2"/>
  <c r="C5435" i="2"/>
  <c r="C5436" i="2"/>
  <c r="C5437" i="2"/>
  <c r="C5438" i="2"/>
  <c r="C5439" i="2"/>
  <c r="C5440" i="2"/>
  <c r="C5441" i="2"/>
  <c r="C5442" i="2"/>
  <c r="C5443" i="2"/>
  <c r="C5444" i="2"/>
  <c r="C5445" i="2"/>
  <c r="C5446" i="2"/>
  <c r="C5447" i="2"/>
  <c r="C5448" i="2"/>
  <c r="C5449" i="2"/>
  <c r="C5450" i="2"/>
  <c r="C5451" i="2"/>
  <c r="C5452" i="2"/>
  <c r="C5453" i="2"/>
  <c r="C5454" i="2"/>
  <c r="C5455" i="2"/>
  <c r="C5456" i="2"/>
  <c r="C5457" i="2"/>
  <c r="C5458" i="2"/>
  <c r="C5459" i="2"/>
  <c r="C5460" i="2"/>
  <c r="C5461" i="2"/>
  <c r="C5462" i="2"/>
  <c r="C5463" i="2"/>
  <c r="C5464" i="2"/>
  <c r="C5465" i="2"/>
  <c r="C5466" i="2"/>
  <c r="C5467" i="2"/>
  <c r="C5468" i="2"/>
  <c r="C5469" i="2"/>
  <c r="C5470" i="2"/>
  <c r="C5471" i="2"/>
  <c r="C5472" i="2"/>
  <c r="C5473" i="2"/>
  <c r="C5474" i="2"/>
  <c r="C5475" i="2"/>
  <c r="C5476" i="2"/>
  <c r="C5477" i="2"/>
  <c r="C5478" i="2"/>
  <c r="C5479" i="2"/>
  <c r="C5480" i="2"/>
  <c r="C5481" i="2"/>
  <c r="C5482" i="2"/>
  <c r="C5483" i="2"/>
  <c r="C5484" i="2"/>
  <c r="C5485" i="2"/>
  <c r="C5486" i="2"/>
  <c r="C5487" i="2"/>
  <c r="C5488" i="2"/>
  <c r="C5489" i="2"/>
  <c r="C5490" i="2"/>
  <c r="C5491" i="2"/>
  <c r="C5492" i="2"/>
  <c r="C5493" i="2"/>
  <c r="C5494" i="2"/>
  <c r="C5495" i="2"/>
  <c r="C5496" i="2"/>
  <c r="C5497" i="2"/>
  <c r="C5498" i="2"/>
  <c r="C5499" i="2"/>
  <c r="C5500" i="2"/>
  <c r="C5501" i="2"/>
  <c r="C5502" i="2"/>
  <c r="C5503" i="2"/>
  <c r="C5504" i="2"/>
  <c r="C5505" i="2"/>
  <c r="C5506" i="2"/>
  <c r="C5507" i="2"/>
  <c r="C5508" i="2"/>
  <c r="C5509" i="2"/>
  <c r="C5510" i="2"/>
  <c r="C5511" i="2"/>
  <c r="C5512" i="2"/>
  <c r="C5513" i="2"/>
  <c r="C5514" i="2"/>
  <c r="C5515" i="2"/>
  <c r="C5516" i="2"/>
  <c r="C5517" i="2"/>
  <c r="C5518" i="2"/>
  <c r="C5519" i="2"/>
  <c r="C5520" i="2"/>
  <c r="C5521" i="2"/>
  <c r="C5522" i="2"/>
  <c r="C5523" i="2"/>
  <c r="C5524" i="2"/>
  <c r="C5525" i="2"/>
  <c r="C5526" i="2"/>
  <c r="C5527" i="2"/>
  <c r="C5528" i="2"/>
  <c r="C5529" i="2"/>
  <c r="C5530" i="2"/>
  <c r="C5531" i="2"/>
  <c r="C5532" i="2"/>
  <c r="C5533" i="2"/>
  <c r="C5534" i="2"/>
  <c r="C5535" i="2"/>
  <c r="C5536" i="2"/>
  <c r="C5537" i="2"/>
  <c r="C5538" i="2"/>
  <c r="C5539" i="2"/>
  <c r="C5540" i="2"/>
  <c r="C5541" i="2"/>
  <c r="C5542" i="2"/>
  <c r="C5543" i="2"/>
  <c r="C5544" i="2"/>
  <c r="C5545" i="2"/>
  <c r="C5546" i="2"/>
  <c r="C5547" i="2"/>
  <c r="C5548" i="2"/>
  <c r="C5549" i="2"/>
  <c r="C5550" i="2"/>
  <c r="C5551" i="2"/>
  <c r="C5552" i="2"/>
  <c r="C5553" i="2"/>
  <c r="C5554" i="2"/>
  <c r="C5555" i="2"/>
  <c r="C5556" i="2"/>
  <c r="C5557" i="2"/>
  <c r="C5558" i="2"/>
  <c r="C5559" i="2"/>
  <c r="C5560" i="2"/>
  <c r="C5561" i="2"/>
  <c r="C5562" i="2"/>
  <c r="C5563" i="2"/>
  <c r="C5564" i="2"/>
  <c r="C5565" i="2"/>
  <c r="C5566" i="2"/>
  <c r="C5567" i="2"/>
  <c r="C5568" i="2"/>
  <c r="C5569" i="2"/>
  <c r="C5570" i="2"/>
  <c r="C5571" i="2"/>
  <c r="C5572" i="2"/>
  <c r="C5573" i="2"/>
  <c r="C5574" i="2"/>
  <c r="C5575" i="2"/>
  <c r="C5576" i="2"/>
  <c r="C5577" i="2"/>
  <c r="C5578" i="2"/>
  <c r="C5579" i="2"/>
  <c r="C5580" i="2"/>
  <c r="C5581" i="2"/>
  <c r="C5582" i="2"/>
  <c r="C5583" i="2"/>
  <c r="C5584" i="2"/>
  <c r="C5585" i="2"/>
  <c r="C5586" i="2"/>
  <c r="C5587" i="2"/>
  <c r="C5588" i="2"/>
  <c r="C5589" i="2"/>
  <c r="C5590" i="2"/>
  <c r="C5591" i="2"/>
  <c r="C5592" i="2"/>
  <c r="C5593" i="2"/>
  <c r="C5594" i="2"/>
  <c r="C5595" i="2"/>
  <c r="C5596" i="2"/>
  <c r="C5597" i="2"/>
  <c r="C5598" i="2"/>
  <c r="C5599" i="2"/>
  <c r="C5600" i="2"/>
  <c r="C5601" i="2"/>
  <c r="C5602" i="2"/>
  <c r="C5603" i="2"/>
  <c r="C5604" i="2"/>
  <c r="C5605" i="2"/>
  <c r="C5606" i="2"/>
  <c r="C5607" i="2"/>
  <c r="C5608" i="2"/>
  <c r="C5609" i="2"/>
  <c r="C5610" i="2"/>
  <c r="C5611" i="2"/>
  <c r="C5612" i="2"/>
  <c r="C5613" i="2"/>
  <c r="C5614" i="2"/>
  <c r="C5615" i="2"/>
  <c r="C5616" i="2"/>
  <c r="C5617" i="2"/>
  <c r="C5618" i="2"/>
  <c r="C5619" i="2"/>
  <c r="C5620" i="2"/>
  <c r="C5621" i="2"/>
  <c r="C5622" i="2"/>
  <c r="C5623" i="2"/>
  <c r="C5624" i="2"/>
  <c r="C5625" i="2"/>
  <c r="C5626" i="2"/>
  <c r="C5627" i="2"/>
  <c r="C5628" i="2"/>
  <c r="C5629" i="2"/>
  <c r="C5630" i="2"/>
  <c r="C5631" i="2"/>
  <c r="C5632" i="2"/>
  <c r="C5633" i="2"/>
  <c r="C5634" i="2"/>
  <c r="C5635" i="2"/>
  <c r="C5636" i="2"/>
  <c r="C5637" i="2"/>
  <c r="C5638" i="2"/>
  <c r="C5639" i="2"/>
  <c r="C5640" i="2"/>
  <c r="C5641" i="2"/>
  <c r="C5642" i="2"/>
  <c r="C5643" i="2"/>
  <c r="C5644" i="2"/>
  <c r="C5645" i="2"/>
  <c r="C5646" i="2"/>
  <c r="C5647" i="2"/>
  <c r="C5648" i="2"/>
  <c r="C5649" i="2"/>
  <c r="C5650" i="2"/>
  <c r="C5651" i="2"/>
  <c r="C5652" i="2"/>
  <c r="C5653" i="2"/>
  <c r="C5654" i="2"/>
  <c r="C5655" i="2"/>
  <c r="C5656" i="2"/>
  <c r="C5657" i="2"/>
  <c r="C5658" i="2"/>
  <c r="C5659" i="2"/>
  <c r="C5660" i="2"/>
  <c r="C5661" i="2"/>
  <c r="C5662" i="2"/>
  <c r="C5663" i="2"/>
  <c r="C5664" i="2"/>
  <c r="C5665" i="2"/>
  <c r="C5666" i="2"/>
  <c r="C5667" i="2"/>
  <c r="C5668" i="2"/>
  <c r="C5669" i="2"/>
  <c r="C5670" i="2"/>
  <c r="C5671" i="2"/>
  <c r="C5672" i="2"/>
  <c r="C5673" i="2"/>
  <c r="C5674" i="2"/>
  <c r="C5675" i="2"/>
  <c r="C5676" i="2"/>
  <c r="C5677" i="2"/>
  <c r="C5678" i="2"/>
  <c r="C5679" i="2"/>
  <c r="C5680" i="2"/>
  <c r="C5681" i="2"/>
  <c r="C5682" i="2"/>
  <c r="C5683" i="2"/>
  <c r="C5684" i="2"/>
  <c r="C5685" i="2"/>
  <c r="C5686" i="2"/>
  <c r="C5687" i="2"/>
  <c r="C5688" i="2"/>
  <c r="C5689" i="2"/>
  <c r="C5690" i="2"/>
  <c r="C5691" i="2"/>
  <c r="C5692" i="2"/>
  <c r="C5693" i="2"/>
  <c r="C5694" i="2"/>
  <c r="C5695" i="2"/>
  <c r="C5696" i="2"/>
  <c r="C5697" i="2"/>
  <c r="C5698" i="2"/>
  <c r="C5699" i="2"/>
  <c r="C5700" i="2"/>
  <c r="C5701" i="2"/>
  <c r="C5702" i="2"/>
  <c r="C5703" i="2"/>
  <c r="C5704" i="2"/>
  <c r="C5705" i="2"/>
  <c r="C5706" i="2"/>
  <c r="C5707" i="2"/>
  <c r="C5708" i="2"/>
  <c r="C5709" i="2"/>
  <c r="C5710" i="2"/>
  <c r="C5711" i="2"/>
  <c r="C5712" i="2"/>
  <c r="C5713" i="2"/>
  <c r="C5714" i="2"/>
  <c r="C5715" i="2"/>
  <c r="C5716" i="2"/>
  <c r="C5717" i="2"/>
  <c r="C5718" i="2"/>
  <c r="C5719" i="2"/>
  <c r="C5720" i="2"/>
  <c r="C5721" i="2"/>
  <c r="C5722" i="2"/>
  <c r="C5723" i="2"/>
  <c r="C5724" i="2"/>
  <c r="C5725" i="2"/>
  <c r="C5726" i="2"/>
  <c r="C5727" i="2"/>
  <c r="C5728" i="2"/>
  <c r="C5729" i="2"/>
  <c r="C5730" i="2"/>
  <c r="C5731" i="2"/>
  <c r="C5732" i="2"/>
  <c r="C5733" i="2"/>
  <c r="C5734" i="2"/>
  <c r="C5735" i="2"/>
  <c r="C5736" i="2"/>
  <c r="C5737" i="2"/>
  <c r="C5738" i="2"/>
  <c r="C5739" i="2"/>
  <c r="C5740" i="2"/>
  <c r="C5741" i="2"/>
  <c r="C5742" i="2"/>
  <c r="C5743" i="2"/>
  <c r="C5744" i="2"/>
  <c r="C5745" i="2"/>
  <c r="C5746" i="2"/>
  <c r="C5747" i="2"/>
  <c r="C5748" i="2"/>
  <c r="C5749" i="2"/>
  <c r="C5750" i="2"/>
  <c r="C5751" i="2"/>
  <c r="C5752" i="2"/>
  <c r="C5753" i="2"/>
  <c r="C5754" i="2"/>
  <c r="C5755" i="2"/>
  <c r="C5756" i="2"/>
  <c r="C5757" i="2"/>
  <c r="C5758" i="2"/>
  <c r="C5759" i="2"/>
  <c r="C5760" i="2"/>
  <c r="C5761" i="2"/>
  <c r="C5762" i="2"/>
  <c r="C5763" i="2"/>
  <c r="C5764" i="2"/>
  <c r="C5765" i="2"/>
  <c r="C5766" i="2"/>
  <c r="C5767" i="2"/>
  <c r="C5768" i="2"/>
  <c r="C5769" i="2"/>
  <c r="C5770" i="2"/>
  <c r="C5771" i="2"/>
  <c r="C5772" i="2"/>
  <c r="C5773" i="2"/>
  <c r="C5774" i="2"/>
  <c r="C5775" i="2"/>
  <c r="C5776" i="2"/>
  <c r="C5777" i="2"/>
  <c r="C5778" i="2"/>
  <c r="C5779" i="2"/>
  <c r="C5780" i="2"/>
  <c r="C5781" i="2"/>
  <c r="C5782" i="2"/>
  <c r="C5783" i="2"/>
  <c r="C5784" i="2"/>
  <c r="C5785" i="2"/>
  <c r="C5786" i="2"/>
  <c r="C5787" i="2"/>
  <c r="C5788" i="2"/>
  <c r="C5789" i="2"/>
  <c r="C5790" i="2"/>
  <c r="C5791" i="2"/>
  <c r="C5792" i="2"/>
  <c r="C5793" i="2"/>
  <c r="C5794" i="2"/>
  <c r="C5795" i="2"/>
  <c r="C5796" i="2"/>
  <c r="C5797" i="2"/>
  <c r="C5798" i="2"/>
  <c r="C5799" i="2"/>
  <c r="C5800" i="2"/>
  <c r="C5801" i="2"/>
  <c r="C5802" i="2"/>
  <c r="C5803" i="2"/>
  <c r="C5804" i="2"/>
  <c r="C5805" i="2"/>
  <c r="C5806" i="2"/>
  <c r="C5807" i="2"/>
  <c r="C5808" i="2"/>
  <c r="C5809" i="2"/>
  <c r="C5810" i="2"/>
  <c r="C5811" i="2"/>
  <c r="C5812" i="2"/>
  <c r="C5813" i="2"/>
  <c r="C5814" i="2"/>
  <c r="C5815" i="2"/>
  <c r="C5816" i="2"/>
  <c r="C5817" i="2"/>
  <c r="C5818" i="2"/>
  <c r="C5819" i="2"/>
  <c r="C5820" i="2"/>
  <c r="C5821" i="2"/>
  <c r="C5822" i="2"/>
  <c r="C5823" i="2"/>
  <c r="C5824" i="2"/>
  <c r="C5825" i="2"/>
  <c r="C5826" i="2"/>
  <c r="C5827" i="2"/>
  <c r="C5828" i="2"/>
  <c r="C5829" i="2"/>
  <c r="C5830" i="2"/>
  <c r="C5831" i="2"/>
  <c r="C5832" i="2"/>
  <c r="C5833" i="2"/>
  <c r="C5834" i="2"/>
  <c r="C5835" i="2"/>
  <c r="C5836" i="2"/>
  <c r="C5837" i="2"/>
  <c r="C5838" i="2"/>
  <c r="C5839" i="2"/>
  <c r="C5840" i="2"/>
  <c r="C5841" i="2"/>
  <c r="C5842" i="2"/>
  <c r="C5843" i="2"/>
  <c r="C5844" i="2"/>
  <c r="C5845" i="2"/>
  <c r="C5846" i="2"/>
  <c r="C5847" i="2"/>
  <c r="C5848" i="2"/>
  <c r="C5849" i="2"/>
  <c r="C5850" i="2"/>
  <c r="C5851" i="2"/>
  <c r="C5852" i="2"/>
  <c r="C5853" i="2"/>
  <c r="C5854" i="2"/>
  <c r="C5855" i="2"/>
  <c r="C5856" i="2"/>
  <c r="C5857" i="2"/>
  <c r="C5858" i="2"/>
  <c r="C5859" i="2"/>
  <c r="C5860" i="2"/>
  <c r="C5861" i="2"/>
  <c r="C5862" i="2"/>
  <c r="C5863" i="2"/>
  <c r="C5864" i="2"/>
  <c r="C5865" i="2"/>
  <c r="C5866" i="2"/>
  <c r="C5867" i="2"/>
  <c r="C5868" i="2"/>
  <c r="C5869" i="2"/>
  <c r="C5870" i="2"/>
  <c r="C5871" i="2"/>
  <c r="C5872" i="2"/>
  <c r="C5873" i="2"/>
  <c r="C5874" i="2"/>
  <c r="C5875" i="2"/>
  <c r="C5876" i="2"/>
  <c r="C5877" i="2"/>
  <c r="C5878" i="2"/>
  <c r="C5879" i="2"/>
  <c r="C5880" i="2"/>
  <c r="C5881" i="2"/>
  <c r="C5882" i="2"/>
  <c r="C5883" i="2"/>
  <c r="C5884" i="2"/>
  <c r="C5885" i="2"/>
  <c r="C5886" i="2"/>
  <c r="C5887" i="2"/>
  <c r="C5888" i="2"/>
  <c r="C5889" i="2"/>
  <c r="C5890" i="2"/>
  <c r="C5891" i="2"/>
  <c r="C5892" i="2"/>
  <c r="C5893" i="2"/>
  <c r="C5894" i="2"/>
  <c r="C5895" i="2"/>
  <c r="C5896" i="2"/>
  <c r="C5897" i="2"/>
  <c r="C5898" i="2"/>
  <c r="C5899" i="2"/>
  <c r="C5900" i="2"/>
  <c r="C5901" i="2"/>
  <c r="C5902" i="2"/>
  <c r="C5903" i="2"/>
  <c r="C5904" i="2"/>
  <c r="C5905" i="2"/>
  <c r="C5906" i="2"/>
  <c r="C5907" i="2"/>
  <c r="C5908" i="2"/>
  <c r="C5909" i="2"/>
  <c r="C5910" i="2"/>
  <c r="C5911" i="2"/>
  <c r="C5912" i="2"/>
  <c r="C5913" i="2"/>
  <c r="C5914" i="2"/>
  <c r="C5915" i="2"/>
  <c r="C5916" i="2"/>
  <c r="C5917" i="2"/>
  <c r="C5918" i="2"/>
  <c r="C5919" i="2"/>
  <c r="C5920" i="2"/>
  <c r="C5921" i="2"/>
  <c r="C5922" i="2"/>
  <c r="C5923" i="2"/>
  <c r="C5924" i="2"/>
  <c r="C5925" i="2"/>
  <c r="C5926" i="2"/>
  <c r="C5927" i="2"/>
  <c r="C5928" i="2"/>
  <c r="C5929" i="2"/>
  <c r="C5930" i="2"/>
  <c r="C5931" i="2"/>
  <c r="C5932" i="2"/>
  <c r="C5933" i="2"/>
  <c r="C5934" i="2"/>
  <c r="C5935" i="2"/>
  <c r="C5936" i="2"/>
  <c r="C5937" i="2"/>
  <c r="C5938" i="2"/>
  <c r="C5939" i="2"/>
  <c r="C5940" i="2"/>
  <c r="C5941" i="2"/>
  <c r="C5942" i="2"/>
  <c r="C5943" i="2"/>
  <c r="C5944" i="2"/>
  <c r="C5945" i="2"/>
  <c r="C5946" i="2"/>
  <c r="C5947" i="2"/>
  <c r="C5948" i="2"/>
  <c r="C5949" i="2"/>
  <c r="C5950" i="2"/>
  <c r="C5951" i="2"/>
  <c r="C5952" i="2"/>
  <c r="C5953" i="2"/>
  <c r="C5954" i="2"/>
  <c r="C5955" i="2"/>
  <c r="C5956" i="2"/>
  <c r="C5957" i="2"/>
  <c r="C5958" i="2"/>
  <c r="C5959" i="2"/>
  <c r="C5960" i="2"/>
  <c r="C5961" i="2"/>
  <c r="C5962" i="2"/>
  <c r="C5963" i="2"/>
  <c r="C5964" i="2"/>
  <c r="C5965" i="2"/>
  <c r="C5966" i="2"/>
  <c r="C5967" i="2"/>
  <c r="C5968" i="2"/>
  <c r="C5969" i="2"/>
  <c r="C5970" i="2"/>
  <c r="C5971" i="2"/>
  <c r="C5972" i="2"/>
  <c r="C5973" i="2"/>
  <c r="C5974" i="2"/>
  <c r="C5975" i="2"/>
  <c r="C5976" i="2"/>
  <c r="C5977" i="2"/>
  <c r="C5978" i="2"/>
  <c r="C5979" i="2"/>
  <c r="C5980" i="2"/>
  <c r="C5981" i="2"/>
  <c r="C5982" i="2"/>
  <c r="C5983" i="2"/>
  <c r="C5984" i="2"/>
  <c r="C5985" i="2"/>
  <c r="C5986" i="2"/>
  <c r="C5987" i="2"/>
  <c r="C5988" i="2"/>
  <c r="C5989" i="2"/>
  <c r="C5990" i="2"/>
  <c r="C5991" i="2"/>
  <c r="C5992" i="2"/>
  <c r="C5993" i="2"/>
  <c r="C5994" i="2"/>
  <c r="C5995" i="2"/>
  <c r="C5996" i="2"/>
  <c r="C5997" i="2"/>
  <c r="C5998" i="2"/>
  <c r="C5999" i="2"/>
  <c r="C6000" i="2"/>
  <c r="C6001" i="2"/>
  <c r="C6002" i="2"/>
  <c r="C6003" i="2"/>
  <c r="C6004" i="2"/>
  <c r="C6005" i="2"/>
  <c r="C6006" i="2"/>
  <c r="C6007" i="2"/>
  <c r="C6008" i="2"/>
  <c r="C6009" i="2"/>
  <c r="C6010" i="2"/>
  <c r="C6011" i="2"/>
  <c r="C6012" i="2"/>
  <c r="C6013" i="2"/>
  <c r="C6014" i="2"/>
  <c r="C6015" i="2"/>
  <c r="C6016" i="2"/>
  <c r="C6017" i="2"/>
  <c r="C6018" i="2"/>
  <c r="C6019" i="2"/>
  <c r="C6020" i="2"/>
  <c r="C6021" i="2"/>
  <c r="C6022" i="2"/>
  <c r="C6023" i="2"/>
  <c r="C6024" i="2"/>
  <c r="C6025" i="2"/>
  <c r="C6026" i="2"/>
  <c r="C6027" i="2"/>
  <c r="C6028" i="2"/>
  <c r="C6029" i="2"/>
  <c r="C6030" i="2"/>
  <c r="C6031" i="2"/>
  <c r="C6032" i="2"/>
  <c r="C6033" i="2"/>
  <c r="C6034" i="2"/>
  <c r="C6035" i="2"/>
  <c r="C6036" i="2"/>
  <c r="C6037" i="2"/>
  <c r="C6038" i="2"/>
  <c r="C6039" i="2"/>
  <c r="C6040" i="2"/>
  <c r="C6041" i="2"/>
  <c r="C6042" i="2"/>
  <c r="C6043" i="2"/>
  <c r="C6044" i="2"/>
  <c r="C6045" i="2"/>
  <c r="C6046" i="2"/>
  <c r="C6047" i="2"/>
  <c r="C6048" i="2"/>
  <c r="C6049" i="2"/>
  <c r="C6050" i="2"/>
  <c r="C6051" i="2"/>
  <c r="C6052" i="2"/>
  <c r="C6053" i="2"/>
  <c r="C6054" i="2"/>
  <c r="C6055" i="2"/>
  <c r="C6056" i="2"/>
  <c r="C6057" i="2"/>
  <c r="C6058" i="2"/>
  <c r="C6059" i="2"/>
  <c r="C6060" i="2"/>
  <c r="C6061" i="2"/>
  <c r="C6062" i="2"/>
  <c r="C6063" i="2"/>
  <c r="C6064" i="2"/>
  <c r="C6065" i="2"/>
  <c r="C6066" i="2"/>
  <c r="C6067" i="2"/>
  <c r="C6068" i="2"/>
  <c r="C6069" i="2"/>
  <c r="C6070" i="2"/>
  <c r="C6071" i="2"/>
  <c r="C6072" i="2"/>
  <c r="C6073" i="2"/>
  <c r="C6074" i="2"/>
  <c r="C6075" i="2"/>
  <c r="C6076" i="2"/>
  <c r="C6077" i="2"/>
  <c r="C6078" i="2"/>
  <c r="C6079" i="2"/>
  <c r="C6080" i="2"/>
  <c r="C6081" i="2"/>
  <c r="C6082" i="2"/>
  <c r="C6083" i="2"/>
  <c r="C6084" i="2"/>
  <c r="C6085" i="2"/>
  <c r="C6086" i="2"/>
  <c r="C6087" i="2"/>
  <c r="C6088" i="2"/>
  <c r="C6089" i="2"/>
  <c r="C6090" i="2"/>
  <c r="C6091" i="2"/>
  <c r="C6092" i="2"/>
  <c r="C6093" i="2"/>
  <c r="C6094" i="2"/>
  <c r="C6095" i="2"/>
  <c r="C6096" i="2"/>
  <c r="C6097" i="2"/>
  <c r="C6098" i="2"/>
  <c r="C6099" i="2"/>
  <c r="C6100" i="2"/>
  <c r="C6101" i="2"/>
  <c r="C6102" i="2"/>
  <c r="C6103" i="2"/>
  <c r="C6104" i="2"/>
  <c r="C6105" i="2"/>
  <c r="C6106" i="2"/>
  <c r="C6107" i="2"/>
  <c r="C6108" i="2"/>
  <c r="C6109" i="2"/>
  <c r="C6110" i="2"/>
  <c r="C6111" i="2"/>
  <c r="C6112" i="2"/>
  <c r="C6113" i="2"/>
  <c r="C6114" i="2"/>
  <c r="C6115" i="2"/>
  <c r="C6116" i="2"/>
  <c r="C6117" i="2"/>
  <c r="C6118" i="2"/>
  <c r="C6119" i="2"/>
  <c r="C6120" i="2"/>
  <c r="C6121" i="2"/>
  <c r="C6122" i="2"/>
  <c r="C6123" i="2"/>
  <c r="C6124" i="2"/>
  <c r="C6125" i="2"/>
  <c r="C6126" i="2"/>
  <c r="C6127" i="2"/>
  <c r="C6128" i="2"/>
  <c r="C6129" i="2"/>
  <c r="C6130" i="2"/>
  <c r="C6131" i="2"/>
  <c r="C6132" i="2"/>
  <c r="C6133" i="2"/>
  <c r="C6134" i="2"/>
  <c r="C6135" i="2"/>
  <c r="C6136" i="2"/>
  <c r="C6137" i="2"/>
  <c r="C6138" i="2"/>
  <c r="C6139" i="2"/>
  <c r="C6140" i="2"/>
  <c r="C6141" i="2"/>
  <c r="C6142" i="2"/>
  <c r="C6143" i="2"/>
  <c r="C6144" i="2"/>
  <c r="C6145" i="2"/>
  <c r="C6146" i="2"/>
  <c r="C6147" i="2"/>
  <c r="C6148" i="2"/>
  <c r="C6149" i="2"/>
  <c r="C6150" i="2"/>
  <c r="C6151" i="2"/>
  <c r="C6152" i="2"/>
  <c r="C6153" i="2"/>
  <c r="C6154" i="2"/>
  <c r="C6155" i="2"/>
  <c r="C6156" i="2"/>
  <c r="C6157" i="2"/>
  <c r="C6158" i="2"/>
  <c r="C6159" i="2"/>
  <c r="C6160" i="2"/>
  <c r="C6161" i="2"/>
  <c r="C6162" i="2"/>
  <c r="C6163" i="2"/>
  <c r="C6164" i="2"/>
  <c r="C6165" i="2"/>
  <c r="C6166" i="2"/>
  <c r="C6167" i="2"/>
  <c r="C6168" i="2"/>
  <c r="C6169" i="2"/>
  <c r="C6170" i="2"/>
  <c r="C6171" i="2"/>
  <c r="C6172" i="2"/>
  <c r="C6173" i="2"/>
  <c r="C6174" i="2"/>
  <c r="C6175" i="2"/>
  <c r="C6176" i="2"/>
  <c r="C6177" i="2"/>
  <c r="C6178" i="2"/>
  <c r="C6179" i="2"/>
  <c r="C6180" i="2"/>
  <c r="C6181" i="2"/>
  <c r="C6182" i="2"/>
  <c r="C6183" i="2"/>
  <c r="C6184" i="2"/>
  <c r="C6185" i="2"/>
  <c r="C6186" i="2"/>
  <c r="C6187" i="2"/>
  <c r="C6188" i="2"/>
  <c r="C6189" i="2"/>
  <c r="C6190" i="2"/>
  <c r="C6191" i="2"/>
  <c r="C6192" i="2"/>
  <c r="C6193" i="2"/>
  <c r="C6194" i="2"/>
  <c r="C6195" i="2"/>
  <c r="C6196" i="2"/>
  <c r="C6197" i="2"/>
  <c r="C6198" i="2"/>
  <c r="C6199" i="2"/>
  <c r="C6200" i="2"/>
  <c r="C6201" i="2"/>
  <c r="C6202" i="2"/>
  <c r="C6203" i="2"/>
  <c r="C6204" i="2"/>
  <c r="C6205" i="2"/>
  <c r="C6206" i="2"/>
  <c r="C6207" i="2"/>
  <c r="C6208" i="2"/>
  <c r="C6209" i="2"/>
  <c r="C6210" i="2"/>
  <c r="C6211" i="2"/>
  <c r="C6212" i="2"/>
  <c r="C6213" i="2"/>
  <c r="C6214" i="2"/>
  <c r="C6215" i="2"/>
  <c r="C6216" i="2"/>
  <c r="C6217" i="2"/>
  <c r="C6218" i="2"/>
  <c r="C6219" i="2"/>
  <c r="C6220" i="2"/>
  <c r="C6221" i="2"/>
  <c r="C6222" i="2"/>
  <c r="C6223" i="2"/>
  <c r="C6224" i="2"/>
  <c r="C6225" i="2"/>
  <c r="C6226" i="2"/>
  <c r="C6227" i="2"/>
  <c r="C6228" i="2"/>
  <c r="C6229" i="2"/>
  <c r="C6230" i="2"/>
  <c r="C6231" i="2"/>
  <c r="C6232" i="2"/>
  <c r="C6233" i="2"/>
  <c r="C6234" i="2"/>
  <c r="C6235" i="2"/>
  <c r="C6236" i="2"/>
  <c r="C5" i="2"/>
  <c r="D6" i="2"/>
  <c r="D7" i="2"/>
  <c r="D8" i="2"/>
  <c r="D5" i="2"/>
  <c r="I2" i="2"/>
  <c r="H2" i="2"/>
  <c r="E7" i="2" s="1"/>
  <c r="K8" i="2"/>
  <c r="L8" i="2" s="1"/>
  <c r="J8" i="2"/>
  <c r="G8" i="2"/>
  <c r="J5" i="2"/>
  <c r="J6" i="2"/>
  <c r="J7" i="2"/>
  <c r="G7" i="2"/>
  <c r="K7" i="2"/>
  <c r="G6" i="2"/>
  <c r="K6" i="2"/>
  <c r="G5" i="2"/>
  <c r="K5" i="2"/>
  <c r="L5" i="2" s="1"/>
  <c r="L6" i="2"/>
  <c r="E5" i="2" l="1"/>
  <c r="E9" i="2"/>
  <c r="E8" i="2"/>
  <c r="G2" i="2"/>
  <c r="F2" i="2" s="1"/>
  <c r="E6" i="2"/>
  <c r="L7" i="2"/>
  <c r="E2" i="2" l="1"/>
</calcChain>
</file>

<file path=xl/sharedStrings.xml><?xml version="1.0" encoding="utf-8"?>
<sst xmlns="http://schemas.openxmlformats.org/spreadsheetml/2006/main" count="9917" uniqueCount="4851">
  <si>
    <t>open</t>
  </si>
  <si>
    <t>low52</t>
  </si>
  <si>
    <t>lastPrice</t>
  </si>
  <si>
    <t>high52</t>
  </si>
  <si>
    <t>closePrice</t>
  </si>
  <si>
    <t>dayHigh</t>
  </si>
  <si>
    <t>dayLow</t>
  </si>
  <si>
    <t>totalTradedVolume</t>
  </si>
  <si>
    <t>lastUpdateTime</t>
  </si>
  <si>
    <t>INFY</t>
  </si>
  <si>
    <t>companyName</t>
  </si>
  <si>
    <t>NSE Ticker</t>
  </si>
  <si>
    <t>NSE Data</t>
  </si>
  <si>
    <t>ABB</t>
  </si>
  <si>
    <t>ALBK</t>
  </si>
  <si>
    <t>CESC</t>
  </si>
  <si>
    <t>CRISIL</t>
  </si>
  <si>
    <t>HDIL</t>
  </si>
  <si>
    <t>IDBI</t>
  </si>
  <si>
    <t>IFCI</t>
  </si>
  <si>
    <t>IGL</t>
  </si>
  <si>
    <t>IRB</t>
  </si>
  <si>
    <t>KPIT</t>
  </si>
  <si>
    <t>MRF</t>
  </si>
  <si>
    <t>NHPC</t>
  </si>
  <si>
    <t>OFSS</t>
  </si>
  <si>
    <t>SAIL</t>
  </si>
  <si>
    <t>SUNTV</t>
  </si>
  <si>
    <t>ABIRLANUVO</t>
  </si>
  <si>
    <t>AMARAJABAT</t>
  </si>
  <si>
    <t>APOLLOHOSP</t>
  </si>
  <si>
    <t>APOLLOTYRE</t>
  </si>
  <si>
    <t>ARVIND</t>
  </si>
  <si>
    <t>ASHOKLEY</t>
  </si>
  <si>
    <t>AUROPHARMA</t>
  </si>
  <si>
    <t>BAJFINANCE</t>
  </si>
  <si>
    <t>BAJAJFINSV</t>
  </si>
  <si>
    <t>BANKINDIA</t>
  </si>
  <si>
    <t>BATAINDIA</t>
  </si>
  <si>
    <t>BEL</t>
  </si>
  <si>
    <t>BHARATFORG</t>
  </si>
  <si>
    <t>INFRATEL</t>
  </si>
  <si>
    <t>BHUSANSTL</t>
  </si>
  <si>
    <t>BIOCON</t>
  </si>
  <si>
    <t>BRITANNIA</t>
  </si>
  <si>
    <t>CADILAHC</t>
  </si>
  <si>
    <t>CANBK</t>
  </si>
  <si>
    <t>CENTURYTEX</t>
  </si>
  <si>
    <t>CONCOR</t>
  </si>
  <si>
    <t>DIVISLAB</t>
  </si>
  <si>
    <t>EICHERMOT</t>
  </si>
  <si>
    <t>EMAMILTD</t>
  </si>
  <si>
    <t>EXIDEIND</t>
  </si>
  <si>
    <t>GMRINFRA</t>
  </si>
  <si>
    <t>GSKCONS</t>
  </si>
  <si>
    <t>GLENMARK</t>
  </si>
  <si>
    <t>GODREJIND</t>
  </si>
  <si>
    <t>GESHIP</t>
  </si>
  <si>
    <t>GSPL</t>
  </si>
  <si>
    <t>HAVELLS</t>
  </si>
  <si>
    <t>HINDPETRO</t>
  </si>
  <si>
    <t>HINDZINC</t>
  </si>
  <si>
    <t>IBULHSGFIN</t>
  </si>
  <si>
    <t>INDHOTEL</t>
  </si>
  <si>
    <t>IOC</t>
  </si>
  <si>
    <t>IPCALAB</t>
  </si>
  <si>
    <t>JSWENERGY</t>
  </si>
  <si>
    <t>JISLJALEQS</t>
  </si>
  <si>
    <t>JPASSOCIAT</t>
  </si>
  <si>
    <t>J&amp;KBANK</t>
  </si>
  <si>
    <t>JUBLFOOD</t>
  </si>
  <si>
    <t>JUSTDIAL</t>
  </si>
  <si>
    <t>KANSAINER</t>
  </si>
  <si>
    <t>KTKBANK</t>
  </si>
  <si>
    <t>KARURVYSYA</t>
  </si>
  <si>
    <t>L&amp;TFH</t>
  </si>
  <si>
    <t>M&amp;MFIN</t>
  </si>
  <si>
    <t>MINDTREE</t>
  </si>
  <si>
    <t>MOTHERSUMI</t>
  </si>
  <si>
    <t>MPHASIS</t>
  </si>
  <si>
    <t>OIL</t>
  </si>
  <si>
    <t>ORIENTBANK</t>
  </si>
  <si>
    <t>PETRONET</t>
  </si>
  <si>
    <t>PIDILITIND</t>
  </si>
  <si>
    <t>PEL</t>
  </si>
  <si>
    <t>PFC</t>
  </si>
  <si>
    <t>PGHH</t>
  </si>
  <si>
    <t>RELCAPITAL</t>
  </si>
  <si>
    <t>RELINFRA</t>
  </si>
  <si>
    <t>RPOWER</t>
  </si>
  <si>
    <t>SANOFI</t>
  </si>
  <si>
    <t>SHREECEM</t>
  </si>
  <si>
    <t>SIEMENS</t>
  </si>
  <si>
    <t>SOUTHBANK</t>
  </si>
  <si>
    <t>STAR</t>
  </si>
  <si>
    <t>SYNDIBANK</t>
  </si>
  <si>
    <t>TV18BRDCST</t>
  </si>
  <si>
    <t>TATACHEM</t>
  </si>
  <si>
    <t>TATACOMM</t>
  </si>
  <si>
    <t>TATAGLOBAL</t>
  </si>
  <si>
    <t>RAMCOCEM</t>
  </si>
  <si>
    <t>THERMAX</t>
  </si>
  <si>
    <t>TORNTPHARM</t>
  </si>
  <si>
    <t>TORNTPOWER</t>
  </si>
  <si>
    <t>UPL</t>
  </si>
  <si>
    <t>UNIONBANK</t>
  </si>
  <si>
    <t>UNITECH</t>
  </si>
  <si>
    <t>UBL</t>
  </si>
  <si>
    <t>VOLTAS</t>
  </si>
  <si>
    <t>SRSLTD</t>
  </si>
  <si>
    <t>CHOLAFIN</t>
  </si>
  <si>
    <t>DENABANK</t>
  </si>
  <si>
    <t>ICICIBANK</t>
  </si>
  <si>
    <t>KRBL</t>
  </si>
  <si>
    <t>NMDC</t>
  </si>
  <si>
    <t>SPICEMOBI</t>
  </si>
  <si>
    <t>SUPRAJIT</t>
  </si>
  <si>
    <t>TATASTEEL</t>
  </si>
  <si>
    <t>Quantity</t>
  </si>
  <si>
    <t>% price</t>
  </si>
  <si>
    <t>Total</t>
  </si>
  <si>
    <t>wt. %</t>
  </si>
  <si>
    <t>At Cost</t>
  </si>
  <si>
    <t>At Market</t>
  </si>
  <si>
    <t>Profit</t>
  </si>
  <si>
    <t>TRIDENT</t>
  </si>
  <si>
    <t>WIPRO</t>
  </si>
  <si>
    <t>LT</t>
  </si>
  <si>
    <t>BHEL</t>
  </si>
  <si>
    <t>20MICRONS</t>
  </si>
  <si>
    <t>3IINFOTECH</t>
  </si>
  <si>
    <t>3MINDIA</t>
  </si>
  <si>
    <t>8KMILES</t>
  </si>
  <si>
    <t>AARTIDRUGS</t>
  </si>
  <si>
    <t>AARTIIND</t>
  </si>
  <si>
    <t>AARVEEDEN</t>
  </si>
  <si>
    <t>ABAN</t>
  </si>
  <si>
    <t>ABGSHIP</t>
  </si>
  <si>
    <t>ACC</t>
  </si>
  <si>
    <t>ACCELYA</t>
  </si>
  <si>
    <t>ACE</t>
  </si>
  <si>
    <t>ADANIENT</t>
  </si>
  <si>
    <t>ADANIPORTS</t>
  </si>
  <si>
    <t>ADANIPOWER</t>
  </si>
  <si>
    <t>ADFFOODS</t>
  </si>
  <si>
    <t>ADHUNIK</t>
  </si>
  <si>
    <t>ADORWELD</t>
  </si>
  <si>
    <t>ADSL</t>
  </si>
  <si>
    <t>ADVANIHOTR</t>
  </si>
  <si>
    <t>AEGISCHEM</t>
  </si>
  <si>
    <t>AFL</t>
  </si>
  <si>
    <t>AGARIND</t>
  </si>
  <si>
    <t>AGCNET</t>
  </si>
  <si>
    <t>AGRITECH</t>
  </si>
  <si>
    <t>AHLEAST</t>
  </si>
  <si>
    <t>AHLUCONT</t>
  </si>
  <si>
    <t>AHLWEST</t>
  </si>
  <si>
    <t>AIAENG</t>
  </si>
  <si>
    <t>AJANTPHARM</t>
  </si>
  <si>
    <t>AJMERA</t>
  </si>
  <si>
    <t>AKSHOPTFBR</t>
  </si>
  <si>
    <t>AKZOINDIA</t>
  </si>
  <si>
    <t>ALCHEM</t>
  </si>
  <si>
    <t>ALEMBICLTD</t>
  </si>
  <si>
    <t>ALICON</t>
  </si>
  <si>
    <t>ALKALI</t>
  </si>
  <si>
    <t>ALKYLAMINE</t>
  </si>
  <si>
    <t>ALLCARGO</t>
  </si>
  <si>
    <t>ALLSEC</t>
  </si>
  <si>
    <t>ALMONDZ</t>
  </si>
  <si>
    <t>ALOKTEXT</t>
  </si>
  <si>
    <t>ALPA</t>
  </si>
  <si>
    <t>ALPHAGEO</t>
  </si>
  <si>
    <t>AMBIKCO</t>
  </si>
  <si>
    <t>AMBUJACEM</t>
  </si>
  <si>
    <t>AMDIND</t>
  </si>
  <si>
    <t>AMTEKAUTO</t>
  </si>
  <si>
    <t>ANANTRAJ</t>
  </si>
  <si>
    <t>ANDHRABANK</t>
  </si>
  <si>
    <t>ANDHRACEMT</t>
  </si>
  <si>
    <t>ANDHRSUGAR</t>
  </si>
  <si>
    <t>ANGIND</t>
  </si>
  <si>
    <t>ANIKINDS</t>
  </si>
  <si>
    <t>ANKITMETAL</t>
  </si>
  <si>
    <t>ANSALAPI</t>
  </si>
  <si>
    <t>ANSALHSG</t>
  </si>
  <si>
    <t>ANTGRAPHIC</t>
  </si>
  <si>
    <t>APARINDS</t>
  </si>
  <si>
    <t>APCOTEXIND</t>
  </si>
  <si>
    <t>APLAPOLLO</t>
  </si>
  <si>
    <t>APLLTD</t>
  </si>
  <si>
    <t>APTECHT</t>
  </si>
  <si>
    <t>ARCHIDPLY</t>
  </si>
  <si>
    <t>ARCHIES</t>
  </si>
  <si>
    <t>ARCOTECH</t>
  </si>
  <si>
    <t>ARIES</t>
  </si>
  <si>
    <t>ARIHANT</t>
  </si>
  <si>
    <t>AROGRANITE</t>
  </si>
  <si>
    <t>ARROWTEX</t>
  </si>
  <si>
    <t>ARSHIYA</t>
  </si>
  <si>
    <t>ARSSINFRA</t>
  </si>
  <si>
    <t>ASAHIINDIA</t>
  </si>
  <si>
    <t>ASAHISONG</t>
  </si>
  <si>
    <t>ASAL</t>
  </si>
  <si>
    <t>ASHAPURMIN</t>
  </si>
  <si>
    <t>ASHIANA</t>
  </si>
  <si>
    <t>ASHIMASYN</t>
  </si>
  <si>
    <t>ASHOKA</t>
  </si>
  <si>
    <t>ASIANHOTNR</t>
  </si>
  <si>
    <t>ASIANPAINT</t>
  </si>
  <si>
    <t>ASIANTILES</t>
  </si>
  <si>
    <t>ASSAMCO</t>
  </si>
  <si>
    <t>ASTEC</t>
  </si>
  <si>
    <t>ASTRAL</t>
  </si>
  <si>
    <t>ASTRAMICRO</t>
  </si>
  <si>
    <t>ASTRAZEN</t>
  </si>
  <si>
    <t>ATFL</t>
  </si>
  <si>
    <t>ATLANTA</t>
  </si>
  <si>
    <t>ATLASCYCLE</t>
  </si>
  <si>
    <t>ATUL</t>
  </si>
  <si>
    <t>ATULAUTO</t>
  </si>
  <si>
    <t>AURIONPRO</t>
  </si>
  <si>
    <t>AUSTRAL</t>
  </si>
  <si>
    <t>AUTOAXLES</t>
  </si>
  <si>
    <t>AUTOIND</t>
  </si>
  <si>
    <t>AUTOLITIND</t>
  </si>
  <si>
    <t>AVTNPL</t>
  </si>
  <si>
    <t>AXISBANK</t>
  </si>
  <si>
    <t>AXISCADES</t>
  </si>
  <si>
    <t>BAFNAPHARM</t>
  </si>
  <si>
    <t>BAGFILMS</t>
  </si>
  <si>
    <t>BAJAJ-AUTO</t>
  </si>
  <si>
    <t>BAJAJCORP</t>
  </si>
  <si>
    <t>BAJAJELEC</t>
  </si>
  <si>
    <t>BAJAJHIND</t>
  </si>
  <si>
    <t>BAJAJHLDNG</t>
  </si>
  <si>
    <t>BALAJITELE</t>
  </si>
  <si>
    <t>BALAMINES</t>
  </si>
  <si>
    <t>BALKRISIND</t>
  </si>
  <si>
    <t>BALLARPUR</t>
  </si>
  <si>
    <t>BALMLAWRIE</t>
  </si>
  <si>
    <t>BALPHARMA</t>
  </si>
  <si>
    <t>BALRAMCHIN</t>
  </si>
  <si>
    <t>BANARBEADS</t>
  </si>
  <si>
    <t>BANARISUG</t>
  </si>
  <si>
    <t>BANCOINDIA</t>
  </si>
  <si>
    <t>BANG</t>
  </si>
  <si>
    <t>BANKBARODA</t>
  </si>
  <si>
    <t>BANSWRAS</t>
  </si>
  <si>
    <t>BARTRONICS</t>
  </si>
  <si>
    <t>BASF</t>
  </si>
  <si>
    <t>BASML</t>
  </si>
  <si>
    <t>BBL</t>
  </si>
  <si>
    <t>BBTC</t>
  </si>
  <si>
    <t>BEDMUTHA</t>
  </si>
  <si>
    <t>BEML</t>
  </si>
  <si>
    <t>BEPL</t>
  </si>
  <si>
    <t>BERGEPAINT</t>
  </si>
  <si>
    <t>BFINVEST</t>
  </si>
  <si>
    <t>BFUTILITIE</t>
  </si>
  <si>
    <t>BGLOBAL</t>
  </si>
  <si>
    <t>BGRENERGY</t>
  </si>
  <si>
    <t>BHARATGEAR</t>
  </si>
  <si>
    <t>BHARATRAS</t>
  </si>
  <si>
    <t>BHARTIARTL</t>
  </si>
  <si>
    <t>BIL</t>
  </si>
  <si>
    <t>BILENERGY</t>
  </si>
  <si>
    <t>BINANIIND</t>
  </si>
  <si>
    <t>BINDALAGRO</t>
  </si>
  <si>
    <t>BIRLACORPN</t>
  </si>
  <si>
    <t>BIRLAMONEY</t>
  </si>
  <si>
    <t>BLBLIMITED</t>
  </si>
  <si>
    <t>BLISSGVS</t>
  </si>
  <si>
    <t>BLKASHYAP</t>
  </si>
  <si>
    <t>BLUEDART</t>
  </si>
  <si>
    <t>BLUESTARCO</t>
  </si>
  <si>
    <t>BODALCHEM</t>
  </si>
  <si>
    <t>BOMDYEING</t>
  </si>
  <si>
    <t>BOSCHLTD</t>
  </si>
  <si>
    <t>BPCL</t>
  </si>
  <si>
    <t>BPL</t>
  </si>
  <si>
    <t>BRFL</t>
  </si>
  <si>
    <t>BRIGADE</t>
  </si>
  <si>
    <t>BROOKS</t>
  </si>
  <si>
    <t>BSELINFRA</t>
  </si>
  <si>
    <t>BSL</t>
  </si>
  <si>
    <t>BSLIMITED</t>
  </si>
  <si>
    <t>BURNPUR</t>
  </si>
  <si>
    <t>BUTTERFLY</t>
  </si>
  <si>
    <t>BVCL</t>
  </si>
  <si>
    <t>CALSOFT</t>
  </si>
  <si>
    <t>CANDC</t>
  </si>
  <si>
    <t>CANFINHOME</t>
  </si>
  <si>
    <t>CANTABIL</t>
  </si>
  <si>
    <t>CAPF</t>
  </si>
  <si>
    <t>CAPLIPOINT</t>
  </si>
  <si>
    <t>CARBORUNIV</t>
  </si>
  <si>
    <t>CAREERP</t>
  </si>
  <si>
    <t>CARERATING</t>
  </si>
  <si>
    <t>CASTROLIND</t>
  </si>
  <si>
    <t>CCCL</t>
  </si>
  <si>
    <t>CCL</t>
  </si>
  <si>
    <t>CEATLTD</t>
  </si>
  <si>
    <t>CEBBCO</t>
  </si>
  <si>
    <t>CELEBRITY</t>
  </si>
  <si>
    <t>CELESTIAL</t>
  </si>
  <si>
    <t>CENTENKA</t>
  </si>
  <si>
    <t>CENTEXT</t>
  </si>
  <si>
    <t>CENTRALBK</t>
  </si>
  <si>
    <t>CENTUM</t>
  </si>
  <si>
    <t>CENTURYPLY</t>
  </si>
  <si>
    <t>CERA</t>
  </si>
  <si>
    <t>CEREBRAINT</t>
  </si>
  <si>
    <t>CGCL</t>
  </si>
  <si>
    <t>CHAMBLFERT</t>
  </si>
  <si>
    <t>CHENNPETRO</t>
  </si>
  <si>
    <t>CHROMATIC</t>
  </si>
  <si>
    <t>CIGNITITEC</t>
  </si>
  <si>
    <t>CIMMCO</t>
  </si>
  <si>
    <t>CINELINE</t>
  </si>
  <si>
    <t>CINEVISTA</t>
  </si>
  <si>
    <t>CIPLA</t>
  </si>
  <si>
    <t>CLNINDIA</t>
  </si>
  <si>
    <t>COALINDIA</t>
  </si>
  <si>
    <t>COLPAL</t>
  </si>
  <si>
    <t>COMPUSOFT</t>
  </si>
  <si>
    <t>CONSOFINVT</t>
  </si>
  <si>
    <t>CORDSCABLE</t>
  </si>
  <si>
    <t>COROMANDEL</t>
  </si>
  <si>
    <t>CORPBANK</t>
  </si>
  <si>
    <t>COSMOFILMS</t>
  </si>
  <si>
    <t>COUNCODOS</t>
  </si>
  <si>
    <t>COX&amp;KINGS</t>
  </si>
  <si>
    <t>CREATIVEYE</t>
  </si>
  <si>
    <t>CREST</t>
  </si>
  <si>
    <t>CTE</t>
  </si>
  <si>
    <t>CUB</t>
  </si>
  <si>
    <t>CUBEXTUB</t>
  </si>
  <si>
    <t>CUMMINSIND</t>
  </si>
  <si>
    <t>CURATECH</t>
  </si>
  <si>
    <t>CYBERTECH</t>
  </si>
  <si>
    <t>CYIENT</t>
  </si>
  <si>
    <t>DAAWAT</t>
  </si>
  <si>
    <t>DABUR</t>
  </si>
  <si>
    <t>DALMIABHA</t>
  </si>
  <si>
    <t>DALMIASUG</t>
  </si>
  <si>
    <t>DATAMATICS</t>
  </si>
  <si>
    <t>DBCORP</t>
  </si>
  <si>
    <t>DBREALTY</t>
  </si>
  <si>
    <t>DBSTOCKBRO</t>
  </si>
  <si>
    <t>DCBBANK</t>
  </si>
  <si>
    <t>DCM</t>
  </si>
  <si>
    <t>DCMSHRIRAM</t>
  </si>
  <si>
    <t>DCW</t>
  </si>
  <si>
    <t>DECCANCE</t>
  </si>
  <si>
    <t>DEEPAKFERT</t>
  </si>
  <si>
    <t>DEEPAKNTR</t>
  </si>
  <si>
    <t>DEEPIND</t>
  </si>
  <si>
    <t>DELTACORP</t>
  </si>
  <si>
    <t>DEN</t>
  </si>
  <si>
    <t>DENORA</t>
  </si>
  <si>
    <t>DHAMPURSUG</t>
  </si>
  <si>
    <t>DHANBANK</t>
  </si>
  <si>
    <t>DHANUKA</t>
  </si>
  <si>
    <t>DHARSUGAR</t>
  </si>
  <si>
    <t>DHFL</t>
  </si>
  <si>
    <t>DHUNINV</t>
  </si>
  <si>
    <t>DIAPOWER</t>
  </si>
  <si>
    <t>DICIND</t>
  </si>
  <si>
    <t>DISHMAN</t>
  </si>
  <si>
    <t>DISHTV</t>
  </si>
  <si>
    <t>DLF</t>
  </si>
  <si>
    <t>DLINKINDIA</t>
  </si>
  <si>
    <t>DOLPHINOFF</t>
  </si>
  <si>
    <t>DONEAR</t>
  </si>
  <si>
    <t>DPL</t>
  </si>
  <si>
    <t>DPSCLTD</t>
  </si>
  <si>
    <t>DQE</t>
  </si>
  <si>
    <t>DREDGECORP</t>
  </si>
  <si>
    <t>DRREDDY</t>
  </si>
  <si>
    <t>DSKULKARNI</t>
  </si>
  <si>
    <t>DWARKESH</t>
  </si>
  <si>
    <t>DYNAMATECH</t>
  </si>
  <si>
    <t>EASTSILK</t>
  </si>
  <si>
    <t>EASUNREYRL</t>
  </si>
  <si>
    <t>ECEIND</t>
  </si>
  <si>
    <t>ECLERX</t>
  </si>
  <si>
    <t>EDELWEISS</t>
  </si>
  <si>
    <t>EDL</t>
  </si>
  <si>
    <t>EDUCOMP</t>
  </si>
  <si>
    <t>EIDPARRY</t>
  </si>
  <si>
    <t>EIHAHOTELS</t>
  </si>
  <si>
    <t>EIHOTEL</t>
  </si>
  <si>
    <t>EIMCOELECO</t>
  </si>
  <si>
    <t>EKC</t>
  </si>
  <si>
    <t>ELECON</t>
  </si>
  <si>
    <t>ELECTCAST</t>
  </si>
  <si>
    <t>ELECTHERM</t>
  </si>
  <si>
    <t>ELGIEQUIP</t>
  </si>
  <si>
    <t>ELGIRUBCO</t>
  </si>
  <si>
    <t>EMAMIINFRA</t>
  </si>
  <si>
    <t>EMCO</t>
  </si>
  <si>
    <t>EMKAY</t>
  </si>
  <si>
    <t>EMMBI</t>
  </si>
  <si>
    <t>ENERGYDEV</t>
  </si>
  <si>
    <t>ENGINERSIN</t>
  </si>
  <si>
    <t>ENIL</t>
  </si>
  <si>
    <t>EON</t>
  </si>
  <si>
    <t>EROSMEDIA</t>
  </si>
  <si>
    <t>ESABINDIA</t>
  </si>
  <si>
    <t>ESCORTS</t>
  </si>
  <si>
    <t>ESL</t>
  </si>
  <si>
    <t>ESSARSHPNG</t>
  </si>
  <si>
    <t>ESSDEE</t>
  </si>
  <si>
    <t>ESSELPACK</t>
  </si>
  <si>
    <t>ESTER</t>
  </si>
  <si>
    <t>EUROCERA</t>
  </si>
  <si>
    <t>EUROTEXIND</t>
  </si>
  <si>
    <t>EVEREADY</t>
  </si>
  <si>
    <t>EVERESTIND</t>
  </si>
  <si>
    <t>EXCELCROP</t>
  </si>
  <si>
    <t>EXCELINDUS</t>
  </si>
  <si>
    <t>FACT</t>
  </si>
  <si>
    <t>FAGBEARING</t>
  </si>
  <si>
    <t>FCSSOFT</t>
  </si>
  <si>
    <t>FDC</t>
  </si>
  <si>
    <t>FEDDERLOYD</t>
  </si>
  <si>
    <t>FEDERALBNK</t>
  </si>
  <si>
    <t>FIEMIND</t>
  </si>
  <si>
    <t>FILATEX</t>
  </si>
  <si>
    <t>FINCABLES</t>
  </si>
  <si>
    <t>FINPIPE</t>
  </si>
  <si>
    <t>FLEXITUFF</t>
  </si>
  <si>
    <t>FLFL</t>
  </si>
  <si>
    <t>FMGOETZE</t>
  </si>
  <si>
    <t>FMNL</t>
  </si>
  <si>
    <t>FORTIS</t>
  </si>
  <si>
    <t>FOSECOIND</t>
  </si>
  <si>
    <t>FSL</t>
  </si>
  <si>
    <t>GABRIEL</t>
  </si>
  <si>
    <t>GAEL</t>
  </si>
  <si>
    <t>GAIL</t>
  </si>
  <si>
    <t>GAL</t>
  </si>
  <si>
    <t>GALLANTT</t>
  </si>
  <si>
    <t>GALLISPAT</t>
  </si>
  <si>
    <t>GAMMNINFRA</t>
  </si>
  <si>
    <t>GAMMONIND</t>
  </si>
  <si>
    <t>GANDHITUBE</t>
  </si>
  <si>
    <t>GANESHHOUC</t>
  </si>
  <si>
    <t>GANGOTRI</t>
  </si>
  <si>
    <t>GARDENSILK</t>
  </si>
  <si>
    <t>GARWALLROP</t>
  </si>
  <si>
    <t>GATI</t>
  </si>
  <si>
    <t>GAYAPROJ</t>
  </si>
  <si>
    <t>GDL</t>
  </si>
  <si>
    <t>GEECEE</t>
  </si>
  <si>
    <t>GEMINI</t>
  </si>
  <si>
    <t>GENESYS</t>
  </si>
  <si>
    <t>GENUSPOWER</t>
  </si>
  <si>
    <t>GHCL</t>
  </si>
  <si>
    <t>GICHSGFIN</t>
  </si>
  <si>
    <t>GILLANDERS</t>
  </si>
  <si>
    <t>GILLETTE</t>
  </si>
  <si>
    <t>GINNIFILA</t>
  </si>
  <si>
    <t>GIPCL</t>
  </si>
  <si>
    <t>GITANJALI</t>
  </si>
  <si>
    <t>GKWLIMITED</t>
  </si>
  <si>
    <t>GLAXO</t>
  </si>
  <si>
    <t>GLOBALVECT</t>
  </si>
  <si>
    <t>GLOBOFFS</t>
  </si>
  <si>
    <t>GLOBUSSPR</t>
  </si>
  <si>
    <t>GMBREW</t>
  </si>
  <si>
    <t>GMDCLTD</t>
  </si>
  <si>
    <t>GNFC</t>
  </si>
  <si>
    <t>GOACARBON</t>
  </si>
  <si>
    <t>GODFRYPHLP</t>
  </si>
  <si>
    <t>GODREJCP</t>
  </si>
  <si>
    <t>GODREJPROP</t>
  </si>
  <si>
    <t>GOENKA</t>
  </si>
  <si>
    <t>GOKEX</t>
  </si>
  <si>
    <t>GOKUL</t>
  </si>
  <si>
    <t>GOLDENTOBC</t>
  </si>
  <si>
    <t>GOLDIAM</t>
  </si>
  <si>
    <t>GOLDINFRA</t>
  </si>
  <si>
    <t>GOLDTECH</t>
  </si>
  <si>
    <t>GPIL</t>
  </si>
  <si>
    <t>GPPL</t>
  </si>
  <si>
    <t>GRANULES</t>
  </si>
  <si>
    <t>GRAPHITE</t>
  </si>
  <si>
    <t>GRASIM</t>
  </si>
  <si>
    <t>GRAVITA</t>
  </si>
  <si>
    <t>GREAVESCOT</t>
  </si>
  <si>
    <t>GREENPLY</t>
  </si>
  <si>
    <t>GREENPOWER</t>
  </si>
  <si>
    <t>GRINDWELL</t>
  </si>
  <si>
    <t>GRUH</t>
  </si>
  <si>
    <t>GSCLCEMENT</t>
  </si>
  <si>
    <t>GSFC</t>
  </si>
  <si>
    <t>GSS</t>
  </si>
  <si>
    <t>GTL</t>
  </si>
  <si>
    <t>GTLINFRA</t>
  </si>
  <si>
    <t>GTNIND</t>
  </si>
  <si>
    <t>GTNTEX</t>
  </si>
  <si>
    <t>GTOFFSHORE</t>
  </si>
  <si>
    <t>GUFICBIO</t>
  </si>
  <si>
    <t>GUJALKALI</t>
  </si>
  <si>
    <t>GUJAPOLLO</t>
  </si>
  <si>
    <t>GUJFLUORO</t>
  </si>
  <si>
    <t>GUJNRECOKE</t>
  </si>
  <si>
    <t>GULFOILLUB</t>
  </si>
  <si>
    <t>GVKPIL</t>
  </si>
  <si>
    <t>HANUNG</t>
  </si>
  <si>
    <t>HARITASEAT</t>
  </si>
  <si>
    <t>HARRMALAYA</t>
  </si>
  <si>
    <t>HATHWAY</t>
  </si>
  <si>
    <t>HATSUN</t>
  </si>
  <si>
    <t>HBLPOWER</t>
  </si>
  <si>
    <t>HBSTOCK</t>
  </si>
  <si>
    <t>HCC</t>
  </si>
  <si>
    <t>HCL-INSYS</t>
  </si>
  <si>
    <t>HCLTECH</t>
  </si>
  <si>
    <t>HDFC</t>
  </si>
  <si>
    <t>HDFCBANK</t>
  </si>
  <si>
    <t>HEG</t>
  </si>
  <si>
    <t>HEIDELBERG</t>
  </si>
  <si>
    <t>HERCULES</t>
  </si>
  <si>
    <t>HERITGFOOD</t>
  </si>
  <si>
    <t>HEROMOTOCO</t>
  </si>
  <si>
    <t>HEXATRADEX</t>
  </si>
  <si>
    <t>HEXAWARE</t>
  </si>
  <si>
    <t>HFCL</t>
  </si>
  <si>
    <t>HGS</t>
  </si>
  <si>
    <t>HIKAL</t>
  </si>
  <si>
    <t>HIL</t>
  </si>
  <si>
    <t>HILTON</t>
  </si>
  <si>
    <t>HIMATSEIDE</t>
  </si>
  <si>
    <t>HINDALCO</t>
  </si>
  <si>
    <t>HINDCOMPOS</t>
  </si>
  <si>
    <t>HINDCOPPER</t>
  </si>
  <si>
    <t>HINDDORROL</t>
  </si>
  <si>
    <t>HINDMOTORS</t>
  </si>
  <si>
    <t>HINDNATGLS</t>
  </si>
  <si>
    <t>HINDOILEXP</t>
  </si>
  <si>
    <t>HINDSYNTEX</t>
  </si>
  <si>
    <t>HINDUJAFO</t>
  </si>
  <si>
    <t>HINDUJAVEN</t>
  </si>
  <si>
    <t>HINDUNILVR</t>
  </si>
  <si>
    <t>HIRECT</t>
  </si>
  <si>
    <t>HITECHGEAR</t>
  </si>
  <si>
    <t>HMT</t>
  </si>
  <si>
    <t>HMVL</t>
  </si>
  <si>
    <t>HOCL</t>
  </si>
  <si>
    <t>HONAUT</t>
  </si>
  <si>
    <t>HONDAPOWER</t>
  </si>
  <si>
    <t>HOTELEELA</t>
  </si>
  <si>
    <t>HOVS</t>
  </si>
  <si>
    <t>HSIL</t>
  </si>
  <si>
    <t>HTMEDIA</t>
  </si>
  <si>
    <t>HUBTOWN</t>
  </si>
  <si>
    <t>IBREALEST</t>
  </si>
  <si>
    <t>ICIL</t>
  </si>
  <si>
    <t>ICRA</t>
  </si>
  <si>
    <t>ICSA</t>
  </si>
  <si>
    <t>IDEA</t>
  </si>
  <si>
    <t>IDFC</t>
  </si>
  <si>
    <t>IFBAGRO</t>
  </si>
  <si>
    <t>IFBIND</t>
  </si>
  <si>
    <t>IFGLREFRAC</t>
  </si>
  <si>
    <t>IGARASHI</t>
  </si>
  <si>
    <t>IGPL</t>
  </si>
  <si>
    <t>IIFL</t>
  </si>
  <si>
    <t>IITL</t>
  </si>
  <si>
    <t>IL&amp;FSENGG</t>
  </si>
  <si>
    <t>IL&amp;FSTRANS</t>
  </si>
  <si>
    <t>IMFA</t>
  </si>
  <si>
    <t>IMPAL</t>
  </si>
  <si>
    <t>IMPEXFERRO</t>
  </si>
  <si>
    <t>INDBANK</t>
  </si>
  <si>
    <t>INDIACEM</t>
  </si>
  <si>
    <t>INDIAGLYCO</t>
  </si>
  <si>
    <t>INDIANB</t>
  </si>
  <si>
    <t>INDIANCARD</t>
  </si>
  <si>
    <t>INDIANHUME</t>
  </si>
  <si>
    <t>INDLMETER</t>
  </si>
  <si>
    <t>INDNIPPON</t>
  </si>
  <si>
    <t>INDOCO</t>
  </si>
  <si>
    <t>INDORAMA</t>
  </si>
  <si>
    <t>INDOSOLAR</t>
  </si>
  <si>
    <t>INDOTECH</t>
  </si>
  <si>
    <t>INDOTHAI</t>
  </si>
  <si>
    <t>INDOWIND</t>
  </si>
  <si>
    <t>INDRAMEDCO</t>
  </si>
  <si>
    <t>INDSWFTLAB</t>
  </si>
  <si>
    <t>INDSWFTLTD</t>
  </si>
  <si>
    <t>INDTERRAIN</t>
  </si>
  <si>
    <t>INDUSINDBK</t>
  </si>
  <si>
    <t>INFINITE</t>
  </si>
  <si>
    <t>INFOMEDIA</t>
  </si>
  <si>
    <t>INGERRAND</t>
  </si>
  <si>
    <t>INOXLEISUR</t>
  </si>
  <si>
    <t>INSECTICID</t>
  </si>
  <si>
    <t>INVENTURE</t>
  </si>
  <si>
    <t>IOB</t>
  </si>
  <si>
    <t>IOLCP</t>
  </si>
  <si>
    <t>IPAPPM</t>
  </si>
  <si>
    <t>ISFT</t>
  </si>
  <si>
    <t>ISMTLTD</t>
  </si>
  <si>
    <t>ITC</t>
  </si>
  <si>
    <t>ITDCEM</t>
  </si>
  <si>
    <t>ITI</t>
  </si>
  <si>
    <t>IVC</t>
  </si>
  <si>
    <t>IVP</t>
  </si>
  <si>
    <t>IVRCLINFRA</t>
  </si>
  <si>
    <t>JAGRAN</t>
  </si>
  <si>
    <t>JAGSNPHARM</t>
  </si>
  <si>
    <t>JAIBALAJI</t>
  </si>
  <si>
    <t>JAICORPLTD</t>
  </si>
  <si>
    <t>JAIHINDPRO</t>
  </si>
  <si>
    <t>JAMNAAUTO</t>
  </si>
  <si>
    <t>JAYAGROGN</t>
  </si>
  <si>
    <t>JAYBARMARU</t>
  </si>
  <si>
    <t>JAYNECOIND</t>
  </si>
  <si>
    <t>JAYSREETEA</t>
  </si>
  <si>
    <t>JBCHEPHARM</t>
  </si>
  <si>
    <t>JBFIND</t>
  </si>
  <si>
    <t>JBMA</t>
  </si>
  <si>
    <t>JENSONICOL</t>
  </si>
  <si>
    <t>JETAIRWAYS</t>
  </si>
  <si>
    <t>JHS</t>
  </si>
  <si>
    <t>JINDALPHOT</t>
  </si>
  <si>
    <t>JINDALPOLY</t>
  </si>
  <si>
    <t>JINDALSAW</t>
  </si>
  <si>
    <t>JINDALSTEL</t>
  </si>
  <si>
    <t>JINDCOT</t>
  </si>
  <si>
    <t>JINDRILL</t>
  </si>
  <si>
    <t>JINDWORLD</t>
  </si>
  <si>
    <t>JKCEMENT</t>
  </si>
  <si>
    <t>JKIL</t>
  </si>
  <si>
    <t>JKLAKSHMI</t>
  </si>
  <si>
    <t>JKPAPER</t>
  </si>
  <si>
    <t>JKTYRE</t>
  </si>
  <si>
    <t>JMCPROJECT</t>
  </si>
  <si>
    <t>JMFINANCIL</t>
  </si>
  <si>
    <t>JMTAUTOLTD</t>
  </si>
  <si>
    <t>JOCIL</t>
  </si>
  <si>
    <t>JPINFRATEC</t>
  </si>
  <si>
    <t>JPOLYINVST</t>
  </si>
  <si>
    <t>JPPOWER</t>
  </si>
  <si>
    <t>JSL</t>
  </si>
  <si>
    <t>JSWHL</t>
  </si>
  <si>
    <t>JSWSTEEL</t>
  </si>
  <si>
    <t>JUBILANT</t>
  </si>
  <si>
    <t>JUBLINDS</t>
  </si>
  <si>
    <t>JVLAGRO</t>
  </si>
  <si>
    <t>JYOTHYLAB</t>
  </si>
  <si>
    <t>JYOTISTRUC</t>
  </si>
  <si>
    <t>KABRAEXTRU</t>
  </si>
  <si>
    <t>KAJARIACER</t>
  </si>
  <si>
    <t>KAKATCEM</t>
  </si>
  <si>
    <t>KALPATPOWR</t>
  </si>
  <si>
    <t>KALYANIFRG</t>
  </si>
  <si>
    <t>KAMATHOTEL</t>
  </si>
  <si>
    <t>KANORICHEM</t>
  </si>
  <si>
    <t>KARMAENG</t>
  </si>
  <si>
    <t>KAUSHALYA</t>
  </si>
  <si>
    <t>KAVVERITEL</t>
  </si>
  <si>
    <t>KCP</t>
  </si>
  <si>
    <t>KCPSUGIND</t>
  </si>
  <si>
    <t>KEC</t>
  </si>
  <si>
    <t>KECL</t>
  </si>
  <si>
    <t>KEI</t>
  </si>
  <si>
    <t>KERNEX</t>
  </si>
  <si>
    <t>KESARENT</t>
  </si>
  <si>
    <t>KESORAMIND</t>
  </si>
  <si>
    <t>KGL</t>
  </si>
  <si>
    <t>KHAITANELE</t>
  </si>
  <si>
    <t>KHANDSE</t>
  </si>
  <si>
    <t>KICL</t>
  </si>
  <si>
    <t>KILITCH</t>
  </si>
  <si>
    <t>KIRIINDUS</t>
  </si>
  <si>
    <t>KIRLOSBROS</t>
  </si>
  <si>
    <t>KIRLOSENG</t>
  </si>
  <si>
    <t>KIRLOSIND</t>
  </si>
  <si>
    <t>KITEX</t>
  </si>
  <si>
    <t>KKCL</t>
  </si>
  <si>
    <t>KMSUGAR</t>
  </si>
  <si>
    <t>KNRCON</t>
  </si>
  <si>
    <t>KOHINOOR</t>
  </si>
  <si>
    <t>KOKUYOCMLN</t>
  </si>
  <si>
    <t>KOLTEPATIL</t>
  </si>
  <si>
    <t>KOPRAN</t>
  </si>
  <si>
    <t>KOTAKBANK</t>
  </si>
  <si>
    <t>KOTARISUG</t>
  </si>
  <si>
    <t>KOTHARIPET</t>
  </si>
  <si>
    <t>KOTHARIPRO</t>
  </si>
  <si>
    <t>KPRMILL</t>
  </si>
  <si>
    <t>KSBPUMPS</t>
  </si>
  <si>
    <t>KSCL</t>
  </si>
  <si>
    <t>KSERASERA</t>
  </si>
  <si>
    <t>KSK</t>
  </si>
  <si>
    <t>KSL</t>
  </si>
  <si>
    <t>KTIL</t>
  </si>
  <si>
    <t>KWALITY</t>
  </si>
  <si>
    <t>LAKPRE</t>
  </si>
  <si>
    <t>LAKSHMIEFL</t>
  </si>
  <si>
    <t>LAKSHVILAS</t>
  </si>
  <si>
    <t>LAOPALA</t>
  </si>
  <si>
    <t>LAXMIMACH</t>
  </si>
  <si>
    <t>LGBBROSLTD</t>
  </si>
  <si>
    <t>LGBFORGE</t>
  </si>
  <si>
    <t>LIBERTSHOE</t>
  </si>
  <si>
    <t>LICHSGFIN</t>
  </si>
  <si>
    <t>LINDEINDIA</t>
  </si>
  <si>
    <t>LITL</t>
  </si>
  <si>
    <t>LLOYDELENG</t>
  </si>
  <si>
    <t>LML</t>
  </si>
  <si>
    <t>LOKESHMACH</t>
  </si>
  <si>
    <t>LOTUSEYE</t>
  </si>
  <si>
    <t>LOVABLE</t>
  </si>
  <si>
    <t>LPDC</t>
  </si>
  <si>
    <t>LUMAXIND</t>
  </si>
  <si>
    <t>LUMAXTECH</t>
  </si>
  <si>
    <t>LUPIN</t>
  </si>
  <si>
    <t>LYKALABS</t>
  </si>
  <si>
    <t>LYPSAGEMS</t>
  </si>
  <si>
    <t>M&amp;M</t>
  </si>
  <si>
    <t>MAANALU</t>
  </si>
  <si>
    <t>MADHAV</t>
  </si>
  <si>
    <t>MADHUCON</t>
  </si>
  <si>
    <t>MADRASFERT</t>
  </si>
  <si>
    <t>MAGMA</t>
  </si>
  <si>
    <t>MAGNUM</t>
  </si>
  <si>
    <t>MAHABANK</t>
  </si>
  <si>
    <t>MAHINDCIE</t>
  </si>
  <si>
    <t>MAHLIFE</t>
  </si>
  <si>
    <t>MAHSCOOTER</t>
  </si>
  <si>
    <t>MAHSEAMLES</t>
  </si>
  <si>
    <t>MAITHANALL</t>
  </si>
  <si>
    <t>MALUPAPER</t>
  </si>
  <si>
    <t>MALWACOTT</t>
  </si>
  <si>
    <t>MANAKSIA</t>
  </si>
  <si>
    <t>MANALIPETC</t>
  </si>
  <si>
    <t>MANDHANA</t>
  </si>
  <si>
    <t>MANGALAM</t>
  </si>
  <si>
    <t>MANGCHEFER</t>
  </si>
  <si>
    <t>MANGLMCEM</t>
  </si>
  <si>
    <t>MANGTIMBER</t>
  </si>
  <si>
    <t>MANINDS</t>
  </si>
  <si>
    <t>MANINFRA</t>
  </si>
  <si>
    <t>MANUGRAPH</t>
  </si>
  <si>
    <t>MARALOVER</t>
  </si>
  <si>
    <t>MARICO</t>
  </si>
  <si>
    <t>MARKSANS</t>
  </si>
  <si>
    <t>MARUTI</t>
  </si>
  <si>
    <t>MASTEK</t>
  </si>
  <si>
    <t>MAWANASUG</t>
  </si>
  <si>
    <t>MAYURUNIQ</t>
  </si>
  <si>
    <t>MBECL</t>
  </si>
  <si>
    <t>MBLINFRA</t>
  </si>
  <si>
    <t>MCDHOLDING</t>
  </si>
  <si>
    <t>MCDOWELL-N</t>
  </si>
  <si>
    <t>MCLEODRUSS</t>
  </si>
  <si>
    <t>MEGASOFT</t>
  </si>
  <si>
    <t>MEGH</t>
  </si>
  <si>
    <t>MERCATOR</t>
  </si>
  <si>
    <t>MERCK</t>
  </si>
  <si>
    <t>METKORE</t>
  </si>
  <si>
    <t>MHRIL</t>
  </si>
  <si>
    <t>MIC</t>
  </si>
  <si>
    <t>MINDACORP</t>
  </si>
  <si>
    <t>MINDAIND</t>
  </si>
  <si>
    <t>MIRCELECTR</t>
  </si>
  <si>
    <t>MIRZAINT</t>
  </si>
  <si>
    <t>MMFL</t>
  </si>
  <si>
    <t>MMTC</t>
  </si>
  <si>
    <t>MOHITIND</t>
  </si>
  <si>
    <t>MOIL</t>
  </si>
  <si>
    <t>MONNETISPA</t>
  </si>
  <si>
    <t>MONSANTO</t>
  </si>
  <si>
    <t>MORARJEE</t>
  </si>
  <si>
    <t>MOREPENLAB</t>
  </si>
  <si>
    <t>MOSERBAER</t>
  </si>
  <si>
    <t>MOTILALOFS</t>
  </si>
  <si>
    <t>MOTOGENFIN</t>
  </si>
  <si>
    <t>MPSLTD</t>
  </si>
  <si>
    <t>MRO-TEK</t>
  </si>
  <si>
    <t>MRPL</t>
  </si>
  <si>
    <t>MSPL</t>
  </si>
  <si>
    <t>MTEDUCARE</t>
  </si>
  <si>
    <t>MTNL</t>
  </si>
  <si>
    <t>MUKANDENGG</t>
  </si>
  <si>
    <t>MUKANDLTD</t>
  </si>
  <si>
    <t>MUKTAARTS</t>
  </si>
  <si>
    <t>MUNJALAU</t>
  </si>
  <si>
    <t>MUNJALSHOW</t>
  </si>
  <si>
    <t>MURUDCERA</t>
  </si>
  <si>
    <t>MUTHOOTFIN</t>
  </si>
  <si>
    <t>MVL</t>
  </si>
  <si>
    <t>NAGAROIL</t>
  </si>
  <si>
    <t>NAHARCAP</t>
  </si>
  <si>
    <t>NAHARINDUS</t>
  </si>
  <si>
    <t>NAHARPOLY</t>
  </si>
  <si>
    <t>NAHARSPING</t>
  </si>
  <si>
    <t>NAKODA</t>
  </si>
  <si>
    <t>NATCOPHARM</t>
  </si>
  <si>
    <t>NATHBIOGEN</t>
  </si>
  <si>
    <t>NATIONALUM</t>
  </si>
  <si>
    <t>NATNLSTEEL</t>
  </si>
  <si>
    <t>NAUKRI</t>
  </si>
  <si>
    <t>NAVINFLUOR</t>
  </si>
  <si>
    <t>NAVNETEDUL</t>
  </si>
  <si>
    <t>NBCC</t>
  </si>
  <si>
    <t>NBVENTURES</t>
  </si>
  <si>
    <t>NCC</t>
  </si>
  <si>
    <t>NCLIND</t>
  </si>
  <si>
    <t>NDL</t>
  </si>
  <si>
    <t>NDTV</t>
  </si>
  <si>
    <t>NECLIFE</t>
  </si>
  <si>
    <t>NELCAST</t>
  </si>
  <si>
    <t>NELCO</t>
  </si>
  <si>
    <t>NESCO</t>
  </si>
  <si>
    <t>NET4</t>
  </si>
  <si>
    <t>NETWORK18</t>
  </si>
  <si>
    <t>NEULANDLAB</t>
  </si>
  <si>
    <t>NEXTMEDIA</t>
  </si>
  <si>
    <t>NFL</t>
  </si>
  <si>
    <t>NIBL</t>
  </si>
  <si>
    <t>NICCO</t>
  </si>
  <si>
    <t>NIITLTD</t>
  </si>
  <si>
    <t>NIITTECH</t>
  </si>
  <si>
    <t>NILKAMAL</t>
  </si>
  <si>
    <t>NIPPOBATRY</t>
  </si>
  <si>
    <t>NITCO</t>
  </si>
  <si>
    <t>NITESHEST</t>
  </si>
  <si>
    <t>NITINFIRE</t>
  </si>
  <si>
    <t>NITINSPIN</t>
  </si>
  <si>
    <t>NOCIL</t>
  </si>
  <si>
    <t>NOIDATOLL</t>
  </si>
  <si>
    <t>NRBBEARING</t>
  </si>
  <si>
    <t>NSIL</t>
  </si>
  <si>
    <t>NTPC</t>
  </si>
  <si>
    <t>NUCLEUS</t>
  </si>
  <si>
    <t>NUTEK</t>
  </si>
  <si>
    <t>OBEROIRLTY</t>
  </si>
  <si>
    <t>OCL</t>
  </si>
  <si>
    <t>OILCOUNTUB</t>
  </si>
  <si>
    <t>OISL</t>
  </si>
  <si>
    <t>OMAXAUTO</t>
  </si>
  <si>
    <t>OMAXE</t>
  </si>
  <si>
    <t>OMKARCHEM</t>
  </si>
  <si>
    <t>OMMETALS</t>
  </si>
  <si>
    <t>ONELIFECAP</t>
  </si>
  <si>
    <t>ONGC</t>
  </si>
  <si>
    <t>ONMOBILE</t>
  </si>
  <si>
    <t>ONWARDTEC</t>
  </si>
  <si>
    <t>OPTOCIRCUI</t>
  </si>
  <si>
    <t>ORBITCORP</t>
  </si>
  <si>
    <t>ORBTEXP</t>
  </si>
  <si>
    <t>ORIENTABRA</t>
  </si>
  <si>
    <t>ORIENTBELL</t>
  </si>
  <si>
    <t>ORIENTCEM</t>
  </si>
  <si>
    <t>ORIENTHOT</t>
  </si>
  <si>
    <t>ORIENTLTD</t>
  </si>
  <si>
    <t>ORIENTPPR</t>
  </si>
  <si>
    <t>ORIENTREF</t>
  </si>
  <si>
    <t>ORISSAMINE</t>
  </si>
  <si>
    <t>PAEL</t>
  </si>
  <si>
    <t>PAGEIND</t>
  </si>
  <si>
    <t>PANACEABIO</t>
  </si>
  <si>
    <t>PANAMAPET</t>
  </si>
  <si>
    <t>PANORAMUNI</t>
  </si>
  <si>
    <t>PAPERPROD</t>
  </si>
  <si>
    <t>PARABDRUGS</t>
  </si>
  <si>
    <t>PARACABLES</t>
  </si>
  <si>
    <t>PARSVNATH</t>
  </si>
  <si>
    <t>PATELENG</t>
  </si>
  <si>
    <t>PATINTLOG</t>
  </si>
  <si>
    <t>PATSPINLTD</t>
  </si>
  <si>
    <t>PBAINFRA</t>
  </si>
  <si>
    <t>PCJEWELLER</t>
  </si>
  <si>
    <t>PDPL</t>
  </si>
  <si>
    <t>PDSMFL</t>
  </si>
  <si>
    <t>PDUMJEPULP</t>
  </si>
  <si>
    <t>PEARLPOLY</t>
  </si>
  <si>
    <t>PENIND</t>
  </si>
  <si>
    <t>PENINLAND</t>
  </si>
  <si>
    <t>PERSISTENT</t>
  </si>
  <si>
    <t>PETRONENGG</t>
  </si>
  <si>
    <t>PFIZER</t>
  </si>
  <si>
    <t>PFOCUS</t>
  </si>
  <si>
    <t>PFS</t>
  </si>
  <si>
    <t>PGEL</t>
  </si>
  <si>
    <t>PGIL</t>
  </si>
  <si>
    <t>PHILIPCARB</t>
  </si>
  <si>
    <t>PHOENIXLL</t>
  </si>
  <si>
    <t>PHOENIXLTD</t>
  </si>
  <si>
    <t>PIIND</t>
  </si>
  <si>
    <t>PIONEEREMB</t>
  </si>
  <si>
    <t>PIRPHYTO</t>
  </si>
  <si>
    <t>PITTILAM</t>
  </si>
  <si>
    <t>PLASTIBLEN</t>
  </si>
  <si>
    <t>PNB</t>
  </si>
  <si>
    <t>PNBGILTS</t>
  </si>
  <si>
    <t>PNC</t>
  </si>
  <si>
    <t>POCHIRAJU</t>
  </si>
  <si>
    <t>POLARIS</t>
  </si>
  <si>
    <t>POLYMED</t>
  </si>
  <si>
    <t>POLYPLEX</t>
  </si>
  <si>
    <t>PONNIERODE</t>
  </si>
  <si>
    <t>POWERGRID</t>
  </si>
  <si>
    <t>PPAP</t>
  </si>
  <si>
    <t>PRADIP</t>
  </si>
  <si>
    <t>PRAENG</t>
  </si>
  <si>
    <t>PRAJIND</t>
  </si>
  <si>
    <t>PRAKASH</t>
  </si>
  <si>
    <t>PRAKASHCON</t>
  </si>
  <si>
    <t>PRAKASHSTL</t>
  </si>
  <si>
    <t>PRATIBHA</t>
  </si>
  <si>
    <t>PRECOT</t>
  </si>
  <si>
    <t>PRECWIRE</t>
  </si>
  <si>
    <t>PREMIER</t>
  </si>
  <si>
    <t>PRESSMN</t>
  </si>
  <si>
    <t>PRESTIGE</t>
  </si>
  <si>
    <t>PRIMESECU</t>
  </si>
  <si>
    <t>PRISMCEM</t>
  </si>
  <si>
    <t>PROVOGE</t>
  </si>
  <si>
    <t>PROZONINTU</t>
  </si>
  <si>
    <t>PSB</t>
  </si>
  <si>
    <t>PSL</t>
  </si>
  <si>
    <t>PTC</t>
  </si>
  <si>
    <t>PTL</t>
  </si>
  <si>
    <t>PUNJABCHEM</t>
  </si>
  <si>
    <t>PUNJLLOYD</t>
  </si>
  <si>
    <t>PURVA</t>
  </si>
  <si>
    <t>PVP</t>
  </si>
  <si>
    <t>PVR</t>
  </si>
  <si>
    <t>RADICO</t>
  </si>
  <si>
    <t>RAIN</t>
  </si>
  <si>
    <t>RAINBOWPAP</t>
  </si>
  <si>
    <t>RAIREKMOH</t>
  </si>
  <si>
    <t>RAJESHEXPO</t>
  </si>
  <si>
    <t>RAJOIL</t>
  </si>
  <si>
    <t>RAJRAYON</t>
  </si>
  <si>
    <t>RAJSREESUG</t>
  </si>
  <si>
    <t>RAJTV</t>
  </si>
  <si>
    <t>RAJVIR</t>
  </si>
  <si>
    <t>RALLIS</t>
  </si>
  <si>
    <t>RAMANEWS</t>
  </si>
  <si>
    <t>RAMCOIND</t>
  </si>
  <si>
    <t>RAMCOSYS</t>
  </si>
  <si>
    <t>RAMKY</t>
  </si>
  <si>
    <t>RAMSARUP</t>
  </si>
  <si>
    <t>RANASUG</t>
  </si>
  <si>
    <t>RANEENGINE</t>
  </si>
  <si>
    <t>RANEHOLDIN</t>
  </si>
  <si>
    <t>RASOYPR</t>
  </si>
  <si>
    <t>RATNAMANI</t>
  </si>
  <si>
    <t>RAYMOND</t>
  </si>
  <si>
    <t>RBL</t>
  </si>
  <si>
    <t>RCF</t>
  </si>
  <si>
    <t>RCOM</t>
  </si>
  <si>
    <t>RECLTD</t>
  </si>
  <si>
    <t>REDINGTON</t>
  </si>
  <si>
    <t>REFEX</t>
  </si>
  <si>
    <t>REGENCERAM</t>
  </si>
  <si>
    <t>REIAGROLTD</t>
  </si>
  <si>
    <t>RELAXO</t>
  </si>
  <si>
    <t>RELIANCE</t>
  </si>
  <si>
    <t>RELIGARE</t>
  </si>
  <si>
    <t>RENUKA</t>
  </si>
  <si>
    <t>REPCOHOME</t>
  </si>
  <si>
    <t>REPRO</t>
  </si>
  <si>
    <t>RESPONIND</t>
  </si>
  <si>
    <t>REVATHI</t>
  </si>
  <si>
    <t>RICOAUTO</t>
  </si>
  <si>
    <t>RIIL</t>
  </si>
  <si>
    <t>RJL</t>
  </si>
  <si>
    <t>RKDL</t>
  </si>
  <si>
    <t>RKFORGE</t>
  </si>
  <si>
    <t>RMCL</t>
  </si>
  <si>
    <t>RML</t>
  </si>
  <si>
    <t>ROHITFERRO</t>
  </si>
  <si>
    <t>ROHLTD</t>
  </si>
  <si>
    <t>ROLTA</t>
  </si>
  <si>
    <t>ROSSELLIND</t>
  </si>
  <si>
    <t>RPGLIFE</t>
  </si>
  <si>
    <t>RPPINFRA</t>
  </si>
  <si>
    <t>RSSOFTWARE</t>
  </si>
  <si>
    <t>RSWM</t>
  </si>
  <si>
    <t>RSYSTEMS</t>
  </si>
  <si>
    <t>RTNINFRA</t>
  </si>
  <si>
    <t>RTNPOWER</t>
  </si>
  <si>
    <t>RUBYMILLS</t>
  </si>
  <si>
    <t>RUCHINFRA</t>
  </si>
  <si>
    <t>RUCHIRA</t>
  </si>
  <si>
    <t>RUCHISOYA</t>
  </si>
  <si>
    <t>RUPA</t>
  </si>
  <si>
    <t>RUSHIL</t>
  </si>
  <si>
    <t>SABTN</t>
  </si>
  <si>
    <t>SADBHAV</t>
  </si>
  <si>
    <t>SAGCEM</t>
  </si>
  <si>
    <t>SAKHTISUG</t>
  </si>
  <si>
    <t>SAKSOFT</t>
  </si>
  <si>
    <t>SAKUMA</t>
  </si>
  <si>
    <t>SALORAINTL</t>
  </si>
  <si>
    <t>SALSTEEL</t>
  </si>
  <si>
    <t>SAMTEL</t>
  </si>
  <si>
    <t>SANDESH</t>
  </si>
  <si>
    <t>SANGAMIND</t>
  </si>
  <si>
    <t>SANGHIIND</t>
  </si>
  <si>
    <t>SANGHVIFOR</t>
  </si>
  <si>
    <t>SANGHVIMOV</t>
  </si>
  <si>
    <t>SANWARIA</t>
  </si>
  <si>
    <t>SARDAEN</t>
  </si>
  <si>
    <t>SAREGAMA</t>
  </si>
  <si>
    <t>SARLAPOLY</t>
  </si>
  <si>
    <t>SASKEN</t>
  </si>
  <si>
    <t>SATHAISPAT</t>
  </si>
  <si>
    <t>SBIN</t>
  </si>
  <si>
    <t>SCHNEIDER</t>
  </si>
  <si>
    <t>SCI</t>
  </si>
  <si>
    <t>SDBL</t>
  </si>
  <si>
    <t>SEAMECLTD</t>
  </si>
  <si>
    <t>SEINV</t>
  </si>
  <si>
    <t>SELAN</t>
  </si>
  <si>
    <t>SELMCL</t>
  </si>
  <si>
    <t>SEPOWER</t>
  </si>
  <si>
    <t>SERVALL</t>
  </si>
  <si>
    <t>SESHAPAPER</t>
  </si>
  <si>
    <t>SEZAL</t>
  </si>
  <si>
    <t>SHAHALLOYS</t>
  </si>
  <si>
    <t>SHALPAINTS</t>
  </si>
  <si>
    <t>SHANTIGEAR</t>
  </si>
  <si>
    <t>SHARDACROP</t>
  </si>
  <si>
    <t>SHARONBIO</t>
  </si>
  <si>
    <t>SHEMAROO</t>
  </si>
  <si>
    <t>SHILPAMED</t>
  </si>
  <si>
    <t>SHILPI</t>
  </si>
  <si>
    <t>SHIRPUR-G</t>
  </si>
  <si>
    <t>SHIVAMAUTO</t>
  </si>
  <si>
    <t>SHIVTEX</t>
  </si>
  <si>
    <t>SHOPERSTOP</t>
  </si>
  <si>
    <t>SHREERAMA</t>
  </si>
  <si>
    <t>SHREYANIND</t>
  </si>
  <si>
    <t>SHREYAS</t>
  </si>
  <si>
    <t>SHRIRAMCIT</t>
  </si>
  <si>
    <t>SHRIRAMEPC</t>
  </si>
  <si>
    <t>SHYAMTEL</t>
  </si>
  <si>
    <t>SICAGEN</t>
  </si>
  <si>
    <t>SICAL</t>
  </si>
  <si>
    <t>SIL</t>
  </si>
  <si>
    <t>SILINV</t>
  </si>
  <si>
    <t>SIMPLEX</t>
  </si>
  <si>
    <t>SIMPLEXINF</t>
  </si>
  <si>
    <t>SINTEX</t>
  </si>
  <si>
    <t>SITASHREE</t>
  </si>
  <si>
    <t>SIYSIL</t>
  </si>
  <si>
    <t>SJVN</t>
  </si>
  <si>
    <t>SKFINDIA</t>
  </si>
  <si>
    <t>SKIL</t>
  </si>
  <si>
    <t>SKMEGGPROD</t>
  </si>
  <si>
    <t>SMARTLINK</t>
  </si>
  <si>
    <t>SMLISUZU</t>
  </si>
  <si>
    <t>SMPL</t>
  </si>
  <si>
    <t>SMSPHARMA</t>
  </si>
  <si>
    <t>SNOWMAN</t>
  </si>
  <si>
    <t>SOBHA</t>
  </si>
  <si>
    <t>SOLARINDS</t>
  </si>
  <si>
    <t>SOMANYCERA</t>
  </si>
  <si>
    <t>SOMATEX</t>
  </si>
  <si>
    <t>SONASTEER</t>
  </si>
  <si>
    <t>SONATSOFTW</t>
  </si>
  <si>
    <t>SOTL</t>
  </si>
  <si>
    <t>SPARC</t>
  </si>
  <si>
    <t>SPECIALITY</t>
  </si>
  <si>
    <t>SPENTEX</t>
  </si>
  <si>
    <t>SPIC</t>
  </si>
  <si>
    <t>SPLIL</t>
  </si>
  <si>
    <t>SPMLINFRA</t>
  </si>
  <si>
    <t>SPYL</t>
  </si>
  <si>
    <t>SREINFRA</t>
  </si>
  <si>
    <t>SRF</t>
  </si>
  <si>
    <t>SRGINFOTEC</t>
  </si>
  <si>
    <t>SRHHYPOLTD</t>
  </si>
  <si>
    <t>SRTRANSFIN</t>
  </si>
  <si>
    <t>SSWL</t>
  </si>
  <si>
    <t>STARPAPER</t>
  </si>
  <si>
    <t>STCINDIA</t>
  </si>
  <si>
    <t>STEL</t>
  </si>
  <si>
    <t>STERLINBIO</t>
  </si>
  <si>
    <t>STERTOOLS</t>
  </si>
  <si>
    <t>STINDIA</t>
  </si>
  <si>
    <t>STRTECH</t>
  </si>
  <si>
    <t>SUBEX</t>
  </si>
  <si>
    <t>SUBROS</t>
  </si>
  <si>
    <t>SUDARSCHEM</t>
  </si>
  <si>
    <t>SUJANAUNI</t>
  </si>
  <si>
    <t>SUMEETINDS</t>
  </si>
  <si>
    <t>SUMMITSEC</t>
  </si>
  <si>
    <t>SUNCLAYLTD</t>
  </si>
  <si>
    <t>SUNDARAM</t>
  </si>
  <si>
    <t>SUNDARMFIN</t>
  </si>
  <si>
    <t>SUNDRMBRAK</t>
  </si>
  <si>
    <t>SUNDRMFAST</t>
  </si>
  <si>
    <t>SUNFLAG</t>
  </si>
  <si>
    <t>SUNILHITEC</t>
  </si>
  <si>
    <t>SUNPHARMA</t>
  </si>
  <si>
    <t>SUNTECK</t>
  </si>
  <si>
    <t>SUPERHOUSE</t>
  </si>
  <si>
    <t>SUPERSPIN</t>
  </si>
  <si>
    <t>SUPPETRO</t>
  </si>
  <si>
    <t>SUPREMEIND</t>
  </si>
  <si>
    <t>SUPREMEINF</t>
  </si>
  <si>
    <t>SUPREMETEX</t>
  </si>
  <si>
    <t>SURANACORP</t>
  </si>
  <si>
    <t>SURANAIND</t>
  </si>
  <si>
    <t>SURANASOL</t>
  </si>
  <si>
    <t>SURANAT&amp;P</t>
  </si>
  <si>
    <t>SURYALAXMI</t>
  </si>
  <si>
    <t>SURYAROSNI</t>
  </si>
  <si>
    <t>SUTLEJTEX</t>
  </si>
  <si>
    <t>SUVEN</t>
  </si>
  <si>
    <t>SUZLON</t>
  </si>
  <si>
    <t>SWANENERGY</t>
  </si>
  <si>
    <t>SWARAJENG</t>
  </si>
  <si>
    <t>SWELECTES</t>
  </si>
  <si>
    <t>SYMPHONY</t>
  </si>
  <si>
    <t>SYNCOM</t>
  </si>
  <si>
    <t>TAINWALCHM</t>
  </si>
  <si>
    <t>TAJGVK</t>
  </si>
  <si>
    <t>TAKE</t>
  </si>
  <si>
    <t>TALBROAUTO</t>
  </si>
  <si>
    <t>TALWALKARS</t>
  </si>
  <si>
    <t>TANLA</t>
  </si>
  <si>
    <t>TANTIACONS</t>
  </si>
  <si>
    <t>TARAJEWELS</t>
  </si>
  <si>
    <t>TARAPUR</t>
  </si>
  <si>
    <t>TARMAT</t>
  </si>
  <si>
    <t>TATACOFFEE</t>
  </si>
  <si>
    <t>TATAELXSI</t>
  </si>
  <si>
    <t>TATAINVEST</t>
  </si>
  <si>
    <t>TATAMETALI</t>
  </si>
  <si>
    <t>TATAMOTORS</t>
  </si>
  <si>
    <t>TATAPOWER</t>
  </si>
  <si>
    <t>TATASPONGE</t>
  </si>
  <si>
    <t>TBZ</t>
  </si>
  <si>
    <t>TCI</t>
  </si>
  <si>
    <t>TCIDEVELOP</t>
  </si>
  <si>
    <t>TCIFINANCE</t>
  </si>
  <si>
    <t>TCS</t>
  </si>
  <si>
    <t>TDPOWERSYS</t>
  </si>
  <si>
    <t>TECHIN</t>
  </si>
  <si>
    <t>TECHM</t>
  </si>
  <si>
    <t>TECHNO</t>
  </si>
  <si>
    <t>TECHNOFAB</t>
  </si>
  <si>
    <t>TEXINFRA</t>
  </si>
  <si>
    <t>TEXMOPIPES</t>
  </si>
  <si>
    <t>TEXRAIL</t>
  </si>
  <si>
    <t>TFCILTD</t>
  </si>
  <si>
    <t>TFL</t>
  </si>
  <si>
    <t>TGBHOTELS</t>
  </si>
  <si>
    <t>THANGAMAYL</t>
  </si>
  <si>
    <t>THEMISMED</t>
  </si>
  <si>
    <t>THIRUSUGAR</t>
  </si>
  <si>
    <t>THOMASCOOK</t>
  </si>
  <si>
    <t>THOMASCOTT</t>
  </si>
  <si>
    <t>TI</t>
  </si>
  <si>
    <t>TIDEWATER</t>
  </si>
  <si>
    <t>TIIL</t>
  </si>
  <si>
    <t>TIL</t>
  </si>
  <si>
    <t>TIMESGTY</t>
  </si>
  <si>
    <t>TIMETECHNO</t>
  </si>
  <si>
    <t>TIMKEN</t>
  </si>
  <si>
    <t>TINPLATE</t>
  </si>
  <si>
    <t>TIPSINDLTD</t>
  </si>
  <si>
    <t>TIRUMALCHM</t>
  </si>
  <si>
    <t>TITAN</t>
  </si>
  <si>
    <t>TNPETRO</t>
  </si>
  <si>
    <t>TNPL</t>
  </si>
  <si>
    <t>TNTELE</t>
  </si>
  <si>
    <t>TOKYOPLAST</t>
  </si>
  <si>
    <t>TREEHOUSE</t>
  </si>
  <si>
    <t>TRENT</t>
  </si>
  <si>
    <t>TRF</t>
  </si>
  <si>
    <t>TRIGYN</t>
  </si>
  <si>
    <t>TRIL</t>
  </si>
  <si>
    <t>TRITURBINE</t>
  </si>
  <si>
    <t>TRIVENI</t>
  </si>
  <si>
    <t>TTKPRESTIG</t>
  </si>
  <si>
    <t>TTL</t>
  </si>
  <si>
    <t>TTML</t>
  </si>
  <si>
    <t>TUBEINVEST</t>
  </si>
  <si>
    <t>TULSI</t>
  </si>
  <si>
    <t>TVSELECT</t>
  </si>
  <si>
    <t>TVSMOTOR</t>
  </si>
  <si>
    <t>TVSSRICHAK</t>
  </si>
  <si>
    <t>TVTODAY</t>
  </si>
  <si>
    <t>TWL</t>
  </si>
  <si>
    <t>UBHOLDINGS</t>
  </si>
  <si>
    <t>UCALFUEL</t>
  </si>
  <si>
    <t>UCOBANK</t>
  </si>
  <si>
    <t>UFLEX</t>
  </si>
  <si>
    <t>UGARSUGAR</t>
  </si>
  <si>
    <t>UJAAS</t>
  </si>
  <si>
    <t>ULTRACEMCO</t>
  </si>
  <si>
    <t>UMESLTD</t>
  </si>
  <si>
    <t>UNICHEMLAB</t>
  </si>
  <si>
    <t>UNIENTER</t>
  </si>
  <si>
    <t>UNIPLY</t>
  </si>
  <si>
    <t>UNITEDBNK</t>
  </si>
  <si>
    <t>UNITY</t>
  </si>
  <si>
    <t>UNIVCABLES</t>
  </si>
  <si>
    <t>USHAMART</t>
  </si>
  <si>
    <t>USHERAGRO</t>
  </si>
  <si>
    <t>UTTAMSTL</t>
  </si>
  <si>
    <t>UTTAMSUGAR</t>
  </si>
  <si>
    <t>V2RETAIL</t>
  </si>
  <si>
    <t>VADILALIND</t>
  </si>
  <si>
    <t>VAIBHAVGBL</t>
  </si>
  <si>
    <t>VAKRANGEE</t>
  </si>
  <si>
    <t>VALUEIND</t>
  </si>
  <si>
    <t>VARDHACRLC</t>
  </si>
  <si>
    <t>VARDMNPOLY</t>
  </si>
  <si>
    <t>VASCONEQ</t>
  </si>
  <si>
    <t>VASWANI</t>
  </si>
  <si>
    <t>VENKEYS</t>
  </si>
  <si>
    <t>VENUSREM</t>
  </si>
  <si>
    <t>VESUVIUS</t>
  </si>
  <si>
    <t>VGUARD</t>
  </si>
  <si>
    <t>VHL</t>
  </si>
  <si>
    <t>VICEROY</t>
  </si>
  <si>
    <t>VIDEOIND</t>
  </si>
  <si>
    <t>VIJAYABANK</t>
  </si>
  <si>
    <t>VIJSHAN</t>
  </si>
  <si>
    <t>VIMALOIL</t>
  </si>
  <si>
    <t>VIMTALABS</t>
  </si>
  <si>
    <t>VINATIORGA</t>
  </si>
  <si>
    <t>VINDHYATEL</t>
  </si>
  <si>
    <t>VINYLINDIA</t>
  </si>
  <si>
    <t>VIPIND</t>
  </si>
  <si>
    <t>VISAKAIND</t>
  </si>
  <si>
    <t>VISASTEEL</t>
  </si>
  <si>
    <t>VISESHINFO</t>
  </si>
  <si>
    <t>VIVIDHA</t>
  </si>
  <si>
    <t>VIVIMEDLAB</t>
  </si>
  <si>
    <t>VLSFINANCE</t>
  </si>
  <si>
    <t>VMART</t>
  </si>
  <si>
    <t>VOLTAMP</t>
  </si>
  <si>
    <t>VSSL</t>
  </si>
  <si>
    <t>VSTIND</t>
  </si>
  <si>
    <t>VSTTILLERS</t>
  </si>
  <si>
    <t>VTL</t>
  </si>
  <si>
    <t>WABAG</t>
  </si>
  <si>
    <t>WABCOINDIA</t>
  </si>
  <si>
    <t>WALCHANNAG</t>
  </si>
  <si>
    <t>WANBURY</t>
  </si>
  <si>
    <t>WEBELSOLAR</t>
  </si>
  <si>
    <t>WEIZFOREX</t>
  </si>
  <si>
    <t>WEIZMANIND</t>
  </si>
  <si>
    <t>WELCORP</t>
  </si>
  <si>
    <t>WELINV</t>
  </si>
  <si>
    <t>WELSPUNIND</t>
  </si>
  <si>
    <t>WENDT</t>
  </si>
  <si>
    <t>WHEELS</t>
  </si>
  <si>
    <t>WHIRLPOOL</t>
  </si>
  <si>
    <t>WILLAMAGOR</t>
  </si>
  <si>
    <t>WINDMACHIN</t>
  </si>
  <si>
    <t>WINSOME</t>
  </si>
  <si>
    <t>WOCKPHARMA</t>
  </si>
  <si>
    <t>WONDERLA</t>
  </si>
  <si>
    <t>WSI</t>
  </si>
  <si>
    <t>WSTCSTPAPR</t>
  </si>
  <si>
    <t>XCHANGING</t>
  </si>
  <si>
    <t>XLENERGY</t>
  </si>
  <si>
    <t>XPROINDIA</t>
  </si>
  <si>
    <t>YESBANK</t>
  </si>
  <si>
    <t>ZANDUREALT</t>
  </si>
  <si>
    <t>ZEEL</t>
  </si>
  <si>
    <t>ZEELEARN</t>
  </si>
  <si>
    <t>ZEEMEDIA</t>
  </si>
  <si>
    <t>ZENITHBIR</t>
  </si>
  <si>
    <t>ZENITHEXPO</t>
  </si>
  <si>
    <t>ZENSARTECH</t>
  </si>
  <si>
    <t>ZICOM</t>
  </si>
  <si>
    <t>ZODIACLOTH</t>
  </si>
  <si>
    <t>ZODJRDMKJ</t>
  </si>
  <si>
    <t>ZUARI</t>
  </si>
  <si>
    <t>ZUARIGLOB</t>
  </si>
  <si>
    <t>ZYDUSWELL</t>
  </si>
  <si>
    <t>ZYLOG</t>
  </si>
  <si>
    <t>AICHAMP</t>
  </si>
  <si>
    <t>ALPSINDUS</t>
  </si>
  <si>
    <t>ASIL</t>
  </si>
  <si>
    <t>ATNINTER</t>
  </si>
  <si>
    <t>AUSOMENT</t>
  </si>
  <si>
    <t>BILPOWER</t>
  </si>
  <si>
    <t>BLUEBLENDS</t>
  </si>
  <si>
    <t>BLUECOAST</t>
  </si>
  <si>
    <t>CNOVAPETRO</t>
  </si>
  <si>
    <t>CORALFINAC</t>
  </si>
  <si>
    <t>CYBERMEDIA</t>
  </si>
  <si>
    <t>DELTAMAGNT</t>
  </si>
  <si>
    <t>DSSL</t>
  </si>
  <si>
    <t>EUROMULTI</t>
  </si>
  <si>
    <t>FIRSTWIN</t>
  </si>
  <si>
    <t>GISOLUTION</t>
  </si>
  <si>
    <t>GLFL</t>
  </si>
  <si>
    <t>GREENFIRE</t>
  </si>
  <si>
    <t>HOTELRUGBY</t>
  </si>
  <si>
    <t>HUDCO</t>
  </si>
  <si>
    <t>INTEGRA</t>
  </si>
  <si>
    <t>JAINSTUDIO</t>
  </si>
  <si>
    <t>JIKIND</t>
  </si>
  <si>
    <t>KANANIIND</t>
  </si>
  <si>
    <t>KEYCORPSER</t>
  </si>
  <si>
    <t>KHAITANLTD</t>
  </si>
  <si>
    <t>KREBSBIO</t>
  </si>
  <si>
    <t>LCCINFOTEC</t>
  </si>
  <si>
    <t>MELSTAR</t>
  </si>
  <si>
    <t>NAGREEKCAP</t>
  </si>
  <si>
    <t>NAGREEKEXP</t>
  </si>
  <si>
    <t>NKIND</t>
  </si>
  <si>
    <t>NOESISIND</t>
  </si>
  <si>
    <t>NORBTEAEXP</t>
  </si>
  <si>
    <t>ORIENTALTL</t>
  </si>
  <si>
    <t>PDUMJEIND</t>
  </si>
  <si>
    <t>PIONDIST</t>
  </si>
  <si>
    <t>PREMIERPOL</t>
  </si>
  <si>
    <t>QUINTEGRA</t>
  </si>
  <si>
    <t>RADAAN</t>
  </si>
  <si>
    <t>REMSONSIND</t>
  </si>
  <si>
    <t>SAMBHAAV</t>
  </si>
  <si>
    <t>SGFL</t>
  </si>
  <si>
    <t>SGL</t>
  </si>
  <si>
    <t>SOFTTECHGR</t>
  </si>
  <si>
    <t>SREEL</t>
  </si>
  <si>
    <t>TIJARIA</t>
  </si>
  <si>
    <t>TODAYS</t>
  </si>
  <si>
    <t>VISUINTL</t>
  </si>
  <si>
    <t>VETO</t>
  </si>
  <si>
    <t>SANCO</t>
  </si>
  <si>
    <t>20 Microns Limited</t>
  </si>
  <si>
    <t>3i Infotech Limited</t>
  </si>
  <si>
    <t>3M India Limited</t>
  </si>
  <si>
    <t>8K Miles Software Services Limited</t>
  </si>
  <si>
    <t>Aarti Drugs Limited</t>
  </si>
  <si>
    <t>Aarti Industries Limited</t>
  </si>
  <si>
    <t>Aarvee Denims &amp; Exports Limited</t>
  </si>
  <si>
    <t>Aban Offshore Limited</t>
  </si>
  <si>
    <t>ABG Shipyard Limited</t>
  </si>
  <si>
    <t>Aditya Birla Nuvo Limited</t>
  </si>
  <si>
    <t>ACC Limited</t>
  </si>
  <si>
    <t>Accelya Kale Solutions Limited</t>
  </si>
  <si>
    <t>Action Construction Equipment Limited</t>
  </si>
  <si>
    <t>Adani Enterprises Limited</t>
  </si>
  <si>
    <t>Adani Ports and Special Economic Zone Limited</t>
  </si>
  <si>
    <t>Adani Power Limited</t>
  </si>
  <si>
    <t>ADF Foods Limited</t>
  </si>
  <si>
    <t>Adhunik Metaliks Limited</t>
  </si>
  <si>
    <t>Ador Welding Limited</t>
  </si>
  <si>
    <t>Allied Digital Services Limited</t>
  </si>
  <si>
    <t>Advani Hotels &amp; Resorts (India) Limited</t>
  </si>
  <si>
    <t>Aegis Logistics Limited</t>
  </si>
  <si>
    <t>Accel Frontline Limited</t>
  </si>
  <si>
    <t>Agarwal Industrial Corporation Limited</t>
  </si>
  <si>
    <t>AGC Networks Limited</t>
  </si>
  <si>
    <t>Agri-Tech (India) Limited</t>
  </si>
  <si>
    <t>Asian Hotels (East) Limited</t>
  </si>
  <si>
    <t>Ahluwalia Contracts (India) Limited</t>
  </si>
  <si>
    <t>Asian Hotels (West) Limited</t>
  </si>
  <si>
    <t>AIA Engineering Limited</t>
  </si>
  <si>
    <t>AI Champdany Industries Limited</t>
  </si>
  <si>
    <t>Ajanta Pharma Limited</t>
  </si>
  <si>
    <t>Ajmera Realty &amp; Infra India Limited</t>
  </si>
  <si>
    <t>Aksh Optifibre Limited</t>
  </si>
  <si>
    <t>Akzo Nobel India Limited</t>
  </si>
  <si>
    <t>Allahabad Bank</t>
  </si>
  <si>
    <t>Alchemist Limited</t>
  </si>
  <si>
    <t>Alembic Limited</t>
  </si>
  <si>
    <t>Alicon Castalloy Limited</t>
  </si>
  <si>
    <t>Alkali Metals Limited</t>
  </si>
  <si>
    <t>Alkyl Amines Chemicals Limited</t>
  </si>
  <si>
    <t>Allcargo Logistics Limited</t>
  </si>
  <si>
    <t>Allsec Technologies Limited</t>
  </si>
  <si>
    <t>Almondz Global Securities Limited</t>
  </si>
  <si>
    <t>Alok Industries Limited</t>
  </si>
  <si>
    <t>Alpa Laboratories Limited</t>
  </si>
  <si>
    <t>Alphageo (India) Limited</t>
  </si>
  <si>
    <t>Alps Industries Limited</t>
  </si>
  <si>
    <t>Amara Raja Batteries Limited</t>
  </si>
  <si>
    <t>Ambika Cotton Mills Limited</t>
  </si>
  <si>
    <t>Ambuja Cements Limited</t>
  </si>
  <si>
    <t>AMD Industries Limited</t>
  </si>
  <si>
    <t>Amtek Auto Limited</t>
  </si>
  <si>
    <t>Anant Raj Limited</t>
  </si>
  <si>
    <t>Andhra Bank</t>
  </si>
  <si>
    <t>Andhra Cements Limited</t>
  </si>
  <si>
    <t>The Andhra Sugars Limited</t>
  </si>
  <si>
    <t>ANG Industries Limited</t>
  </si>
  <si>
    <t>Anik Industries Limited</t>
  </si>
  <si>
    <t>Ankit Metal &amp; Power Limited</t>
  </si>
  <si>
    <t>Ansal Properties &amp; Infrastructure Limited</t>
  </si>
  <si>
    <t>Ansal Housing and Construction Limited</t>
  </si>
  <si>
    <t>Antarctica Limited</t>
  </si>
  <si>
    <t>Apar Industries Limited</t>
  </si>
  <si>
    <t>Apcotex Industries Limited</t>
  </si>
  <si>
    <t>APL Apollo Tubes Limited</t>
  </si>
  <si>
    <t>Alembic Pharmaceuticals Limited</t>
  </si>
  <si>
    <t>Apollo Hospitals Enterprise Limited</t>
  </si>
  <si>
    <t>Apollo Tyres Limited</t>
  </si>
  <si>
    <t>Aptech Limited</t>
  </si>
  <si>
    <t>Archidply Industries Limited</t>
  </si>
  <si>
    <t>Archies Limited</t>
  </si>
  <si>
    <t>Arcotech Limited</t>
  </si>
  <si>
    <t>Aries Agro Limited</t>
  </si>
  <si>
    <t>Arihant Foundations &amp; Housing Limited</t>
  </si>
  <si>
    <t>Aro Granite Industries Limited</t>
  </si>
  <si>
    <t>Arrow Textiles Limited</t>
  </si>
  <si>
    <t>Arshiya Limited</t>
  </si>
  <si>
    <t>ARSS Infrastructure Projects Limited</t>
  </si>
  <si>
    <t>Arvind Limited</t>
  </si>
  <si>
    <t>Asahi India Glass Limited</t>
  </si>
  <si>
    <t>Asahi Songwon Colors Limited</t>
  </si>
  <si>
    <t>Automotive Stampings and Assemblies Limited</t>
  </si>
  <si>
    <t>Ashapura Minechem Limited</t>
  </si>
  <si>
    <t>Ashiana Housing Limited</t>
  </si>
  <si>
    <t>Ashima Limited</t>
  </si>
  <si>
    <t>Ashoka Buildcon Limited</t>
  </si>
  <si>
    <t>Ashok Leyland Limited</t>
  </si>
  <si>
    <t>Asian Hotels (North) Limited</t>
  </si>
  <si>
    <t>Asian Paints Limited</t>
  </si>
  <si>
    <t>Asian Granito India Limited</t>
  </si>
  <si>
    <t>Amit Spinning Industries Limited</t>
  </si>
  <si>
    <t>Assam Company India Limited</t>
  </si>
  <si>
    <t>Astec LifeSciences Limited</t>
  </si>
  <si>
    <t>Astral Poly Technik Limited</t>
  </si>
  <si>
    <t>Astra Microwave Products Limited</t>
  </si>
  <si>
    <t>AstraZeneca Pharma India Limited</t>
  </si>
  <si>
    <t>Agro Tech Foods Limited</t>
  </si>
  <si>
    <t>Atlanta  Limited</t>
  </si>
  <si>
    <t>Atlas Cycles (Haryana) Limited</t>
  </si>
  <si>
    <t>ATN International Limited</t>
  </si>
  <si>
    <t>Atul Limited</t>
  </si>
  <si>
    <t>Atul Auto Limited</t>
  </si>
  <si>
    <t>Aurionpro Solutions Limited</t>
  </si>
  <si>
    <t>Aurobindo Pharma Limited</t>
  </si>
  <si>
    <t>Ausom Enterprise Limited</t>
  </si>
  <si>
    <t>Austral Coke &amp; Projects Limited</t>
  </si>
  <si>
    <t>Automotive Axles Limited</t>
  </si>
  <si>
    <t>Autoline Industries Limited</t>
  </si>
  <si>
    <t>Autolite (India) Limited</t>
  </si>
  <si>
    <t>AVT Natural Products Limited</t>
  </si>
  <si>
    <t>Axis Bank Limited</t>
  </si>
  <si>
    <t>AXISCADES Engineering Technologies Limited</t>
  </si>
  <si>
    <t>Bafna Pharmaceuticals Limited</t>
  </si>
  <si>
    <t>B.A.G Films and Media Limited</t>
  </si>
  <si>
    <t>Bajaj Auto Limited</t>
  </si>
  <si>
    <t>Bajaj Corp Limited</t>
  </si>
  <si>
    <t>Bajaj Electricals Limited</t>
  </si>
  <si>
    <t>Bajaj Finserv Limited</t>
  </si>
  <si>
    <t>Bajaj Holdings &amp; Investment Limited</t>
  </si>
  <si>
    <t>Bajaj Finance Limited</t>
  </si>
  <si>
    <t>Balaji Telefilms Limited</t>
  </si>
  <si>
    <t>Balaji Amines Limited</t>
  </si>
  <si>
    <t>Balkrishna Industries Limited</t>
  </si>
  <si>
    <t>Ballarpur Industries Limited</t>
  </si>
  <si>
    <t>Balmer Lawrie &amp; Company Limited</t>
  </si>
  <si>
    <t>Bal Pharma Limited</t>
  </si>
  <si>
    <t>Balrampur Chini Mills Limited</t>
  </si>
  <si>
    <t>Banaras Beads Limited</t>
  </si>
  <si>
    <t>Bannari Amman Sugars Limited</t>
  </si>
  <si>
    <t>Banco Products (I) Limited</t>
  </si>
  <si>
    <t>Bang Overseas Limited</t>
  </si>
  <si>
    <t>Bank of Baroda</t>
  </si>
  <si>
    <t>Bank of India</t>
  </si>
  <si>
    <t>Banswara Syntex Limited</t>
  </si>
  <si>
    <t>Bartronics India Limited</t>
  </si>
  <si>
    <t>BASF India Limited</t>
  </si>
  <si>
    <t>Bannari Amman Spinning Mills Limited</t>
  </si>
  <si>
    <t>Bata India Limited</t>
  </si>
  <si>
    <t>Bharat Bijlee Limited</t>
  </si>
  <si>
    <t>Bombay Burmah Trading Corporation Limited</t>
  </si>
  <si>
    <t>Bedmutha Industries Limited</t>
  </si>
  <si>
    <t>Bharat Electronics Limited</t>
  </si>
  <si>
    <t>BEML Limited</t>
  </si>
  <si>
    <t>Bhansali Engineering Polymers Limited</t>
  </si>
  <si>
    <t>Berger Paints (I) Limited</t>
  </si>
  <si>
    <t>BF Investment Limited</t>
  </si>
  <si>
    <t>BF Utilities Limited</t>
  </si>
  <si>
    <t>Bharatiya Global Infomedia Limited</t>
  </si>
  <si>
    <t>BGR Energy Systems Limited</t>
  </si>
  <si>
    <t>Bhagyanagar India Limited</t>
  </si>
  <si>
    <t>Bharat Forge Limited</t>
  </si>
  <si>
    <t>Bharat Gears Limited</t>
  </si>
  <si>
    <t>Bharat Rasayan Limited</t>
  </si>
  <si>
    <t>Bharti Airtel Limited</t>
  </si>
  <si>
    <t>Bharat Heavy Electricals Limited</t>
  </si>
  <si>
    <t>Bhushan Steel Limited</t>
  </si>
  <si>
    <t>Bhartiya International Limited</t>
  </si>
  <si>
    <t>Bil Energy Systems Limited</t>
  </si>
  <si>
    <t>Bilpower  Limited</t>
  </si>
  <si>
    <t>Binani Industries Limited</t>
  </si>
  <si>
    <t>Oswal Chemicals &amp; Fertilizers Limited</t>
  </si>
  <si>
    <t>Biocon Limited</t>
  </si>
  <si>
    <t>Birla Corporation Limited</t>
  </si>
  <si>
    <t>Aditya Birla Money Limited</t>
  </si>
  <si>
    <t>BLB Limited</t>
  </si>
  <si>
    <t>Bliss GVS Pharma Limited</t>
  </si>
  <si>
    <t>B. L. Kashyap and Sons Limited</t>
  </si>
  <si>
    <t>Blue Blends (I) Limited</t>
  </si>
  <si>
    <t>Blue Coast Hotels Limited</t>
  </si>
  <si>
    <t>Blue Dart Express Limited</t>
  </si>
  <si>
    <t>Blue Star Limited</t>
  </si>
  <si>
    <t>Bodal Chemicals Limited</t>
  </si>
  <si>
    <t>Bombay Dyeing &amp; Mfg Company Limited</t>
  </si>
  <si>
    <t>Bosch Limited</t>
  </si>
  <si>
    <t>Bharat Petroleum Corporation Limited</t>
  </si>
  <si>
    <t>BPL Limited</t>
  </si>
  <si>
    <t>Bombay Rayon Fashions Limited</t>
  </si>
  <si>
    <t>Brigade Enterprises Limited</t>
  </si>
  <si>
    <t>Britannia Industries Limited</t>
  </si>
  <si>
    <t>Brooks Laboratories Limited</t>
  </si>
  <si>
    <t>BSEL Infrastructure Realty Limited</t>
  </si>
  <si>
    <t>BSL Limited</t>
  </si>
  <si>
    <t>Burnpur Cement Limited</t>
  </si>
  <si>
    <t>Butterfly Gandhimathi Appliances Limited</t>
  </si>
  <si>
    <t>Barak Valley Cements Limited</t>
  </si>
  <si>
    <t>Cadila Healthcare Limited</t>
  </si>
  <si>
    <t>California Software Company Limited</t>
  </si>
  <si>
    <t>Canara Bank</t>
  </si>
  <si>
    <t>C &amp; C Constructions Limited</t>
  </si>
  <si>
    <t>Can Fin Homes Limited</t>
  </si>
  <si>
    <t>Cantabil Retail India Limited</t>
  </si>
  <si>
    <t>Capital First Limited</t>
  </si>
  <si>
    <t>Caplin Point Laboratories Limited</t>
  </si>
  <si>
    <t>Carborundum Universal Limited</t>
  </si>
  <si>
    <t>Career Point Limited</t>
  </si>
  <si>
    <t>Credit Analysis And Research Limited</t>
  </si>
  <si>
    <t>Castrol India Limited</t>
  </si>
  <si>
    <t>Consolidated Construction Consortium Limited</t>
  </si>
  <si>
    <t>CCL Products (India) Limited</t>
  </si>
  <si>
    <t>CEAT Limited</t>
  </si>
  <si>
    <t>Commercial Engineers &amp; Body Builders Co Limited</t>
  </si>
  <si>
    <t>Celebrity Fashions Limited</t>
  </si>
  <si>
    <t>Celestial Biolabs Limited</t>
  </si>
  <si>
    <t>Century Enka Limited</t>
  </si>
  <si>
    <t>Century Extrusions Limited</t>
  </si>
  <si>
    <t>Central Bank of India</t>
  </si>
  <si>
    <t>Centum Electronics Limited</t>
  </si>
  <si>
    <t>Century Plyboards (India) Limited</t>
  </si>
  <si>
    <t>Century Textiles &amp; Industries Limited</t>
  </si>
  <si>
    <t>Cera Sanitaryware Limited</t>
  </si>
  <si>
    <t>Cerebra Integrated Technologies Limited</t>
  </si>
  <si>
    <t>CESC Limited</t>
  </si>
  <si>
    <t>Capri Global Capital Limited</t>
  </si>
  <si>
    <t>Chambal Fertilizers &amp; Chemicals Limited</t>
  </si>
  <si>
    <t>Chennai Petroleum Corporation Limited</t>
  </si>
  <si>
    <t>Cholamandalam Investment and Finance Company Limited</t>
  </si>
  <si>
    <t>Chromatic India Limited</t>
  </si>
  <si>
    <t>Cigniti Technologies Limited</t>
  </si>
  <si>
    <t>Cimmco Limited</t>
  </si>
  <si>
    <t>Cineline India Limited</t>
  </si>
  <si>
    <t>Cinevista Limited</t>
  </si>
  <si>
    <t>Cipla Limited</t>
  </si>
  <si>
    <t>Clariant Chemicals (India) Limited</t>
  </si>
  <si>
    <t>CIL Nova Petrochemicals Limited</t>
  </si>
  <si>
    <t>Coal India Limited</t>
  </si>
  <si>
    <t>Colgate Palmolive (India) Limited</t>
  </si>
  <si>
    <t>Compucom Software Limited</t>
  </si>
  <si>
    <t>Container Corporation of India Limited</t>
  </si>
  <si>
    <t>Consolidated Finvest &amp; Holdings Limited</t>
  </si>
  <si>
    <t>Coral India Finance &amp; Housing Limited</t>
  </si>
  <si>
    <t>Cords Cable Industries Limited</t>
  </si>
  <si>
    <t>Coromandel International Limited</t>
  </si>
  <si>
    <t>Corporation Bank</t>
  </si>
  <si>
    <t>Cosmo Films Limited</t>
  </si>
  <si>
    <t>Country Condo's Limited</t>
  </si>
  <si>
    <t>Cox &amp; Kings Limited</t>
  </si>
  <si>
    <t>Creative Eye Limited</t>
  </si>
  <si>
    <t>Crest Ventures Limited</t>
  </si>
  <si>
    <t>CRISIL Limited</t>
  </si>
  <si>
    <t>Cambridge Technology Enterprises Limited</t>
  </si>
  <si>
    <t>City Union Bank Limited</t>
  </si>
  <si>
    <t>Cubex Tubings Limited</t>
  </si>
  <si>
    <t>Cummins India Limited</t>
  </si>
  <si>
    <t>Cura Technologies Limited</t>
  </si>
  <si>
    <t>Cyber Media (India) Limited</t>
  </si>
  <si>
    <t>Cybertech Systems And Software Limited</t>
  </si>
  <si>
    <t>Cyient Limited</t>
  </si>
  <si>
    <t>LT Foods Limited</t>
  </si>
  <si>
    <t>Dabur India Limited</t>
  </si>
  <si>
    <t>Dalmia Bharat Limited</t>
  </si>
  <si>
    <t>Dalmia Bharat Sugar and Industries Limited</t>
  </si>
  <si>
    <t>Datamatics Global Services Limited</t>
  </si>
  <si>
    <t>D.B.Corp Limited</t>
  </si>
  <si>
    <t>D B Realty Limited</t>
  </si>
  <si>
    <t>DB (International) Stock Brokers Limited</t>
  </si>
  <si>
    <t>DCM  Limited</t>
  </si>
  <si>
    <t>DCM Shriram Limited</t>
  </si>
  <si>
    <t>DCW Limited</t>
  </si>
  <si>
    <t>Deccan Cements Limited</t>
  </si>
  <si>
    <t>Deepak Fertilizers and Petrochemicals Corporation Limited</t>
  </si>
  <si>
    <t>Deepak Nitrite Limited</t>
  </si>
  <si>
    <t>Deep Industries Limited</t>
  </si>
  <si>
    <t>Delta Corp Limited</t>
  </si>
  <si>
    <t>Delta Magnets Limited</t>
  </si>
  <si>
    <t>Den Networks Limited</t>
  </si>
  <si>
    <t>Dena Bank</t>
  </si>
  <si>
    <t>De Nora India Limited</t>
  </si>
  <si>
    <t>Dhanlaxmi Bank Limited</t>
  </si>
  <si>
    <t>Dhanuka Agritech Limited</t>
  </si>
  <si>
    <t>Dharani Sugars &amp; Chemicals Limited</t>
  </si>
  <si>
    <t>Dewan Housing Finance Corporation Limited</t>
  </si>
  <si>
    <t>Dhunseri Investments Limited</t>
  </si>
  <si>
    <t>Diamond Power Infra Ltd</t>
  </si>
  <si>
    <t>DIC India Limited</t>
  </si>
  <si>
    <t>Digjam Limited</t>
  </si>
  <si>
    <t>Dishman Pharmaceuticals and Chemicals Limited</t>
  </si>
  <si>
    <t>Dish TV India Limited</t>
  </si>
  <si>
    <t>Divi's Laboratories Limited</t>
  </si>
  <si>
    <t>DLF Limited</t>
  </si>
  <si>
    <t>D-Link (India) Limited</t>
  </si>
  <si>
    <t>Dolphin Offshore Enterprises (India) Limited</t>
  </si>
  <si>
    <t>Donear Industries Limited</t>
  </si>
  <si>
    <t>DPSC Limited</t>
  </si>
  <si>
    <t>Dhunseri Petrochem Limited</t>
  </si>
  <si>
    <t>DQ Entertainment (International) Limited</t>
  </si>
  <si>
    <t>Dredging Corporation of India Limited</t>
  </si>
  <si>
    <t>Dr. Reddy's Laboratories Limited</t>
  </si>
  <si>
    <t>DS Kulkarni Developers Limited</t>
  </si>
  <si>
    <t>Dynacons Systems &amp; Solutions Limited</t>
  </si>
  <si>
    <t>Dwarikesh Sugar Industries Limited</t>
  </si>
  <si>
    <t>Dynamatic Technologies Limited</t>
  </si>
  <si>
    <t>Eastern Silk Industries Limited</t>
  </si>
  <si>
    <t>Easun Reyrolle Limited</t>
  </si>
  <si>
    <t>ECE Industries Limited</t>
  </si>
  <si>
    <t>eClerx Services Limited</t>
  </si>
  <si>
    <t>Edelweiss Financial Services Limited</t>
  </si>
  <si>
    <t>Empee Distilleries Limited</t>
  </si>
  <si>
    <t>Educomp Solutions Limited</t>
  </si>
  <si>
    <t>Eicher Motors Limited</t>
  </si>
  <si>
    <t>EID Parry India Limited</t>
  </si>
  <si>
    <t>EIH Associated Hotels Limited</t>
  </si>
  <si>
    <t>EIH Limited</t>
  </si>
  <si>
    <t>Eimco Elecon (India) Limited</t>
  </si>
  <si>
    <t>Everest Kanto Cylinder Limited</t>
  </si>
  <si>
    <t>Elecon Engineering Company Limited</t>
  </si>
  <si>
    <t>Electrosteel Castings Limited</t>
  </si>
  <si>
    <t>Electrotherm (India) Limited</t>
  </si>
  <si>
    <t>Elgi Equipments Limited</t>
  </si>
  <si>
    <t>Elgi Rubber Company Limited</t>
  </si>
  <si>
    <t>Emami Infrastructure Limited</t>
  </si>
  <si>
    <t>Emami Limited</t>
  </si>
  <si>
    <t>Emco Limited</t>
  </si>
  <si>
    <t>Emkay Global Financial Services Limited</t>
  </si>
  <si>
    <t>Energy Development Company Limited</t>
  </si>
  <si>
    <t>Engineers India Limited</t>
  </si>
  <si>
    <t>Entertainment Network (India) Limited</t>
  </si>
  <si>
    <t>Eon Electric Limited</t>
  </si>
  <si>
    <t>Eros International Media Limited</t>
  </si>
  <si>
    <t>Esab India Limited</t>
  </si>
  <si>
    <t>Escorts Limited</t>
  </si>
  <si>
    <t>Electrosteel Steels Limited</t>
  </si>
  <si>
    <t>Essar Shipping Limited</t>
  </si>
  <si>
    <t>Ess Dee Aluminium Limited</t>
  </si>
  <si>
    <t>Essel Propack Limited</t>
  </si>
  <si>
    <t>Ester Industries Limited</t>
  </si>
  <si>
    <t>Euro Ceramics Limited</t>
  </si>
  <si>
    <t>Euro Multivision Limited</t>
  </si>
  <si>
    <t>Eurotex Industries and Exports Limited</t>
  </si>
  <si>
    <t>Eveready Industries India Limited</t>
  </si>
  <si>
    <t>Everest Industries Limited</t>
  </si>
  <si>
    <t>Excel Crop Care Limited</t>
  </si>
  <si>
    <t>Excel Industries Limited</t>
  </si>
  <si>
    <t>Exide Industries Limited</t>
  </si>
  <si>
    <t>Fertilizers and Chemicals Travancore Limited</t>
  </si>
  <si>
    <t>FAG Bearings India Limited</t>
  </si>
  <si>
    <t>FCS Software Solutions Limited</t>
  </si>
  <si>
    <t>FDC Limited</t>
  </si>
  <si>
    <t>Fedders Lloyd Corporation Limited</t>
  </si>
  <si>
    <t>The Federal Bank  Limited</t>
  </si>
  <si>
    <t>Fiem Industries Limited</t>
  </si>
  <si>
    <t>Filatex India Limited</t>
  </si>
  <si>
    <t>Finolex Cables Limited</t>
  </si>
  <si>
    <t>Finolex Industries Limited</t>
  </si>
  <si>
    <t>First Winner Industries Limited</t>
  </si>
  <si>
    <t>Flexituff International Limited</t>
  </si>
  <si>
    <t>Future Lifestyle Fashions Limited</t>
  </si>
  <si>
    <t>Federal-Mogul Goetze (India) Limited.</t>
  </si>
  <si>
    <t>Future Market Networks Limited</t>
  </si>
  <si>
    <t>Fortis Healthcare Limited</t>
  </si>
  <si>
    <t>Foseco India Limited</t>
  </si>
  <si>
    <t>Future Retail Limited</t>
  </si>
  <si>
    <t>Firstsource Solutions Limited</t>
  </si>
  <si>
    <t>Gabriel India Limited</t>
  </si>
  <si>
    <t>Gujarat Ambuja Exports Limited</t>
  </si>
  <si>
    <t>GAIL (India) Limited</t>
  </si>
  <si>
    <t>Gyscoal Alloys Limited</t>
  </si>
  <si>
    <t>Gallantt Metal Limited</t>
  </si>
  <si>
    <t>Gallantt Ispat Limited</t>
  </si>
  <si>
    <t>Gammon Infrastructure Projects Limited</t>
  </si>
  <si>
    <t>Gammon India Limited</t>
  </si>
  <si>
    <t>Gandhi Special Tubes Limited</t>
  </si>
  <si>
    <t>Ganesh Housing Corporation Limited</t>
  </si>
  <si>
    <t>Gangotri Textiles Limited</t>
  </si>
  <si>
    <t>Garden Silk Mills Limited</t>
  </si>
  <si>
    <t>Garware  Wall Ropes Limited</t>
  </si>
  <si>
    <t>GATI Limited</t>
  </si>
  <si>
    <t>Gayatri Projects Limited</t>
  </si>
  <si>
    <t>Gateway Distriparks Limited</t>
  </si>
  <si>
    <t>GeeCee Ventures Limited</t>
  </si>
  <si>
    <t>Gemini Communication Limited</t>
  </si>
  <si>
    <t>Genesys International Corporation Limited</t>
  </si>
  <si>
    <t>Genus Power Infrastructures Limited</t>
  </si>
  <si>
    <t>The Great Eastern Shipping Company Limited</t>
  </si>
  <si>
    <t>GHCL Limited</t>
  </si>
  <si>
    <t>GIC Housing Finance Limited</t>
  </si>
  <si>
    <t>Gillanders Arbuthnot &amp; Company Limited</t>
  </si>
  <si>
    <t>Gillette India Limited</t>
  </si>
  <si>
    <t>Ginni Filaments Limited</t>
  </si>
  <si>
    <t>Gujarat Industries Power Company Limited</t>
  </si>
  <si>
    <t>GI Engineering Solutions Limited</t>
  </si>
  <si>
    <t>Gitanjali Gems Limited</t>
  </si>
  <si>
    <t>GKW Limited</t>
  </si>
  <si>
    <t>GlaxoSmithKline Pharmaceuticals Limited</t>
  </si>
  <si>
    <t>Glenmark Pharmaceuticals Limited</t>
  </si>
  <si>
    <t>Gujarat Lease Financing Limited</t>
  </si>
  <si>
    <t>Global Vectra Helicorp Limited</t>
  </si>
  <si>
    <t>Global Offshore Services Limited</t>
  </si>
  <si>
    <t>Globus Spirits Limited</t>
  </si>
  <si>
    <t>GM Breweries Limited</t>
  </si>
  <si>
    <t>Gujarat Mineral Development Corporation Limited</t>
  </si>
  <si>
    <t>GMR Infrastructure Limited</t>
  </si>
  <si>
    <t>Gujarat Narmada Valley Fertilizers and Chemicals Limited</t>
  </si>
  <si>
    <t>Goa Carbon Limited</t>
  </si>
  <si>
    <t>Godfrey Phillips India Limited</t>
  </si>
  <si>
    <t>Godrej Consumer Products Limited</t>
  </si>
  <si>
    <t>Godrej Industries Limited</t>
  </si>
  <si>
    <t>Godrej Properties Limited</t>
  </si>
  <si>
    <t>Goenka Diamond and Jewels Limited</t>
  </si>
  <si>
    <t>Gokaldas Exports Limited</t>
  </si>
  <si>
    <t>Gokul Refoils and Solvent Limited</t>
  </si>
  <si>
    <t>Golden Tobacco Limited</t>
  </si>
  <si>
    <t>Goldiam International Limited</t>
  </si>
  <si>
    <t>Goldstone Infratech Limited</t>
  </si>
  <si>
    <t>Goldstone Technologies Limited</t>
  </si>
  <si>
    <t>Godawari Power And Ispat limited</t>
  </si>
  <si>
    <t>Gujarat Pipavav Port Limited</t>
  </si>
  <si>
    <t>Granules India Limited</t>
  </si>
  <si>
    <t>Graphite India Limited</t>
  </si>
  <si>
    <t>Grasim Industries Limited</t>
  </si>
  <si>
    <t>Gravita India Limited</t>
  </si>
  <si>
    <t>Greaves Cotton Limited</t>
  </si>
  <si>
    <t>Green Fire Agri Commodities Limited</t>
  </si>
  <si>
    <t>Greenply Industries Limited</t>
  </si>
  <si>
    <t>Orient Green Power Company Limited</t>
  </si>
  <si>
    <t>Grindwell Norton Limited</t>
  </si>
  <si>
    <t>Gruh Finance Limited</t>
  </si>
  <si>
    <t>Gujarat State Fertilizers &amp; Chemicals Limited</t>
  </si>
  <si>
    <t>GlaxoSmithKline Consumer Healthcare Limited</t>
  </si>
  <si>
    <t>Gujarat State Petronet Limited</t>
  </si>
  <si>
    <t>GSS Infotech Limited</t>
  </si>
  <si>
    <t>GTL Limited</t>
  </si>
  <si>
    <t>GTL Infrastructure Limited</t>
  </si>
  <si>
    <t>GTN Industries Limited</t>
  </si>
  <si>
    <t>GTN Textiles Limited</t>
  </si>
  <si>
    <t>GOL Offshore Limited</t>
  </si>
  <si>
    <t>Gufic Biosciences Limited</t>
  </si>
  <si>
    <t>Gujarat Alkalies and Chemicals Limited</t>
  </si>
  <si>
    <t>Gujarat Apollo Industries Limited</t>
  </si>
  <si>
    <t>Gujarat Fluorochemicals Limited</t>
  </si>
  <si>
    <t>Gujarat NRE Coke Limited</t>
  </si>
  <si>
    <t>Gulf Oil Lubricants India Limited</t>
  </si>
  <si>
    <t>GVK Power &amp; Infrastructure Limited</t>
  </si>
  <si>
    <t>Hanung Toys and Textiles Limited</t>
  </si>
  <si>
    <t>Harita Seating Systems Limited</t>
  </si>
  <si>
    <t>Harrisons  Malayalam Limited</t>
  </si>
  <si>
    <t>Hathway Cable &amp; Datacom Limited</t>
  </si>
  <si>
    <t>Hatsun Agro Product Limited</t>
  </si>
  <si>
    <t>Havells India Limited</t>
  </si>
  <si>
    <t>HBL Power Systems Limited</t>
  </si>
  <si>
    <t>HB Stockholdings Limited</t>
  </si>
  <si>
    <t>Hindustan Construction Company Limited</t>
  </si>
  <si>
    <t>HCL Infosystems Limited</t>
  </si>
  <si>
    <t>HCL Technologies Limited</t>
  </si>
  <si>
    <t>Housing Development Finance Corporation Limited</t>
  </si>
  <si>
    <t>HDFC Bank Limited</t>
  </si>
  <si>
    <t>Housing Development and Infrastructure Limited</t>
  </si>
  <si>
    <t>HEG Limited</t>
  </si>
  <si>
    <t>HeidelbergCement India Limited</t>
  </si>
  <si>
    <t>Hercules Hoists Limited</t>
  </si>
  <si>
    <t>Hero MotoCorp Limited</t>
  </si>
  <si>
    <t>Hexa Tradex Limited</t>
  </si>
  <si>
    <t>Hexaware Technologies Limited</t>
  </si>
  <si>
    <t>Himachal Futuristic Communications Limited</t>
  </si>
  <si>
    <t>Hinduja Global Solutions Limited</t>
  </si>
  <si>
    <t>Hikal Limited</t>
  </si>
  <si>
    <t>HIL Limited</t>
  </si>
  <si>
    <t>Hilton Metal Forging Limited</t>
  </si>
  <si>
    <t>Himatsingka Seide Limited</t>
  </si>
  <si>
    <t>Hindalco Industries Limited</t>
  </si>
  <si>
    <t>Hindustan Composites Limited</t>
  </si>
  <si>
    <t>Hindustan Copper Limited</t>
  </si>
  <si>
    <t>Hindustan Dorr-Oliver Limited</t>
  </si>
  <si>
    <t>Hindustan Motors Limited</t>
  </si>
  <si>
    <t>Hindusthan National Glass &amp; Industries Limited</t>
  </si>
  <si>
    <t>Hindustan Oil Exploration Company Limited</t>
  </si>
  <si>
    <t>Hindustan Petroleum Corporation Limited</t>
  </si>
  <si>
    <t>Hind Syntex Limited</t>
  </si>
  <si>
    <t>Hinduja Foundries Limited</t>
  </si>
  <si>
    <t>Hinduja Ventures Limited</t>
  </si>
  <si>
    <t>Hindustan Unilever Limited</t>
  </si>
  <si>
    <t>Hindustan Zinc Limited</t>
  </si>
  <si>
    <t>Hind Rectifiers Limited</t>
  </si>
  <si>
    <t>HMT Limited</t>
  </si>
  <si>
    <t>Hindustan Media Ventures Limited</t>
  </si>
  <si>
    <t>Hindustan Organic Chemicals Limited</t>
  </si>
  <si>
    <t>Honeywell Automation India Limited</t>
  </si>
  <si>
    <t>Honda Siel Power Products Limited</t>
  </si>
  <si>
    <t>Hotel Leela Venture Limited</t>
  </si>
  <si>
    <t>Hotel Rugby Limited</t>
  </si>
  <si>
    <t>HOV Services Limited</t>
  </si>
  <si>
    <t>HSIL Limited</t>
  </si>
  <si>
    <t>HT Media Limited</t>
  </si>
  <si>
    <t>Hubtown Limited</t>
  </si>
  <si>
    <t>Housing &amp; Urban Development Corporation Limited</t>
  </si>
  <si>
    <t>RattanIndia Infrastructure Limited</t>
  </si>
  <si>
    <t>RattanIndia Power Limited</t>
  </si>
  <si>
    <t>Indiabulls Real Estate Limited</t>
  </si>
  <si>
    <t>Indiabulls Housing Finance Limited</t>
  </si>
  <si>
    <t>ICICI Bank Limited</t>
  </si>
  <si>
    <t>Indo Count Industries Limited</t>
  </si>
  <si>
    <t>ICRA Limited</t>
  </si>
  <si>
    <t>ICSA (India) Limited</t>
  </si>
  <si>
    <t>IDBI Bank Limited</t>
  </si>
  <si>
    <t>Idea Cellular Limited</t>
  </si>
  <si>
    <t>IDFC Limited</t>
  </si>
  <si>
    <t>IFB Agro Industries Limited</t>
  </si>
  <si>
    <t>IFB Industries Limited</t>
  </si>
  <si>
    <t>IFCI Limited</t>
  </si>
  <si>
    <t>IFGL Refractories Limited</t>
  </si>
  <si>
    <t>Igarashi Motors India Limited</t>
  </si>
  <si>
    <t>Indraprastha Gas Limited</t>
  </si>
  <si>
    <t>IG Petrochemicals Limited</t>
  </si>
  <si>
    <t>IIFL Holdings Limited</t>
  </si>
  <si>
    <t>Industrial Investment Trust Limited</t>
  </si>
  <si>
    <t>IL&amp;FS Engineering and Construction Company Limited</t>
  </si>
  <si>
    <t>IL&amp;FS Transportation Networks Limited</t>
  </si>
  <si>
    <t>Indian Metals &amp; Ferro Alloys Limited</t>
  </si>
  <si>
    <t>India Motor Parts and Accessories Limited</t>
  </si>
  <si>
    <t>Impex Ferro Tech Limited</t>
  </si>
  <si>
    <t>Indbank Merchant Banking Services Limited</t>
  </si>
  <si>
    <t>The Indian Hotels Company Limited</t>
  </si>
  <si>
    <t>The India Cements Limited</t>
  </si>
  <si>
    <t>India Glycols Limited</t>
  </si>
  <si>
    <t>Indian Bank</t>
  </si>
  <si>
    <t>Indian Card Clothing Company Limited</t>
  </si>
  <si>
    <t>Indian Hume Pipe Company Limited</t>
  </si>
  <si>
    <t>IMP Powers Limited</t>
  </si>
  <si>
    <t>India Nippon Electricals Limited</t>
  </si>
  <si>
    <t>Indoco Remedies Limited</t>
  </si>
  <si>
    <t>Indo Rama Synthetics (India) Limited</t>
  </si>
  <si>
    <t>Indosolar Limited</t>
  </si>
  <si>
    <t>Indo Tech Transformers Limited</t>
  </si>
  <si>
    <t>Indo Thai Securities Limited</t>
  </si>
  <si>
    <t>Indowind Energy Limited</t>
  </si>
  <si>
    <t>Indraprastha Medical Corporation Limited</t>
  </si>
  <si>
    <t>Ind-Swift Laboratories Limited</t>
  </si>
  <si>
    <t>Ind-Swift Limited</t>
  </si>
  <si>
    <t>Indian Terrain Fashions Limited</t>
  </si>
  <si>
    <t>IndusInd Bank Limited</t>
  </si>
  <si>
    <t>Infinite Computer Solutions (India) Limited</t>
  </si>
  <si>
    <t>Bharti Infratel Limited</t>
  </si>
  <si>
    <t>Infosys Limited</t>
  </si>
  <si>
    <t>Ingersoll Rand (India) Limited</t>
  </si>
  <si>
    <t>INOX Leisure Limited</t>
  </si>
  <si>
    <t>Insecticides (India) Limited</t>
  </si>
  <si>
    <t>Integra Garments and Textiles Limited</t>
  </si>
  <si>
    <t>Inventure Growth &amp; Securities Limited</t>
  </si>
  <si>
    <t>Indian Overseas Bank</t>
  </si>
  <si>
    <t>Indian Oil Corporation Limited</t>
  </si>
  <si>
    <t>IOL Chemicals and Pharmaceuticals Limited</t>
  </si>
  <si>
    <t>International Paper APPM Limited</t>
  </si>
  <si>
    <t>IPCA Laboratories Limited</t>
  </si>
  <si>
    <t>IRB Infrastructure Developers Limited</t>
  </si>
  <si>
    <t>Intrasoft Technologies Limited</t>
  </si>
  <si>
    <t>ISMT Limited</t>
  </si>
  <si>
    <t>ITC Limited</t>
  </si>
  <si>
    <t>ITD Cementation India Limited</t>
  </si>
  <si>
    <t>ITI Limited</t>
  </si>
  <si>
    <t>IL&amp;FS Investment Managers Limited</t>
  </si>
  <si>
    <t>IVP Limited</t>
  </si>
  <si>
    <t>IVRCL Limited</t>
  </si>
  <si>
    <t>The Jammu &amp; Kashmir Bank Limited</t>
  </si>
  <si>
    <t>Jagran Prakashan Limited</t>
  </si>
  <si>
    <t>Jagsonpal Pharmaceuticals Limited</t>
  </si>
  <si>
    <t>Jai Balaji Industries Limited</t>
  </si>
  <si>
    <t>Jai Corp Limited</t>
  </si>
  <si>
    <t>Jaihind Projects Limited</t>
  </si>
  <si>
    <t>Jain Studios Limited</t>
  </si>
  <si>
    <t>Jamna Auto Industries Limited</t>
  </si>
  <si>
    <t>Jayant Agro Organics Limited</t>
  </si>
  <si>
    <t>Jay Bharat Maruti Limited</t>
  </si>
  <si>
    <t>Jayaswal Neco Industries Limited</t>
  </si>
  <si>
    <t>Jayshree Tea &amp; Industries Limited</t>
  </si>
  <si>
    <t>JB Chemicals &amp; Pharmaceuticals Limited</t>
  </si>
  <si>
    <t>JBF Industries Limited</t>
  </si>
  <si>
    <t>JBM Auto Limited</t>
  </si>
  <si>
    <t>Jenson &amp; Nicholson (India) Limited</t>
  </si>
  <si>
    <t>Jet Airways (India) Limited</t>
  </si>
  <si>
    <t>JHS Svendgaard Laboratories Limited</t>
  </si>
  <si>
    <t>JIK Industries Limited</t>
  </si>
  <si>
    <t>Jindal Photo Limited</t>
  </si>
  <si>
    <t>Jindal Poly Films Limited</t>
  </si>
  <si>
    <t>Jindal Saw Limited</t>
  </si>
  <si>
    <t>Jindal Steel &amp; Power Limited</t>
  </si>
  <si>
    <t>Jindal Cotex Limited</t>
  </si>
  <si>
    <t>Jindal Drilling And Industries Limited</t>
  </si>
  <si>
    <t>Jindal Worldwide Limited</t>
  </si>
  <si>
    <t>Jain Irrigation Systems Limited</t>
  </si>
  <si>
    <t>JK Cement Limited</t>
  </si>
  <si>
    <t>J.Kumar Infraprojects Limited</t>
  </si>
  <si>
    <t>JK Lakshmi Cement Limited</t>
  </si>
  <si>
    <t>JK Paper Limited</t>
  </si>
  <si>
    <t>JK Tyre &amp; Industries Limited</t>
  </si>
  <si>
    <t>JMC Projects (India)  Limited</t>
  </si>
  <si>
    <t>JM Financial Limited</t>
  </si>
  <si>
    <t>JMT Auto Limited</t>
  </si>
  <si>
    <t>Jocil Limited</t>
  </si>
  <si>
    <t>Jaiprakash Associates Limited</t>
  </si>
  <si>
    <t>Jaypee Infratech Limited</t>
  </si>
  <si>
    <t>Jindal Poly Investment and Finance Company Limited</t>
  </si>
  <si>
    <t>Jaiprakash Power Ventures Limited</t>
  </si>
  <si>
    <t>Jindal Stainless Limited</t>
  </si>
  <si>
    <t>JSW Energy Limited</t>
  </si>
  <si>
    <t>JSW Holdings Limited</t>
  </si>
  <si>
    <t>JSW Steel Limited</t>
  </si>
  <si>
    <t>Jubilant Life Sciences Limited</t>
  </si>
  <si>
    <t>Jubilant Foodworks Limited</t>
  </si>
  <si>
    <t>Jubilant Industries Limited</t>
  </si>
  <si>
    <t>Just Dial Limited</t>
  </si>
  <si>
    <t>JVL Agro Industries Limited</t>
  </si>
  <si>
    <t>Jyothy Laboratories Limited</t>
  </si>
  <si>
    <t>Jyoti Structures Limited</t>
  </si>
  <si>
    <t>Kabra Extrusion Technik Limited</t>
  </si>
  <si>
    <t>Kajaria Ceramics Limited</t>
  </si>
  <si>
    <t>Kakatiya Cement Sugar &amp; Industries Limited</t>
  </si>
  <si>
    <t>Kalpataru Power Transmission Limited</t>
  </si>
  <si>
    <t>Kalyani Forge Limited</t>
  </si>
  <si>
    <t>Kamat Hotels (I) Limited</t>
  </si>
  <si>
    <t>Kanani Industries Limited</t>
  </si>
  <si>
    <t>Kanoria Chemicals &amp; Industries Limited</t>
  </si>
  <si>
    <t>Kansai Nerolac Paints Limited</t>
  </si>
  <si>
    <t>Karma Energy Limited</t>
  </si>
  <si>
    <t>Karur Vysya Bank Limited</t>
  </si>
  <si>
    <t>Kaushalya Infrastructure Development Corporation Limited</t>
  </si>
  <si>
    <t>Kavveri Telecom Products Limited</t>
  </si>
  <si>
    <t>KCP Limited</t>
  </si>
  <si>
    <t>KCP Sugar and Industries Corporation Limited</t>
  </si>
  <si>
    <t>KEC International Limited</t>
  </si>
  <si>
    <t>Kirloskar Electric Company Limited</t>
  </si>
  <si>
    <t>KEI Industries Limited</t>
  </si>
  <si>
    <t>Kernex Microsystems (India) Limited</t>
  </si>
  <si>
    <t>Kesar Enterprises Limited</t>
  </si>
  <si>
    <t>Kesoram Industries Limited</t>
  </si>
  <si>
    <t>Keynote Corporate Services Limited</t>
  </si>
  <si>
    <t>Karuturi Global Limited</t>
  </si>
  <si>
    <t>Khaitan Electricals Limited</t>
  </si>
  <si>
    <t>Khaitan (India) Limited</t>
  </si>
  <si>
    <t>Khandwala Securities Limited</t>
  </si>
  <si>
    <t>Kalyani Investment Company Limited</t>
  </si>
  <si>
    <t>Kilitch Drugs (India) Limited</t>
  </si>
  <si>
    <t>Kiri Industries Limited</t>
  </si>
  <si>
    <t>Kirloskar Brothers Limited</t>
  </si>
  <si>
    <t>Kirloskar Oil Engines Limited</t>
  </si>
  <si>
    <t>Kirloskar Industries Limited</t>
  </si>
  <si>
    <t>Kitex Garments Limited</t>
  </si>
  <si>
    <t>Kewal Kiran Clothing Limited</t>
  </si>
  <si>
    <t>K.M.Sugar Mills Limited</t>
  </si>
  <si>
    <t>KNR Constructions Limited</t>
  </si>
  <si>
    <t>Kohinoor Foods Limited</t>
  </si>
  <si>
    <t>Kokuyo Camlin Limited</t>
  </si>
  <si>
    <t>Kolte - Patil Developers Limited</t>
  </si>
  <si>
    <t>Kopran Limited</t>
  </si>
  <si>
    <t>Kotak Mahindra Bank Limited</t>
  </si>
  <si>
    <t>Kothari Sugars And Chemicals Limited</t>
  </si>
  <si>
    <t>Kothari Petrochemicals Limited</t>
  </si>
  <si>
    <t>Kothari Products Limited</t>
  </si>
  <si>
    <t>K.P.R. Mill Limited</t>
  </si>
  <si>
    <t>KRBL Limited</t>
  </si>
  <si>
    <t>KSB Pumps Limited</t>
  </si>
  <si>
    <t>Kaveri Seed Company Limited</t>
  </si>
  <si>
    <t>KSS Limited</t>
  </si>
  <si>
    <t>KSK Energy Ventures Limited</t>
  </si>
  <si>
    <t>Kalyani Steels Limited</t>
  </si>
  <si>
    <t>Kesar Terminals &amp; Infrastructure Limited</t>
  </si>
  <si>
    <t>The Karnataka Bank Limited</t>
  </si>
  <si>
    <t>kwality limited</t>
  </si>
  <si>
    <t>L&amp;T Finance Holdings Limited</t>
  </si>
  <si>
    <t>Lakshmi Precision Screws Limited</t>
  </si>
  <si>
    <t>Lakshmi Energy and Foods Limited</t>
  </si>
  <si>
    <t>Lakshmi Vilas Bank Limited</t>
  </si>
  <si>
    <t>La Opala RG Limited</t>
  </si>
  <si>
    <t>Lakshmi Machine Works Limited</t>
  </si>
  <si>
    <t>LCC Infotech Limited</t>
  </si>
  <si>
    <t>LG Balakrishnan &amp; Bros Limited</t>
  </si>
  <si>
    <t>LGB Forge Limited</t>
  </si>
  <si>
    <t>Liberty Shoes Limited</t>
  </si>
  <si>
    <t>LIC Housing Finance Limited</t>
  </si>
  <si>
    <t>Linde India Limited</t>
  </si>
  <si>
    <t>Lanco Infratech Limited</t>
  </si>
  <si>
    <t>Lloyd Electric &amp; Engineering Limited</t>
  </si>
  <si>
    <t>LML Limited</t>
  </si>
  <si>
    <t>Lokesh Machines Limited</t>
  </si>
  <si>
    <t>Lotus Eye Care Hospital Limited</t>
  </si>
  <si>
    <t>Lovable Lingerie Limited</t>
  </si>
  <si>
    <t>Landmark Property Development Company Limited</t>
  </si>
  <si>
    <t>Larsen &amp; Toubro Limited</t>
  </si>
  <si>
    <t>Lumax Industries Limited</t>
  </si>
  <si>
    <t>Lumax Auto Technologies Limited</t>
  </si>
  <si>
    <t>Lupin Limited</t>
  </si>
  <si>
    <t>Lyka Labs Limited</t>
  </si>
  <si>
    <t>Lypsa Gems &amp; Jewellery Limited</t>
  </si>
  <si>
    <t>Mahindra &amp; Mahindra Limited</t>
  </si>
  <si>
    <t>Mahindra &amp; Mahindra Financial Services Limited</t>
  </si>
  <si>
    <t>Maan Aluminium Limited</t>
  </si>
  <si>
    <t>Madhav Marbles and Granites Limited</t>
  </si>
  <si>
    <t>Madhucon Projects Limited</t>
  </si>
  <si>
    <t>Madras Fertilizers Limited</t>
  </si>
  <si>
    <t>Magma Fincorp Limited</t>
  </si>
  <si>
    <t>Magnum Ventures Limited</t>
  </si>
  <si>
    <t>Bank of Maharashtra</t>
  </si>
  <si>
    <t>Mahindra CIE Automotive Limited</t>
  </si>
  <si>
    <t>Mahindra Lifespace Developers Limited</t>
  </si>
  <si>
    <t>Maharashtra Scooters Limited</t>
  </si>
  <si>
    <t>Maharashtra Seamless Limited</t>
  </si>
  <si>
    <t>Maithan Alloys Limited</t>
  </si>
  <si>
    <t>Malu Paper Mills Limited</t>
  </si>
  <si>
    <t>Malwa Cotton Spg. Mills Limited</t>
  </si>
  <si>
    <t>Manaksia Limited</t>
  </si>
  <si>
    <t>Manali Petrochemicals Limited</t>
  </si>
  <si>
    <t>Mandhana Industries Limited</t>
  </si>
  <si>
    <t>Mangalam Drugs And Organics Limited</t>
  </si>
  <si>
    <t>Mangalore Chemicals &amp; Fertilizers Limited</t>
  </si>
  <si>
    <t>Mangalam Cement Limited</t>
  </si>
  <si>
    <t>Mangalam Timber Products Limited</t>
  </si>
  <si>
    <t>Man Industries (India) Limited</t>
  </si>
  <si>
    <t>Man Infraconstruction Limited</t>
  </si>
  <si>
    <t>Manugraph India Limited</t>
  </si>
  <si>
    <t>Maral Overseas Limited</t>
  </si>
  <si>
    <t>Marico Limited</t>
  </si>
  <si>
    <t>Marksans Pharma Limited</t>
  </si>
  <si>
    <t>Maruti Suzuki India Limited</t>
  </si>
  <si>
    <t>Mastek Limited</t>
  </si>
  <si>
    <t>Mawana Sugars Limited</t>
  </si>
  <si>
    <t>Max India Limited</t>
  </si>
  <si>
    <t>Mayur Uniquoters Ltd</t>
  </si>
  <si>
    <t>Mcnally Bharat Engineering Company Limited</t>
  </si>
  <si>
    <t>MBL Infrastructures Limited</t>
  </si>
  <si>
    <t>McDowell Holdings Limited</t>
  </si>
  <si>
    <t>United Spirits Limited</t>
  </si>
  <si>
    <t>Mcleod Russel India Limited</t>
  </si>
  <si>
    <t>Megasoft Limited</t>
  </si>
  <si>
    <t>Meghmani Organics Limited</t>
  </si>
  <si>
    <t>Melstar Information Technologies Limited</t>
  </si>
  <si>
    <t>Mercator Limited</t>
  </si>
  <si>
    <t>Merck Limited</t>
  </si>
  <si>
    <t>Metkore Alloys &amp; Industries Limited</t>
  </si>
  <si>
    <t>Mahindra Holidays &amp; Resorts India Limited</t>
  </si>
  <si>
    <t>MIC Electronics Limited</t>
  </si>
  <si>
    <t>Minda Corporation Limited</t>
  </si>
  <si>
    <t>Minda Industries Limited</t>
  </si>
  <si>
    <t>MindTree Limited</t>
  </si>
  <si>
    <t>MIRC Electronics Limited</t>
  </si>
  <si>
    <t>Mirza International Limited</t>
  </si>
  <si>
    <t>MM Forgings Limited</t>
  </si>
  <si>
    <t>MMTC Limited</t>
  </si>
  <si>
    <t>Mohit Industries Limited</t>
  </si>
  <si>
    <t>MOIL Limited</t>
  </si>
  <si>
    <t>Monnet Ispat and Energy Limited</t>
  </si>
  <si>
    <t>Monsanto India Limited</t>
  </si>
  <si>
    <t>Morarjee Textiles Limited</t>
  </si>
  <si>
    <t>Morepen Laboratories Limited</t>
  </si>
  <si>
    <t>Moser-Baer (I) Limited</t>
  </si>
  <si>
    <t>Motherson Sumi Systems Limited</t>
  </si>
  <si>
    <t>Motilal Oswal Financial Services Limited</t>
  </si>
  <si>
    <t>The Motor &amp; General Finance Limited</t>
  </si>
  <si>
    <t>MphasiS Limited</t>
  </si>
  <si>
    <t>MPS Limited</t>
  </si>
  <si>
    <t>MRF Limited</t>
  </si>
  <si>
    <t>Mangalore Refinery and Petrochemicals Limited</t>
  </si>
  <si>
    <t>MSP Steel &amp; Power Limited</t>
  </si>
  <si>
    <t>MT Educare Limited</t>
  </si>
  <si>
    <t>Mahanagar Telephone Nigam Limited</t>
  </si>
  <si>
    <t>Mukand Engineers Limited</t>
  </si>
  <si>
    <t>Mukand Limited</t>
  </si>
  <si>
    <t>Mukta Arts Limited</t>
  </si>
  <si>
    <t>Munjal Auto Industries Limited</t>
  </si>
  <si>
    <t>Munjal Showa Limited</t>
  </si>
  <si>
    <t>Murudeshwar Ceramics Limited</t>
  </si>
  <si>
    <t>Muthoot Finance Limited</t>
  </si>
  <si>
    <t>MVL Limited</t>
  </si>
  <si>
    <t>Nagarjuna Oil Refinery Limited</t>
  </si>
  <si>
    <t>Nagreeka Capital &amp; Infrastructure Limited</t>
  </si>
  <si>
    <t>Nagreeka Exports Limited</t>
  </si>
  <si>
    <t>Nahar Capital and Financial Services Limited</t>
  </si>
  <si>
    <t>Nahar Industrial Enterprises Limited</t>
  </si>
  <si>
    <t>Nahar Poly Films Limited</t>
  </si>
  <si>
    <t>Nahar Spinning Mills Limited</t>
  </si>
  <si>
    <t>Nakoda Limited</t>
  </si>
  <si>
    <t>Natco Pharma Limited</t>
  </si>
  <si>
    <t>Nath Bio-Genes (India) Limited</t>
  </si>
  <si>
    <t>National Aluminium Company Limited</t>
  </si>
  <si>
    <t>National Steel And Agro Industries Limited</t>
  </si>
  <si>
    <t>Info Edge (India) Limited</t>
  </si>
  <si>
    <t>Navin Fluorine International Limited</t>
  </si>
  <si>
    <t>Navneet Education Limited</t>
  </si>
  <si>
    <t>Nava Bharat Ventures Limited</t>
  </si>
  <si>
    <t>NCC Limited</t>
  </si>
  <si>
    <t>NCL Industries Limited</t>
  </si>
  <si>
    <t>Nandan Denim Limited</t>
  </si>
  <si>
    <t>New Delhi Television Limited</t>
  </si>
  <si>
    <t>Nectar Lifesciences Limited</t>
  </si>
  <si>
    <t>Nelcast Limited</t>
  </si>
  <si>
    <t>NELCO Limited</t>
  </si>
  <si>
    <t>Nesco Limited</t>
  </si>
  <si>
    <t>Net 4 India Limited</t>
  </si>
  <si>
    <t>Network18 Media &amp; Investments Limited</t>
  </si>
  <si>
    <t>Neuland Laboratories Limited</t>
  </si>
  <si>
    <t>Next Mediaworks Limited</t>
  </si>
  <si>
    <t>National Fertilizers Limited</t>
  </si>
  <si>
    <t>NHPC Limited</t>
  </si>
  <si>
    <t>NRB Industrial Bearings Limited</t>
  </si>
  <si>
    <t>Nicco Corporation Limited</t>
  </si>
  <si>
    <t>NIIT Limited</t>
  </si>
  <si>
    <t>NIIT Technologies Limited</t>
  </si>
  <si>
    <t>Nilkamal Limited</t>
  </si>
  <si>
    <t>Nitco Limited</t>
  </si>
  <si>
    <t>Nitesh Estates Limited</t>
  </si>
  <si>
    <t>Nitin Fire Protection Industries Limited</t>
  </si>
  <si>
    <t>Nitin Spinners Limited</t>
  </si>
  <si>
    <t>NK Industries Limited</t>
  </si>
  <si>
    <t>NMDC Limited</t>
  </si>
  <si>
    <t>NOCIL Limited</t>
  </si>
  <si>
    <t>Noesis Industries Limited</t>
  </si>
  <si>
    <t>Noida Toll Bridge Company Limited</t>
  </si>
  <si>
    <t>Norben Tea &amp; Exports Limited</t>
  </si>
  <si>
    <t>NRB Bearing Limited</t>
  </si>
  <si>
    <t>Nalwa Sons Investments Limited</t>
  </si>
  <si>
    <t>NTPC Limited</t>
  </si>
  <si>
    <t>Nucleus Software Exports Limited</t>
  </si>
  <si>
    <t>Nu Tek India Limited</t>
  </si>
  <si>
    <t>Oberoi Realty Limited</t>
  </si>
  <si>
    <t>OCL India Limited</t>
  </si>
  <si>
    <t>Oracle Financial Services Software Limited</t>
  </si>
  <si>
    <t>Oil India Limited</t>
  </si>
  <si>
    <t>Oil Country Tubular Limited</t>
  </si>
  <si>
    <t>OCL Iron and Steel Limited</t>
  </si>
  <si>
    <t>Omax Autos Limited</t>
  </si>
  <si>
    <t>Omaxe Limited</t>
  </si>
  <si>
    <t>Omkar Speciality Chemicals Limited</t>
  </si>
  <si>
    <t>OM Metals Infraprojects Limited</t>
  </si>
  <si>
    <t>Onelife Capital Advisors Limited</t>
  </si>
  <si>
    <t>Oil &amp; Natural Gas Corporation Limited</t>
  </si>
  <si>
    <t>OnMobile Global Limited</t>
  </si>
  <si>
    <t>Onward Technologies Limited</t>
  </si>
  <si>
    <t>Opto Circuits (India) Limited</t>
  </si>
  <si>
    <t>Orbit Corporation Limited</t>
  </si>
  <si>
    <t>Orbit Exports Limited</t>
  </si>
  <si>
    <t>Orient Abrasives Limited</t>
  </si>
  <si>
    <t>Oriental Trimex Limited</t>
  </si>
  <si>
    <t>Oriental Bank of Commerce</t>
  </si>
  <si>
    <t>Orient Bell Limited</t>
  </si>
  <si>
    <t>Orient Cement Limited</t>
  </si>
  <si>
    <t>Oriental Hotels Limited</t>
  </si>
  <si>
    <t>Orient Press Limited</t>
  </si>
  <si>
    <t>Orient Paper &amp; Industries Limited</t>
  </si>
  <si>
    <t>Orient Refractories Limited</t>
  </si>
  <si>
    <t>The Orissa Minerals Development Company Limited</t>
  </si>
  <si>
    <t>PAE Limited</t>
  </si>
  <si>
    <t>Page Industries Limited</t>
  </si>
  <si>
    <t>Palred Technologies Limited</t>
  </si>
  <si>
    <t>Panacea Biotec Limited</t>
  </si>
  <si>
    <t>Panama Petrochem Limited</t>
  </si>
  <si>
    <t>Panoramic Universal Limited</t>
  </si>
  <si>
    <t>Huhtamaki PPL Limited</t>
  </si>
  <si>
    <t>Parabolic Drugs Limited</t>
  </si>
  <si>
    <t>Paramount Communications Limited</t>
  </si>
  <si>
    <t>Parsvnath Developers Limited</t>
  </si>
  <si>
    <t>Patel Engineering Limited</t>
  </si>
  <si>
    <t>Patel Integrated Logistics Limited</t>
  </si>
  <si>
    <t>Patspin India Limited</t>
  </si>
  <si>
    <t>PBA Infrastructure Limited</t>
  </si>
  <si>
    <t>PC Jeweller Limited</t>
  </si>
  <si>
    <t>Parenteral Drugs (India) Limited</t>
  </si>
  <si>
    <t>PDS Multinational Fashions Limited</t>
  </si>
  <si>
    <t>Pudumjee Industries Limited</t>
  </si>
  <si>
    <t>Pudumjee Pulp &amp; Paper Mills Limited</t>
  </si>
  <si>
    <t>Pearl Polymers Limited</t>
  </si>
  <si>
    <t>Piramal Enterprises Limited</t>
  </si>
  <si>
    <t>Pennar Industries Limited</t>
  </si>
  <si>
    <t>Peninsula Land Limited</t>
  </si>
  <si>
    <t>Persistent Systems Limited</t>
  </si>
  <si>
    <t>Petron Engineering Construction Limited</t>
  </si>
  <si>
    <t>Petronet LNG Limited</t>
  </si>
  <si>
    <t>Power Finance Corporation Limited</t>
  </si>
  <si>
    <t>Pfizer Limited</t>
  </si>
  <si>
    <t>Prime Focus Limited</t>
  </si>
  <si>
    <t>PTC India Financial Services Limited</t>
  </si>
  <si>
    <t>PG Electroplast Limited</t>
  </si>
  <si>
    <t>Procter &amp; Gamble Hygiene and Health Care Limited</t>
  </si>
  <si>
    <t>Pearl Global Industries Limited</t>
  </si>
  <si>
    <t>Phillips Carbon Black Limited</t>
  </si>
  <si>
    <t>Phoenix Lamps Limited</t>
  </si>
  <si>
    <t>The Phoenix Mills Limited</t>
  </si>
  <si>
    <t>Pidilite Industries Limited</t>
  </si>
  <si>
    <t>PI Industries Limited</t>
  </si>
  <si>
    <t>Pioneer Distilleries Limited</t>
  </si>
  <si>
    <t>Pioneer Embroideries Limited</t>
  </si>
  <si>
    <t>Piramal Phytocare Limited</t>
  </si>
  <si>
    <t>Pitti Laminations Limited</t>
  </si>
  <si>
    <t>Plastiblends India Limited</t>
  </si>
  <si>
    <t>Punjab National Bank</t>
  </si>
  <si>
    <t>PNB Gilts Limited</t>
  </si>
  <si>
    <t>Pritish Nandy Communications Limited</t>
  </si>
  <si>
    <t>Pochiraju Industries Limited</t>
  </si>
  <si>
    <t>Poly Medicure Limited</t>
  </si>
  <si>
    <t>Polyplex Corporation Limited</t>
  </si>
  <si>
    <t>Ponni Sugars (Erode) Limited</t>
  </si>
  <si>
    <t>Power Grid Corporation of India Limited</t>
  </si>
  <si>
    <t>PPAP Automotive Limited</t>
  </si>
  <si>
    <t>Pradip Overseas Limited</t>
  </si>
  <si>
    <t>Prajay Engineers Syndicate Limited</t>
  </si>
  <si>
    <t>Praj Industries Limited</t>
  </si>
  <si>
    <t>Prakash Industries Limited</t>
  </si>
  <si>
    <t>Prakash Constrowell Limited</t>
  </si>
  <si>
    <t>Prakash Steelage Limited</t>
  </si>
  <si>
    <t>Pratibha Industries Limited</t>
  </si>
  <si>
    <t>Precot Meridian Limited</t>
  </si>
  <si>
    <t>Precision Wires India Limited</t>
  </si>
  <si>
    <t>Premier Limited</t>
  </si>
  <si>
    <t>Premier Polyfilm Limited</t>
  </si>
  <si>
    <t>Pressman Advertising Limited</t>
  </si>
  <si>
    <t>Prestige Estates Projects Limited</t>
  </si>
  <si>
    <t>Pricol Limited</t>
  </si>
  <si>
    <t>Prime Securities Limited</t>
  </si>
  <si>
    <t>Prism Cement Limited</t>
  </si>
  <si>
    <t>Provogue (India) Limited</t>
  </si>
  <si>
    <t>Prozone Intu Properties Limited</t>
  </si>
  <si>
    <t>Punjab &amp; Sind Bank</t>
  </si>
  <si>
    <t>PSL Limited</t>
  </si>
  <si>
    <t>PTC India Limited</t>
  </si>
  <si>
    <t>PTL Enterprises Limited</t>
  </si>
  <si>
    <t>Punjab Chemicals &amp; Crop Protection Limited</t>
  </si>
  <si>
    <t>Punj Lloyd Limited</t>
  </si>
  <si>
    <t>PVP Ventures Limited</t>
  </si>
  <si>
    <t>PVR Limited</t>
  </si>
  <si>
    <t>Quintegra Solutions Limited</t>
  </si>
  <si>
    <t>Radaan Mediaworks India Limited</t>
  </si>
  <si>
    <t>Radico Khaitan Limited</t>
  </si>
  <si>
    <t>Rain Industries Limited</t>
  </si>
  <si>
    <t>Rainbow Papers Limited</t>
  </si>
  <si>
    <t>Raisaheb Reckhchand Mohota Spinning &amp; Weaving Mills Limited</t>
  </si>
  <si>
    <t>Rajesh Exports Limited</t>
  </si>
  <si>
    <t>Raj Oil Mills Limited</t>
  </si>
  <si>
    <t>Raj Rayon Industries Limited</t>
  </si>
  <si>
    <t>Rajshree Sugars &amp; Chemicals Limited</t>
  </si>
  <si>
    <t>Raj Television Network Limited</t>
  </si>
  <si>
    <t>Rajvir Industries Limited</t>
  </si>
  <si>
    <t>Rallis India Limited</t>
  </si>
  <si>
    <t>The Ramco Cements Limited</t>
  </si>
  <si>
    <t>Ramco Industries Limited</t>
  </si>
  <si>
    <t>Ramco Systems Limited</t>
  </si>
  <si>
    <t>Ramky Infrastructure Limited</t>
  </si>
  <si>
    <t>Ramsarup Industries Limited</t>
  </si>
  <si>
    <t>Rana Sugars Limited</t>
  </si>
  <si>
    <t>Rane Engine Valve Limited</t>
  </si>
  <si>
    <t>Rane Holdings Limited</t>
  </si>
  <si>
    <t>Rasoya Proteins Limited</t>
  </si>
  <si>
    <t>Ratnamani Metals &amp; Tubes Limited</t>
  </si>
  <si>
    <t>Raymond Limited</t>
  </si>
  <si>
    <t>Rane Brake Lining Limited</t>
  </si>
  <si>
    <t>Rashtriya Chemicals and Fertilizers Limited</t>
  </si>
  <si>
    <t>Reliance Communications Limited</t>
  </si>
  <si>
    <t>Rural Electrification Corporation Limited</t>
  </si>
  <si>
    <t>Redington (India) Limited</t>
  </si>
  <si>
    <t>Regency Ceramics Limited</t>
  </si>
  <si>
    <t>Rei Agro Limited</t>
  </si>
  <si>
    <t>Relaxo Footwears Limited</t>
  </si>
  <si>
    <t>Reliance Capital Limited</t>
  </si>
  <si>
    <t>Reliance Industries Limited</t>
  </si>
  <si>
    <t>Religare Enterprises Limited</t>
  </si>
  <si>
    <t>Reliance Infrastructure Limited</t>
  </si>
  <si>
    <t>Remsons Industries Limited</t>
  </si>
  <si>
    <t>Shree Renuka Sugars Limited</t>
  </si>
  <si>
    <t>Repco Home Finance Limited</t>
  </si>
  <si>
    <t>Repro India Limited</t>
  </si>
  <si>
    <t>Responsive Industries Limited</t>
  </si>
  <si>
    <t>Revathi Equipment Limited</t>
  </si>
  <si>
    <t>Rico Auto Industries Limited</t>
  </si>
  <si>
    <t>Reliance Industrial Infrastructure Limited</t>
  </si>
  <si>
    <t>Renaissance Jewellery Limited</t>
  </si>
  <si>
    <t>Ravi Kumar Distilleries Limited</t>
  </si>
  <si>
    <t>Ramkrishna Forgings Limited</t>
  </si>
  <si>
    <t>Radha Madhav Corporation Limited</t>
  </si>
  <si>
    <t>Rane (Madras) Limited</t>
  </si>
  <si>
    <t>Rohit Ferro-Tech Limited</t>
  </si>
  <si>
    <t>Royal Orchid Hotels Limited</t>
  </si>
  <si>
    <t>Rolta India Limited</t>
  </si>
  <si>
    <t>Rossell India Limited</t>
  </si>
  <si>
    <t>RPG Life Sciences Limited</t>
  </si>
  <si>
    <t>Reliance Power Limited</t>
  </si>
  <si>
    <t>R.P.P. Infra Projects Limited</t>
  </si>
  <si>
    <t>R. S. Software (India) Limited</t>
  </si>
  <si>
    <t>RSWM Limited</t>
  </si>
  <si>
    <t>R Systems International Limited</t>
  </si>
  <si>
    <t>The Ruby Mills Limited</t>
  </si>
  <si>
    <t>Ruchi Infrastructure Limited</t>
  </si>
  <si>
    <t>Ruchira Papers Limited</t>
  </si>
  <si>
    <t>Ruchi Soya Industries Limited</t>
  </si>
  <si>
    <t>Rupa &amp; Company Limited</t>
  </si>
  <si>
    <t>Rushil Decor Limited</t>
  </si>
  <si>
    <t>Sri Adhikari Brothers Television Network Limited</t>
  </si>
  <si>
    <t>Sadbhav Engineering Limited</t>
  </si>
  <si>
    <t>Sagar Cements Limited</t>
  </si>
  <si>
    <t>Steel Authority of India Limited</t>
  </si>
  <si>
    <t>Sakthi Sugars Limited</t>
  </si>
  <si>
    <t>Saksoft Limited</t>
  </si>
  <si>
    <t>Sakuma Exports Limited</t>
  </si>
  <si>
    <t>Salora International Limited</t>
  </si>
  <si>
    <t>S.A.L. Steel Limited</t>
  </si>
  <si>
    <t>Sambhaav Media Limited</t>
  </si>
  <si>
    <t>Samtel Color Limited</t>
  </si>
  <si>
    <t>The Sandesh Limited</t>
  </si>
  <si>
    <t>Sangam (India) Limited</t>
  </si>
  <si>
    <t>Sanghi Industries Limited</t>
  </si>
  <si>
    <t>Sanghvi Forging and Engineering Limited</t>
  </si>
  <si>
    <t>Sanghvi Movers Limited</t>
  </si>
  <si>
    <t>Sanofi India Limited</t>
  </si>
  <si>
    <t>Sanwaria Agro Oils Limited</t>
  </si>
  <si>
    <t>Sarda Energy &amp; Minerals Limited</t>
  </si>
  <si>
    <t>Saregama India Limited</t>
  </si>
  <si>
    <t>Sarla Performance Fibers Limited</t>
  </si>
  <si>
    <t>Sathavahana Ispat Limited</t>
  </si>
  <si>
    <t>State Bank of India</t>
  </si>
  <si>
    <t>Schneider Electric Infrastructure Limited</t>
  </si>
  <si>
    <t>Shipping Corporation Of India Limited</t>
  </si>
  <si>
    <t>Som Distilleries &amp; Breweries Limited</t>
  </si>
  <si>
    <t>Seamec Limited</t>
  </si>
  <si>
    <t>S.E. Investments Limited</t>
  </si>
  <si>
    <t>Selan Exploration Technology Limited</t>
  </si>
  <si>
    <t>SEL Manufacturing Company Limited</t>
  </si>
  <si>
    <t>S.E. Power Limited</t>
  </si>
  <si>
    <t>Servalakshmi Paper Limited</t>
  </si>
  <si>
    <t>Seshasayee Paper and Boards Limited</t>
  </si>
  <si>
    <t>Sezal Glass Limited</t>
  </si>
  <si>
    <t>Shree Ganesh Forgings Limited</t>
  </si>
  <si>
    <t>STL Global Limited</t>
  </si>
  <si>
    <t>Shah Alloys Limited</t>
  </si>
  <si>
    <t>Shalimar Paints Limited</t>
  </si>
  <si>
    <t>Shanthi Gears Limited</t>
  </si>
  <si>
    <t>Sharda Cropchem Limited</t>
  </si>
  <si>
    <t>Sharon Bio-Medicine Limited</t>
  </si>
  <si>
    <t>Shemaroo Entertainment Limited</t>
  </si>
  <si>
    <t>Shilpa Medicare Limited</t>
  </si>
  <si>
    <t>Shilpi Cable Technologies Limited</t>
  </si>
  <si>
    <t>Shirpur Gold Refinery Limited</t>
  </si>
  <si>
    <t>Shivam Autotech Limited</t>
  </si>
  <si>
    <t>Shiva Texyarn Limited</t>
  </si>
  <si>
    <t>Shoppers Stop Limited</t>
  </si>
  <si>
    <t>Shree Cements Limited</t>
  </si>
  <si>
    <t>Shree Rama Multi-Tech Limited</t>
  </si>
  <si>
    <t>Shreyans Industries Limited</t>
  </si>
  <si>
    <t>Shreyas Shipping &amp; Logistics Limited</t>
  </si>
  <si>
    <t>Shriram City Union Finance Limited</t>
  </si>
  <si>
    <t>Shriram EPC Limited</t>
  </si>
  <si>
    <t>Shyam Telecom Limited</t>
  </si>
  <si>
    <t>Sicagen India Limited</t>
  </si>
  <si>
    <t>Sical Logistics Limited</t>
  </si>
  <si>
    <t>Siemens Limited</t>
  </si>
  <si>
    <t>Standard Industries Limited</t>
  </si>
  <si>
    <t>SIL Investments Limited</t>
  </si>
  <si>
    <t>Simbhaoli Sugars Limited</t>
  </si>
  <si>
    <t>Simplex Projects Limited</t>
  </si>
  <si>
    <t>Simplex Infrastructures Limited</t>
  </si>
  <si>
    <t>Sintex Industries Limited</t>
  </si>
  <si>
    <t>Sita Shree Food Products Limited</t>
  </si>
  <si>
    <t>Siyaram Silk Mills Limited</t>
  </si>
  <si>
    <t>SJVN Limited</t>
  </si>
  <si>
    <t>SKF India Limited</t>
  </si>
  <si>
    <t>SKIL Infrastructure Limited</t>
  </si>
  <si>
    <t>SKM Egg Products Export (India) Limited</t>
  </si>
  <si>
    <t>Smartlink Network Systems Limited</t>
  </si>
  <si>
    <t>SML Isuzu Limited</t>
  </si>
  <si>
    <t>SMS Pharmaceuticals Limited</t>
  </si>
  <si>
    <t>Snowman Logistics Limited</t>
  </si>
  <si>
    <t>Sobha Limited</t>
  </si>
  <si>
    <t>Software Technology Group International Limited</t>
  </si>
  <si>
    <t>Solar Industries India Limited</t>
  </si>
  <si>
    <t>Somany Ceramics Limited</t>
  </si>
  <si>
    <t>Soma Textiles &amp; Industries Limited</t>
  </si>
  <si>
    <t>Sona Koyo Steering Systems Limited</t>
  </si>
  <si>
    <t>Sonata Software Limited</t>
  </si>
  <si>
    <t>Savita Oil Technologies Limited</t>
  </si>
  <si>
    <t>The South Indian Bank Limited</t>
  </si>
  <si>
    <t>Sun Pharma Advanced Research Company Limited</t>
  </si>
  <si>
    <t>Speciality Restaurants Limited</t>
  </si>
  <si>
    <t>Spentex Industries Limited</t>
  </si>
  <si>
    <t>Southern Petrochemicals Industries Corporation  Limited</t>
  </si>
  <si>
    <t>Spice Mobility Limited</t>
  </si>
  <si>
    <t>SPL Industries Limited</t>
  </si>
  <si>
    <t>SPML Infra Limited</t>
  </si>
  <si>
    <t>Shekhawati Poly-Yarn Limited</t>
  </si>
  <si>
    <t>Sreeleathers Limited</t>
  </si>
  <si>
    <t>SREI Infrastructure Finance Limited</t>
  </si>
  <si>
    <t>SRF Limited</t>
  </si>
  <si>
    <t>SRG Infotec (India) Limited</t>
  </si>
  <si>
    <t>Sree Rayalaseema Hi-Strength Hypo Limited</t>
  </si>
  <si>
    <t>SRS Limited</t>
  </si>
  <si>
    <t>Shriram Transport Finance Company Limited</t>
  </si>
  <si>
    <t>Steel Strips Wheels Limited</t>
  </si>
  <si>
    <t>Star Paper Mills Limited</t>
  </si>
  <si>
    <t>The State Trading Corporation of India Limited</t>
  </si>
  <si>
    <t>Stel Holdings Limited</t>
  </si>
  <si>
    <t>Sterling Biotech Limited</t>
  </si>
  <si>
    <t>Sterling Tools Limited</t>
  </si>
  <si>
    <t>STI India Limited</t>
  </si>
  <si>
    <t>Sterlite Technologies Limited</t>
  </si>
  <si>
    <t>Subex Limited</t>
  </si>
  <si>
    <t>Subros Limited</t>
  </si>
  <si>
    <t>Sudarshan Chemical Industries Limited</t>
  </si>
  <si>
    <t>Sujana Universal Industries Limited</t>
  </si>
  <si>
    <t>Sumeet Industries Limited</t>
  </si>
  <si>
    <t>Summit Securities Limited</t>
  </si>
  <si>
    <t>Sundaram Clayton Limited</t>
  </si>
  <si>
    <t>Sundaram Multi Pap Limited</t>
  </si>
  <si>
    <t>Sundaram Finance Limited</t>
  </si>
  <si>
    <t>Sundaram Brake Linings Limited</t>
  </si>
  <si>
    <t>Sundram Fasteners Limited</t>
  </si>
  <si>
    <t>Sunflag Iron And Steel Company Limited</t>
  </si>
  <si>
    <t>Sunil Hitech Engineers Limited</t>
  </si>
  <si>
    <t>Sunteck Realty Limited</t>
  </si>
  <si>
    <t>Sun TV Network Limited</t>
  </si>
  <si>
    <t>Superhouse Limited</t>
  </si>
  <si>
    <t>Super Spinning Mills Limited</t>
  </si>
  <si>
    <t>Supreme Petrochem Limited</t>
  </si>
  <si>
    <t>Suprajit Engineering Limited</t>
  </si>
  <si>
    <t>Supreme Industries Limited</t>
  </si>
  <si>
    <t>Supreme Infrastructure India Limited</t>
  </si>
  <si>
    <t>Supreme Tex Mart Limited</t>
  </si>
  <si>
    <t>Surana Corporation Limited</t>
  </si>
  <si>
    <t>Surana Industries Limited</t>
  </si>
  <si>
    <t>Surana Telecom and Power Limited</t>
  </si>
  <si>
    <t>Suryalakshmi Cotton Mills Limited</t>
  </si>
  <si>
    <t>Surya Roshni Limited</t>
  </si>
  <si>
    <t>Sutlej Textiles and Industries Limited</t>
  </si>
  <si>
    <t>Suven Life Sciences Limited</t>
  </si>
  <si>
    <t>Suzlon Energy Limited</t>
  </si>
  <si>
    <t>Swan Energy Limited</t>
  </si>
  <si>
    <t>Swaraj Engines Limited</t>
  </si>
  <si>
    <t>Swelect Energy Systems Limited</t>
  </si>
  <si>
    <t>Symphony Limited</t>
  </si>
  <si>
    <t>Syncom Healthcare Limited</t>
  </si>
  <si>
    <t>Syndicate Bank</t>
  </si>
  <si>
    <t>Tainwala Chemical and Plastic (I) Limited</t>
  </si>
  <si>
    <t>Taj GVK Hotels &amp; Resorts Limited</t>
  </si>
  <si>
    <t>Take Solutions Limited</t>
  </si>
  <si>
    <t>Talbros Automotive Components Limited</t>
  </si>
  <si>
    <t>Talwalkars Better Value Fitness Limited</t>
  </si>
  <si>
    <t>Tanla Solutions Limited</t>
  </si>
  <si>
    <t>Tantia Constructions Limited</t>
  </si>
  <si>
    <t>Tara Jewels Limited</t>
  </si>
  <si>
    <t>Tarapur Transformers Limited</t>
  </si>
  <si>
    <t>Tarmat Limited</t>
  </si>
  <si>
    <t>Tata Chemicals Limited</t>
  </si>
  <si>
    <t>Tata Coffee Limited</t>
  </si>
  <si>
    <t>Tata Communications Limited</t>
  </si>
  <si>
    <t>Tata Elxsi Limited</t>
  </si>
  <si>
    <t>Tata Global Beverages Limited</t>
  </si>
  <si>
    <t>Tata Investment Corporation Limited</t>
  </si>
  <si>
    <t>Tata Metaliks Limited</t>
  </si>
  <si>
    <t>Tata Motors Limited</t>
  </si>
  <si>
    <t>Tata Power Company Limited</t>
  </si>
  <si>
    <t>Tata Sponge Iron Limited</t>
  </si>
  <si>
    <t>Tata Steel Limited</t>
  </si>
  <si>
    <t>Tribhovandas Bhimji Zaveri Limited</t>
  </si>
  <si>
    <t>Transport Corporation of India Limited</t>
  </si>
  <si>
    <t>TCI Developers Limited</t>
  </si>
  <si>
    <t>TCI Finance Limited</t>
  </si>
  <si>
    <t>Tata Consultancy Services Limited</t>
  </si>
  <si>
    <t>TD Power Systems Limited</t>
  </si>
  <si>
    <t>Tech Mahindra Limited</t>
  </si>
  <si>
    <t>Techno Electric &amp; Engineering Company Limited</t>
  </si>
  <si>
    <t>Technofab Engineering Limited</t>
  </si>
  <si>
    <t>Texmaco Infrastructure &amp; Holdings Limited</t>
  </si>
  <si>
    <t>Texmo Pipes and Products Limited</t>
  </si>
  <si>
    <t>Texmaco Rail &amp; Engineering Limited</t>
  </si>
  <si>
    <t>Tourism Finance Corporation of India Limited</t>
  </si>
  <si>
    <t>Transwarranty Finance Limited</t>
  </si>
  <si>
    <t>Thangamayil Jewellery Limited</t>
  </si>
  <si>
    <t>Themis Medicare Limited</t>
  </si>
  <si>
    <t>Thermax Limited</t>
  </si>
  <si>
    <t>Thiru Arooran Sugars Limited</t>
  </si>
  <si>
    <t>Thomas Cook  (India)  Limited</t>
  </si>
  <si>
    <t>Thomas Scott (India) Limited</t>
  </si>
  <si>
    <t>Tilaknagar Industries Limited</t>
  </si>
  <si>
    <t>Tide Water Oil Company (India) Limited</t>
  </si>
  <si>
    <t>Technocraft Industries (India) Limited</t>
  </si>
  <si>
    <t>Tijaria Polypipes Limited</t>
  </si>
  <si>
    <t>TIL Limited</t>
  </si>
  <si>
    <t>Times Guaranty Limited</t>
  </si>
  <si>
    <t>Time Technoplast Limited</t>
  </si>
  <si>
    <t>Timken India Limited</t>
  </si>
  <si>
    <t>The Tinplate Company of India Limited</t>
  </si>
  <si>
    <t>TIPS Industries Limited</t>
  </si>
  <si>
    <t>Thirumalai Chemicals Limited</t>
  </si>
  <si>
    <t>Titan Company Limited</t>
  </si>
  <si>
    <t>Tamilnadu PetroProducts Limited</t>
  </si>
  <si>
    <t>Tamil Nadu Newsprint &amp; Papers Limited</t>
  </si>
  <si>
    <t>Tamilnadu Telecommunication Limited</t>
  </si>
  <si>
    <t>Todays Writing Instruments Limited</t>
  </si>
  <si>
    <t>Tokyo Plast International Limited</t>
  </si>
  <si>
    <t>Torrent Pharmaceuticals Limited</t>
  </si>
  <si>
    <t>Torrent Power Limited</t>
  </si>
  <si>
    <t>Tree House Education &amp; Accessories Limited</t>
  </si>
  <si>
    <t>Trent Limited</t>
  </si>
  <si>
    <t>TRF Limited</t>
  </si>
  <si>
    <t>Trident Limited</t>
  </si>
  <si>
    <t>Trigyn Technologies Limited</t>
  </si>
  <si>
    <t>Transformers And Rectifiers (India) Limited</t>
  </si>
  <si>
    <t>Triveni Turbine Limited</t>
  </si>
  <si>
    <t>Triveni Engineering &amp; Industries Limited</t>
  </si>
  <si>
    <t>TTK Prestige Limited</t>
  </si>
  <si>
    <t>T T Limited</t>
  </si>
  <si>
    <t>Tata Teleservices (Maharashtra) Limited</t>
  </si>
  <si>
    <t>Tube Investments of India Limited</t>
  </si>
  <si>
    <t>Tulsi Extrusions Limited</t>
  </si>
  <si>
    <t>TV18 Broadcast Limited</t>
  </si>
  <si>
    <t>TVS Electronics Limited</t>
  </si>
  <si>
    <t>TVS Motor Company Limited</t>
  </si>
  <si>
    <t>TVS Srichakra Limited</t>
  </si>
  <si>
    <t>TV Today Network Limited</t>
  </si>
  <si>
    <t>Titagarh Wagons Limited</t>
  </si>
  <si>
    <t>United Breweries (Holdings) Limited</t>
  </si>
  <si>
    <t>United Breweries Limited</t>
  </si>
  <si>
    <t>Ucal Fuel Systems Limited</t>
  </si>
  <si>
    <t>UCO Bank</t>
  </si>
  <si>
    <t>UFLEX Limited</t>
  </si>
  <si>
    <t>The Ugar Sugar Works Limited</t>
  </si>
  <si>
    <t>Ujaas Energy Limited</t>
  </si>
  <si>
    <t>UltraTech Cement Limited</t>
  </si>
  <si>
    <t>Usha Martin Education &amp; Solutions Limited</t>
  </si>
  <si>
    <t>Unichem Laboratories Limited</t>
  </si>
  <si>
    <t>Uniphos Enterprises Limited</t>
  </si>
  <si>
    <t>Union Bank of India</t>
  </si>
  <si>
    <t>Uniply Industries Limited</t>
  </si>
  <si>
    <t>Unitech Limited</t>
  </si>
  <si>
    <t>United Bank of India</t>
  </si>
  <si>
    <t>Unity Infraprojects Limited</t>
  </si>
  <si>
    <t>Universal Cables Limited</t>
  </si>
  <si>
    <t>UPL Limited</t>
  </si>
  <si>
    <t>Usha Martin Limited</t>
  </si>
  <si>
    <t>Usher Agro Limited</t>
  </si>
  <si>
    <t>Uttam Galva Steels Limited</t>
  </si>
  <si>
    <t>Uttam Sugar Mills Limited</t>
  </si>
  <si>
    <t>Uttam Value Steels Limited</t>
  </si>
  <si>
    <t>V2 Retail Limited</t>
  </si>
  <si>
    <t>Vadilal Industries Limited</t>
  </si>
  <si>
    <t>Vaibhav Global Limited</t>
  </si>
  <si>
    <t>Value Industries Limited</t>
  </si>
  <si>
    <t>Vardhman Acrylics Limited</t>
  </si>
  <si>
    <t>Vardhman Polytex Limited</t>
  </si>
  <si>
    <t>Vascon Engineers Limited</t>
  </si>
  <si>
    <t>Vaswani Industries Limited</t>
  </si>
  <si>
    <t>Venky's (India) Limited</t>
  </si>
  <si>
    <t>Venus Remedies Limited</t>
  </si>
  <si>
    <t>Vesuvius India Limited</t>
  </si>
  <si>
    <t>V-Guard Industries Limited</t>
  </si>
  <si>
    <t>Vardhman Holdings Limited</t>
  </si>
  <si>
    <t>Viceroy Hotels Limited</t>
  </si>
  <si>
    <t>Videocon Industries Limited</t>
  </si>
  <si>
    <t>Vijaya Bank</t>
  </si>
  <si>
    <t>Vijay Shanthi Builders Limited</t>
  </si>
  <si>
    <t>Vimal Oil &amp; Foods Limited</t>
  </si>
  <si>
    <t>Vimta Labs Limited</t>
  </si>
  <si>
    <t>Vinati Organics Limited</t>
  </si>
  <si>
    <t>Vindhya Telelinks Limited</t>
  </si>
  <si>
    <t>Vinyl Chemicals (India) Limited</t>
  </si>
  <si>
    <t>VIP Industries Limited</t>
  </si>
  <si>
    <t>Visaka Industries Limited</t>
  </si>
  <si>
    <t>Visa Steel Limited</t>
  </si>
  <si>
    <t>Visesh Infotecnics Limited</t>
  </si>
  <si>
    <t>Visu International Limited</t>
  </si>
  <si>
    <t>Visagar Polytex Limited</t>
  </si>
  <si>
    <t>Vivimed Labs Limited</t>
  </si>
  <si>
    <t>VLS Finance Limited</t>
  </si>
  <si>
    <t>V-Mart Retail Limited</t>
  </si>
  <si>
    <t>Voltamp Transformers Limited</t>
  </si>
  <si>
    <t>Voltas Limited</t>
  </si>
  <si>
    <t>Vardhman Special Steels Limited</t>
  </si>
  <si>
    <t>VST Industries Limited</t>
  </si>
  <si>
    <t>V.S.T Tillers Tractors Limited</t>
  </si>
  <si>
    <t>Vardhman Textiles Limited</t>
  </si>
  <si>
    <t>VA Tech Wabag Limited</t>
  </si>
  <si>
    <t>WABCO India Limited</t>
  </si>
  <si>
    <t>Walchandnagar Industries Limited</t>
  </si>
  <si>
    <t>Wanbury Limited</t>
  </si>
  <si>
    <t>Websol Energy System Limited</t>
  </si>
  <si>
    <t>Weizmann Forex Limited</t>
  </si>
  <si>
    <t>Weizmann Limited</t>
  </si>
  <si>
    <t>Welspun Corp Limited</t>
  </si>
  <si>
    <t>Welspun Enterprises Limited</t>
  </si>
  <si>
    <t>Welspun Investments and Commercials Limited</t>
  </si>
  <si>
    <t>Welspun India Limited</t>
  </si>
  <si>
    <t>Wendt (India) Limited</t>
  </si>
  <si>
    <t>Wheels India Limited</t>
  </si>
  <si>
    <t>Whirlpool of India Limited</t>
  </si>
  <si>
    <t>Williamson Magor &amp; Company Limited</t>
  </si>
  <si>
    <t>Windsor Machines Limited</t>
  </si>
  <si>
    <t>Winsome Yarns Limited</t>
  </si>
  <si>
    <t>Wipro Limited</t>
  </si>
  <si>
    <t>Wockhardt Limited</t>
  </si>
  <si>
    <t>Wonderla Holidays Limited</t>
  </si>
  <si>
    <t>W S Industries (I) Limited</t>
  </si>
  <si>
    <t>West Coast Paper Mills Limited</t>
  </si>
  <si>
    <t>Xchanging Solutions Limited</t>
  </si>
  <si>
    <t>XL Energy Limited</t>
  </si>
  <si>
    <t>Xpro India Limited</t>
  </si>
  <si>
    <t>Yes Bank Limited</t>
  </si>
  <si>
    <t>Zandu Realty Limited</t>
  </si>
  <si>
    <t>Zee Entertainment Enterprises Limited</t>
  </si>
  <si>
    <t>Zee Learn Limited</t>
  </si>
  <si>
    <t>Zee Media Corporation Limited</t>
  </si>
  <si>
    <t>Zenith Birla (India) Limited</t>
  </si>
  <si>
    <t>Zenith Exports Limited</t>
  </si>
  <si>
    <t>Zensar Technologies Limited</t>
  </si>
  <si>
    <t>Zicom Electronic Security Systems Limited</t>
  </si>
  <si>
    <t>Zodiac Clothing Company Limited</t>
  </si>
  <si>
    <t>Zodiac JRD- MKJ Limited</t>
  </si>
  <si>
    <t>Zuari Agro Chemicals Limited</t>
  </si>
  <si>
    <t>Zydus Wellness Limited</t>
  </si>
  <si>
    <t>Zylog Systems Limited</t>
  </si>
  <si>
    <t>Veto Switchgears And Cables Limited</t>
  </si>
  <si>
    <t>Sanco Industries Limited</t>
  </si>
  <si>
    <t>Mark to Market</t>
  </si>
  <si>
    <t>Purchase Value</t>
  </si>
  <si>
    <t>Return %</t>
  </si>
  <si>
    <t>Purchase Price</t>
  </si>
  <si>
    <t>????</t>
  </si>
  <si>
    <t>26-MAY-2017 15;59;59</t>
  </si>
  <si>
    <t>SYMBOL</t>
  </si>
  <si>
    <t>NAME OF COMPANY</t>
  </si>
  <si>
    <t xml:space="preserve"> SERIES</t>
  </si>
  <si>
    <t xml:space="preserve"> DATE OF LISTING</t>
  </si>
  <si>
    <t xml:space="preserve"> PAID UP VALUE</t>
  </si>
  <si>
    <t xml:space="preserve"> MARKET LOT</t>
  </si>
  <si>
    <t xml:space="preserve"> ISIN NUMBER</t>
  </si>
  <si>
    <t xml:space="preserve"> FACE VALUE</t>
  </si>
  <si>
    <t>EQ</t>
  </si>
  <si>
    <t>INE144J01027</t>
  </si>
  <si>
    <t>INE748C01020</t>
  </si>
  <si>
    <t>INE470A01017</t>
  </si>
  <si>
    <t>63MOONS</t>
  </si>
  <si>
    <t>63 moons technologies limited</t>
  </si>
  <si>
    <t>INE111B01023</t>
  </si>
  <si>
    <t>INE650K01021</t>
  </si>
  <si>
    <t>A2ZINFRA</t>
  </si>
  <si>
    <t>A2Z Infra Engineering Limited</t>
  </si>
  <si>
    <t>INE619I01012</t>
  </si>
  <si>
    <t>INE767A01016</t>
  </si>
  <si>
    <t>INE769A01020</t>
  </si>
  <si>
    <t>INE273D01019</t>
  </si>
  <si>
    <t>INE421A01028</t>
  </si>
  <si>
    <t>ABB India Limited</t>
  </si>
  <si>
    <t>INE117A01022</t>
  </si>
  <si>
    <t>ABBOTINDIA</t>
  </si>
  <si>
    <t>Abbott India Limited</t>
  </si>
  <si>
    <t>INE358A01014</t>
  </si>
  <si>
    <t>ABFRL</t>
  </si>
  <si>
    <t>Aditya Birla Fashion and Retail Limited</t>
  </si>
  <si>
    <t>INE647O01011</t>
  </si>
  <si>
    <t>BZ</t>
  </si>
  <si>
    <t>INE067H01016</t>
  </si>
  <si>
    <t>INE069A01017</t>
  </si>
  <si>
    <t>ABMINTLTD</t>
  </si>
  <si>
    <t>ABM International Limited</t>
  </si>
  <si>
    <t>BE</t>
  </si>
  <si>
    <t>INE251C01017</t>
  </si>
  <si>
    <t>INE012A01025</t>
  </si>
  <si>
    <t>INE793A01012</t>
  </si>
  <si>
    <t>INE731H01025</t>
  </si>
  <si>
    <t>INE423A01024</t>
  </si>
  <si>
    <t>INE742F01042</t>
  </si>
  <si>
    <t>INE814H01011</t>
  </si>
  <si>
    <t>ADANITRANS</t>
  </si>
  <si>
    <t>Adani Transmission Limited</t>
  </si>
  <si>
    <t>INE931S01010</t>
  </si>
  <si>
    <t>INE982B01019</t>
  </si>
  <si>
    <t>INE400H01019</t>
  </si>
  <si>
    <t>ADHUNIKIND</t>
  </si>
  <si>
    <t>Adhunik Industries Limited</t>
  </si>
  <si>
    <t>INE452L01012</t>
  </si>
  <si>
    <t>ADLABS</t>
  </si>
  <si>
    <t>Adlabs Entertainment Limited</t>
  </si>
  <si>
    <t>INE172N01012</t>
  </si>
  <si>
    <t>INE045A01017</t>
  </si>
  <si>
    <t>INE102I01027</t>
  </si>
  <si>
    <t>INE199C01026</t>
  </si>
  <si>
    <t>ADVENZYMES</t>
  </si>
  <si>
    <t>Advanced Enzyme Technologies Limited</t>
  </si>
  <si>
    <t>INE837H01020</t>
  </si>
  <si>
    <t>INE208C01025</t>
  </si>
  <si>
    <t>INE020G01017</t>
  </si>
  <si>
    <t>INE204E01012</t>
  </si>
  <si>
    <t>INE676A01019</t>
  </si>
  <si>
    <t>INE449G01018</t>
  </si>
  <si>
    <t>INE926K01017</t>
  </si>
  <si>
    <t>INE758C01029</t>
  </si>
  <si>
    <t>INE915K01010</t>
  </si>
  <si>
    <t>INE212H01026</t>
  </si>
  <si>
    <t>INE768E01024</t>
  </si>
  <si>
    <t>AIFL</t>
  </si>
  <si>
    <t>Ashapura Intimates Fashion Limited</t>
  </si>
  <si>
    <t>INE428O01016</t>
  </si>
  <si>
    <t>INE031B01049</t>
  </si>
  <si>
    <t>INE298G01027</t>
  </si>
  <si>
    <t>AKSHARCHEM</t>
  </si>
  <si>
    <t>AksharChem India Limited</t>
  </si>
  <si>
    <t>INE542B01011</t>
  </si>
  <si>
    <t>INE523B01011</t>
  </si>
  <si>
    <t>INE133A01011</t>
  </si>
  <si>
    <t>ALANKIT</t>
  </si>
  <si>
    <t>Alankit Limited</t>
  </si>
  <si>
    <t>INE914E01040</t>
  </si>
  <si>
    <t>ALBERTDAVD</t>
  </si>
  <si>
    <t>Albert David Limited</t>
  </si>
  <si>
    <t>INE155C01010</t>
  </si>
  <si>
    <t>INE428A01015</t>
  </si>
  <si>
    <t>INE964B01033</t>
  </si>
  <si>
    <t>INE426A01027</t>
  </si>
  <si>
    <t>INE062D01024</t>
  </si>
  <si>
    <t>INE773I01017</t>
  </si>
  <si>
    <t>ALKEM</t>
  </si>
  <si>
    <t>Alkem Laboratories Limited</t>
  </si>
  <si>
    <t>INE540L01014</t>
  </si>
  <si>
    <t>INE150B01021</t>
  </si>
  <si>
    <t>INE418H01029</t>
  </si>
  <si>
    <t>INE835G01018</t>
  </si>
  <si>
    <t>INE326B01027</t>
  </si>
  <si>
    <t>INE270A01011</t>
  </si>
  <si>
    <t>INE385I01010</t>
  </si>
  <si>
    <t>INE137C01018</t>
  </si>
  <si>
    <t>INE093B01015</t>
  </si>
  <si>
    <t>INE885A01032</t>
  </si>
  <si>
    <t>INE540G01014</t>
  </si>
  <si>
    <t>INE079A01024</t>
  </si>
  <si>
    <t>INE005I01014</t>
  </si>
  <si>
    <t>AMRUTANJAN</t>
  </si>
  <si>
    <t>Amrutanjan Health Care Limited</t>
  </si>
  <si>
    <t>INE098F01023</t>
  </si>
  <si>
    <t>INE130C01021</t>
  </si>
  <si>
    <t>ANANDAMRUB</t>
  </si>
  <si>
    <t>The Anandam Rubber Company Limited</t>
  </si>
  <si>
    <t>INE618N01014</t>
  </si>
  <si>
    <t>INE242C01024</t>
  </si>
  <si>
    <t>INE434A01013</t>
  </si>
  <si>
    <t>INE666E01012</t>
  </si>
  <si>
    <t>INE715B01013</t>
  </si>
  <si>
    <t>INE017D01010</t>
  </si>
  <si>
    <t>INE087B01017</t>
  </si>
  <si>
    <t>INE106I01010</t>
  </si>
  <si>
    <t>INE436A01026</t>
  </si>
  <si>
    <t>INE880B01015</t>
  </si>
  <si>
    <t>INE414B01021</t>
  </si>
  <si>
    <t>INE372A01015</t>
  </si>
  <si>
    <t>APCL</t>
  </si>
  <si>
    <t>Anjani Portland Cement Limited</t>
  </si>
  <si>
    <t>INE071F01012</t>
  </si>
  <si>
    <t>INE116A01024</t>
  </si>
  <si>
    <t>INE702C01019</t>
  </si>
  <si>
    <t>INE901L01018</t>
  </si>
  <si>
    <t>INE437A01024</t>
  </si>
  <si>
    <t>INE438A01022</t>
  </si>
  <si>
    <t>APOLSINHOT</t>
  </si>
  <si>
    <t>Apollo Sindoori Hotels Limited</t>
  </si>
  <si>
    <t>INE451F01016</t>
  </si>
  <si>
    <t>INE266F01018</t>
  </si>
  <si>
    <t>INE877I01016</t>
  </si>
  <si>
    <t>INE731A01020</t>
  </si>
  <si>
    <t>INE574I01027</t>
  </si>
  <si>
    <t>INE298I01015</t>
  </si>
  <si>
    <t>INE413D01011</t>
  </si>
  <si>
    <t>ARIHANTSUP</t>
  </si>
  <si>
    <t>Arihant Superstructures Limited</t>
  </si>
  <si>
    <t>INE643K01018</t>
  </si>
  <si>
    <t>ARMANFIN</t>
  </si>
  <si>
    <t>Arman Financial Services Limited</t>
  </si>
  <si>
    <t>INE109C01017</t>
  </si>
  <si>
    <t>INE210C01013</t>
  </si>
  <si>
    <t>ARROWGREEN</t>
  </si>
  <si>
    <t>Arrow Greentech Limited</t>
  </si>
  <si>
    <t>INE570D01018</t>
  </si>
  <si>
    <t>INE933J01015</t>
  </si>
  <si>
    <t>INE968D01022</t>
  </si>
  <si>
    <t>INE267I01010</t>
  </si>
  <si>
    <t>INE034A01011</t>
  </si>
  <si>
    <t>ARVSMART</t>
  </si>
  <si>
    <t>Arvind SmartSpaces Limited</t>
  </si>
  <si>
    <t>INE034S01021</t>
  </si>
  <si>
    <t>INE439A01020</t>
  </si>
  <si>
    <t>INE228I01012</t>
  </si>
  <si>
    <t>INE900C01027</t>
  </si>
  <si>
    <t>INE348A01023</t>
  </si>
  <si>
    <t>INE365D01021</t>
  </si>
  <si>
    <t>INE440A01010</t>
  </si>
  <si>
    <t>INE442H01029</t>
  </si>
  <si>
    <t>INE208A01029</t>
  </si>
  <si>
    <t>INE363A01022</t>
  </si>
  <si>
    <t>INE021A01026</t>
  </si>
  <si>
    <t>INE022I01019</t>
  </si>
  <si>
    <t>INE988A01026</t>
  </si>
  <si>
    <t>ASPINWALL</t>
  </si>
  <si>
    <t>Aspinwall and Company Limited</t>
  </si>
  <si>
    <t>INE991I01015</t>
  </si>
  <si>
    <t>INE442A01024</t>
  </si>
  <si>
    <t>INE563J01010</t>
  </si>
  <si>
    <t>INE006I01046</t>
  </si>
  <si>
    <t>INE386C01029</t>
  </si>
  <si>
    <t>INE203A01020</t>
  </si>
  <si>
    <t>INE209A01019</t>
  </si>
  <si>
    <t>INE285H01022</t>
  </si>
  <si>
    <t>INE446A01017</t>
  </si>
  <si>
    <t>INE803A01027</t>
  </si>
  <si>
    <t>INE100A01010</t>
  </si>
  <si>
    <t>INE951D01028</t>
  </si>
  <si>
    <t>INE132H01018</t>
  </si>
  <si>
    <t>INE406A01037</t>
  </si>
  <si>
    <t>INE218C01016</t>
  </si>
  <si>
    <t>INE455J01027</t>
  </si>
  <si>
    <t>INE449A01011</t>
  </si>
  <si>
    <t>INE718H01014</t>
  </si>
  <si>
    <t>INE448A01013</t>
  </si>
  <si>
    <t>AVANTIFEED</t>
  </si>
  <si>
    <t>Avanti Feeds Limited</t>
  </si>
  <si>
    <t>INE871C01020</t>
  </si>
  <si>
    <t>INE488D01021</t>
  </si>
  <si>
    <t>INE238A01034</t>
  </si>
  <si>
    <t>INE555B01013</t>
  </si>
  <si>
    <t>AYMSYNTEX</t>
  </si>
  <si>
    <t>AYM Syntex Limited</t>
  </si>
  <si>
    <t>INE193B01039</t>
  </si>
  <si>
    <t>INE878I01014</t>
  </si>
  <si>
    <t>INE116D01028</t>
  </si>
  <si>
    <t>INE917I01010</t>
  </si>
  <si>
    <t>INE933K01021</t>
  </si>
  <si>
    <t>INE193E01025</t>
  </si>
  <si>
    <t>INE918I01018</t>
  </si>
  <si>
    <t>Bajaj Hindusthan Sugar Limited</t>
  </si>
  <si>
    <t>INE306A01021</t>
  </si>
  <si>
    <t>INE118A01012</t>
  </si>
  <si>
    <t>INE296A01024</t>
  </si>
  <si>
    <t>INE794B01026</t>
  </si>
  <si>
    <t>INE050E01027</t>
  </si>
  <si>
    <t>BALKRISHNA</t>
  </si>
  <si>
    <t>Balkrishna Paper Mills Limited</t>
  </si>
  <si>
    <t>INE875R01011</t>
  </si>
  <si>
    <t>INE787D01026</t>
  </si>
  <si>
    <t>INE294A01037</t>
  </si>
  <si>
    <t>INE164A01016</t>
  </si>
  <si>
    <t>INE083D01012</t>
  </si>
  <si>
    <t>INE119A01028</t>
  </si>
  <si>
    <t>INE655B01011</t>
  </si>
  <si>
    <t>INE459A01010</t>
  </si>
  <si>
    <t>INE213C01025</t>
  </si>
  <si>
    <t>INE863I01016</t>
  </si>
  <si>
    <t>INE028A01039</t>
  </si>
  <si>
    <t>INE084A01016</t>
  </si>
  <si>
    <t>INE629D01012</t>
  </si>
  <si>
    <t>INE855F01034</t>
  </si>
  <si>
    <t>INE373A01013</t>
  </si>
  <si>
    <t>INE186H01014</t>
  </si>
  <si>
    <t>INE176A01028</t>
  </si>
  <si>
    <t>BAYERCROP</t>
  </si>
  <si>
    <t>Bayer Cropscience Limited</t>
  </si>
  <si>
    <t>INE462A01022</t>
  </si>
  <si>
    <t>INE464A01028</t>
  </si>
  <si>
    <t>INE050A01025</t>
  </si>
  <si>
    <t>BEARDSELL</t>
  </si>
  <si>
    <t>Beardsell Limited</t>
  </si>
  <si>
    <t>INE520H01022</t>
  </si>
  <si>
    <t>INE844K01012</t>
  </si>
  <si>
    <t>INE263A01024</t>
  </si>
  <si>
    <t>INE258A01016</t>
  </si>
  <si>
    <t>INE922A01025</t>
  </si>
  <si>
    <t>INE463A01038</t>
  </si>
  <si>
    <t>INE878K01010</t>
  </si>
  <si>
    <t>INE243D01012</t>
  </si>
  <si>
    <t>INE224M01013</t>
  </si>
  <si>
    <t>INE661I01014</t>
  </si>
  <si>
    <t>BHAGERIA</t>
  </si>
  <si>
    <t>Bhageria Industries Limited</t>
  </si>
  <si>
    <t>INE354C01027</t>
  </si>
  <si>
    <t>BHAGYANGR</t>
  </si>
  <si>
    <t>INE458B01036</t>
  </si>
  <si>
    <t>BHANDARI</t>
  </si>
  <si>
    <t>Bhandari Hosiery Exports Limited</t>
  </si>
  <si>
    <t>INE474E01029</t>
  </si>
  <si>
    <t>BHARATFIN</t>
  </si>
  <si>
    <t>Bharat Financial Inclusion Limited</t>
  </si>
  <si>
    <t>INE180K01011</t>
  </si>
  <si>
    <t>INE465A01025</t>
  </si>
  <si>
    <t>INE561C01019</t>
  </si>
  <si>
    <t>BHARATIDIL</t>
  </si>
  <si>
    <t>Bharati Defence and Infrastructure Limited</t>
  </si>
  <si>
    <t>INE673G01013</t>
  </si>
  <si>
    <t>INE838B01013</t>
  </si>
  <si>
    <t>BHARATWIRE</t>
  </si>
  <si>
    <t>Bharat Wire Ropes Limited</t>
  </si>
  <si>
    <t>INE316L01019</t>
  </si>
  <si>
    <t>INE397D01024</t>
  </si>
  <si>
    <t>INE257A01026</t>
  </si>
  <si>
    <t>INE824B01021</t>
  </si>
  <si>
    <t>BIGBLOC</t>
  </si>
  <si>
    <t>Bigbloc Construction Limited</t>
  </si>
  <si>
    <t>INE412U01017</t>
  </si>
  <si>
    <t>INE828A01016</t>
  </si>
  <si>
    <t>INE607L01029</t>
  </si>
  <si>
    <t>INE952D01018</t>
  </si>
  <si>
    <t>INE071A01013</t>
  </si>
  <si>
    <t>INE143A01010</t>
  </si>
  <si>
    <t>INE376G01013</t>
  </si>
  <si>
    <t>BIRLACABLE</t>
  </si>
  <si>
    <t>Birla Cable Limited</t>
  </si>
  <si>
    <t>INE800A01015</t>
  </si>
  <si>
    <t>INE340A01012</t>
  </si>
  <si>
    <t>INE865C01022</t>
  </si>
  <si>
    <t>INE791A01024</t>
  </si>
  <si>
    <t>INE416D01022</t>
  </si>
  <si>
    <t>INE350H01032</t>
  </si>
  <si>
    <t>BLS</t>
  </si>
  <si>
    <t>BLS International Services Limited</t>
  </si>
  <si>
    <t>INE153T01027</t>
  </si>
  <si>
    <t>INE113O01014</t>
  </si>
  <si>
    <t>INE472B01011</t>
  </si>
  <si>
    <t>INE233B01017</t>
  </si>
  <si>
    <t>INE472A01039</t>
  </si>
  <si>
    <t>INE338D01028</t>
  </si>
  <si>
    <t>INE032A01023</t>
  </si>
  <si>
    <t>INE323A01026</t>
  </si>
  <si>
    <t>INE029A01011</t>
  </si>
  <si>
    <t>INE110A01019</t>
  </si>
  <si>
    <t>INE589G01011</t>
  </si>
  <si>
    <t>INE791I01019</t>
  </si>
  <si>
    <t>INE216A01022</t>
  </si>
  <si>
    <t>INE650L01011</t>
  </si>
  <si>
    <t>BSE</t>
  </si>
  <si>
    <t>BSE Limited</t>
  </si>
  <si>
    <t>INE118H01025</t>
  </si>
  <si>
    <t>INE395A01016</t>
  </si>
  <si>
    <t>INE594B01012</t>
  </si>
  <si>
    <t>BS Limited</t>
  </si>
  <si>
    <t>INE043K01029</t>
  </si>
  <si>
    <t>INE817H01014</t>
  </si>
  <si>
    <t>INE295F01017</t>
  </si>
  <si>
    <t>INE139I01011</t>
  </si>
  <si>
    <t>BYKE</t>
  </si>
  <si>
    <t>The Byke Hospitality Ltd</t>
  </si>
  <si>
    <t>INE319B01014</t>
  </si>
  <si>
    <t>INE010B01027</t>
  </si>
  <si>
    <t>INE526B01014</t>
  </si>
  <si>
    <t>CAMLINFINE</t>
  </si>
  <si>
    <t>Camlin Fine Sciences Limited</t>
  </si>
  <si>
    <t>INE052I01032</t>
  </si>
  <si>
    <t>INE476A01014</t>
  </si>
  <si>
    <t>INE874H01015</t>
  </si>
  <si>
    <t>INE477A01012</t>
  </si>
  <si>
    <t>INE068L01016</t>
  </si>
  <si>
    <t>INE688I01017</t>
  </si>
  <si>
    <t>INE475E01026</t>
  </si>
  <si>
    <t>CAPTRUST</t>
  </si>
  <si>
    <t>Capital Trust Limited</t>
  </si>
  <si>
    <t>INE707C01018</t>
  </si>
  <si>
    <t>INE120A01034</t>
  </si>
  <si>
    <t>INE521J01018</t>
  </si>
  <si>
    <t>INE752H01013</t>
  </si>
  <si>
    <t>CASTEXTECH</t>
  </si>
  <si>
    <t>Castex Technologies Limited</t>
  </si>
  <si>
    <t>INE068D01021</t>
  </si>
  <si>
    <t>INE172A01027</t>
  </si>
  <si>
    <t>INE429I01024</t>
  </si>
  <si>
    <t>CCHHL</t>
  </si>
  <si>
    <t>Country Club Hospitality &amp; Holidays Limited</t>
  </si>
  <si>
    <t>INE652F01027</t>
  </si>
  <si>
    <t>INE421D01022</t>
  </si>
  <si>
    <t>INE482A01020</t>
  </si>
  <si>
    <t>INE209L01016</t>
  </si>
  <si>
    <t>INE185H01016</t>
  </si>
  <si>
    <t>INE221I01017</t>
  </si>
  <si>
    <t>INE485A01015</t>
  </si>
  <si>
    <t>INE281A01026</t>
  </si>
  <si>
    <t>INE483A01010</t>
  </si>
  <si>
    <t>INE320B01020</t>
  </si>
  <si>
    <t>INE348B01021</t>
  </si>
  <si>
    <t>INE055A01016</t>
  </si>
  <si>
    <t>INE739E01017</t>
  </si>
  <si>
    <t>INE345B01019</t>
  </si>
  <si>
    <t>INE486A01013</t>
  </si>
  <si>
    <t>INE180C01026</t>
  </si>
  <si>
    <t>CGPOWER</t>
  </si>
  <si>
    <t>CG Power and Industrial Solutions Limited</t>
  </si>
  <si>
    <t>INE067A01029</t>
  </si>
  <si>
    <t>INE085A01013</t>
  </si>
  <si>
    <t>INE178A01016</t>
  </si>
  <si>
    <t>INE121A01016</t>
  </si>
  <si>
    <t>INE662C01015</t>
  </si>
  <si>
    <t>INE675C01017</t>
  </si>
  <si>
    <t>INE184C01028</t>
  </si>
  <si>
    <t>INE704H01022</t>
  </si>
  <si>
    <t>INE039B01026</t>
  </si>
  <si>
    <t>INE059A01026</t>
  </si>
  <si>
    <t>CLEDUCATE</t>
  </si>
  <si>
    <t>CL Educate Limited</t>
  </si>
  <si>
    <t>INE201M01011</t>
  </si>
  <si>
    <t>INE492A01029</t>
  </si>
  <si>
    <t>CMICABLES</t>
  </si>
  <si>
    <t>CMI Limited</t>
  </si>
  <si>
    <t>INE981B01011</t>
  </si>
  <si>
    <t>INE672K01025</t>
  </si>
  <si>
    <t>INE522F01014</t>
  </si>
  <si>
    <t>COFFEEDAY</t>
  </si>
  <si>
    <t>Coffee Day Enterprises Limited</t>
  </si>
  <si>
    <t>INE335K01011</t>
  </si>
  <si>
    <t>INE259A01022</t>
  </si>
  <si>
    <t>COMPINFO</t>
  </si>
  <si>
    <t>Compuage Infocom Limited</t>
  </si>
  <si>
    <t>INE070C01037</t>
  </si>
  <si>
    <t>INE453B01029</t>
  </si>
  <si>
    <t>INE111A01017</t>
  </si>
  <si>
    <t>INE025A01027</t>
  </si>
  <si>
    <t>CONTROLPR</t>
  </si>
  <si>
    <t>Control Print Limited</t>
  </si>
  <si>
    <t>INE663B01015</t>
  </si>
  <si>
    <t>INE558D01013</t>
  </si>
  <si>
    <t>INE792I01017</t>
  </si>
  <si>
    <t>INE169A01031</t>
  </si>
  <si>
    <t>INE112A01023</t>
  </si>
  <si>
    <t>INE757A01017</t>
  </si>
  <si>
    <t>INE695B01025</t>
  </si>
  <si>
    <t>INE008I01026</t>
  </si>
  <si>
    <t>INE230B01021</t>
  </si>
  <si>
    <t>INE559D01011</t>
  </si>
  <si>
    <t>INE007A01025</t>
  </si>
  <si>
    <t>CROMPTON</t>
  </si>
  <si>
    <t>Crompton Greaves Consumer Electricals Limited</t>
  </si>
  <si>
    <t>INE299U01018</t>
  </si>
  <si>
    <t>INE627H01017</t>
  </si>
  <si>
    <t>INE491A01021</t>
  </si>
  <si>
    <t>INE144D01012</t>
  </si>
  <si>
    <t>INE298A01020</t>
  </si>
  <si>
    <t>CUPID</t>
  </si>
  <si>
    <t>Cupid Limited</t>
  </si>
  <si>
    <t>INE509F01011</t>
  </si>
  <si>
    <t>INE117B01012</t>
  </si>
  <si>
    <t>INE278G01037</t>
  </si>
  <si>
    <t>INE214A01019</t>
  </si>
  <si>
    <t>INE136B01020</t>
  </si>
  <si>
    <t>INE818H01020</t>
  </si>
  <si>
    <t>INE016A01026</t>
  </si>
  <si>
    <t>INE439L01019</t>
  </si>
  <si>
    <t>INE495A01022</t>
  </si>
  <si>
    <t>DAMODARIND</t>
  </si>
  <si>
    <t>Damodar Industries Limited</t>
  </si>
  <si>
    <t>INE497D01014</t>
  </si>
  <si>
    <t>INE365B01017</t>
  </si>
  <si>
    <t>INE950I01011</t>
  </si>
  <si>
    <t>DBL</t>
  </si>
  <si>
    <t>Dilip Buildcon Limited</t>
  </si>
  <si>
    <t>INE917M01012</t>
  </si>
  <si>
    <t>INE879I01012</t>
  </si>
  <si>
    <t>INE921B01025</t>
  </si>
  <si>
    <t>DCB Bank Limited</t>
  </si>
  <si>
    <t>INE503A01015</t>
  </si>
  <si>
    <t>INE498A01018</t>
  </si>
  <si>
    <t>INE499A01024</t>
  </si>
  <si>
    <t>INE500A01029</t>
  </si>
  <si>
    <t>INE583C01013</t>
  </si>
  <si>
    <t>INE501A01019</t>
  </si>
  <si>
    <t>INE288B01029</t>
  </si>
  <si>
    <t>INE677H01012</t>
  </si>
  <si>
    <t>INE124G01033</t>
  </si>
  <si>
    <t>INE393A01011</t>
  </si>
  <si>
    <t>INE947J01015</t>
  </si>
  <si>
    <t>INE077A01010</t>
  </si>
  <si>
    <t>INE244A01016</t>
  </si>
  <si>
    <t>DFMFOODS</t>
  </si>
  <si>
    <t>DFM Foods Limited</t>
  </si>
  <si>
    <t>INE456C01012</t>
  </si>
  <si>
    <t>Dhampur Sugar Mills Limited</t>
  </si>
  <si>
    <t>INE041A01016</t>
  </si>
  <si>
    <t>INE680A01011</t>
  </si>
  <si>
    <t>INE435G01025</t>
  </si>
  <si>
    <t>INE988C01014</t>
  </si>
  <si>
    <t>INE202B01012</t>
  </si>
  <si>
    <t>INE320L01011</t>
  </si>
  <si>
    <t>INE989C01012</t>
  </si>
  <si>
    <t>INE303A01010</t>
  </si>
  <si>
    <t>DIGJAMLTD</t>
  </si>
  <si>
    <t>INE731U01010</t>
  </si>
  <si>
    <t>INE353G01020</t>
  </si>
  <si>
    <t>INE836F01026</t>
  </si>
  <si>
    <t>INE361B01024</t>
  </si>
  <si>
    <t>INE271C01023</t>
  </si>
  <si>
    <t>INE250K01012</t>
  </si>
  <si>
    <t>DMART</t>
  </si>
  <si>
    <t>Avenue Supermarts Limited</t>
  </si>
  <si>
    <t>INE192R01011</t>
  </si>
  <si>
    <t>DOLLAR</t>
  </si>
  <si>
    <t>Dollar Industries Limited</t>
  </si>
  <si>
    <t>INE325C01027</t>
  </si>
  <si>
    <t>INE920A01011</t>
  </si>
  <si>
    <t>INE668D01028</t>
  </si>
  <si>
    <t>INE477B01010</t>
  </si>
  <si>
    <t>INE360C01024</t>
  </si>
  <si>
    <t>INE656K01010</t>
  </si>
  <si>
    <t>INE506A01018</t>
  </si>
  <si>
    <t>INE089A01023</t>
  </si>
  <si>
    <t>INE891A01014</t>
  </si>
  <si>
    <t>INE417B01040</t>
  </si>
  <si>
    <t>DTIL</t>
  </si>
  <si>
    <t>Dhunseri Tea &amp; Industries Limited</t>
  </si>
  <si>
    <t>INE341R01014</t>
  </si>
  <si>
    <t>DUCON</t>
  </si>
  <si>
    <t>Ducon Infratechnologies Limited</t>
  </si>
  <si>
    <t>INE741L01018</t>
  </si>
  <si>
    <t>INE366A01033</t>
  </si>
  <si>
    <t>INE221B01012</t>
  </si>
  <si>
    <t>INE962C01027</t>
  </si>
  <si>
    <t>INE268C01029</t>
  </si>
  <si>
    <t>INE588B01014</t>
  </si>
  <si>
    <t>INE738I01010</t>
  </si>
  <si>
    <t>INE532F01054</t>
  </si>
  <si>
    <t>INE180G01019</t>
  </si>
  <si>
    <t>INE216H01027</t>
  </si>
  <si>
    <t>INE066A01013</t>
  </si>
  <si>
    <t>INE126A01031</t>
  </si>
  <si>
    <t>INE276C01014</t>
  </si>
  <si>
    <t>INE230A01023</t>
  </si>
  <si>
    <t>INE158B01016</t>
  </si>
  <si>
    <t>INE184H01027</t>
  </si>
  <si>
    <t>ELAND</t>
  </si>
  <si>
    <t>E-Land Apparel Limited</t>
  </si>
  <si>
    <t>INE311H01018</t>
  </si>
  <si>
    <t>INE205B01023</t>
  </si>
  <si>
    <t>INE086A01029</t>
  </si>
  <si>
    <t>INE822G01016</t>
  </si>
  <si>
    <t>INE285A01027</t>
  </si>
  <si>
    <t>INE819L01012</t>
  </si>
  <si>
    <t>INE778K01012</t>
  </si>
  <si>
    <t>INE548C01032</t>
  </si>
  <si>
    <t>INE078A01026</t>
  </si>
  <si>
    <t>INE296H01011</t>
  </si>
  <si>
    <t>Emmbi Industries Limited</t>
  </si>
  <si>
    <t>INE753K01015</t>
  </si>
  <si>
    <t>ENDURANCE</t>
  </si>
  <si>
    <t>Endurance Technologies Limited</t>
  </si>
  <si>
    <t>INE913H01037</t>
  </si>
  <si>
    <t>INE306C01019</t>
  </si>
  <si>
    <t>INE510A01028</t>
  </si>
  <si>
    <t>INE265F01028</t>
  </si>
  <si>
    <t>INE076H01025</t>
  </si>
  <si>
    <t>EQUITAS</t>
  </si>
  <si>
    <t>Equitas Holdings Limited</t>
  </si>
  <si>
    <t>INE988K01017</t>
  </si>
  <si>
    <t>IL</t>
  </si>
  <si>
    <t>INE416L01017</t>
  </si>
  <si>
    <t>INE284A01012</t>
  </si>
  <si>
    <t>INE042A01014</t>
  </si>
  <si>
    <t>INE481K01013</t>
  </si>
  <si>
    <t>INE122M01019</t>
  </si>
  <si>
    <t>INE825H01017</t>
  </si>
  <si>
    <t>INE255A01020</t>
  </si>
  <si>
    <t>INE778B01029</t>
  </si>
  <si>
    <t>INE649H01011</t>
  </si>
  <si>
    <t>INE063J01011</t>
  </si>
  <si>
    <t>INE022C01012</t>
  </si>
  <si>
    <t>INE128A01029</t>
  </si>
  <si>
    <t>INE295A01018</t>
  </si>
  <si>
    <t>EXCEL</t>
  </si>
  <si>
    <t>Excel Realty N Infra Limited</t>
  </si>
  <si>
    <t>INE688J01015</t>
  </si>
  <si>
    <t>INE223G01017</t>
  </si>
  <si>
    <t>INE369A01029</t>
  </si>
  <si>
    <t>INE302A01020</t>
  </si>
  <si>
    <t>INE188A01015</t>
  </si>
  <si>
    <t>INE513A01014</t>
  </si>
  <si>
    <t>FAIRCHEM</t>
  </si>
  <si>
    <t>Fairchem Speciality Limited</t>
  </si>
  <si>
    <t>INE959A01019</t>
  </si>
  <si>
    <t>FCL</t>
  </si>
  <si>
    <t>Fineotex Chemical Limited</t>
  </si>
  <si>
    <t>INE045J01026</t>
  </si>
  <si>
    <t>FCONSUMER</t>
  </si>
  <si>
    <t>Future Consumer Limited</t>
  </si>
  <si>
    <t>INE220J01025</t>
  </si>
  <si>
    <t>INE512B01022</t>
  </si>
  <si>
    <t>INE258B01022</t>
  </si>
  <si>
    <t>INE249C01011</t>
  </si>
  <si>
    <t>INE171A01029</t>
  </si>
  <si>
    <t>FEL</t>
  </si>
  <si>
    <t>Future Enterprises Limited</t>
  </si>
  <si>
    <t>INE623B01027</t>
  </si>
  <si>
    <t>FELDVR</t>
  </si>
  <si>
    <t>IN9623B01058</t>
  </si>
  <si>
    <t>INE737H01014</t>
  </si>
  <si>
    <t>INE816B01019</t>
  </si>
  <si>
    <t>INE235A01022</t>
  </si>
  <si>
    <t>INE183A01016</t>
  </si>
  <si>
    <t>INE315J01015</t>
  </si>
  <si>
    <t>INE060J01017</t>
  </si>
  <si>
    <t>INE452O01016</t>
  </si>
  <si>
    <t>INE529A01010</t>
  </si>
  <si>
    <t>INE360L01017</t>
  </si>
  <si>
    <t>INE061F01013</t>
  </si>
  <si>
    <t>INE519A01011</t>
  </si>
  <si>
    <t>FRETAIL</t>
  </si>
  <si>
    <t>INE752P01024</t>
  </si>
  <si>
    <t>INE684F01012</t>
  </si>
  <si>
    <t>INE524A01029</t>
  </si>
  <si>
    <t>INE036B01022</t>
  </si>
  <si>
    <t>INE129A01019</t>
  </si>
  <si>
    <t>INE482J01021</t>
  </si>
  <si>
    <t>INE297H01019</t>
  </si>
  <si>
    <t>INE528K01011</t>
  </si>
  <si>
    <t>INE181G01025</t>
  </si>
  <si>
    <t>INE259B01020</t>
  </si>
  <si>
    <t>INE524B01027</t>
  </si>
  <si>
    <t>GANECOS</t>
  </si>
  <si>
    <t>Ganesha Ecosphere Limited</t>
  </si>
  <si>
    <t>INE845D01014</t>
  </si>
  <si>
    <t>INE460C01014</t>
  </si>
  <si>
    <t>INE670B01028</t>
  </si>
  <si>
    <t>INE526A01016</t>
  </si>
  <si>
    <t>INE276A01018</t>
  </si>
  <si>
    <t>INE152B01027</t>
  </si>
  <si>
    <t>INE336H01023</t>
  </si>
  <si>
    <t>INE852F01015</t>
  </si>
  <si>
    <t>INE916G01016</t>
  </si>
  <si>
    <t>INE878C01033</t>
  </si>
  <si>
    <t>INE727B01026</t>
  </si>
  <si>
    <t>GENUSPAPER</t>
  </si>
  <si>
    <t>Genus Paper &amp; Boards Limited</t>
  </si>
  <si>
    <t>INE949P01018</t>
  </si>
  <si>
    <t>INE955D01029</t>
  </si>
  <si>
    <t>GEOJITFSL</t>
  </si>
  <si>
    <t>Geojit Financial Services Limited</t>
  </si>
  <si>
    <t>INE007B01023</t>
  </si>
  <si>
    <t>GEPIL</t>
  </si>
  <si>
    <t>GE Power India Limited</t>
  </si>
  <si>
    <t>INE878A01011</t>
  </si>
  <si>
    <t>INE017A01032</t>
  </si>
  <si>
    <t>GET&amp;D</t>
  </si>
  <si>
    <t>GE T&amp;D India Limited</t>
  </si>
  <si>
    <t>INE200A01026</t>
  </si>
  <si>
    <t>INE539A01019</t>
  </si>
  <si>
    <t>INE289B01019</t>
  </si>
  <si>
    <t>INE047B01011</t>
  </si>
  <si>
    <t>INE322A01010</t>
  </si>
  <si>
    <t>INE424C01010</t>
  </si>
  <si>
    <t>INE162A01010</t>
  </si>
  <si>
    <t>INE065J01016</t>
  </si>
  <si>
    <t>INE346H01014</t>
  </si>
  <si>
    <t>INE528A01020</t>
  </si>
  <si>
    <t>INE159A01016</t>
  </si>
  <si>
    <t>INE935A01035</t>
  </si>
  <si>
    <t>INE540A01017</t>
  </si>
  <si>
    <t>INE792H01019</t>
  </si>
  <si>
    <t>INE446C01013</t>
  </si>
  <si>
    <t>INE615I01010</t>
  </si>
  <si>
    <t>INE075D01018</t>
  </si>
  <si>
    <t>INE131A01031</t>
  </si>
  <si>
    <t>INE776C01039</t>
  </si>
  <si>
    <t>GNA</t>
  </si>
  <si>
    <t>GNA Axles Limited</t>
  </si>
  <si>
    <t>INE934S01014</t>
  </si>
  <si>
    <t>INE113A01013</t>
  </si>
  <si>
    <t>INE426D01013</t>
  </si>
  <si>
    <t>GOCLCORP</t>
  </si>
  <si>
    <t>GOCL Corporation Limited</t>
  </si>
  <si>
    <t>INE077F01035</t>
  </si>
  <si>
    <t>INE260B01028</t>
  </si>
  <si>
    <t>INE102D01028</t>
  </si>
  <si>
    <t>INE233A01035</t>
  </si>
  <si>
    <t>INE484J01027</t>
  </si>
  <si>
    <t>INE516K01024</t>
  </si>
  <si>
    <t>INE887G01027</t>
  </si>
  <si>
    <t>INE020J01029</t>
  </si>
  <si>
    <t>GOKULAGRO</t>
  </si>
  <si>
    <t>Gokul Agro Resources Limited</t>
  </si>
  <si>
    <t>INE314T01025</t>
  </si>
  <si>
    <t>INE973A01010</t>
  </si>
  <si>
    <t>INE025B01017</t>
  </si>
  <si>
    <t>INE260D01016</t>
  </si>
  <si>
    <t>INE805A01014</t>
  </si>
  <si>
    <t>GOODLUCK</t>
  </si>
  <si>
    <t>Goodluck India Limited</t>
  </si>
  <si>
    <t>INE127I01024</t>
  </si>
  <si>
    <t>INE177H01013</t>
  </si>
  <si>
    <t>INE517F01014</t>
  </si>
  <si>
    <t>GPTINFRA</t>
  </si>
  <si>
    <t>GPT Infraprojects Limited</t>
  </si>
  <si>
    <t>INE390G01014</t>
  </si>
  <si>
    <t>INE101D01020</t>
  </si>
  <si>
    <t>INE371A01025</t>
  </si>
  <si>
    <t>INE047A01021</t>
  </si>
  <si>
    <t>INE024L01027</t>
  </si>
  <si>
    <t>INE224A01026</t>
  </si>
  <si>
    <t>INE217G01027</t>
  </si>
  <si>
    <t>GREENLAM</t>
  </si>
  <si>
    <t>Greenlam Industries Limited</t>
  </si>
  <si>
    <t>INE544R01013</t>
  </si>
  <si>
    <t>INE461C01038</t>
  </si>
  <si>
    <t>INE999K01014</t>
  </si>
  <si>
    <t>INE536A01023</t>
  </si>
  <si>
    <t>GROBTEA</t>
  </si>
  <si>
    <t>The Grob Tea Company Limited</t>
  </si>
  <si>
    <t>INE646C01018</t>
  </si>
  <si>
    <t>GRPLTD</t>
  </si>
  <si>
    <t>GRP Limited</t>
  </si>
  <si>
    <t>INE137I01015</t>
  </si>
  <si>
    <t>INE580B01029</t>
  </si>
  <si>
    <t>Gujarat Sidhee Cement Limited</t>
  </si>
  <si>
    <t>INE542A01039</t>
  </si>
  <si>
    <t>INE026A01025</t>
  </si>
  <si>
    <t>INE264A01014</t>
  </si>
  <si>
    <t>INE246F01010</t>
  </si>
  <si>
    <t>INE871H01011</t>
  </si>
  <si>
    <t>INE043A01012</t>
  </si>
  <si>
    <t>INE221H01019</t>
  </si>
  <si>
    <t>INE537A01013</t>
  </si>
  <si>
    <t>INE302H01017</t>
  </si>
  <si>
    <t>INE892H01017</t>
  </si>
  <si>
    <t>INE742B01025</t>
  </si>
  <si>
    <t>INE186A01019</t>
  </si>
  <si>
    <t>INE826C01016</t>
  </si>
  <si>
    <t>INE538A01037</t>
  </si>
  <si>
    <t>GUJGASLTD</t>
  </si>
  <si>
    <t>Gujarat Gas Limited</t>
  </si>
  <si>
    <t>INE844O01022</t>
  </si>
  <si>
    <t>INE110D01013</t>
  </si>
  <si>
    <t>GUJNREDVR</t>
  </si>
  <si>
    <t>IN9110D01011</t>
  </si>
  <si>
    <t>INE635Q01029</t>
  </si>
  <si>
    <t>GULFPETRO</t>
  </si>
  <si>
    <t>GP Petroleums Limited</t>
  </si>
  <si>
    <t>INE586G01017</t>
  </si>
  <si>
    <t>GULPOLY</t>
  </si>
  <si>
    <t>Gulshan Polyols Limited</t>
  </si>
  <si>
    <t>INE255D01024</t>
  </si>
  <si>
    <t>INE251H01024</t>
  </si>
  <si>
    <t>INE648H01013</t>
  </si>
  <si>
    <t>INE939D01015</t>
  </si>
  <si>
    <t>INE544A01019</t>
  </si>
  <si>
    <t>INE982F01036</t>
  </si>
  <si>
    <t>INE473B01035</t>
  </si>
  <si>
    <t>INE176B01034</t>
  </si>
  <si>
    <t>INE292B01021</t>
  </si>
  <si>
    <t>INE550B01014</t>
  </si>
  <si>
    <t>INE549A01026</t>
  </si>
  <si>
    <t>HCG</t>
  </si>
  <si>
    <t>Healthcare Global Enterprises Limited</t>
  </si>
  <si>
    <t>INE075I01017</t>
  </si>
  <si>
    <t>INE236A01020</t>
  </si>
  <si>
    <t>INE860A01027</t>
  </si>
  <si>
    <t>INE001A01036</t>
  </si>
  <si>
    <t>INE040A01026</t>
  </si>
  <si>
    <t>INE191I01012</t>
  </si>
  <si>
    <t>INE545A01016</t>
  </si>
  <si>
    <t>INE578A01017</t>
  </si>
  <si>
    <t>INE688E01024</t>
  </si>
  <si>
    <t>Heritage Foods Limited</t>
  </si>
  <si>
    <t>INE978A01019</t>
  </si>
  <si>
    <t>INE158A01026</t>
  </si>
  <si>
    <t>HESTERBIO</t>
  </si>
  <si>
    <t>Hester Biosciences Limited</t>
  </si>
  <si>
    <t>INE782E01017</t>
  </si>
  <si>
    <t>INE750M01017</t>
  </si>
  <si>
    <t>INE093A01033</t>
  </si>
  <si>
    <t>INE548A01028</t>
  </si>
  <si>
    <t>INE170I01016</t>
  </si>
  <si>
    <t>HIGHGROUND</t>
  </si>
  <si>
    <t>High Ground Enterprise Limited</t>
  </si>
  <si>
    <t>INE361M01021</t>
  </si>
  <si>
    <t>INE475B01022</t>
  </si>
  <si>
    <t>INE557A01011</t>
  </si>
  <si>
    <t>INE788H01017</t>
  </si>
  <si>
    <t>INE049A01027</t>
  </si>
  <si>
    <t>INE038A01020</t>
  </si>
  <si>
    <t>INE310C01029</t>
  </si>
  <si>
    <t>INE531E01026</t>
  </si>
  <si>
    <t>INE551A01022</t>
  </si>
  <si>
    <t>INE253A01025</t>
  </si>
  <si>
    <t>INE952A01022</t>
  </si>
  <si>
    <t>INE345A01011</t>
  </si>
  <si>
    <t>INE094A01015</t>
  </si>
  <si>
    <t>INE155B01012</t>
  </si>
  <si>
    <t>INE291F01016</t>
  </si>
  <si>
    <t>INE353A01023</t>
  </si>
  <si>
    <t>INE030A01027</t>
  </si>
  <si>
    <t>INE267A01025</t>
  </si>
  <si>
    <t>INE835D01023</t>
  </si>
  <si>
    <t>HISARMETAL</t>
  </si>
  <si>
    <t>Hisar Metal Industries Limited</t>
  </si>
  <si>
    <t>INE598C01011</t>
  </si>
  <si>
    <t>HITECHCORP</t>
  </si>
  <si>
    <t>Hitech Corporation Limited</t>
  </si>
  <si>
    <t>INE120D01012</t>
  </si>
  <si>
    <t>The Hi-Tech Gears Limited</t>
  </si>
  <si>
    <t>INE127B01011</t>
  </si>
  <si>
    <t>INE262A01018</t>
  </si>
  <si>
    <t>INE871K01015</t>
  </si>
  <si>
    <t>INE048A01011</t>
  </si>
  <si>
    <t>INE671A01010</t>
  </si>
  <si>
    <t>INE634A01018</t>
  </si>
  <si>
    <t>INE102A01024</t>
  </si>
  <si>
    <t>INE275F01019</t>
  </si>
  <si>
    <t>INE596H01014</t>
  </si>
  <si>
    <t>HPL</t>
  </si>
  <si>
    <t>HPL Electric &amp; Power Limited</t>
  </si>
  <si>
    <t>INE495S01016</t>
  </si>
  <si>
    <t>HSCL</t>
  </si>
  <si>
    <t>Himadri Speciality Chemical Limited</t>
  </si>
  <si>
    <t>INE019C01026</t>
  </si>
  <si>
    <t>INE415A01038</t>
  </si>
  <si>
    <t>INE501G01024</t>
  </si>
  <si>
    <t>INE703H01016</t>
  </si>
  <si>
    <t>INE031A01017</t>
  </si>
  <si>
    <t>INE069I01010</t>
  </si>
  <si>
    <t>INE148I01020</t>
  </si>
  <si>
    <t>IBVENTURES</t>
  </si>
  <si>
    <t>Indiabulls Ventures Limited</t>
  </si>
  <si>
    <t>INE274G01010</t>
  </si>
  <si>
    <t>INE090A01021</t>
  </si>
  <si>
    <t>ICICIPRULI</t>
  </si>
  <si>
    <t>ICICI Prudential Life Insurance Company Limited</t>
  </si>
  <si>
    <t>INE726G01019</t>
  </si>
  <si>
    <t>INE483B01026</t>
  </si>
  <si>
    <t>INE725G01011</t>
  </si>
  <si>
    <t>INE306B01029</t>
  </si>
  <si>
    <t>INE008A01015</t>
  </si>
  <si>
    <t>INE669E01016</t>
  </si>
  <si>
    <t>INE043D01016</t>
  </si>
  <si>
    <t>IDFCBANK</t>
  </si>
  <si>
    <t>IDFC Bank Limited</t>
  </si>
  <si>
    <t>INE092T01019</t>
  </si>
  <si>
    <t>INE076C01018</t>
  </si>
  <si>
    <t>INE559A01017</t>
  </si>
  <si>
    <t>INE039A01010</t>
  </si>
  <si>
    <t>INE023B01012</t>
  </si>
  <si>
    <t>INE188B01013</t>
  </si>
  <si>
    <t>INE203G01019</t>
  </si>
  <si>
    <t>INE204A01010</t>
  </si>
  <si>
    <t>INE530B01024</t>
  </si>
  <si>
    <t>INE886A01014</t>
  </si>
  <si>
    <t>INE369I01014</t>
  </si>
  <si>
    <t>INE975G01012</t>
  </si>
  <si>
    <t>INE919H01018</t>
  </si>
  <si>
    <t>INE547E01014</t>
  </si>
  <si>
    <t>INE691G01015</t>
  </si>
  <si>
    <t>INE841B01017</t>
  </si>
  <si>
    <t>INE053A01029</t>
  </si>
  <si>
    <t>INE383A01012</t>
  </si>
  <si>
    <t>INE560A01015</t>
  </si>
  <si>
    <t>INE562A01011</t>
  </si>
  <si>
    <t>INE061A01014</t>
  </si>
  <si>
    <t>INE323C01030</t>
  </si>
  <si>
    <t>INDIGO</t>
  </si>
  <si>
    <t>InterGlobe Aviation Limited</t>
  </si>
  <si>
    <t>INE646L01027</t>
  </si>
  <si>
    <t>INE065B01013</t>
  </si>
  <si>
    <t>INE092B01017</t>
  </si>
  <si>
    <t>INE873D01024</t>
  </si>
  <si>
    <t>INE156A01020</t>
  </si>
  <si>
    <t>INE866K01015</t>
  </si>
  <si>
    <t>INE332H01014</t>
  </si>
  <si>
    <t>INE337M01013</t>
  </si>
  <si>
    <t>INE227G01018</t>
  </si>
  <si>
    <t>INE681B01017</t>
  </si>
  <si>
    <t>INE915B01019</t>
  </si>
  <si>
    <t>INE788B01028</t>
  </si>
  <si>
    <t>INE611L01021</t>
  </si>
  <si>
    <t>INE095A01012</t>
  </si>
  <si>
    <t>INEOSSTYRO</t>
  </si>
  <si>
    <t>INEOS Styrolution India Limited</t>
  </si>
  <si>
    <t>INE189B01011</t>
  </si>
  <si>
    <t>INFIBEAM</t>
  </si>
  <si>
    <t>Infibeam Incorporation Limited</t>
  </si>
  <si>
    <t>INE483S01012</t>
  </si>
  <si>
    <t>INE486J01014</t>
  </si>
  <si>
    <t>Infomedia Press Limited</t>
  </si>
  <si>
    <t>INE669A01022</t>
  </si>
  <si>
    <t>INE121J01017</t>
  </si>
  <si>
    <t>INE009A01021</t>
  </si>
  <si>
    <t>INE177A01018</t>
  </si>
  <si>
    <t>INE312H01016</t>
  </si>
  <si>
    <t>INOXWIND</t>
  </si>
  <si>
    <t>Inox Wind Limited</t>
  </si>
  <si>
    <t>INE066P01011</t>
  </si>
  <si>
    <t>INE070I01018</t>
  </si>
  <si>
    <t>INE418N01027</t>
  </si>
  <si>
    <t>INTELLECT</t>
  </si>
  <si>
    <t>Intellect Design Arena Limited</t>
  </si>
  <si>
    <t>INE306R01017</t>
  </si>
  <si>
    <t>INTENTECH</t>
  </si>
  <si>
    <t>Intense Technologies Limited</t>
  </si>
  <si>
    <t>INE781A01025</t>
  </si>
  <si>
    <t>INE878H01016</t>
  </si>
  <si>
    <t>INE565A01014</t>
  </si>
  <si>
    <t>INE242A01010</t>
  </si>
  <si>
    <t>INE485C01011</t>
  </si>
  <si>
    <t>INE435A01028</t>
  </si>
  <si>
    <t>INE571A01020</t>
  </si>
  <si>
    <t>INE821I01014</t>
  </si>
  <si>
    <t>INE566K01011</t>
  </si>
  <si>
    <t>INE732F01019</t>
  </si>
  <si>
    <t>INE154A01025</t>
  </si>
  <si>
    <t>ITDC</t>
  </si>
  <si>
    <t>India Tourism Development Corporation Limited</t>
  </si>
  <si>
    <t>INE353K01014</t>
  </si>
  <si>
    <t>INE686A01026</t>
  </si>
  <si>
    <t>INE248A01017</t>
  </si>
  <si>
    <t>INE050B01023</t>
  </si>
  <si>
    <t>INE043C01018</t>
  </si>
  <si>
    <t>INE875A01025</t>
  </si>
  <si>
    <t>IZMO</t>
  </si>
  <si>
    <t>IZMO Limited</t>
  </si>
  <si>
    <t>INE848A01014</t>
  </si>
  <si>
    <t>INE168A01041</t>
  </si>
  <si>
    <t>INE199G01027</t>
  </si>
  <si>
    <t>INE048B01027</t>
  </si>
  <si>
    <t>INE091G01018</t>
  </si>
  <si>
    <t>INE070D01027</t>
  </si>
  <si>
    <t>INE343D01010</t>
  </si>
  <si>
    <t>INE486B01011</t>
  </si>
  <si>
    <t>INE039C01024</t>
  </si>
  <si>
    <t>INE785A01026</t>
  </si>
  <si>
    <t>INE571B01028</t>
  </si>
  <si>
    <t>INE854B01010</t>
  </si>
  <si>
    <t>INE364A01020</t>
  </si>
  <si>
    <t>INE572A01028</t>
  </si>
  <si>
    <t>INE187A01017</t>
  </si>
  <si>
    <t>INE927D01028</t>
  </si>
  <si>
    <t>JCHAC</t>
  </si>
  <si>
    <t>Johnson Controls – Hitachi Air Conditioning India Limited</t>
  </si>
  <si>
    <t>INE782A01015</t>
  </si>
  <si>
    <t>INE819B01021</t>
  </si>
  <si>
    <t>INE802G01018</t>
  </si>
  <si>
    <t>INE544H01014</t>
  </si>
  <si>
    <t>INE026B01049</t>
  </si>
  <si>
    <t>INE796G01012</t>
  </si>
  <si>
    <t>INE197D01010</t>
  </si>
  <si>
    <t>INE324A01024</t>
  </si>
  <si>
    <t>INE749A01030</t>
  </si>
  <si>
    <t>INE904J01016</t>
  </si>
  <si>
    <t>INE742C01031</t>
  </si>
  <si>
    <t>INE247D01013</t>
  </si>
  <si>
    <t>JISLDVREQS</t>
  </si>
  <si>
    <t>IN9175A01010</t>
  </si>
  <si>
    <t>INE175A01038</t>
  </si>
  <si>
    <t>JITFINFRA</t>
  </si>
  <si>
    <t>JITF Infralogistics Limited</t>
  </si>
  <si>
    <t>INE863T01013</t>
  </si>
  <si>
    <t>INE823G01014</t>
  </si>
  <si>
    <t>INE576I01022</t>
  </si>
  <si>
    <t>INE786A01032</t>
  </si>
  <si>
    <t>INE789E01012</t>
  </si>
  <si>
    <t>INE573A01042</t>
  </si>
  <si>
    <t>JMA</t>
  </si>
  <si>
    <t>Jullundur Motor Agency (Delhi) Limited</t>
  </si>
  <si>
    <t>INE412C01015</t>
  </si>
  <si>
    <t>INE890A01016</t>
  </si>
  <si>
    <t>INE780C01023</t>
  </si>
  <si>
    <t>INE988E01036</t>
  </si>
  <si>
    <t>INE839G01010</t>
  </si>
  <si>
    <t>INE455F01025</t>
  </si>
  <si>
    <t>INE099J01015</t>
  </si>
  <si>
    <t>INE147P01019</t>
  </si>
  <si>
    <t>INE351F01018</t>
  </si>
  <si>
    <t>INE220G01021</t>
  </si>
  <si>
    <t>JSLHISAR</t>
  </si>
  <si>
    <t>Jindal Stainless (Hisar) Limited</t>
  </si>
  <si>
    <t>INE455T01018</t>
  </si>
  <si>
    <t>INE121E01018</t>
  </si>
  <si>
    <t>INE824G01012</t>
  </si>
  <si>
    <t>INE019A01038</t>
  </si>
  <si>
    <t>INE700A01033</t>
  </si>
  <si>
    <t>INE797F01012</t>
  </si>
  <si>
    <t>INE645L01011</t>
  </si>
  <si>
    <t>INE599M01018</t>
  </si>
  <si>
    <t>INE430G01026</t>
  </si>
  <si>
    <t>INE668F01031</t>
  </si>
  <si>
    <t>INE197A01024</t>
  </si>
  <si>
    <t>INE900B01029</t>
  </si>
  <si>
    <t>INE217B01036</t>
  </si>
  <si>
    <t>INE437B01014</t>
  </si>
  <si>
    <t>INE220B01022</t>
  </si>
  <si>
    <t>KALYANI</t>
  </si>
  <si>
    <t>Kalyani Commercials Limited</t>
  </si>
  <si>
    <t>INE610E01010</t>
  </si>
  <si>
    <t>INE314G01014</t>
  </si>
  <si>
    <t>INE967C01018</t>
  </si>
  <si>
    <t>KAMDHENU</t>
  </si>
  <si>
    <t>Kamdhenu Limited</t>
  </si>
  <si>
    <t>INE390H01012</t>
  </si>
  <si>
    <t>INE879E01037</t>
  </si>
  <si>
    <t>INE138C01024</t>
  </si>
  <si>
    <t>INE531A01024</t>
  </si>
  <si>
    <t>INE725L01011</t>
  </si>
  <si>
    <t>INE036D01028</t>
  </si>
  <si>
    <t>INE234I01010</t>
  </si>
  <si>
    <t>INE641C01019</t>
  </si>
  <si>
    <t>KAYA</t>
  </si>
  <si>
    <t>Kaya Limited</t>
  </si>
  <si>
    <t>INE587G01015</t>
  </si>
  <si>
    <t>INE805C01028</t>
  </si>
  <si>
    <t>INE790B01024</t>
  </si>
  <si>
    <t>KDDL</t>
  </si>
  <si>
    <t>KDDL Limited</t>
  </si>
  <si>
    <t>INE291D01011</t>
  </si>
  <si>
    <t>INE389H01022</t>
  </si>
  <si>
    <t>INE134B01017</t>
  </si>
  <si>
    <t>INE878B01027</t>
  </si>
  <si>
    <t>KELLTONTEC</t>
  </si>
  <si>
    <t>Kellton Tech Solutions Limited</t>
  </si>
  <si>
    <t>INE164B01022</t>
  </si>
  <si>
    <t>INE202H01019</t>
  </si>
  <si>
    <t>INE133B01019</t>
  </si>
  <si>
    <t>INE087A01019</t>
  </si>
  <si>
    <t>INE681C01015</t>
  </si>
  <si>
    <t>INE299C01024</t>
  </si>
  <si>
    <t>INE761A01019</t>
  </si>
  <si>
    <t>INE731C01018</t>
  </si>
  <si>
    <t>INE060B01014</t>
  </si>
  <si>
    <t>INE029L01018</t>
  </si>
  <si>
    <t>INE729D01010</t>
  </si>
  <si>
    <t>KINGFA</t>
  </si>
  <si>
    <t>Kingfa Science &amp; Technology (India) Limited</t>
  </si>
  <si>
    <t>INE473D01015</t>
  </si>
  <si>
    <t>KIOCL</t>
  </si>
  <si>
    <t>KIOCL Limited</t>
  </si>
  <si>
    <t>INE880L01014</t>
  </si>
  <si>
    <t>INE415I01015</t>
  </si>
  <si>
    <t>INE732A01036</t>
  </si>
  <si>
    <t>INE146L01010</t>
  </si>
  <si>
    <t>INE250A01039</t>
  </si>
  <si>
    <t>INE602G01020</t>
  </si>
  <si>
    <t>INE401H01017</t>
  </si>
  <si>
    <t>INE157H01023</t>
  </si>
  <si>
    <t>INE634I01029</t>
  </si>
  <si>
    <t>INE080B01012</t>
  </si>
  <si>
    <t>INE760A01029</t>
  </si>
  <si>
    <t>INE094I01018</t>
  </si>
  <si>
    <t>INE082A01010</t>
  </si>
  <si>
    <t>INE237A01028</t>
  </si>
  <si>
    <t>INE419A01022</t>
  </si>
  <si>
    <t>INE720A01015</t>
  </si>
  <si>
    <t>INE823A01017</t>
  </si>
  <si>
    <t>KPIT Technologies Limited</t>
  </si>
  <si>
    <t>INE836A01035</t>
  </si>
  <si>
    <t>INE930H01023</t>
  </si>
  <si>
    <t>INE001B01026</t>
  </si>
  <si>
    <t>Krebs Biochemicals and Industries Limited</t>
  </si>
  <si>
    <t>INE268B01013</t>
  </si>
  <si>
    <t>KRIDHANINF</t>
  </si>
  <si>
    <t>Kridhan Infra Limited</t>
  </si>
  <si>
    <t>INE524L01026</t>
  </si>
  <si>
    <t>INE999A01015</t>
  </si>
  <si>
    <t>INE455I01029</t>
  </si>
  <si>
    <t>INE216D01026</t>
  </si>
  <si>
    <t>INE143H01015</t>
  </si>
  <si>
    <t>INE907A01026</t>
  </si>
  <si>
    <t>INE096L01025</t>
  </si>
  <si>
    <t>INE614B01018</t>
  </si>
  <si>
    <t>INE775B01025</t>
  </si>
  <si>
    <t>INE498L01015</t>
  </si>
  <si>
    <t>INE651C01018</t>
  </si>
  <si>
    <t>INE992B01026</t>
  </si>
  <si>
    <t>INE694C01018</t>
  </si>
  <si>
    <t>LALPATHLAB</t>
  </si>
  <si>
    <t>Dr. Lal Path Labs Ltd.</t>
  </si>
  <si>
    <t>INE600L01024</t>
  </si>
  <si>
    <t>LAMBODHARA</t>
  </si>
  <si>
    <t>Lambodhara Textiles Limited</t>
  </si>
  <si>
    <t>INE112F01022</t>
  </si>
  <si>
    <t>INE059D01020</t>
  </si>
  <si>
    <t>LAURUSLABS</t>
  </si>
  <si>
    <t>Laurus Labs Limited</t>
  </si>
  <si>
    <t>INE947Q01010</t>
  </si>
  <si>
    <t>INE269B01029</t>
  </si>
  <si>
    <t>INE938A01021</t>
  </si>
  <si>
    <t>LFIC</t>
  </si>
  <si>
    <t>Lakshmi Finance &amp; Industrial Corporation Limited</t>
  </si>
  <si>
    <t>INE850E01012</t>
  </si>
  <si>
    <t>INE337A01034</t>
  </si>
  <si>
    <t>INE201J01017</t>
  </si>
  <si>
    <t>INE557B01019</t>
  </si>
  <si>
    <t>INE115A01026</t>
  </si>
  <si>
    <t>LINCOLN</t>
  </si>
  <si>
    <t>Lincoln Pharmaceuticals Limited</t>
  </si>
  <si>
    <t>INE405C01035</t>
  </si>
  <si>
    <t>LINCPEN</t>
  </si>
  <si>
    <t>Linc Pen &amp; Plastics Limited</t>
  </si>
  <si>
    <t>INE802B01019</t>
  </si>
  <si>
    <t>INE473A01011</t>
  </si>
  <si>
    <t>INE785C01048</t>
  </si>
  <si>
    <t>INE245C01019</t>
  </si>
  <si>
    <t>INE862A01015</t>
  </si>
  <si>
    <t>INE397H01017</t>
  </si>
  <si>
    <t>INE947I01017</t>
  </si>
  <si>
    <t>INE597L01014</t>
  </si>
  <si>
    <t>INE197J01017</t>
  </si>
  <si>
    <t>LSIL</t>
  </si>
  <si>
    <t>Lloyds Steels Industries Limited</t>
  </si>
  <si>
    <t>INE093R01011</t>
  </si>
  <si>
    <t>INE018A01030</t>
  </si>
  <si>
    <t>LTI</t>
  </si>
  <si>
    <t>Larsen &amp; Toubro Infotech Limited</t>
  </si>
  <si>
    <t>INE214T01019</t>
  </si>
  <si>
    <t>LTTS</t>
  </si>
  <si>
    <t>L&amp;T Technology Services Limited</t>
  </si>
  <si>
    <t>INE010V01017</t>
  </si>
  <si>
    <t>INE162B01018</t>
  </si>
  <si>
    <t>INE872H01019</t>
  </si>
  <si>
    <t>INE326A01037</t>
  </si>
  <si>
    <t>LUXIND</t>
  </si>
  <si>
    <t>Lux Industries Limited</t>
  </si>
  <si>
    <t>INE150G01020</t>
  </si>
  <si>
    <t>LYCOS</t>
  </si>
  <si>
    <t>Lycos Internet Limited</t>
  </si>
  <si>
    <t>INE425B01027</t>
  </si>
  <si>
    <t>INE933A01014</t>
  </si>
  <si>
    <t>INE142K01011</t>
  </si>
  <si>
    <t>INE101A01026</t>
  </si>
  <si>
    <t>INE774D01024</t>
  </si>
  <si>
    <t>INE215I01019</t>
  </si>
  <si>
    <t>INE925C01016</t>
  </si>
  <si>
    <t>INE378D01032</t>
  </si>
  <si>
    <t>INE414A01015</t>
  </si>
  <si>
    <t>INE511C01022</t>
  </si>
  <si>
    <t>INE387I01016</t>
  </si>
  <si>
    <t>INE457A01014</t>
  </si>
  <si>
    <t>MAHASTEEL</t>
  </si>
  <si>
    <t>Mahamaya Steel Industries Limited</t>
  </si>
  <si>
    <t>INE451L01014</t>
  </si>
  <si>
    <t>INE536H01010</t>
  </si>
  <si>
    <t>INE813A01018</t>
  </si>
  <si>
    <t>INE288A01013</t>
  </si>
  <si>
    <t>INE271B01025</t>
  </si>
  <si>
    <t>INE683C01011</t>
  </si>
  <si>
    <t>MAJESCO</t>
  </si>
  <si>
    <t>Majesco Limited</t>
  </si>
  <si>
    <t>INE898S01029</t>
  </si>
  <si>
    <t>INE383H01017</t>
  </si>
  <si>
    <t>INE272B01015</t>
  </si>
  <si>
    <t>MANAKALUCO</t>
  </si>
  <si>
    <t>Manaksia Aluminium Company Limited</t>
  </si>
  <si>
    <t>INE859Q01017</t>
  </si>
  <si>
    <t>MANAKCOAT</t>
  </si>
  <si>
    <t>Manaksia Coated Metals &amp; Industries Limited</t>
  </si>
  <si>
    <t>INE830Q01018</t>
  </si>
  <si>
    <t>MANAKINDST</t>
  </si>
  <si>
    <t>Manaksia Industries Limited</t>
  </si>
  <si>
    <t>INE831Q01016</t>
  </si>
  <si>
    <t>INE015D01022</t>
  </si>
  <si>
    <t>MANAKSTEEL</t>
  </si>
  <si>
    <t>Manaksia Steels Limited</t>
  </si>
  <si>
    <t>INE824Q01011</t>
  </si>
  <si>
    <t>INE201A01024</t>
  </si>
  <si>
    <t>MANAPPURAM</t>
  </si>
  <si>
    <t>Manappuram Finance Limited</t>
  </si>
  <si>
    <t>INE522D01027</t>
  </si>
  <si>
    <t>INE087J01010</t>
  </si>
  <si>
    <t>INE584F01014</t>
  </si>
  <si>
    <t>INE558B01017</t>
  </si>
  <si>
    <t>INE347A01017</t>
  </si>
  <si>
    <t>INE805B01012</t>
  </si>
  <si>
    <t>INE993A01026</t>
  </si>
  <si>
    <t>INE949H01023</t>
  </si>
  <si>
    <t>MANPASAND</t>
  </si>
  <si>
    <t>Manpasand Beverages Limited</t>
  </si>
  <si>
    <t>INE122R01018</t>
  </si>
  <si>
    <t>INE867A01022</t>
  </si>
  <si>
    <t>INE882A01013</t>
  </si>
  <si>
    <t>MARATHON</t>
  </si>
  <si>
    <t>Marathon Nextgen Realty Limited</t>
  </si>
  <si>
    <t>INE182D01012</t>
  </si>
  <si>
    <t>INE196A01026</t>
  </si>
  <si>
    <t>INE750C01026</t>
  </si>
  <si>
    <t>INE585B01010</t>
  </si>
  <si>
    <t>MASKINVEST</t>
  </si>
  <si>
    <t>Mask Investments Limited</t>
  </si>
  <si>
    <t>INE885F01015</t>
  </si>
  <si>
    <t>INE759A01021</t>
  </si>
  <si>
    <t>INE636A01039</t>
  </si>
  <si>
    <t>MAXINDIA</t>
  </si>
  <si>
    <t>INE153U01017</t>
  </si>
  <si>
    <t>MAXVIL</t>
  </si>
  <si>
    <t>Max Ventures and Industries Limited</t>
  </si>
  <si>
    <t>INE154U01015</t>
  </si>
  <si>
    <t>INE040D01038</t>
  </si>
  <si>
    <t>MAZDA</t>
  </si>
  <si>
    <t>Mazda Limited</t>
  </si>
  <si>
    <t>INE885E01034</t>
  </si>
  <si>
    <t>INE748A01016</t>
  </si>
  <si>
    <t>INE912H01013</t>
  </si>
  <si>
    <t>INE836H01014</t>
  </si>
  <si>
    <t>INE854D01016</t>
  </si>
  <si>
    <t>INE942G01012</t>
  </si>
  <si>
    <t>MCX</t>
  </si>
  <si>
    <t>Multi Commodity Exchange of India Limited</t>
  </si>
  <si>
    <t>INE745G01035</t>
  </si>
  <si>
    <t>INE933B01012</t>
  </si>
  <si>
    <t>INE974H01013</t>
  </si>
  <si>
    <t>INE817A01019</t>
  </si>
  <si>
    <t>MENONBE</t>
  </si>
  <si>
    <t>Menon Bearings Limited</t>
  </si>
  <si>
    <t>INE071D01033</t>
  </si>
  <si>
    <t>MEP</t>
  </si>
  <si>
    <t>MEP Infrastructure Developers Limited</t>
  </si>
  <si>
    <t>INE776I01010</t>
  </si>
  <si>
    <t>INE934B01028</t>
  </si>
  <si>
    <t>INE199A01012</t>
  </si>
  <si>
    <t>METALFORGE</t>
  </si>
  <si>
    <t>Metalyst Forgings Limited</t>
  </si>
  <si>
    <t>INE425A01011</t>
  </si>
  <si>
    <t>INE592I01029</t>
  </si>
  <si>
    <t>MFSL</t>
  </si>
  <si>
    <t>Max Financial Services Limited</t>
  </si>
  <si>
    <t>INE180A01020</t>
  </si>
  <si>
    <t>MGL</t>
  </si>
  <si>
    <t>Mahanagar Gas Limited</t>
  </si>
  <si>
    <t>INE002S01010</t>
  </si>
  <si>
    <t>INE998I01010</t>
  </si>
  <si>
    <t>INE287C01029</t>
  </si>
  <si>
    <t>INE842C01021</t>
  </si>
  <si>
    <t>INE405E01023</t>
  </si>
  <si>
    <t>MINDTECK</t>
  </si>
  <si>
    <t>Mindteck (India) Limited</t>
  </si>
  <si>
    <t>INE110B01017</t>
  </si>
  <si>
    <t>INE018I01017</t>
  </si>
  <si>
    <t>INE831A01028</t>
  </si>
  <si>
    <t>INE771A01026</t>
  </si>
  <si>
    <t>INE227C01017</t>
  </si>
  <si>
    <t>INE123F01029</t>
  </si>
  <si>
    <t>INE954E01012</t>
  </si>
  <si>
    <t>INE490G01020</t>
  </si>
  <si>
    <t>MOLDTECH</t>
  </si>
  <si>
    <t>Mold-Tek Technologies Limited</t>
  </si>
  <si>
    <t>INE835B01035</t>
  </si>
  <si>
    <t>MOLDTKPAC</t>
  </si>
  <si>
    <t>Mold-Tek Packaging Limited</t>
  </si>
  <si>
    <t>INE893J01029</t>
  </si>
  <si>
    <t>INE743C01013</t>
  </si>
  <si>
    <t>INE274B01011</t>
  </si>
  <si>
    <t>MONTECARLO</t>
  </si>
  <si>
    <t>Monte Carlo Fashions Limited</t>
  </si>
  <si>
    <t>INE950M01013</t>
  </si>
  <si>
    <t>INE161G01027</t>
  </si>
  <si>
    <t>INE083A01026</t>
  </si>
  <si>
    <t>INE739A01015</t>
  </si>
  <si>
    <t>INE775A01035</t>
  </si>
  <si>
    <t>INE338I01027</t>
  </si>
  <si>
    <t>INE861B01015</t>
  </si>
  <si>
    <t>INE356A01018</t>
  </si>
  <si>
    <t>INE943D01017</t>
  </si>
  <si>
    <t>INE883A01011</t>
  </si>
  <si>
    <t>MRO-TEK Realty Limited</t>
  </si>
  <si>
    <t>INE398B01018</t>
  </si>
  <si>
    <t>INE103A01014</t>
  </si>
  <si>
    <t>INE752G01015</t>
  </si>
  <si>
    <t>INE472M01018</t>
  </si>
  <si>
    <t>INE153A01019</t>
  </si>
  <si>
    <t>INE022B01014</t>
  </si>
  <si>
    <t>INE304A01026</t>
  </si>
  <si>
    <t>INE374B01019</t>
  </si>
  <si>
    <t>INE672B01032</t>
  </si>
  <si>
    <t>INE577A01027</t>
  </si>
  <si>
    <t>INE692B01014</t>
  </si>
  <si>
    <t>MUTHOOTCAP</t>
  </si>
  <si>
    <t>Muthoot Capital Services Limited</t>
  </si>
  <si>
    <t>INE296G01013</t>
  </si>
  <si>
    <t>INE414G01012</t>
  </si>
  <si>
    <t>INE744I01034</t>
  </si>
  <si>
    <t>NAGAAGRI</t>
  </si>
  <si>
    <t>Nagarjuna Agrichem Limited</t>
  </si>
  <si>
    <t>INE295D01020</t>
  </si>
  <si>
    <t>NAGAFERT</t>
  </si>
  <si>
    <t>Nagarjuna Fertilizers and Chemicals Limited</t>
  </si>
  <si>
    <t>INE454M01024</t>
  </si>
  <si>
    <t>INE453M01018</t>
  </si>
  <si>
    <t>INE245I01016</t>
  </si>
  <si>
    <t>INE123B01028</t>
  </si>
  <si>
    <t>INE049I01012</t>
  </si>
  <si>
    <t>INE289A01011</t>
  </si>
  <si>
    <t>INE308A01027</t>
  </si>
  <si>
    <t>INE290A01027</t>
  </si>
  <si>
    <t>INE559B01023</t>
  </si>
  <si>
    <t>INE987B01026</t>
  </si>
  <si>
    <t>INE448G01010</t>
  </si>
  <si>
    <t>INE139A01034</t>
  </si>
  <si>
    <t>INE088B01015</t>
  </si>
  <si>
    <t>INE663F01024</t>
  </si>
  <si>
    <t>INE048G01018</t>
  </si>
  <si>
    <t>NAVKARCORP</t>
  </si>
  <si>
    <t>Navkar Corporation Limited</t>
  </si>
  <si>
    <t>INE278M01019</t>
  </si>
  <si>
    <t>INE060A01024</t>
  </si>
  <si>
    <t>NBCC (India) Limited</t>
  </si>
  <si>
    <t>INE095N01023</t>
  </si>
  <si>
    <t>NBIFIN</t>
  </si>
  <si>
    <t>N. B. I. Industrial Finance Company Limited</t>
  </si>
  <si>
    <t>INE365I01012</t>
  </si>
  <si>
    <t>INE725A01022</t>
  </si>
  <si>
    <t>INE868B01028</t>
  </si>
  <si>
    <t>INE732C01016</t>
  </si>
  <si>
    <t>NDGL</t>
  </si>
  <si>
    <t>Naga Dhunseri Group Limited</t>
  </si>
  <si>
    <t>INE756C01015</t>
  </si>
  <si>
    <t>INE875G01030</t>
  </si>
  <si>
    <t>INE155G01029</t>
  </si>
  <si>
    <t>NECCLTD</t>
  </si>
  <si>
    <t>North Eastern Carrying Corporation Limited</t>
  </si>
  <si>
    <t>INE553C01016</t>
  </si>
  <si>
    <t>INE023H01027</t>
  </si>
  <si>
    <t>INE189I01024</t>
  </si>
  <si>
    <t>INE045B01015</t>
  </si>
  <si>
    <t>INE317F01027</t>
  </si>
  <si>
    <t>NESTLEIND</t>
  </si>
  <si>
    <t>Nestle India Limited</t>
  </si>
  <si>
    <t>INE239A01016</t>
  </si>
  <si>
    <t>INE553E01012</t>
  </si>
  <si>
    <t>INE870H01013</t>
  </si>
  <si>
    <t>INE794A01010</t>
  </si>
  <si>
    <t>INE747B01016</t>
  </si>
  <si>
    <t>INE870D01012</t>
  </si>
  <si>
    <t>NH</t>
  </si>
  <si>
    <t>Narayana Hrudayalaya Ltd.</t>
  </si>
  <si>
    <t>INE410P01011</t>
  </si>
  <si>
    <t>INE848E01016</t>
  </si>
  <si>
    <t>INE047O01014</t>
  </si>
  <si>
    <t>INE241C01026</t>
  </si>
  <si>
    <t>INE161A01038</t>
  </si>
  <si>
    <t>INE591G01017</t>
  </si>
  <si>
    <t>NILAINFRA</t>
  </si>
  <si>
    <t>Nila Infrastructures Limited</t>
  </si>
  <si>
    <t>INE937C01029</t>
  </si>
  <si>
    <t>INE310A01015</t>
  </si>
  <si>
    <t>Indo-National Limited</t>
  </si>
  <si>
    <t>INE567A01010</t>
  </si>
  <si>
    <t>NIRAJISPAT</t>
  </si>
  <si>
    <t>Niraj Ispat Industries Limited</t>
  </si>
  <si>
    <t>INE326T01011</t>
  </si>
  <si>
    <t>INE858F01012</t>
  </si>
  <si>
    <t>INE639K01016</t>
  </si>
  <si>
    <t>INE489H01020</t>
  </si>
  <si>
    <t>INE229H01012</t>
  </si>
  <si>
    <t>INE542C01019</t>
  </si>
  <si>
    <t>NLCINDIA</t>
  </si>
  <si>
    <t>NLC India Limited</t>
  </si>
  <si>
    <t>INE589A01014</t>
  </si>
  <si>
    <t>INE584A01023</t>
  </si>
  <si>
    <t>INE163A01018</t>
  </si>
  <si>
    <t>INE141B01020</t>
  </si>
  <si>
    <t>INE781B01015</t>
  </si>
  <si>
    <t>INE369C01017</t>
  </si>
  <si>
    <t>NRAIL</t>
  </si>
  <si>
    <t>N R Agarwal Industries Limited</t>
  </si>
  <si>
    <t>INE740D01017</t>
  </si>
  <si>
    <t>INE349A01021</t>
  </si>
  <si>
    <t>INE023A01030</t>
  </si>
  <si>
    <t>NTL</t>
  </si>
  <si>
    <t>Neueon Towers Limited</t>
  </si>
  <si>
    <t>INE333I01036</t>
  </si>
  <si>
    <t>INE733E01010</t>
  </si>
  <si>
    <t>INE096B01018</t>
  </si>
  <si>
    <t>INE318J01027</t>
  </si>
  <si>
    <t>INE093I01010</t>
  </si>
  <si>
    <t>OCCL</t>
  </si>
  <si>
    <t>Oriental Carbon &amp; Chemicals Limited</t>
  </si>
  <si>
    <t>INE321D01016</t>
  </si>
  <si>
    <t>INE290B01025</t>
  </si>
  <si>
    <t>INE881D01027</t>
  </si>
  <si>
    <t>INE274J01014</t>
  </si>
  <si>
    <t>INE591A01010</t>
  </si>
  <si>
    <t>INE196J01019</t>
  </si>
  <si>
    <t>INE090B01011</t>
  </si>
  <si>
    <t>INE800H01010</t>
  </si>
  <si>
    <t>INE474L01016</t>
  </si>
  <si>
    <t>INE239D01028</t>
  </si>
  <si>
    <t>INE912L01015</t>
  </si>
  <si>
    <t>INE213A01029</t>
  </si>
  <si>
    <t>INE809I01019</t>
  </si>
  <si>
    <t>INE229A01017</t>
  </si>
  <si>
    <t>INE808B01016</t>
  </si>
  <si>
    <t>INE628H01015</t>
  </si>
  <si>
    <t>INE231G01010</t>
  </si>
  <si>
    <t>ORCHIDPHAR</t>
  </si>
  <si>
    <t>Orchid Pharma Limited</t>
  </si>
  <si>
    <t>INE191A01019</t>
  </si>
  <si>
    <t>ORICONENT</t>
  </si>
  <si>
    <t>Oricon Enterprises Limited</t>
  </si>
  <si>
    <t>INE730A01022</t>
  </si>
  <si>
    <t>INE569C01020</t>
  </si>
  <si>
    <t>INE998H01012</t>
  </si>
  <si>
    <t>INE141A01014</t>
  </si>
  <si>
    <t>INE607D01018</t>
  </si>
  <si>
    <t>INE876N01018</t>
  </si>
  <si>
    <t>INE750A01020</t>
  </si>
  <si>
    <t>INE609C01024</t>
  </si>
  <si>
    <t>INE592A01026</t>
  </si>
  <si>
    <t>INE743M01012</t>
  </si>
  <si>
    <t>INE725E01024</t>
  </si>
  <si>
    <t>ORTEL</t>
  </si>
  <si>
    <t>Ortel Communications Limited</t>
  </si>
  <si>
    <t>INE849L01019</t>
  </si>
  <si>
    <t>ORTINLABSS</t>
  </si>
  <si>
    <t>Ortin Laboratories Limited</t>
  </si>
  <si>
    <t>INE749B01012</t>
  </si>
  <si>
    <t>INE766A01018</t>
  </si>
  <si>
    <t>INE761H01022</t>
  </si>
  <si>
    <t>PALREDTEC</t>
  </si>
  <si>
    <t>INE218G01033</t>
  </si>
  <si>
    <t>INE922B01023</t>
  </si>
  <si>
    <t>INE305C01029</t>
  </si>
  <si>
    <t>INE194B01029</t>
  </si>
  <si>
    <t>INE275B01026</t>
  </si>
  <si>
    <t>INE618H01016</t>
  </si>
  <si>
    <t>INE074B01023</t>
  </si>
  <si>
    <t>PARAGMILK</t>
  </si>
  <si>
    <t>Parag Milk Foods Limited</t>
  </si>
  <si>
    <t>INE883N01014</t>
  </si>
  <si>
    <t>INE561H01026</t>
  </si>
  <si>
    <t>INE244B01030</t>
  </si>
  <si>
    <t>INE529D01014</t>
  </si>
  <si>
    <t>INE790C01014</t>
  </si>
  <si>
    <t>INE160H01019</t>
  </si>
  <si>
    <t>INE785M01013</t>
  </si>
  <si>
    <t>PDMJEPAPER</t>
  </si>
  <si>
    <t>Pudumjee Paper Products Limited</t>
  </si>
  <si>
    <t>INE865T01018</t>
  </si>
  <si>
    <t>INE904D01019</t>
  </si>
  <si>
    <t>INE111Q01013</t>
  </si>
  <si>
    <t>INE105C01023</t>
  </si>
  <si>
    <t>INE606A01024</t>
  </si>
  <si>
    <t>INE844A01013</t>
  </si>
  <si>
    <t>INE140A01024</t>
  </si>
  <si>
    <t>INE932A01024</t>
  </si>
  <si>
    <t>INE138A01028</t>
  </si>
  <si>
    <t>PENPEBS</t>
  </si>
  <si>
    <t>Pennar Engineered Building Systems Limited</t>
  </si>
  <si>
    <t>INE455O01019</t>
  </si>
  <si>
    <t>INE262H01013</t>
  </si>
  <si>
    <t>INE742A01019</t>
  </si>
  <si>
    <t>INE347G01014</t>
  </si>
  <si>
    <t>INE134E01011</t>
  </si>
  <si>
    <t>INE182A01018</t>
  </si>
  <si>
    <t>INE367G01038</t>
  </si>
  <si>
    <t>INE560K01014</t>
  </si>
  <si>
    <t>INE457L01011</t>
  </si>
  <si>
    <t>INE179A01014</t>
  </si>
  <si>
    <t>INE940H01014</t>
  </si>
  <si>
    <t>INE602A01015</t>
  </si>
  <si>
    <t>INE455B01016</t>
  </si>
  <si>
    <t>INE211B01039</t>
  </si>
  <si>
    <t>INE318A01026</t>
  </si>
  <si>
    <t>INE603J01030</t>
  </si>
  <si>
    <t>PILANIINVS</t>
  </si>
  <si>
    <t>Pilani Investment and Industries Corporation Limited</t>
  </si>
  <si>
    <t>INE417C01014</t>
  </si>
  <si>
    <t>PILITA</t>
  </si>
  <si>
    <t>PIL ITALICA LIFESTYLE LIMITED</t>
  </si>
  <si>
    <t>INE600A01035</t>
  </si>
  <si>
    <t>PINCON</t>
  </si>
  <si>
    <t>Pincon Spirit Limited</t>
  </si>
  <si>
    <t>INE675G01018</t>
  </si>
  <si>
    <t>INE889E01010</t>
  </si>
  <si>
    <t>INE156C01018</t>
  </si>
  <si>
    <t>INE122J01015</t>
  </si>
  <si>
    <t>INE450D01021</t>
  </si>
  <si>
    <t>PKTEA</t>
  </si>
  <si>
    <t>The Peria Karamalai Tea &amp; Produce Company Limited</t>
  </si>
  <si>
    <t>INE431F01018</t>
  </si>
  <si>
    <t>INE083C01022</t>
  </si>
  <si>
    <t>INE160A01022</t>
  </si>
  <si>
    <t>INE859A01011</t>
  </si>
  <si>
    <t>PNBHOUSING</t>
  </si>
  <si>
    <t>PNB Housing Finance Limited</t>
  </si>
  <si>
    <t>INE572E01012</t>
  </si>
  <si>
    <t>INE392B01011</t>
  </si>
  <si>
    <t>PNCINFRA</t>
  </si>
  <si>
    <t>PNC Infratech Limited</t>
  </si>
  <si>
    <t>INE195J01029</t>
  </si>
  <si>
    <t>INE332G01032</t>
  </si>
  <si>
    <t>PODDARHOUS</t>
  </si>
  <si>
    <t>Poddar Housing and Development Limited</t>
  </si>
  <si>
    <t>INE888B01018</t>
  </si>
  <si>
    <t>PODDARMENT</t>
  </si>
  <si>
    <t>Poddar Pigments Limited</t>
  </si>
  <si>
    <t>INE371C01013</t>
  </si>
  <si>
    <t>POKARNA</t>
  </si>
  <si>
    <t>Pokarna Limited</t>
  </si>
  <si>
    <t>INE637C01017</t>
  </si>
  <si>
    <t>POLARIS CONSULTING &amp; SERVICES LIMITED</t>
  </si>
  <si>
    <t>INE763A01023</t>
  </si>
  <si>
    <t>INE205C01021</t>
  </si>
  <si>
    <t>INE633B01018</t>
  </si>
  <si>
    <t>INE838E01017</t>
  </si>
  <si>
    <t>INE752E01010</t>
  </si>
  <si>
    <t>POWERMECH</t>
  </si>
  <si>
    <t>Power Mech Projects Limited</t>
  </si>
  <si>
    <t>INE211R01019</t>
  </si>
  <si>
    <t>INE095I01015</t>
  </si>
  <si>
    <t>PRABHAT</t>
  </si>
  <si>
    <t>Prabhat Dairy Limited</t>
  </si>
  <si>
    <t>INE302M01033</t>
  </si>
  <si>
    <t>INE495J01015</t>
  </si>
  <si>
    <t>INE505C01016</t>
  </si>
  <si>
    <t>INE074A01025</t>
  </si>
  <si>
    <t>INE603A01013</t>
  </si>
  <si>
    <t>INE023M01027</t>
  </si>
  <si>
    <t>INE696K01024</t>
  </si>
  <si>
    <t>INE308H01022</t>
  </si>
  <si>
    <t>PRECAM</t>
  </si>
  <si>
    <t>Precision Camshafts Limited</t>
  </si>
  <si>
    <t>INE484I01029</t>
  </si>
  <si>
    <t>INE283A01014</t>
  </si>
  <si>
    <t>INE372C01029</t>
  </si>
  <si>
    <t>PREMEXPLN</t>
  </si>
  <si>
    <t>Premier Explosives Limited</t>
  </si>
  <si>
    <t>INE863B01011</t>
  </si>
  <si>
    <t>INE342A01018</t>
  </si>
  <si>
    <t>INE309M01012</t>
  </si>
  <si>
    <t>INE980A01023</t>
  </si>
  <si>
    <t>INE811K01011</t>
  </si>
  <si>
    <t>PRICOLLTD</t>
  </si>
  <si>
    <t>INE726V01018</t>
  </si>
  <si>
    <t>INE032B01021</t>
  </si>
  <si>
    <t>INE010A01011</t>
  </si>
  <si>
    <t>INE968G01033</t>
  </si>
  <si>
    <t>INE195N01013</t>
  </si>
  <si>
    <t>INE608A01012</t>
  </si>
  <si>
    <t>INE474B01017</t>
  </si>
  <si>
    <t>INE877F01012</t>
  </si>
  <si>
    <t>INE034D01031</t>
  </si>
  <si>
    <t>INE277B01014</t>
  </si>
  <si>
    <t>INE701B01021</t>
  </si>
  <si>
    <t>Puravankara Limited</t>
  </si>
  <si>
    <t>INE323I01011</t>
  </si>
  <si>
    <t>INE362A01016</t>
  </si>
  <si>
    <t>INE191H01014</t>
  </si>
  <si>
    <t>QUESS</t>
  </si>
  <si>
    <t>Quess Corp Limited</t>
  </si>
  <si>
    <t>INE615P01015</t>
  </si>
  <si>
    <t>QUICKHEAL</t>
  </si>
  <si>
    <t>Quick Heal Technologies Limited</t>
  </si>
  <si>
    <t>INE306L01010</t>
  </si>
  <si>
    <t>INE033B01011</t>
  </si>
  <si>
    <t>INE874F01027</t>
  </si>
  <si>
    <t>INE944F01028</t>
  </si>
  <si>
    <t>RADIOCITY</t>
  </si>
  <si>
    <t>Music Broadcast Limited</t>
  </si>
  <si>
    <t>INE919I01016</t>
  </si>
  <si>
    <t>INE855B01025</t>
  </si>
  <si>
    <t>INE028D01025</t>
  </si>
  <si>
    <t>INE313D01013</t>
  </si>
  <si>
    <t>INE343B01030</t>
  </si>
  <si>
    <t>INE294G01018</t>
  </si>
  <si>
    <t>INE533D01024</t>
  </si>
  <si>
    <t>INE562B01019</t>
  </si>
  <si>
    <t>INE952H01027</t>
  </si>
  <si>
    <t>INE011H01014</t>
  </si>
  <si>
    <t>INE613A01020</t>
  </si>
  <si>
    <t>Shree Rama Newsprint Limited</t>
  </si>
  <si>
    <t>INE278B01020</t>
  </si>
  <si>
    <t>RAMASTEEL</t>
  </si>
  <si>
    <t>Rama Steel Tubes Limited</t>
  </si>
  <si>
    <t>INE230R01027</t>
  </si>
  <si>
    <t>INE331A01037</t>
  </si>
  <si>
    <t>INE614A01028</t>
  </si>
  <si>
    <t>INE246B01019</t>
  </si>
  <si>
    <t>INE874I01013</t>
  </si>
  <si>
    <t>INE005D01015</t>
  </si>
  <si>
    <t>INE625B01014</t>
  </si>
  <si>
    <t>INE222J01013</t>
  </si>
  <si>
    <t>INE384A01010</t>
  </si>
  <si>
    <t>INE904G01038</t>
  </si>
  <si>
    <t>INE703B01027</t>
  </si>
  <si>
    <t>INE301A01014</t>
  </si>
  <si>
    <t>INE244J01017</t>
  </si>
  <si>
    <t>RBLBANK</t>
  </si>
  <si>
    <t>RBL Bank Limited</t>
  </si>
  <si>
    <t>INE976G01028</t>
  </si>
  <si>
    <t>INE027A01015</t>
  </si>
  <si>
    <t>INE330H01018</t>
  </si>
  <si>
    <t>RDEL</t>
  </si>
  <si>
    <t>Reliance Defence and Engineering Limited</t>
  </si>
  <si>
    <t>INE542F01012</t>
  </si>
  <si>
    <t>INE020B01018</t>
  </si>
  <si>
    <t>INE891D01026</t>
  </si>
  <si>
    <t>Refex Industries Limited</t>
  </si>
  <si>
    <t>INE056I01017</t>
  </si>
  <si>
    <t>INE277C01012</t>
  </si>
  <si>
    <t>INE385B01031</t>
  </si>
  <si>
    <t>INE131B01039</t>
  </si>
  <si>
    <t>INE013A01015</t>
  </si>
  <si>
    <t>INE002A01018</t>
  </si>
  <si>
    <t>INE621H01010</t>
  </si>
  <si>
    <t>INE036A01016</t>
  </si>
  <si>
    <t>INE474C01015</t>
  </si>
  <si>
    <t>INE087H01022</t>
  </si>
  <si>
    <t>INE612J01015</t>
  </si>
  <si>
    <t>INE461B01014</t>
  </si>
  <si>
    <t>INE688D01026</t>
  </si>
  <si>
    <t>INE617A01013</t>
  </si>
  <si>
    <t>INE209B01025</t>
  </si>
  <si>
    <t>INE046A01015</t>
  </si>
  <si>
    <t>INE722H01016</t>
  </si>
  <si>
    <t>INE722J01012</t>
  </si>
  <si>
    <t>INE399G01015</t>
  </si>
  <si>
    <t>INE172H01014</t>
  </si>
  <si>
    <t>INE050H01012</t>
  </si>
  <si>
    <t>INE248H01012</t>
  </si>
  <si>
    <t>INE283H01019</t>
  </si>
  <si>
    <t>ROLLT</t>
  </si>
  <si>
    <t>Rollatainers Limited</t>
  </si>
  <si>
    <t>INE927A01040</t>
  </si>
  <si>
    <t>INE293A01013</t>
  </si>
  <si>
    <t>INE847C01020</t>
  </si>
  <si>
    <t>INE105J01010</t>
  </si>
  <si>
    <t>INE614G01033</t>
  </si>
  <si>
    <t>INE324L01013</t>
  </si>
  <si>
    <t>INE165B01029</t>
  </si>
  <si>
    <t>INE611A01016</t>
  </si>
  <si>
    <t>INE411H01032</t>
  </si>
  <si>
    <t>INE834M01019</t>
  </si>
  <si>
    <t>INE399K01017</t>
  </si>
  <si>
    <t>INE301D01026</t>
  </si>
  <si>
    <t>INE413B01023</t>
  </si>
  <si>
    <t>INE803H01014</t>
  </si>
  <si>
    <t>INE619A01027</t>
  </si>
  <si>
    <t>INE895B01021</t>
  </si>
  <si>
    <t>INE573K01017</t>
  </si>
  <si>
    <t>SABEVENTS</t>
  </si>
  <si>
    <t>Sab Events &amp; Governance Now Media Limited</t>
  </si>
  <si>
    <t>INE860T01019</t>
  </si>
  <si>
    <t>INE416A01036</t>
  </si>
  <si>
    <t>INE226H01026</t>
  </si>
  <si>
    <t>SADBHIN</t>
  </si>
  <si>
    <t>Sadbhav Infrastructure Project Limited</t>
  </si>
  <si>
    <t>INE764L01010</t>
  </si>
  <si>
    <t>INE229C01013</t>
  </si>
  <si>
    <t>INE114A01011</t>
  </si>
  <si>
    <t>INE623A01011</t>
  </si>
  <si>
    <t>INE667G01015</t>
  </si>
  <si>
    <t>INE190H01016</t>
  </si>
  <si>
    <t>SALONA</t>
  </si>
  <si>
    <t>Salona Cotspin Limited</t>
  </si>
  <si>
    <t>INE498E01010</t>
  </si>
  <si>
    <t>INE924A01013</t>
  </si>
  <si>
    <t>INE658G01014</t>
  </si>
  <si>
    <t>SALZERELEC</t>
  </si>
  <si>
    <t>Salzer Electronics Limited</t>
  </si>
  <si>
    <t>INE457F01013</t>
  </si>
  <si>
    <t>INE699B01027</t>
  </si>
  <si>
    <t>INE381A01016</t>
  </si>
  <si>
    <t>INE782L01012</t>
  </si>
  <si>
    <t>INE583B01015</t>
  </si>
  <si>
    <t>INE495C01010</t>
  </si>
  <si>
    <t>INE999B01013</t>
  </si>
  <si>
    <t>INE263L01013</t>
  </si>
  <si>
    <t>INE989A01024</t>
  </si>
  <si>
    <t>INE058A01010</t>
  </si>
  <si>
    <t>INE890C01046</t>
  </si>
  <si>
    <t>INE385C01013</t>
  </si>
  <si>
    <t>INE979A01017</t>
  </si>
  <si>
    <t>INE453D01025</t>
  </si>
  <si>
    <t>Sasken Technologies Limited</t>
  </si>
  <si>
    <t>INE231F01020</t>
  </si>
  <si>
    <t>SASTASUNDR</t>
  </si>
  <si>
    <t>Sastasundar Ventures Limited</t>
  </si>
  <si>
    <t>INE019J01013</t>
  </si>
  <si>
    <t>INE176C01016</t>
  </si>
  <si>
    <t>SATIN</t>
  </si>
  <si>
    <t>Satin Creditcare Network Limited</t>
  </si>
  <si>
    <t>INE836B01017</t>
  </si>
  <si>
    <t>INE062A01020</t>
  </si>
  <si>
    <t>SCHAND</t>
  </si>
  <si>
    <t>S Chand And Company Limited</t>
  </si>
  <si>
    <t>INE807K01035</t>
  </si>
  <si>
    <t>INE839M01018</t>
  </si>
  <si>
    <t>INE109A01011</t>
  </si>
  <si>
    <t>INE480C01012</t>
  </si>
  <si>
    <t>INE497B01018</t>
  </si>
  <si>
    <t>INE420C01042</t>
  </si>
  <si>
    <t>INE818A01017</t>
  </si>
  <si>
    <t>INE105I01012</t>
  </si>
  <si>
    <t>INE735M01018</t>
  </si>
  <si>
    <t>SEQUENT</t>
  </si>
  <si>
    <t>Sequent Scientific Limited</t>
  </si>
  <si>
    <t>INE807F01027</t>
  </si>
  <si>
    <t>INE431L01016</t>
  </si>
  <si>
    <t>INE630A01016</t>
  </si>
  <si>
    <t>SETCO</t>
  </si>
  <si>
    <t>Setco Automotive Limited</t>
  </si>
  <si>
    <t>INE878E01021</t>
  </si>
  <si>
    <t>INE955I01036</t>
  </si>
  <si>
    <t>SFL</t>
  </si>
  <si>
    <t>Sheela Foam Limited</t>
  </si>
  <si>
    <t>INE916U01025</t>
  </si>
  <si>
    <t>INE883G01018</t>
  </si>
  <si>
    <t>INE353H01010</t>
  </si>
  <si>
    <t>INE640C01011</t>
  </si>
  <si>
    <t>SHAKTIPUMP</t>
  </si>
  <si>
    <t>Shakti Pumps (India) Limited</t>
  </si>
  <si>
    <t>INE908D01010</t>
  </si>
  <si>
    <t>INE849C01026</t>
  </si>
  <si>
    <t>SHANKARA</t>
  </si>
  <si>
    <t>Shankara Building Products Limited</t>
  </si>
  <si>
    <t>INE274V01019</t>
  </si>
  <si>
    <t>INE631A01022</t>
  </si>
  <si>
    <t>INE221J01015</t>
  </si>
  <si>
    <t>SHARDAMOTR</t>
  </si>
  <si>
    <t>Sharda Motor Industries Limited</t>
  </si>
  <si>
    <t>INE597I01010</t>
  </si>
  <si>
    <t>INE028B01029</t>
  </si>
  <si>
    <t>INE363M01019</t>
  </si>
  <si>
    <t>INE790G01031</t>
  </si>
  <si>
    <t>INE510K01019</t>
  </si>
  <si>
    <t>INE196B01016</t>
  </si>
  <si>
    <t>INE637H01024</t>
  </si>
  <si>
    <t>INE705C01012</t>
  </si>
  <si>
    <t>SHK</t>
  </si>
  <si>
    <t>S H Kelkar and Company Limited</t>
  </si>
  <si>
    <t>INE500L01026</t>
  </si>
  <si>
    <t>INE498B01024</t>
  </si>
  <si>
    <t>INE070A01015</t>
  </si>
  <si>
    <t>SHREEPUSHK</t>
  </si>
  <si>
    <t>Shree Pushkar Chemicals &amp; Fertilisers Limited</t>
  </si>
  <si>
    <t>INE712K01011</t>
  </si>
  <si>
    <t>INE879A01019</t>
  </si>
  <si>
    <t>INE231C01019</t>
  </si>
  <si>
    <t>INE757B01015</t>
  </si>
  <si>
    <t>SHRIPISTON</t>
  </si>
  <si>
    <t>Shriram Pistons &amp; Rings Limited</t>
  </si>
  <si>
    <t>INE526E01018</t>
  </si>
  <si>
    <t>INE722A01011</t>
  </si>
  <si>
    <t>INE964H01014</t>
  </si>
  <si>
    <t>SHYAMCENT</t>
  </si>
  <si>
    <t>Shyam Century Ferrous Limited</t>
  </si>
  <si>
    <t>INE979R01011</t>
  </si>
  <si>
    <t>INE635A01023</t>
  </si>
  <si>
    <t>INE176J01011</t>
  </si>
  <si>
    <t>INE075B01012</t>
  </si>
  <si>
    <t>INE003A01024</t>
  </si>
  <si>
    <t>SIGNET</t>
  </si>
  <si>
    <t>Signet Industries Limited</t>
  </si>
  <si>
    <t>INE529F01027</t>
  </si>
  <si>
    <t>INE173A01025</t>
  </si>
  <si>
    <t>INE923A01015</t>
  </si>
  <si>
    <t>SIMBHALS</t>
  </si>
  <si>
    <t>INE748T01016</t>
  </si>
  <si>
    <t>INE898F01018</t>
  </si>
  <si>
    <t>INE059B01024</t>
  </si>
  <si>
    <t>INE429C01035</t>
  </si>
  <si>
    <t>INE686I01011</t>
  </si>
  <si>
    <t>SITINET</t>
  </si>
  <si>
    <t>Siti Networks Limited</t>
  </si>
  <si>
    <t>INE965H01011</t>
  </si>
  <si>
    <t>INE076B01010</t>
  </si>
  <si>
    <t>INE002L01015</t>
  </si>
  <si>
    <t>INE640A01023</t>
  </si>
  <si>
    <t>INE429F01012</t>
  </si>
  <si>
    <t>SKIPPER</t>
  </si>
  <si>
    <t>Skipper Limited</t>
  </si>
  <si>
    <t>INE439E01022</t>
  </si>
  <si>
    <t>INE411D01015</t>
  </si>
  <si>
    <t>INE178C01020</t>
  </si>
  <si>
    <t>INE294B01019</t>
  </si>
  <si>
    <t>Splendid Metal Products Limited</t>
  </si>
  <si>
    <t>INE215G01021</t>
  </si>
  <si>
    <t>INE812G01025</t>
  </si>
  <si>
    <t>INE734N01019</t>
  </si>
  <si>
    <t>INE671H01015</t>
  </si>
  <si>
    <t>INE863A01013</t>
  </si>
  <si>
    <t>INE343H01029</t>
  </si>
  <si>
    <t>INE355A01028</t>
  </si>
  <si>
    <t>INE314C01013</t>
  </si>
  <si>
    <t>SOMICONVEY</t>
  </si>
  <si>
    <t>Somi Conveyor Beltings Limited</t>
  </si>
  <si>
    <t>INE323J01019</t>
  </si>
  <si>
    <t>INE643A01035</t>
  </si>
  <si>
    <t>INE269A01021</t>
  </si>
  <si>
    <t>SORILHOLD</t>
  </si>
  <si>
    <t>SORIL Holdings and Ventures Limited</t>
  </si>
  <si>
    <t>INE126M01010</t>
  </si>
  <si>
    <t>SORILINFRA</t>
  </si>
  <si>
    <t>SORIL Infra Resources Limited</t>
  </si>
  <si>
    <t>INE034H01016</t>
  </si>
  <si>
    <t>INE035D01012</t>
  </si>
  <si>
    <t>INE683A01023</t>
  </si>
  <si>
    <t>SPAL</t>
  </si>
  <si>
    <t>S. P. Apparels Limited</t>
  </si>
  <si>
    <t>INE212I01016</t>
  </si>
  <si>
    <t>INE232I01014</t>
  </si>
  <si>
    <t>SPCENET</t>
  </si>
  <si>
    <t>Spacenet Enterprises India Limited</t>
  </si>
  <si>
    <t>INE970N01027</t>
  </si>
  <si>
    <t>INE247M01014</t>
  </si>
  <si>
    <t>INE376C01020</t>
  </si>
  <si>
    <t>SPHEREGSL</t>
  </si>
  <si>
    <t>Sphere Global Services Limited</t>
  </si>
  <si>
    <t>INE737B01033</t>
  </si>
  <si>
    <t>INE147A01011</t>
  </si>
  <si>
    <t>INE927C01020</t>
  </si>
  <si>
    <t>INE978G01016</t>
  </si>
  <si>
    <t>INE937A01023</t>
  </si>
  <si>
    <t>INE268L01020</t>
  </si>
  <si>
    <t>SQSBFSI</t>
  </si>
  <si>
    <t>SQS India BFSI Limited</t>
  </si>
  <si>
    <t>INE201K01015</t>
  </si>
  <si>
    <t>INE099F01013</t>
  </si>
  <si>
    <t>INE872A01014</t>
  </si>
  <si>
    <t>INE647A01010</t>
  </si>
  <si>
    <t>INE376A01032</t>
  </si>
  <si>
    <t>INE917H01012</t>
  </si>
  <si>
    <t>SRIPIPES</t>
  </si>
  <si>
    <t>Srikalahasthi Pipes Limited</t>
  </si>
  <si>
    <t>INE943C01027</t>
  </si>
  <si>
    <t>INE219H01039</t>
  </si>
  <si>
    <t>INE721A01013</t>
  </si>
  <si>
    <t>INE802C01017</t>
  </si>
  <si>
    <t>STAMPEDE</t>
  </si>
  <si>
    <t>Stampede Capital Limited</t>
  </si>
  <si>
    <t>INE224E01028</t>
  </si>
  <si>
    <t>Strides Shasun Limited</t>
  </si>
  <si>
    <t>INE939A01011</t>
  </si>
  <si>
    <t>INE733A01018</t>
  </si>
  <si>
    <t>INE655A01013</t>
  </si>
  <si>
    <t>INE577L01016</t>
  </si>
  <si>
    <t>INE324C01038</t>
  </si>
  <si>
    <t>INE334A01023</t>
  </si>
  <si>
    <t>INE090C01019</t>
  </si>
  <si>
    <t>INE089C01029</t>
  </si>
  <si>
    <t>INE754A01014</t>
  </si>
  <si>
    <t>INE287B01021</t>
  </si>
  <si>
    <t>INE659A01023</t>
  </si>
  <si>
    <t>INE216G01011</t>
  </si>
  <si>
    <t>INE235C01010</t>
  </si>
  <si>
    <t>INE519C01017</t>
  </si>
  <si>
    <t>INE105A01035</t>
  </si>
  <si>
    <t>INE108E01023</t>
  </si>
  <si>
    <t>INE660A01013</t>
  </si>
  <si>
    <t>INE073D01013</t>
  </si>
  <si>
    <t>INE387A01021</t>
  </si>
  <si>
    <t>INE947A01014</t>
  </si>
  <si>
    <t>INE305H01028</t>
  </si>
  <si>
    <t>Sun Pharmaceutical Industries Limited</t>
  </si>
  <si>
    <t>INE044A01036</t>
  </si>
  <si>
    <t>INE805D01026</t>
  </si>
  <si>
    <t>INE424H01027</t>
  </si>
  <si>
    <t>INE712B01010</t>
  </si>
  <si>
    <t>INE662A01027</t>
  </si>
  <si>
    <t>INE663A01017</t>
  </si>
  <si>
    <t>INE399C01030</t>
  </si>
  <si>
    <t>INE195A01028</t>
  </si>
  <si>
    <t>INE550H01011</t>
  </si>
  <si>
    <t>INE651G01027</t>
  </si>
  <si>
    <t>INE357D01010</t>
  </si>
  <si>
    <t>INE659D01019</t>
  </si>
  <si>
    <t>Surana Solar Limited</t>
  </si>
  <si>
    <t>INE272L01022</t>
  </si>
  <si>
    <t>INE130B01031</t>
  </si>
  <si>
    <t>INE713B01026</t>
  </si>
  <si>
    <t>INE335A01012</t>
  </si>
  <si>
    <t>INE645H01019</t>
  </si>
  <si>
    <t>INE495B01038</t>
  </si>
  <si>
    <t>INE040H01021</t>
  </si>
  <si>
    <t>INE665A01038</t>
  </si>
  <si>
    <t>INE277A01016</t>
  </si>
  <si>
    <t>INE409B01013</t>
  </si>
  <si>
    <t>INE225D01027</t>
  </si>
  <si>
    <t>INE602K01014</t>
  </si>
  <si>
    <t>INE667A01018</t>
  </si>
  <si>
    <t>SYNGENE</t>
  </si>
  <si>
    <t>Syngene International Limited</t>
  </si>
  <si>
    <t>INE398R01022</t>
  </si>
  <si>
    <t>INE123C01018</t>
  </si>
  <si>
    <t>INE586B01026</t>
  </si>
  <si>
    <t>INE142I01023</t>
  </si>
  <si>
    <t>INE187D01011</t>
  </si>
  <si>
    <t>INE502K01016</t>
  </si>
  <si>
    <t>INE483C01032</t>
  </si>
  <si>
    <t>INE388G01018</t>
  </si>
  <si>
    <t>INE799L01016</t>
  </si>
  <si>
    <t>INE747K01017</t>
  </si>
  <si>
    <t>INE924H01018</t>
  </si>
  <si>
    <t>TASTYBITE</t>
  </si>
  <si>
    <t>Tasty Bite Eatables Limited</t>
  </si>
  <si>
    <t>INE488B01017</t>
  </si>
  <si>
    <t>INE092A01019</t>
  </si>
  <si>
    <t>INE344201012</t>
  </si>
  <si>
    <t>INE493A01027</t>
  </si>
  <si>
    <t>INE151A01013</t>
  </si>
  <si>
    <t>INE670A01012</t>
  </si>
  <si>
    <t>INE192A01025</t>
  </si>
  <si>
    <t>INE672A01018</t>
  </si>
  <si>
    <t>INE056C01010</t>
  </si>
  <si>
    <t>INE155A01022</t>
  </si>
  <si>
    <t>TATAMTRDVR</t>
  </si>
  <si>
    <t>IN9155A01020</t>
  </si>
  <si>
    <t>INE245A01021</t>
  </si>
  <si>
    <t>INE674A01014</t>
  </si>
  <si>
    <t>INE081A01012</t>
  </si>
  <si>
    <t>INE760L01018</t>
  </si>
  <si>
    <t>INE688A01022</t>
  </si>
  <si>
    <t>INE662L01016</t>
  </si>
  <si>
    <t>TCIEXP</t>
  </si>
  <si>
    <t>TCI Express Limited</t>
  </si>
  <si>
    <t>INE586V01016</t>
  </si>
  <si>
    <t>INE911B01018</t>
  </si>
  <si>
    <t>INE467B01029</t>
  </si>
  <si>
    <t>INE419M01019</t>
  </si>
  <si>
    <t>TEAMLEASE</t>
  </si>
  <si>
    <t>Teamlease Services Limited</t>
  </si>
  <si>
    <t>INE985S01024</t>
  </si>
  <si>
    <t>Techindia Nirman Limited</t>
  </si>
  <si>
    <t>INE778A01021</t>
  </si>
  <si>
    <t>INE669C01036</t>
  </si>
  <si>
    <t>INE286K01024</t>
  </si>
  <si>
    <t>INE509K01011</t>
  </si>
  <si>
    <t>TERASOFT</t>
  </si>
  <si>
    <t>Tera Software Limited</t>
  </si>
  <si>
    <t>INE482B01010</t>
  </si>
  <si>
    <t>INE435C01024</t>
  </si>
  <si>
    <t>INE141K01013</t>
  </si>
  <si>
    <t>INE621L01012</t>
  </si>
  <si>
    <t>INE305A01015</t>
  </si>
  <si>
    <t>INE804H01012</t>
  </si>
  <si>
    <t>TGB Banquets And Hotels Limited</t>
  </si>
  <si>
    <t>INE797H01018</t>
  </si>
  <si>
    <t>INE085J01014</t>
  </si>
  <si>
    <t>INE083B01016</t>
  </si>
  <si>
    <t>INE152A01029</t>
  </si>
  <si>
    <t>INE409A01015</t>
  </si>
  <si>
    <t>INE332A01027</t>
  </si>
  <si>
    <t>INE480M01011</t>
  </si>
  <si>
    <t>THYROCARE</t>
  </si>
  <si>
    <t>Thyrocare Technologies Limited</t>
  </si>
  <si>
    <t>INE594H01019</t>
  </si>
  <si>
    <t>INE133E01013</t>
  </si>
  <si>
    <t>INE484C01022</t>
  </si>
  <si>
    <t>INE545H01011</t>
  </si>
  <si>
    <t>INE440L01017</t>
  </si>
  <si>
    <t>INE806C01018</t>
  </si>
  <si>
    <t>INE289C01025</t>
  </si>
  <si>
    <t>INE508G01029</t>
  </si>
  <si>
    <t>INE325A01013</t>
  </si>
  <si>
    <t>INE422C01014</t>
  </si>
  <si>
    <t>INE716B01011</t>
  </si>
  <si>
    <t>INE338A01016</t>
  </si>
  <si>
    <t>INE280A01028</t>
  </si>
  <si>
    <t>TMRVL</t>
  </si>
  <si>
    <t>The Mandhana Retail Ventures Limited</t>
  </si>
  <si>
    <t>INE759V01019</t>
  </si>
  <si>
    <t>INE148A01019</t>
  </si>
  <si>
    <t>INE107A01015</t>
  </si>
  <si>
    <t>INE141D01018</t>
  </si>
  <si>
    <t>INE944B01019</t>
  </si>
  <si>
    <t>INE932C01012</t>
  </si>
  <si>
    <t>INE685A01028</t>
  </si>
  <si>
    <t>INE813H01021</t>
  </si>
  <si>
    <t>TPLPLASTEH</t>
  </si>
  <si>
    <t>TPL Plastech Limited</t>
  </si>
  <si>
    <t>INE413G01014</t>
  </si>
  <si>
    <t>INE040M01013</t>
  </si>
  <si>
    <t>INE849A01020</t>
  </si>
  <si>
    <t>INE391D01019</t>
  </si>
  <si>
    <t>INE064C01014</t>
  </si>
  <si>
    <t>INE948A01012</t>
  </si>
  <si>
    <t>INE763I01018</t>
  </si>
  <si>
    <t>INE152M01016</t>
  </si>
  <si>
    <t>INE256C01024</t>
  </si>
  <si>
    <t>TTKHLTCARE</t>
  </si>
  <si>
    <t>TTK Healthcare Limited</t>
  </si>
  <si>
    <t>INE910C01018</t>
  </si>
  <si>
    <t>INE690A01010</t>
  </si>
  <si>
    <t>INE592B01016</t>
  </si>
  <si>
    <t>INE517B01013</t>
  </si>
  <si>
    <t>INE149A01025</t>
  </si>
  <si>
    <t>INE474I01012</t>
  </si>
  <si>
    <t>INE886H01027</t>
  </si>
  <si>
    <t>INE236G01019</t>
  </si>
  <si>
    <t>INE494B01023</t>
  </si>
  <si>
    <t>INE421C01016</t>
  </si>
  <si>
    <t>INE038F01029</t>
  </si>
  <si>
    <t>TVVISION</t>
  </si>
  <si>
    <t>TV Vision Limited</t>
  </si>
  <si>
    <t>INE871L01013</t>
  </si>
  <si>
    <t>INE615H01020</t>
  </si>
  <si>
    <t>INE696A01025</t>
  </si>
  <si>
    <t>INE686F01025</t>
  </si>
  <si>
    <t>INE139B01016</t>
  </si>
  <si>
    <t>INE691A01018</t>
  </si>
  <si>
    <t>INE516A01017</t>
  </si>
  <si>
    <t>UFO</t>
  </si>
  <si>
    <t>UFO Moviez India Limited</t>
  </si>
  <si>
    <t>INE527H01019</t>
  </si>
  <si>
    <t>INE071E01023</t>
  </si>
  <si>
    <t>INE899L01022</t>
  </si>
  <si>
    <t>UJJIVAN</t>
  </si>
  <si>
    <t>Ujjivan Financial Services Limited</t>
  </si>
  <si>
    <t>INE334L01012</t>
  </si>
  <si>
    <t>INE481G01011</t>
  </si>
  <si>
    <t>UMANGDAIRY</t>
  </si>
  <si>
    <t>Umang Dairies Limited</t>
  </si>
  <si>
    <t>INE864B01027</t>
  </si>
  <si>
    <t>INE240C01028</t>
  </si>
  <si>
    <t>INE351A01035</t>
  </si>
  <si>
    <t>INE037A01022</t>
  </si>
  <si>
    <t>INE692A01016</t>
  </si>
  <si>
    <t>INE950G01015</t>
  </si>
  <si>
    <t>INE694A01020</t>
  </si>
  <si>
    <t>INE695A01019</t>
  </si>
  <si>
    <t>UNITEDTEA</t>
  </si>
  <si>
    <t>The United Nilgiri Tea Estates Company Limited</t>
  </si>
  <si>
    <t>INE458F01011</t>
  </si>
  <si>
    <t>INE466H01028</t>
  </si>
  <si>
    <t>INE279A01012</t>
  </si>
  <si>
    <t>INE628A01036</t>
  </si>
  <si>
    <t>URJA</t>
  </si>
  <si>
    <t>Urja Global Limited</t>
  </si>
  <si>
    <t>INE550C01020</t>
  </si>
  <si>
    <t>INE228A01035</t>
  </si>
  <si>
    <t>INE235G01011</t>
  </si>
  <si>
    <t>INE699A01011</t>
  </si>
  <si>
    <t>INE786F01031</t>
  </si>
  <si>
    <t>UVSL</t>
  </si>
  <si>
    <t>INE292A01023</t>
  </si>
  <si>
    <t>INE945H01013</t>
  </si>
  <si>
    <t>INE694D01016</t>
  </si>
  <si>
    <t>INE884A01019</t>
  </si>
  <si>
    <t>Vakrangee Limited</t>
  </si>
  <si>
    <t>INE051B01021</t>
  </si>
  <si>
    <t>INE352A01017</t>
  </si>
  <si>
    <t>INE116G01013</t>
  </si>
  <si>
    <t>INE835A01011</t>
  </si>
  <si>
    <t>INE893I01013</t>
  </si>
  <si>
    <t>INE590L01019</t>
  </si>
  <si>
    <t>VBL</t>
  </si>
  <si>
    <t>Varun Beverages Limited</t>
  </si>
  <si>
    <t>INE200M01013</t>
  </si>
  <si>
    <t>VEDL</t>
  </si>
  <si>
    <t>Vedanta Limited</t>
  </si>
  <si>
    <t>INE205A01025</t>
  </si>
  <si>
    <t>INE398A01010</t>
  </si>
  <si>
    <t>INE411B01019</t>
  </si>
  <si>
    <t>INE386A01015</t>
  </si>
  <si>
    <t>INE918N01018</t>
  </si>
  <si>
    <t>INE951I01027</t>
  </si>
  <si>
    <t>INE701A01023</t>
  </si>
  <si>
    <t>INE048C01017</t>
  </si>
  <si>
    <t>INE703A01011</t>
  </si>
  <si>
    <t>VIDHIING</t>
  </si>
  <si>
    <t>Vidhi Specialty Food Ingredients Limited</t>
  </si>
  <si>
    <t>INE632C01026</t>
  </si>
  <si>
    <t>INE705A01016</t>
  </si>
  <si>
    <t>VIJIFIN</t>
  </si>
  <si>
    <t>Viji Finance Limited</t>
  </si>
  <si>
    <t>INE159N01027</t>
  </si>
  <si>
    <t>INE806F01011</t>
  </si>
  <si>
    <t>VIKASECO</t>
  </si>
  <si>
    <t>Vikas EcoTech Limited</t>
  </si>
  <si>
    <t>INE806A01020</t>
  </si>
  <si>
    <t>INE067D01015</t>
  </si>
  <si>
    <t>INE579C01029</t>
  </si>
  <si>
    <t>INE410B01029</t>
  </si>
  <si>
    <t>INE707A01012</t>
  </si>
  <si>
    <t>INE250B01029</t>
  </si>
  <si>
    <t>VIPCLOTHNG</t>
  </si>
  <si>
    <t>VIP Clothing Limited</t>
  </si>
  <si>
    <t>INE450G01024</t>
  </si>
  <si>
    <t>INE054A01027</t>
  </si>
  <si>
    <t>VIPULLTD</t>
  </si>
  <si>
    <t>Vipul Limited</t>
  </si>
  <si>
    <t>INE946H01037</t>
  </si>
  <si>
    <t>INE392A01013</t>
  </si>
  <si>
    <t>INE286H01012</t>
  </si>
  <si>
    <t>INE861A01058</t>
  </si>
  <si>
    <t>VISHNU</t>
  </si>
  <si>
    <t>Vishnu Chemicals Limited</t>
  </si>
  <si>
    <t>INE270I01014</t>
  </si>
  <si>
    <t>INE965A01016</t>
  </si>
  <si>
    <t>INE370E01029</t>
  </si>
  <si>
    <t>INE526G01021</t>
  </si>
  <si>
    <t>INE709A01018</t>
  </si>
  <si>
    <t>INE665J01013</t>
  </si>
  <si>
    <t>INE540H01012</t>
  </si>
  <si>
    <t>INE226A01021</t>
  </si>
  <si>
    <t>VRLLOG</t>
  </si>
  <si>
    <t>VRL Logistics Limited</t>
  </si>
  <si>
    <t>INE366I01010</t>
  </si>
  <si>
    <t>INE050M01012</t>
  </si>
  <si>
    <t>INE710A01016</t>
  </si>
  <si>
    <t>INE764D01017</t>
  </si>
  <si>
    <t>INE825A01012</t>
  </si>
  <si>
    <t>INE956G01038</t>
  </si>
  <si>
    <t>INE342J01019</t>
  </si>
  <si>
    <t>INE711A01022</t>
  </si>
  <si>
    <t>INE107F01022</t>
  </si>
  <si>
    <t>INE855C01015</t>
  </si>
  <si>
    <t>INE726L01019</t>
  </si>
  <si>
    <t>INE080A01014</t>
  </si>
  <si>
    <t>INE191B01025</t>
  </si>
  <si>
    <t>WELENT</t>
  </si>
  <si>
    <t>INE625G01013</t>
  </si>
  <si>
    <t>INE389K01018</t>
  </si>
  <si>
    <t>INE192B01031</t>
  </si>
  <si>
    <t>INE274C01019</t>
  </si>
  <si>
    <t>INE715A01015</t>
  </si>
  <si>
    <t>INE716A01013</t>
  </si>
  <si>
    <t>INE210A01017</t>
  </si>
  <si>
    <t>INE052A01021</t>
  </si>
  <si>
    <t>INE784B01035</t>
  </si>
  <si>
    <t>WIPL</t>
  </si>
  <si>
    <t>The Western India Plywoods Limited</t>
  </si>
  <si>
    <t>INE215F01023</t>
  </si>
  <si>
    <t>INE075A01022</t>
  </si>
  <si>
    <t>INE049B01025</t>
  </si>
  <si>
    <t>INE066O01014</t>
  </si>
  <si>
    <t>INE100D01014</t>
  </si>
  <si>
    <t>INE976A01021</t>
  </si>
  <si>
    <t>INE692G01013</t>
  </si>
  <si>
    <t>INE183H01011</t>
  </si>
  <si>
    <t>INE445C01015</t>
  </si>
  <si>
    <t>INE528G01019</t>
  </si>
  <si>
    <t>INE719A01017</t>
  </si>
  <si>
    <t>INE256A01028</t>
  </si>
  <si>
    <t>INE565L01011</t>
  </si>
  <si>
    <t>INE966H01019</t>
  </si>
  <si>
    <t>INE318D01020</t>
  </si>
  <si>
    <t>INE058B01018</t>
  </si>
  <si>
    <t>INE520A01019</t>
  </si>
  <si>
    <t>ZENTEC</t>
  </si>
  <si>
    <t>Zen Technologies Limited</t>
  </si>
  <si>
    <t>INE251B01027</t>
  </si>
  <si>
    <t>INE871B01014</t>
  </si>
  <si>
    <t>INE206B01013</t>
  </si>
  <si>
    <t>INE077B01018</t>
  </si>
  <si>
    <t>INE840M01016</t>
  </si>
  <si>
    <t>Zuari Global Limited</t>
  </si>
  <si>
    <t>INE217A01012</t>
  </si>
  <si>
    <t>INE768C01010</t>
  </si>
  <si>
    <t>INE225I01026</t>
  </si>
  <si>
    <t>17-JUL-2018 12;08;19</t>
  </si>
  <si>
    <t>17-JUL-2018 12;17;49</t>
  </si>
  <si>
    <t>17-JUL-2018 12;18;19</t>
  </si>
  <si>
    <t>https://www.nseindia.com/marketinfo/companyTracker/ajaxquote.jsp?symbol=ICICIBANK&amp;series=EQ</t>
  </si>
  <si>
    <t>https://www.nseindia.com/live_market/dynaContent/live_watch/get_quote/GetQuote.jsp?symbol=ICICIBANK&amp;illiquid=0&amp;smeFlag=0&amp;itpFlag=0</t>
  </si>
  <si>
    <t>N</t>
  </si>
  <si>
    <t>-</t>
  </si>
  <si>
    <t xml:space="preserve">
</t>
  </si>
  <si>
    <t>Scritpt ID</t>
  </si>
  <si>
    <t>Series</t>
  </si>
  <si>
    <t>52 week high</t>
  </si>
  <si>
    <t>52 week low</t>
  </si>
  <si>
    <t>Buy Price-1</t>
  </si>
  <si>
    <t>CMP</t>
  </si>
  <si>
    <t>Pr. Close</t>
  </si>
  <si>
    <t>Intra High</t>
  </si>
  <si>
    <t>Intra Low</t>
  </si>
  <si>
    <t>VWAP</t>
  </si>
  <si>
    <t>Total Buy Qty</t>
  </si>
  <si>
    <t>Total Sell Qty</t>
  </si>
  <si>
    <t>Date &amp; Time</t>
  </si>
  <si>
    <t>Sell Qty-5</t>
  </si>
  <si>
    <t>Sell Price-5</t>
  </si>
  <si>
    <t>Buy Price-5</t>
  </si>
  <si>
    <t>Buy Qty-5</t>
  </si>
  <si>
    <t>Buy Qty-4</t>
  </si>
  <si>
    <t>Buy Price-4</t>
  </si>
  <si>
    <t>Sell Price-4</t>
  </si>
  <si>
    <t>Sell Qty-4</t>
  </si>
  <si>
    <t>Buy Qty-3</t>
  </si>
  <si>
    <t>Buy Price-3</t>
  </si>
  <si>
    <t>Sell Price-3</t>
  </si>
  <si>
    <t>Sell Qty-3</t>
  </si>
  <si>
    <t>Buy Qty-2</t>
  </si>
  <si>
    <t>Buy Price-2</t>
  </si>
  <si>
    <t>Sell Price-2</t>
  </si>
  <si>
    <t>Sell Qty-2</t>
  </si>
  <si>
    <t>Buy Qty-1</t>
  </si>
  <si>
    <t>Sell Price-1</t>
  </si>
  <si>
    <t>Sell Qty-1</t>
  </si>
  <si>
    <t>Traded Volume (shares)</t>
  </si>
  <si>
    <t>Traded Value (lacs</t>
  </si>
  <si>
    <t>Time</t>
  </si>
  <si>
    <t>Qty</t>
  </si>
  <si>
    <t>5 Min</t>
  </si>
  <si>
    <t>seconds</t>
  </si>
  <si>
    <t>Minute</t>
  </si>
  <si>
    <t>Hours</t>
  </si>
  <si>
    <t>Day</t>
  </si>
  <si>
    <t>Interval</t>
  </si>
  <si>
    <t>Difference</t>
  </si>
  <si>
    <t>Major Units</t>
  </si>
  <si>
    <t>Minor Units</t>
  </si>
  <si>
    <t xml:space="preserve">
SUCCESS-;-UNITECH</t>
  </si>
  <si>
    <t>Bounds</t>
  </si>
  <si>
    <t>Minimum</t>
  </si>
  <si>
    <t>Maximum</t>
  </si>
  <si>
    <t>Units</t>
  </si>
  <si>
    <t>Major</t>
  </si>
  <si>
    <t>Minor</t>
  </si>
  <si>
    <t>24-JUL-2018 10;50;16</t>
  </si>
  <si>
    <t>Formatted Date &amp; Time</t>
  </si>
  <si>
    <t>24-JUL-2018 11;37;48</t>
  </si>
  <si>
    <t>24-JUL-2018 11;43;18</t>
  </si>
  <si>
    <t>24-JUL-2018 11;44;48</t>
  </si>
  <si>
    <t>24-JUL-2018 11;47;48</t>
  </si>
  <si>
    <t>24-JUL-2018 11;49;48</t>
  </si>
  <si>
    <t>24-JUL-2018 11;52;48</t>
  </si>
  <si>
    <t>24-JUL-2018 11;54;18</t>
  </si>
  <si>
    <t>Start Export Row</t>
  </si>
  <si>
    <t>Miscelleneous</t>
  </si>
  <si>
    <t>No Data Found.</t>
  </si>
  <si>
    <t>24-JUL-2018 11;57;48</t>
  </si>
  <si>
    <t>24-JUL-2018 11;59;49</t>
  </si>
  <si>
    <t>24-JUL-2018 12;01;49</t>
  </si>
  <si>
    <t>24-JUL-2018 12;03;49</t>
  </si>
  <si>
    <t>24-JUL-2018 12;06;49</t>
  </si>
  <si>
    <t>Open</t>
  </si>
  <si>
    <t>Increase</t>
  </si>
  <si>
    <t>Percentage Increase</t>
  </si>
  <si>
    <t>24-JUL-2018 12;11;49</t>
  </si>
  <si>
    <t>24-JUL-2018 12;14;19</t>
  </si>
  <si>
    <t>24-JUL-2018 12;17;49</t>
  </si>
  <si>
    <t>24-JUL-2018 12;20;49</t>
  </si>
  <si>
    <t>24-JUL-2018 12;23;49</t>
  </si>
  <si>
    <t>24-JUL-2018 12;38;20</t>
  </si>
  <si>
    <t>24-JUL-2018 12;44;20</t>
  </si>
  <si>
    <t>24-JUL-2018 12;47;50</t>
  </si>
  <si>
    <t>24-JUL-2018 12;53;50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</si>
</sst>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(* #,##0.00_);_(* \(#,##0.00\);_(* &quot;-&quot;??_);_(@_)"/>
    <numFmt numFmtId="164" formatCode="_(* #,##0_);_(* \(#,##0\);_(* &quot;-&quot;??_);_(@_)"/>
    <numFmt numFmtId="165" formatCode="_(* #,##0.00000_);_(* \(#,##0.00000\);_(* &quot;-&quot;??_);_(@_)"/>
    <numFmt numFmtId="166" formatCode="dd/mm/yy\ h:mm:ss"/>
    <numFmt numFmtId="167" formatCode="_(* #,##0.000000_);_(* \(#,##0.000000\);_(* &quot;-&quot;??_);_(@_)"/>
    <numFmt numFmtId="168" formatCode="_(* #,##0.000000000000_);_(* \(#,##0.000000000000\);_(* &quot;-&quot;??_);_(@_)"/>
    <numFmt numFmtId="169" formatCode="[$-409]dd/mm/yyyy\ hh:mm:ss"/>
    <numFmt numFmtId="170" formatCode="0.0000000000"/>
    <numFmt numFmtId="171" formatCode="0.000"/>
    <numFmt numFmtId="172" formatCode="_(* #,##0.00000000_);_(* \(#,##0.00000000\);_(* &quot;-&quot;??_);_(@_)"/>
    <numFmt numFmtId="173" formatCode="[h]:mm:ss;@"/>
    <numFmt numFmtId="175" formatCode="0.00000"/>
  </numFmts>
  <fonts count="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/>
      <diagonal/>
    </border>
    <border>
      <left/>
      <right/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/>
      <right/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0" fontId="1" fillId="0" borderId="0"/>
    <xf numFmtId="9" fontId="2" fillId="0" borderId="0" applyFont="0" applyFill="0" applyBorder="0" applyAlignment="0" applyProtection="0"/>
  </cellStyleXfs>
  <cellXfs count="85">
    <xf numFmtId="0" fontId="0" fillId="0" borderId="0" xfId="0"/>
    <xf numFmtId="0" fontId="3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4" fillId="0" borderId="4" xfId="0" applyFont="1" applyBorder="1"/>
    <xf numFmtId="2" fontId="0" fillId="0" borderId="0" xfId="0" applyNumberFormat="1"/>
    <xf numFmtId="0" fontId="0" fillId="3" borderId="10" xfId="0" applyFill="1" applyBorder="1"/>
    <xf numFmtId="43" fontId="2" fillId="3" borderId="10" xfId="1" applyFont="1" applyFill="1" applyBorder="1"/>
    <xf numFmtId="164" fontId="0" fillId="3" borderId="10" xfId="0" applyNumberFormat="1" applyFill="1" applyBorder="1"/>
    <xf numFmtId="0" fontId="4" fillId="0" borderId="5" xfId="0" applyFont="1" applyBorder="1"/>
    <xf numFmtId="0" fontId="4" fillId="0" borderId="6" xfId="0" applyFont="1" applyBorder="1"/>
    <xf numFmtId="0" fontId="0" fillId="3" borderId="11" xfId="0" applyFill="1" applyBorder="1"/>
    <xf numFmtId="0" fontId="0" fillId="3" borderId="12" xfId="0" applyFill="1" applyBorder="1"/>
    <xf numFmtId="0" fontId="4" fillId="3" borderId="12" xfId="0" applyFont="1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0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9" fontId="2" fillId="0" borderId="0" xfId="3" applyFont="1" applyBorder="1"/>
    <xf numFmtId="9" fontId="2" fillId="0" borderId="0" xfId="3" applyFont="1"/>
    <xf numFmtId="15" fontId="0" fillId="0" borderId="0" xfId="0" applyNumberFormat="1"/>
    <xf numFmtId="3" fontId="0" fillId="0" borderId="3" xfId="0" applyNumberFormat="1" applyBorder="1"/>
    <xf numFmtId="3" fontId="0" fillId="0" borderId="0" xfId="0" applyNumberFormat="1"/>
    <xf numFmtId="3" fontId="0" fillId="3" borderId="12" xfId="0" applyNumberFormat="1" applyFill="1" applyBorder="1"/>
    <xf numFmtId="3" fontId="0" fillId="3" borderId="0" xfId="0" applyNumberFormat="1" applyFill="1" applyBorder="1"/>
    <xf numFmtId="3" fontId="0" fillId="3" borderId="17" xfId="0" applyNumberFormat="1" applyFill="1" applyBorder="1"/>
    <xf numFmtId="3" fontId="4" fillId="0" borderId="6" xfId="0" applyNumberFormat="1" applyFont="1" applyBorder="1"/>
    <xf numFmtId="3" fontId="4" fillId="0" borderId="7" xfId="0" applyNumberFormat="1" applyFont="1" applyBorder="1"/>
    <xf numFmtId="3" fontId="2" fillId="0" borderId="0" xfId="1" applyNumberFormat="1" applyFont="1" applyBorder="1"/>
    <xf numFmtId="3" fontId="0" fillId="0" borderId="0" xfId="0" applyNumberFormat="1" applyBorder="1"/>
    <xf numFmtId="4" fontId="4" fillId="3" borderId="12" xfId="0" applyNumberFormat="1" applyFont="1" applyFill="1" applyBorder="1"/>
    <xf numFmtId="4" fontId="0" fillId="3" borderId="12" xfId="0" applyNumberFormat="1" applyFill="1" applyBorder="1"/>
    <xf numFmtId="4" fontId="2" fillId="3" borderId="10" xfId="1" applyNumberFormat="1" applyFont="1" applyFill="1" applyBorder="1"/>
    <xf numFmtId="4" fontId="0" fillId="3" borderId="0" xfId="0" applyNumberFormat="1" applyFill="1" applyBorder="1"/>
    <xf numFmtId="4" fontId="0" fillId="3" borderId="17" xfId="0" applyNumberFormat="1" applyFill="1" applyBorder="1"/>
    <xf numFmtId="4" fontId="4" fillId="4" borderId="6" xfId="0" applyNumberFormat="1" applyFont="1" applyFill="1" applyBorder="1"/>
    <xf numFmtId="4" fontId="4" fillId="0" borderId="8" xfId="0" applyNumberFormat="1" applyFont="1" applyBorder="1"/>
    <xf numFmtId="4" fontId="4" fillId="0" borderId="5" xfId="0" applyNumberFormat="1" applyFont="1" applyBorder="1"/>
    <xf numFmtId="4" fontId="2" fillId="0" borderId="0" xfId="1" applyNumberFormat="1" applyFont="1" applyBorder="1"/>
    <xf numFmtId="4" fontId="0" fillId="0" borderId="9" xfId="0" applyNumberFormat="1" applyBorder="1"/>
    <xf numFmtId="4" fontId="0" fillId="0" borderId="0" xfId="0" applyNumberFormat="1" applyBorder="1"/>
    <xf numFmtId="4" fontId="0" fillId="0" borderId="2" xfId="0" applyNumberFormat="1" applyBorder="1"/>
    <xf numFmtId="4" fontId="2" fillId="0" borderId="0" xfId="1" applyNumberFormat="1" applyFont="1" applyFill="1" applyBorder="1"/>
    <xf numFmtId="4" fontId="0" fillId="0" borderId="0" xfId="0" applyNumberFormat="1"/>
    <xf numFmtId="4" fontId="5" fillId="3" borderId="10" xfId="3" applyNumberFormat="1" applyFont="1" applyFill="1" applyBorder="1"/>
    <xf numFmtId="4" fontId="0" fillId="0" borderId="0" xfId="0" applyNumberFormat="1" applyFill="1" applyBorder="1"/>
    <xf numFmtId="0" fontId="0" fillId="0" borderId="4" xfId="0" applyBorder="1"/>
    <xf numFmtId="14" fontId="0" fillId="0" borderId="0" xfId="0" applyNumberFormat="1"/>
    <xf numFmtId="0" fontId="6" fillId="5" borderId="0" xfId="0" applyFont="1" applyFill="1" applyAlignment="1">
      <alignment horizontal="center" vertical="center" wrapText="1"/>
    </xf>
    <xf numFmtId="0" fontId="7" fillId="5" borderId="0" xfId="0" applyFont="1" applyFill="1" applyAlignment="1">
      <alignment horizontal="center" vertical="center" wrapText="1"/>
    </xf>
    <xf numFmtId="18" fontId="0" fillId="0" borderId="0" xfId="0" applyNumberFormat="1"/>
    <xf numFmtId="20" fontId="0" fillId="0" borderId="0" xfId="0" applyNumberFormat="1"/>
    <xf numFmtId="0" fontId="8" fillId="0" borderId="4" xfId="0" applyFont="1" applyBorder="1" applyAlignment="1">
      <alignment vertical="center" wrapText="1"/>
    </xf>
    <xf numFmtId="0" fontId="0" fillId="0" borderId="4" xfId="0" applyBorder="1" applyAlignment="1">
      <alignment vertical="center"/>
    </xf>
    <xf numFmtId="3" fontId="0" fillId="0" borderId="4" xfId="0" applyNumberFormat="1" applyBorder="1" applyAlignment="1">
      <alignment vertical="center"/>
    </xf>
    <xf numFmtId="164" fontId="0" fillId="0" borderId="4" xfId="1" applyNumberFormat="1" applyFont="1" applyBorder="1" applyAlignment="1">
      <alignment vertical="center"/>
    </xf>
    <xf numFmtId="15" fontId="0" fillId="0" borderId="4" xfId="0" applyNumberFormat="1" applyBorder="1" applyAlignment="1">
      <alignment vertical="center"/>
    </xf>
    <xf numFmtId="22" fontId="0" fillId="0" borderId="4" xfId="0" applyNumberFormat="1" applyBorder="1" applyAlignment="1">
      <alignment vertical="center"/>
    </xf>
    <xf numFmtId="0" fontId="8" fillId="6" borderId="4" xfId="0" applyFont="1" applyFill="1" applyBorder="1" applyAlignment="1">
      <alignment vertical="center" wrapText="1"/>
    </xf>
    <xf numFmtId="165" fontId="0" fillId="0" borderId="0" xfId="1" applyNumberFormat="1" applyFont="1"/>
    <xf numFmtId="166" fontId="0" fillId="0" borderId="0" xfId="0" applyNumberFormat="1" applyBorder="1" applyAlignment="1"/>
    <xf numFmtId="43" fontId="0" fillId="0" borderId="0" xfId="1" applyFont="1"/>
    <xf numFmtId="167" fontId="0" fillId="0" borderId="0" xfId="0" applyNumberFormat="1"/>
    <xf numFmtId="167" fontId="0" fillId="6" borderId="0" xfId="0" applyNumberFormat="1" applyFill="1"/>
    <xf numFmtId="168" fontId="0" fillId="6" borderId="0" xfId="1" applyNumberFormat="1" applyFont="1" applyFill="1"/>
    <xf numFmtId="169" fontId="0" fillId="6" borderId="0" xfId="0" applyNumberFormat="1" applyFill="1"/>
    <xf numFmtId="170" fontId="0" fillId="0" borderId="0" xfId="0" applyNumberFormat="1"/>
    <xf numFmtId="171" fontId="0" fillId="0" borderId="0" xfId="0" applyNumberFormat="1"/>
    <xf numFmtId="0" fontId="0" fillId="6" borderId="0" xfId="0" applyFill="1"/>
    <xf numFmtId="168" fontId="0" fillId="0" borderId="0" xfId="1" applyNumberFormat="1" applyFont="1"/>
    <xf numFmtId="169" fontId="0" fillId="0" borderId="0" xfId="0" applyNumberFormat="1"/>
    <xf numFmtId="172" fontId="0" fillId="0" borderId="0" xfId="1" applyNumberFormat="1" applyFont="1"/>
    <xf numFmtId="22" fontId="0" fillId="0" borderId="4" xfId="0" applyNumberFormat="1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6" fillId="7" borderId="0" xfId="0" applyFont="1" applyFill="1" applyAlignment="1">
      <alignment horizontal="center" wrapText="1"/>
    </xf>
    <xf numFmtId="0" fontId="6" fillId="7" borderId="0" xfId="0" applyFont="1" applyFill="1" applyAlignment="1">
      <alignment horizontal="center" vertical="center" wrapText="1"/>
    </xf>
    <xf numFmtId="173" fontId="6" fillId="7" borderId="0" xfId="0" applyNumberFormat="1" applyFont="1" applyFill="1" applyAlignment="1">
      <alignment horizontal="center" vertical="center" wrapText="1"/>
    </xf>
    <xf numFmtId="0" fontId="10" fillId="0" borderId="4" xfId="0" applyFont="1" applyBorder="1"/>
    <xf numFmtId="175" fontId="0" fillId="0" borderId="4" xfId="0" applyNumberFormat="1" applyBorder="1"/>
    <xf numFmtId="0" fontId="10" fillId="7" borderId="19" xfId="0" applyFont="1" applyFill="1" applyBorder="1" applyAlignment="1">
      <alignment horizontal="center"/>
    </xf>
    <xf numFmtId="0" fontId="10" fillId="7" borderId="20" xfId="0" applyFont="1" applyFill="1" applyBorder="1" applyAlignment="1">
      <alignment horizontal="center"/>
    </xf>
  </cellXfs>
  <cellStyles count="4">
    <cellStyle name="Comma" xfId="1" builtinId="3"/>
    <cellStyle name="Normal" xfId="0" builtinId="0"/>
    <cellStyle name="Normal 2" xfId="2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0753376223225E-2"/>
          <c:y val="7.794275718099998E-2"/>
          <c:w val="0.89986328321462661"/>
          <c:h val="0.747482728402726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'Export Data'!$AM$1</c:f>
              <c:strCache>
                <c:ptCount val="1"/>
                <c:pt idx="0">
                  <c:v>Total Buy Qty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'Export Data'!$AR$2:$AR$100</c:f>
              <c:numCache>
                <c:formatCode>m/d/yyyy\ h:mm</c:formatCode>
                <c:ptCount val="99"/>
                <c:pt idx="0">
                  <c:v>43305.451574074075</c:v>
                </c:pt>
                <c:pt idx="1">
                  <c:v>43305.484583333331</c:v>
                </c:pt>
                <c:pt idx="2">
                  <c:v>0</c:v>
                </c:pt>
                <c:pt idx="3">
                  <c:v>43305.484583333331</c:v>
                </c:pt>
                <c:pt idx="4">
                  <c:v>43305.484583333331</c:v>
                </c:pt>
                <c:pt idx="5">
                  <c:v>43305.484583333331</c:v>
                </c:pt>
                <c:pt idx="6">
                  <c:v>43305.488402777781</c:v>
                </c:pt>
                <c:pt idx="7">
                  <c:v>43305.488402777781</c:v>
                </c:pt>
                <c:pt idx="8">
                  <c:v>43305.489444444444</c:v>
                </c:pt>
                <c:pt idx="9">
                  <c:v>43305.489444444444</c:v>
                </c:pt>
                <c:pt idx="10">
                  <c:v>43305.491527777776</c:v>
                </c:pt>
                <c:pt idx="11">
                  <c:v>43305.491527777776</c:v>
                </c:pt>
                <c:pt idx="12">
                  <c:v>43305.49291666667</c:v>
                </c:pt>
                <c:pt idx="13">
                  <c:v>43305.49291666667</c:v>
                </c:pt>
                <c:pt idx="14">
                  <c:v>43305.49291666667</c:v>
                </c:pt>
                <c:pt idx="15">
                  <c:v>43305.495000000003</c:v>
                </c:pt>
                <c:pt idx="16">
                  <c:v>43305.495000000003</c:v>
                </c:pt>
                <c:pt idx="17">
                  <c:v>43305.496041666665</c:v>
                </c:pt>
                <c:pt idx="18">
                  <c:v>0</c:v>
                </c:pt>
                <c:pt idx="19">
                  <c:v>0</c:v>
                </c:pt>
                <c:pt idx="20">
                  <c:v>43305.498472222222</c:v>
                </c:pt>
                <c:pt idx="21">
                  <c:v>43305.498472222222</c:v>
                </c:pt>
                <c:pt idx="22">
                  <c:v>43305.499872685185</c:v>
                </c:pt>
                <c:pt idx="23">
                  <c:v>43305.499872685185</c:v>
                </c:pt>
                <c:pt idx="24">
                  <c:v>43305.501261574071</c:v>
                </c:pt>
                <c:pt idx="25">
                  <c:v>43305.502650462964</c:v>
                </c:pt>
                <c:pt idx="26">
                  <c:v>43305.502650462964</c:v>
                </c:pt>
                <c:pt idx="27">
                  <c:v>43305.504733796297</c:v>
                </c:pt>
                <c:pt idx="28">
                  <c:v>43305.504733796297</c:v>
                </c:pt>
                <c:pt idx="29">
                  <c:v>43305.504733796297</c:v>
                </c:pt>
                <c:pt idx="30">
                  <c:v>43305.508206018516</c:v>
                </c:pt>
                <c:pt idx="31">
                  <c:v>43305.508206018516</c:v>
                </c:pt>
                <c:pt idx="32">
                  <c:v>43305.509942129633</c:v>
                </c:pt>
                <c:pt idx="33">
                  <c:v>43305.509942129633</c:v>
                </c:pt>
                <c:pt idx="34">
                  <c:v>43305.512372685182</c:v>
                </c:pt>
                <c:pt idx="35">
                  <c:v>43305.512372685182</c:v>
                </c:pt>
                <c:pt idx="36">
                  <c:v>43305.514456018522</c:v>
                </c:pt>
                <c:pt idx="37">
                  <c:v>43305.514456018522</c:v>
                </c:pt>
                <c:pt idx="38">
                  <c:v>43305.516539351855</c:v>
                </c:pt>
                <c:pt idx="39">
                  <c:v>0</c:v>
                </c:pt>
                <c:pt idx="40">
                  <c:v>0</c:v>
                </c:pt>
                <c:pt idx="41">
                  <c:v>43305.526620370372</c:v>
                </c:pt>
                <c:pt idx="42">
                  <c:v>43305.526620370372</c:v>
                </c:pt>
                <c:pt idx="43">
                  <c:v>0</c:v>
                </c:pt>
                <c:pt idx="44">
                  <c:v>0</c:v>
                </c:pt>
                <c:pt idx="45">
                  <c:v>43305.530787037038</c:v>
                </c:pt>
                <c:pt idx="46">
                  <c:v>43305.530787037038</c:v>
                </c:pt>
                <c:pt idx="47">
                  <c:v>43305.533217592594</c:v>
                </c:pt>
                <c:pt idx="48">
                  <c:v>43305.502650462964</c:v>
                </c:pt>
                <c:pt idx="49">
                  <c:v>0</c:v>
                </c:pt>
                <c:pt idx="50">
                  <c:v>43305.53738425926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xVal>
          <c:yVal>
            <c:numRef>
              <c:f>'Export Data'!$AM$2:$AM$100</c:f>
              <c:numCache>
                <c:formatCode>_(* #,##0_);_(* \(#,##0\);_(* "-"??_);_(@_)</c:formatCode>
                <c:ptCount val="99"/>
                <c:pt idx="0">
                  <c:v>6228183</c:v>
                </c:pt>
                <c:pt idx="1">
                  <c:v>6518275</c:v>
                </c:pt>
                <c:pt idx="3">
                  <c:v>6518275</c:v>
                </c:pt>
                <c:pt idx="4">
                  <c:v>6518275</c:v>
                </c:pt>
                <c:pt idx="5">
                  <c:v>6518275</c:v>
                </c:pt>
                <c:pt idx="6">
                  <c:v>7592345</c:v>
                </c:pt>
                <c:pt idx="7">
                  <c:v>7592345</c:v>
                </c:pt>
                <c:pt idx="8">
                  <c:v>5710057</c:v>
                </c:pt>
                <c:pt idx="9">
                  <c:v>5710057</c:v>
                </c:pt>
                <c:pt idx="10">
                  <c:v>6223522</c:v>
                </c:pt>
                <c:pt idx="11">
                  <c:v>6223522</c:v>
                </c:pt>
                <c:pt idx="12">
                  <c:v>6354958</c:v>
                </c:pt>
                <c:pt idx="13">
                  <c:v>6354958</c:v>
                </c:pt>
                <c:pt idx="14">
                  <c:v>6354958</c:v>
                </c:pt>
                <c:pt idx="15">
                  <c:v>5716804</c:v>
                </c:pt>
                <c:pt idx="16">
                  <c:v>5716804</c:v>
                </c:pt>
                <c:pt idx="17">
                  <c:v>5719410</c:v>
                </c:pt>
                <c:pt idx="20">
                  <c:v>5628897</c:v>
                </c:pt>
                <c:pt idx="21">
                  <c:v>5628897</c:v>
                </c:pt>
                <c:pt idx="22">
                  <c:v>5572600</c:v>
                </c:pt>
                <c:pt idx="23">
                  <c:v>5572600</c:v>
                </c:pt>
                <c:pt idx="24">
                  <c:v>5639959</c:v>
                </c:pt>
                <c:pt idx="25">
                  <c:v>5661427</c:v>
                </c:pt>
                <c:pt idx="26">
                  <c:v>5661427</c:v>
                </c:pt>
                <c:pt idx="27">
                  <c:v>5661299</c:v>
                </c:pt>
                <c:pt idx="28">
                  <c:v>5661299</c:v>
                </c:pt>
                <c:pt idx="29">
                  <c:v>5661299</c:v>
                </c:pt>
                <c:pt idx="30">
                  <c:v>5519760</c:v>
                </c:pt>
                <c:pt idx="31">
                  <c:v>5519760</c:v>
                </c:pt>
                <c:pt idx="32">
                  <c:v>5465688</c:v>
                </c:pt>
                <c:pt idx="33">
                  <c:v>5465688</c:v>
                </c:pt>
                <c:pt idx="34">
                  <c:v>6040515</c:v>
                </c:pt>
                <c:pt idx="35">
                  <c:v>6040515</c:v>
                </c:pt>
                <c:pt idx="36">
                  <c:v>6066470</c:v>
                </c:pt>
                <c:pt idx="37">
                  <c:v>6066470</c:v>
                </c:pt>
                <c:pt idx="38">
                  <c:v>5590097</c:v>
                </c:pt>
                <c:pt idx="41">
                  <c:v>6212796</c:v>
                </c:pt>
                <c:pt idx="42">
                  <c:v>6212796</c:v>
                </c:pt>
                <c:pt idx="45">
                  <c:v>5874012</c:v>
                </c:pt>
                <c:pt idx="46">
                  <c:v>5874012</c:v>
                </c:pt>
                <c:pt idx="47">
                  <c:v>6370663</c:v>
                </c:pt>
                <c:pt idx="48">
                  <c:v>5661427</c:v>
                </c:pt>
                <c:pt idx="50">
                  <c:v>6379254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'Export Data'!$AN$1</c:f>
              <c:strCache>
                <c:ptCount val="1"/>
                <c:pt idx="0">
                  <c:v>Total Sell Qty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'Export Data'!$AR$2:$AR$100</c:f>
              <c:numCache>
                <c:formatCode>m/d/yyyy\ h:mm</c:formatCode>
                <c:ptCount val="99"/>
                <c:pt idx="0">
                  <c:v>43305.451574074075</c:v>
                </c:pt>
                <c:pt idx="1">
                  <c:v>43305.484583333331</c:v>
                </c:pt>
                <c:pt idx="2">
                  <c:v>0</c:v>
                </c:pt>
                <c:pt idx="3">
                  <c:v>43305.484583333331</c:v>
                </c:pt>
                <c:pt idx="4">
                  <c:v>43305.484583333331</c:v>
                </c:pt>
                <c:pt idx="5">
                  <c:v>43305.484583333331</c:v>
                </c:pt>
                <c:pt idx="6">
                  <c:v>43305.488402777781</c:v>
                </c:pt>
                <c:pt idx="7">
                  <c:v>43305.488402777781</c:v>
                </c:pt>
                <c:pt idx="8">
                  <c:v>43305.489444444444</c:v>
                </c:pt>
                <c:pt idx="9">
                  <c:v>43305.489444444444</c:v>
                </c:pt>
                <c:pt idx="10">
                  <c:v>43305.491527777776</c:v>
                </c:pt>
                <c:pt idx="11">
                  <c:v>43305.491527777776</c:v>
                </c:pt>
                <c:pt idx="12">
                  <c:v>43305.49291666667</c:v>
                </c:pt>
                <c:pt idx="13">
                  <c:v>43305.49291666667</c:v>
                </c:pt>
                <c:pt idx="14">
                  <c:v>43305.49291666667</c:v>
                </c:pt>
                <c:pt idx="15">
                  <c:v>43305.495000000003</c:v>
                </c:pt>
                <c:pt idx="16">
                  <c:v>43305.495000000003</c:v>
                </c:pt>
                <c:pt idx="17">
                  <c:v>43305.496041666665</c:v>
                </c:pt>
                <c:pt idx="18">
                  <c:v>0</c:v>
                </c:pt>
                <c:pt idx="19">
                  <c:v>0</c:v>
                </c:pt>
                <c:pt idx="20">
                  <c:v>43305.498472222222</c:v>
                </c:pt>
                <c:pt idx="21">
                  <c:v>43305.498472222222</c:v>
                </c:pt>
                <c:pt idx="22">
                  <c:v>43305.499872685185</c:v>
                </c:pt>
                <c:pt idx="23">
                  <c:v>43305.499872685185</c:v>
                </c:pt>
                <c:pt idx="24">
                  <c:v>43305.501261574071</c:v>
                </c:pt>
                <c:pt idx="25">
                  <c:v>43305.502650462964</c:v>
                </c:pt>
                <c:pt idx="26">
                  <c:v>43305.502650462964</c:v>
                </c:pt>
                <c:pt idx="27">
                  <c:v>43305.504733796297</c:v>
                </c:pt>
                <c:pt idx="28">
                  <c:v>43305.504733796297</c:v>
                </c:pt>
                <c:pt idx="29">
                  <c:v>43305.504733796297</c:v>
                </c:pt>
                <c:pt idx="30">
                  <c:v>43305.508206018516</c:v>
                </c:pt>
                <c:pt idx="31">
                  <c:v>43305.508206018516</c:v>
                </c:pt>
                <c:pt idx="32">
                  <c:v>43305.509942129633</c:v>
                </c:pt>
                <c:pt idx="33">
                  <c:v>43305.509942129633</c:v>
                </c:pt>
                <c:pt idx="34">
                  <c:v>43305.512372685182</c:v>
                </c:pt>
                <c:pt idx="35">
                  <c:v>43305.512372685182</c:v>
                </c:pt>
                <c:pt idx="36">
                  <c:v>43305.514456018522</c:v>
                </c:pt>
                <c:pt idx="37">
                  <c:v>43305.514456018522</c:v>
                </c:pt>
                <c:pt idx="38">
                  <c:v>43305.516539351855</c:v>
                </c:pt>
                <c:pt idx="39">
                  <c:v>0</c:v>
                </c:pt>
                <c:pt idx="40">
                  <c:v>0</c:v>
                </c:pt>
                <c:pt idx="41">
                  <c:v>43305.526620370372</c:v>
                </c:pt>
                <c:pt idx="42">
                  <c:v>43305.526620370372</c:v>
                </c:pt>
                <c:pt idx="43">
                  <c:v>0</c:v>
                </c:pt>
                <c:pt idx="44">
                  <c:v>0</c:v>
                </c:pt>
                <c:pt idx="45">
                  <c:v>43305.530787037038</c:v>
                </c:pt>
                <c:pt idx="46">
                  <c:v>43305.530787037038</c:v>
                </c:pt>
                <c:pt idx="47">
                  <c:v>43305.533217592594</c:v>
                </c:pt>
                <c:pt idx="48">
                  <c:v>43305.502650462964</c:v>
                </c:pt>
                <c:pt idx="49">
                  <c:v>0</c:v>
                </c:pt>
                <c:pt idx="50">
                  <c:v>43305.53738425926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xVal>
          <c:yVal>
            <c:numRef>
              <c:f>'Export Data'!$AN$2:$AN$100</c:f>
              <c:numCache>
                <c:formatCode>_(* #,##0_);_(* \(#,##0\);_(* "-"??_);_(@_)</c:formatCode>
                <c:ptCount val="99"/>
                <c:pt idx="0">
                  <c:v>2301280</c:v>
                </c:pt>
                <c:pt idx="1">
                  <c:v>2114432</c:v>
                </c:pt>
                <c:pt idx="3">
                  <c:v>2114432</c:v>
                </c:pt>
                <c:pt idx="4">
                  <c:v>2114432</c:v>
                </c:pt>
                <c:pt idx="5">
                  <c:v>2114432</c:v>
                </c:pt>
                <c:pt idx="6">
                  <c:v>2410483</c:v>
                </c:pt>
                <c:pt idx="7">
                  <c:v>2410483</c:v>
                </c:pt>
                <c:pt idx="8">
                  <c:v>2752698</c:v>
                </c:pt>
                <c:pt idx="9">
                  <c:v>2752698</c:v>
                </c:pt>
                <c:pt idx="10">
                  <c:v>2778903</c:v>
                </c:pt>
                <c:pt idx="11">
                  <c:v>2778903</c:v>
                </c:pt>
                <c:pt idx="12">
                  <c:v>2869606</c:v>
                </c:pt>
                <c:pt idx="13">
                  <c:v>2869606</c:v>
                </c:pt>
                <c:pt idx="14">
                  <c:v>2869606</c:v>
                </c:pt>
                <c:pt idx="15">
                  <c:v>4014305</c:v>
                </c:pt>
                <c:pt idx="16">
                  <c:v>4014305</c:v>
                </c:pt>
                <c:pt idx="17">
                  <c:v>4090679</c:v>
                </c:pt>
                <c:pt idx="20">
                  <c:v>4302799</c:v>
                </c:pt>
                <c:pt idx="21">
                  <c:v>4302799</c:v>
                </c:pt>
                <c:pt idx="22">
                  <c:v>4448151</c:v>
                </c:pt>
                <c:pt idx="23">
                  <c:v>4448151</c:v>
                </c:pt>
                <c:pt idx="24">
                  <c:v>4510035</c:v>
                </c:pt>
                <c:pt idx="25">
                  <c:v>4609196</c:v>
                </c:pt>
                <c:pt idx="26">
                  <c:v>4609196</c:v>
                </c:pt>
                <c:pt idx="27">
                  <c:v>4681876</c:v>
                </c:pt>
                <c:pt idx="28">
                  <c:v>4681876</c:v>
                </c:pt>
                <c:pt idx="29">
                  <c:v>4681876</c:v>
                </c:pt>
                <c:pt idx="30">
                  <c:v>4707747</c:v>
                </c:pt>
                <c:pt idx="31">
                  <c:v>4707747</c:v>
                </c:pt>
                <c:pt idx="32">
                  <c:v>4718459</c:v>
                </c:pt>
                <c:pt idx="33">
                  <c:v>4718459</c:v>
                </c:pt>
                <c:pt idx="34">
                  <c:v>3922622</c:v>
                </c:pt>
                <c:pt idx="35">
                  <c:v>3922622</c:v>
                </c:pt>
                <c:pt idx="36">
                  <c:v>4083200</c:v>
                </c:pt>
                <c:pt idx="37">
                  <c:v>4083200</c:v>
                </c:pt>
                <c:pt idx="38">
                  <c:v>3900640</c:v>
                </c:pt>
                <c:pt idx="41">
                  <c:v>3698297</c:v>
                </c:pt>
                <c:pt idx="42">
                  <c:v>3698297</c:v>
                </c:pt>
                <c:pt idx="45">
                  <c:v>3894902</c:v>
                </c:pt>
                <c:pt idx="46">
                  <c:v>3894902</c:v>
                </c:pt>
                <c:pt idx="47">
                  <c:v>3898389</c:v>
                </c:pt>
                <c:pt idx="48">
                  <c:v>4609196</c:v>
                </c:pt>
                <c:pt idx="50">
                  <c:v>3921768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'Export Data'!$Q$1</c:f>
              <c:strCache>
                <c:ptCount val="1"/>
                <c:pt idx="0">
                  <c:v>Traded Volume (shares)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'Export Data'!$AR$2:$AR$100</c:f>
              <c:numCache>
                <c:formatCode>m/d/yyyy\ h:mm</c:formatCode>
                <c:ptCount val="99"/>
                <c:pt idx="0">
                  <c:v>43305.451574074075</c:v>
                </c:pt>
                <c:pt idx="1">
                  <c:v>43305.484583333331</c:v>
                </c:pt>
                <c:pt idx="2">
                  <c:v>0</c:v>
                </c:pt>
                <c:pt idx="3">
                  <c:v>43305.484583333331</c:v>
                </c:pt>
                <c:pt idx="4">
                  <c:v>43305.484583333331</c:v>
                </c:pt>
                <c:pt idx="5">
                  <c:v>43305.484583333331</c:v>
                </c:pt>
                <c:pt idx="6">
                  <c:v>43305.488402777781</c:v>
                </c:pt>
                <c:pt idx="7">
                  <c:v>43305.488402777781</c:v>
                </c:pt>
                <c:pt idx="8">
                  <c:v>43305.489444444444</c:v>
                </c:pt>
                <c:pt idx="9">
                  <c:v>43305.489444444444</c:v>
                </c:pt>
                <c:pt idx="10">
                  <c:v>43305.491527777776</c:v>
                </c:pt>
                <c:pt idx="11">
                  <c:v>43305.491527777776</c:v>
                </c:pt>
                <c:pt idx="12">
                  <c:v>43305.49291666667</c:v>
                </c:pt>
                <c:pt idx="13">
                  <c:v>43305.49291666667</c:v>
                </c:pt>
                <c:pt idx="14">
                  <c:v>43305.49291666667</c:v>
                </c:pt>
                <c:pt idx="15">
                  <c:v>43305.495000000003</c:v>
                </c:pt>
                <c:pt idx="16">
                  <c:v>43305.495000000003</c:v>
                </c:pt>
                <c:pt idx="17">
                  <c:v>43305.496041666665</c:v>
                </c:pt>
                <c:pt idx="18">
                  <c:v>0</c:v>
                </c:pt>
                <c:pt idx="19">
                  <c:v>0</c:v>
                </c:pt>
                <c:pt idx="20">
                  <c:v>43305.498472222222</c:v>
                </c:pt>
                <c:pt idx="21">
                  <c:v>43305.498472222222</c:v>
                </c:pt>
                <c:pt idx="22">
                  <c:v>43305.499872685185</c:v>
                </c:pt>
                <c:pt idx="23">
                  <c:v>43305.499872685185</c:v>
                </c:pt>
                <c:pt idx="24">
                  <c:v>43305.501261574071</c:v>
                </c:pt>
                <c:pt idx="25">
                  <c:v>43305.502650462964</c:v>
                </c:pt>
                <c:pt idx="26">
                  <c:v>43305.502650462964</c:v>
                </c:pt>
                <c:pt idx="27">
                  <c:v>43305.504733796297</c:v>
                </c:pt>
                <c:pt idx="28">
                  <c:v>43305.504733796297</c:v>
                </c:pt>
                <c:pt idx="29">
                  <c:v>43305.504733796297</c:v>
                </c:pt>
                <c:pt idx="30">
                  <c:v>43305.508206018516</c:v>
                </c:pt>
                <c:pt idx="31">
                  <c:v>43305.508206018516</c:v>
                </c:pt>
                <c:pt idx="32">
                  <c:v>43305.509942129633</c:v>
                </c:pt>
                <c:pt idx="33">
                  <c:v>43305.509942129633</c:v>
                </c:pt>
                <c:pt idx="34">
                  <c:v>43305.512372685182</c:v>
                </c:pt>
                <c:pt idx="35">
                  <c:v>43305.512372685182</c:v>
                </c:pt>
                <c:pt idx="36">
                  <c:v>43305.514456018522</c:v>
                </c:pt>
                <c:pt idx="37">
                  <c:v>43305.514456018522</c:v>
                </c:pt>
                <c:pt idx="38">
                  <c:v>43305.516539351855</c:v>
                </c:pt>
                <c:pt idx="39">
                  <c:v>0</c:v>
                </c:pt>
                <c:pt idx="40">
                  <c:v>0</c:v>
                </c:pt>
                <c:pt idx="41">
                  <c:v>43305.526620370372</c:v>
                </c:pt>
                <c:pt idx="42">
                  <c:v>43305.526620370372</c:v>
                </c:pt>
                <c:pt idx="43">
                  <c:v>0</c:v>
                </c:pt>
                <c:pt idx="44">
                  <c:v>0</c:v>
                </c:pt>
                <c:pt idx="45">
                  <c:v>43305.530787037038</c:v>
                </c:pt>
                <c:pt idx="46">
                  <c:v>43305.530787037038</c:v>
                </c:pt>
                <c:pt idx="47">
                  <c:v>43305.533217592594</c:v>
                </c:pt>
                <c:pt idx="48">
                  <c:v>43305.502650462964</c:v>
                </c:pt>
                <c:pt idx="49">
                  <c:v>0</c:v>
                </c:pt>
                <c:pt idx="50">
                  <c:v>43305.53738425926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xVal>
          <c:yVal>
            <c:numRef>
              <c:f>'Export Data'!$Q$2:$Q$100</c:f>
              <c:numCache>
                <c:formatCode>#,##0</c:formatCode>
                <c:ptCount val="99"/>
                <c:pt idx="0">
                  <c:v>2397895</c:v>
                </c:pt>
                <c:pt idx="1">
                  <c:v>4693315</c:v>
                </c:pt>
                <c:pt idx="3">
                  <c:v>4693315</c:v>
                </c:pt>
                <c:pt idx="4">
                  <c:v>4693315</c:v>
                </c:pt>
                <c:pt idx="5">
                  <c:v>4693315</c:v>
                </c:pt>
                <c:pt idx="6">
                  <c:v>6878210</c:v>
                </c:pt>
                <c:pt idx="7">
                  <c:v>6878210</c:v>
                </c:pt>
                <c:pt idx="8">
                  <c:v>7127617</c:v>
                </c:pt>
                <c:pt idx="9">
                  <c:v>7127617</c:v>
                </c:pt>
                <c:pt idx="10">
                  <c:v>7392675</c:v>
                </c:pt>
                <c:pt idx="11">
                  <c:v>7392675</c:v>
                </c:pt>
                <c:pt idx="12">
                  <c:v>7407199</c:v>
                </c:pt>
                <c:pt idx="13">
                  <c:v>7407199</c:v>
                </c:pt>
                <c:pt idx="14">
                  <c:v>7407199</c:v>
                </c:pt>
                <c:pt idx="15">
                  <c:v>7770373</c:v>
                </c:pt>
                <c:pt idx="16">
                  <c:v>7770373</c:v>
                </c:pt>
                <c:pt idx="17">
                  <c:v>7782784</c:v>
                </c:pt>
                <c:pt idx="20">
                  <c:v>7909868</c:v>
                </c:pt>
                <c:pt idx="21">
                  <c:v>7909868</c:v>
                </c:pt>
                <c:pt idx="22">
                  <c:v>8001738</c:v>
                </c:pt>
                <c:pt idx="23">
                  <c:v>8001738</c:v>
                </c:pt>
                <c:pt idx="24">
                  <c:v>8200652</c:v>
                </c:pt>
                <c:pt idx="25">
                  <c:v>8243929</c:v>
                </c:pt>
                <c:pt idx="26">
                  <c:v>8243929</c:v>
                </c:pt>
                <c:pt idx="27">
                  <c:v>8272897</c:v>
                </c:pt>
                <c:pt idx="28">
                  <c:v>8272897</c:v>
                </c:pt>
                <c:pt idx="29">
                  <c:v>8272897</c:v>
                </c:pt>
                <c:pt idx="30">
                  <c:v>8311174</c:v>
                </c:pt>
                <c:pt idx="31">
                  <c:v>8311174</c:v>
                </c:pt>
                <c:pt idx="32">
                  <c:v>8384196</c:v>
                </c:pt>
                <c:pt idx="33">
                  <c:v>8384196</c:v>
                </c:pt>
                <c:pt idx="34">
                  <c:v>9133736</c:v>
                </c:pt>
                <c:pt idx="35">
                  <c:v>9133736</c:v>
                </c:pt>
                <c:pt idx="36">
                  <c:v>9265874</c:v>
                </c:pt>
                <c:pt idx="37">
                  <c:v>9265874</c:v>
                </c:pt>
                <c:pt idx="38">
                  <c:v>9647383</c:v>
                </c:pt>
                <c:pt idx="41">
                  <c:v>9943302</c:v>
                </c:pt>
                <c:pt idx="42">
                  <c:v>9943302</c:v>
                </c:pt>
                <c:pt idx="45">
                  <c:v>10479820</c:v>
                </c:pt>
                <c:pt idx="46">
                  <c:v>10479820</c:v>
                </c:pt>
                <c:pt idx="47">
                  <c:v>10538185</c:v>
                </c:pt>
                <c:pt idx="48">
                  <c:v>8243929</c:v>
                </c:pt>
                <c:pt idx="50">
                  <c:v>10644871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0874208"/>
        <c:axId val="880874768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'Export Data'!$AP$1</c15:sqref>
                        </c15:formulaRef>
                      </c:ext>
                    </c:extLst>
                    <c:strCache>
                      <c:ptCount val="1"/>
                      <c:pt idx="0">
                        <c:v>Date &amp; Time</c:v>
                      </c:pt>
                    </c:strCache>
                  </c:strRef>
                </c:tx>
                <c:spPr>
                  <a:ln w="9525" cap="rnd">
                    <a:solidFill>
                      <a:schemeClr val="accent3"/>
                    </a:solidFill>
                    <a:round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3">
                            <a:shade val="51000"/>
                            <a:satMod val="130000"/>
                          </a:schemeClr>
                        </a:gs>
                        <a:gs pos="80000">
                          <a:schemeClr val="accent3">
                            <a:shade val="93000"/>
                            <a:satMod val="130000"/>
                          </a:schemeClr>
                        </a:gs>
                        <a:gs pos="100000">
                          <a:schemeClr val="accent3">
                            <a:shade val="94000"/>
                            <a:satMod val="135000"/>
                          </a:schemeClr>
                        </a:gs>
                      </a:gsLst>
                      <a:lin ang="16200000" scaled="0"/>
                    </a:gradFill>
                    <a:ln w="9525">
                      <a:solidFill>
                        <a:schemeClr val="accent3"/>
                      </a:solidFill>
                      <a:round/>
                    </a:ln>
                    <a:effectLst>
                      <a:outerShdw blurRad="40000" dist="23000" dir="5400000" rotWithShape="0">
                        <a:srgbClr val="000000">
                          <a:alpha val="35000"/>
                        </a:srgbClr>
                      </a:outerShdw>
                    </a:effectLst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'Export Data'!$AR$2:$AR$100</c15:sqref>
                        </c15:formulaRef>
                      </c:ext>
                    </c:extLst>
                    <c:numCache>
                      <c:formatCode>m/d/yyyy\ h:mm</c:formatCode>
                      <c:ptCount val="99"/>
                      <c:pt idx="0">
                        <c:v>43305.451574074075</c:v>
                      </c:pt>
                      <c:pt idx="1">
                        <c:v>43305.484583333331</c:v>
                      </c:pt>
                      <c:pt idx="2">
                        <c:v>0</c:v>
                      </c:pt>
                      <c:pt idx="3">
                        <c:v>43305.484583333331</c:v>
                      </c:pt>
                      <c:pt idx="4">
                        <c:v>43305.484583333331</c:v>
                      </c:pt>
                      <c:pt idx="5">
                        <c:v>43305.484583333331</c:v>
                      </c:pt>
                      <c:pt idx="6">
                        <c:v>43305.488402777781</c:v>
                      </c:pt>
                      <c:pt idx="7">
                        <c:v>43305.488402777781</c:v>
                      </c:pt>
                      <c:pt idx="8">
                        <c:v>43305.489444444444</c:v>
                      </c:pt>
                      <c:pt idx="9">
                        <c:v>43305.489444444444</c:v>
                      </c:pt>
                      <c:pt idx="10">
                        <c:v>43305.491527777776</c:v>
                      </c:pt>
                      <c:pt idx="11">
                        <c:v>43305.491527777776</c:v>
                      </c:pt>
                      <c:pt idx="12">
                        <c:v>43305.49291666667</c:v>
                      </c:pt>
                      <c:pt idx="13">
                        <c:v>43305.49291666667</c:v>
                      </c:pt>
                      <c:pt idx="14">
                        <c:v>43305.49291666667</c:v>
                      </c:pt>
                      <c:pt idx="15">
                        <c:v>43305.495000000003</c:v>
                      </c:pt>
                      <c:pt idx="16">
                        <c:v>43305.495000000003</c:v>
                      </c:pt>
                      <c:pt idx="17">
                        <c:v>43305.496041666665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43305.498472222222</c:v>
                      </c:pt>
                      <c:pt idx="21">
                        <c:v>43305.498472222222</c:v>
                      </c:pt>
                      <c:pt idx="22">
                        <c:v>43305.499872685185</c:v>
                      </c:pt>
                      <c:pt idx="23">
                        <c:v>43305.499872685185</c:v>
                      </c:pt>
                      <c:pt idx="24">
                        <c:v>43305.501261574071</c:v>
                      </c:pt>
                      <c:pt idx="25">
                        <c:v>43305.502650462964</c:v>
                      </c:pt>
                      <c:pt idx="26">
                        <c:v>43305.502650462964</c:v>
                      </c:pt>
                      <c:pt idx="27">
                        <c:v>43305.504733796297</c:v>
                      </c:pt>
                      <c:pt idx="28">
                        <c:v>43305.504733796297</c:v>
                      </c:pt>
                      <c:pt idx="29">
                        <c:v>43305.504733796297</c:v>
                      </c:pt>
                      <c:pt idx="30">
                        <c:v>43305.508206018516</c:v>
                      </c:pt>
                      <c:pt idx="31">
                        <c:v>43305.508206018516</c:v>
                      </c:pt>
                      <c:pt idx="32">
                        <c:v>43305.509942129633</c:v>
                      </c:pt>
                      <c:pt idx="33">
                        <c:v>43305.509942129633</c:v>
                      </c:pt>
                      <c:pt idx="34">
                        <c:v>43305.512372685182</c:v>
                      </c:pt>
                      <c:pt idx="35">
                        <c:v>43305.512372685182</c:v>
                      </c:pt>
                      <c:pt idx="36">
                        <c:v>43305.514456018522</c:v>
                      </c:pt>
                      <c:pt idx="37">
                        <c:v>43305.514456018522</c:v>
                      </c:pt>
                      <c:pt idx="38">
                        <c:v>43305.516539351855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43305.526620370372</c:v>
                      </c:pt>
                      <c:pt idx="42">
                        <c:v>43305.526620370372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43305.530787037038</c:v>
                      </c:pt>
                      <c:pt idx="46">
                        <c:v>43305.530787037038</c:v>
                      </c:pt>
                      <c:pt idx="47">
                        <c:v>43305.533217592594</c:v>
                      </c:pt>
                      <c:pt idx="48">
                        <c:v>43305.502650462964</c:v>
                      </c:pt>
                      <c:pt idx="49">
                        <c:v>0</c:v>
                      </c:pt>
                      <c:pt idx="50">
                        <c:v>43305.53738425926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'Export Data'!$AP$2:$AP$100</c15:sqref>
                        </c15:formulaRef>
                      </c:ext>
                    </c:extLst>
                    <c:numCache>
                      <c:formatCode>m/d/yyyy\ h:mm</c:formatCode>
                      <c:ptCount val="99"/>
                      <c:pt idx="0">
                        <c:v>0</c:v>
                      </c:pt>
                      <c:pt idx="1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50" formatCode="General">
                        <c:v>0</c:v>
                      </c:pt>
                    </c:numCache>
                  </c:numRef>
                </c:yVal>
                <c:smooth val="1"/>
              </c15:ser>
            </c15:filteredScatterSeries>
          </c:ext>
        </c:extLst>
      </c:scatterChart>
      <c:scatterChart>
        <c:scatterStyle val="smoothMarker"/>
        <c:varyColors val="0"/>
        <c:ser>
          <c:idx val="4"/>
          <c:order val="4"/>
          <c:tx>
            <c:strRef>
              <c:f>'Export Data'!$N$1</c:f>
              <c:strCache>
                <c:ptCount val="1"/>
                <c:pt idx="0">
                  <c:v>CMP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2460000" spcFirstLastPara="1" vertOverflow="ellipsis" vert="horz" wrap="square" lIns="91440" tIns="0" rIns="91440" bIns="548640" anchor="b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'Export Data'!$AR$2:$AR$100</c:f>
              <c:numCache>
                <c:formatCode>m/d/yyyy\ h:mm</c:formatCode>
                <c:ptCount val="99"/>
                <c:pt idx="0">
                  <c:v>43305.451574074075</c:v>
                </c:pt>
                <c:pt idx="1">
                  <c:v>43305.484583333331</c:v>
                </c:pt>
                <c:pt idx="2">
                  <c:v>0</c:v>
                </c:pt>
                <c:pt idx="3">
                  <c:v>43305.484583333331</c:v>
                </c:pt>
                <c:pt idx="4">
                  <c:v>43305.484583333331</c:v>
                </c:pt>
                <c:pt idx="5">
                  <c:v>43305.484583333331</c:v>
                </c:pt>
                <c:pt idx="6">
                  <c:v>43305.488402777781</c:v>
                </c:pt>
                <c:pt idx="7">
                  <c:v>43305.488402777781</c:v>
                </c:pt>
                <c:pt idx="8">
                  <c:v>43305.489444444444</c:v>
                </c:pt>
                <c:pt idx="9">
                  <c:v>43305.489444444444</c:v>
                </c:pt>
                <c:pt idx="10">
                  <c:v>43305.491527777776</c:v>
                </c:pt>
                <c:pt idx="11">
                  <c:v>43305.491527777776</c:v>
                </c:pt>
                <c:pt idx="12">
                  <c:v>43305.49291666667</c:v>
                </c:pt>
                <c:pt idx="13">
                  <c:v>43305.49291666667</c:v>
                </c:pt>
                <c:pt idx="14">
                  <c:v>43305.49291666667</c:v>
                </c:pt>
                <c:pt idx="15">
                  <c:v>43305.495000000003</c:v>
                </c:pt>
                <c:pt idx="16">
                  <c:v>43305.495000000003</c:v>
                </c:pt>
                <c:pt idx="17">
                  <c:v>43305.496041666665</c:v>
                </c:pt>
                <c:pt idx="18">
                  <c:v>0</c:v>
                </c:pt>
                <c:pt idx="19">
                  <c:v>0</c:v>
                </c:pt>
                <c:pt idx="20">
                  <c:v>43305.498472222222</c:v>
                </c:pt>
                <c:pt idx="21">
                  <c:v>43305.498472222222</c:v>
                </c:pt>
                <c:pt idx="22">
                  <c:v>43305.499872685185</c:v>
                </c:pt>
                <c:pt idx="23">
                  <c:v>43305.499872685185</c:v>
                </c:pt>
                <c:pt idx="24">
                  <c:v>43305.501261574071</c:v>
                </c:pt>
                <c:pt idx="25">
                  <c:v>43305.502650462964</c:v>
                </c:pt>
                <c:pt idx="26">
                  <c:v>43305.502650462964</c:v>
                </c:pt>
                <c:pt idx="27">
                  <c:v>43305.504733796297</c:v>
                </c:pt>
                <c:pt idx="28">
                  <c:v>43305.504733796297</c:v>
                </c:pt>
                <c:pt idx="29">
                  <c:v>43305.504733796297</c:v>
                </c:pt>
                <c:pt idx="30">
                  <c:v>43305.508206018516</c:v>
                </c:pt>
                <c:pt idx="31">
                  <c:v>43305.508206018516</c:v>
                </c:pt>
                <c:pt idx="32">
                  <c:v>43305.509942129633</c:v>
                </c:pt>
                <c:pt idx="33">
                  <c:v>43305.509942129633</c:v>
                </c:pt>
                <c:pt idx="34">
                  <c:v>43305.512372685182</c:v>
                </c:pt>
                <c:pt idx="35">
                  <c:v>43305.512372685182</c:v>
                </c:pt>
                <c:pt idx="36">
                  <c:v>43305.514456018522</c:v>
                </c:pt>
                <c:pt idx="37">
                  <c:v>43305.514456018522</c:v>
                </c:pt>
                <c:pt idx="38">
                  <c:v>43305.516539351855</c:v>
                </c:pt>
                <c:pt idx="39">
                  <c:v>0</c:v>
                </c:pt>
                <c:pt idx="40">
                  <c:v>0</c:v>
                </c:pt>
                <c:pt idx="41">
                  <c:v>43305.526620370372</c:v>
                </c:pt>
                <c:pt idx="42">
                  <c:v>43305.526620370372</c:v>
                </c:pt>
                <c:pt idx="43">
                  <c:v>0</c:v>
                </c:pt>
                <c:pt idx="44">
                  <c:v>0</c:v>
                </c:pt>
                <c:pt idx="45">
                  <c:v>43305.530787037038</c:v>
                </c:pt>
                <c:pt idx="46">
                  <c:v>43305.530787037038</c:v>
                </c:pt>
                <c:pt idx="47">
                  <c:v>43305.533217592594</c:v>
                </c:pt>
                <c:pt idx="48">
                  <c:v>43305.502650462964</c:v>
                </c:pt>
                <c:pt idx="49">
                  <c:v>0</c:v>
                </c:pt>
                <c:pt idx="50">
                  <c:v>43305.53738425926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xVal>
          <c:yVal>
            <c:numRef>
              <c:f>'Export Data'!$N$2:$N$100</c:f>
              <c:numCache>
                <c:formatCode>General</c:formatCode>
                <c:ptCount val="99"/>
                <c:pt idx="0">
                  <c:v>4.1500000000000004</c:v>
                </c:pt>
                <c:pt idx="1">
                  <c:v>4.4000000000000004</c:v>
                </c:pt>
                <c:pt idx="3">
                  <c:v>4.4000000000000004</c:v>
                </c:pt>
                <c:pt idx="4">
                  <c:v>4.4000000000000004</c:v>
                </c:pt>
                <c:pt idx="5">
                  <c:v>4.4000000000000004</c:v>
                </c:pt>
                <c:pt idx="6">
                  <c:v>4.3499999999999996</c:v>
                </c:pt>
                <c:pt idx="7">
                  <c:v>4.3499999999999996</c:v>
                </c:pt>
                <c:pt idx="8">
                  <c:v>4.3499999999999996</c:v>
                </c:pt>
                <c:pt idx="9">
                  <c:v>4.3499999999999996</c:v>
                </c:pt>
                <c:pt idx="10">
                  <c:v>4.3</c:v>
                </c:pt>
                <c:pt idx="11">
                  <c:v>4.3</c:v>
                </c:pt>
                <c:pt idx="12">
                  <c:v>4.3</c:v>
                </c:pt>
                <c:pt idx="13">
                  <c:v>4.3</c:v>
                </c:pt>
                <c:pt idx="14">
                  <c:v>4.3</c:v>
                </c:pt>
                <c:pt idx="15">
                  <c:v>4.3</c:v>
                </c:pt>
                <c:pt idx="16">
                  <c:v>4.3</c:v>
                </c:pt>
                <c:pt idx="17">
                  <c:v>4.3</c:v>
                </c:pt>
                <c:pt idx="20">
                  <c:v>4.3</c:v>
                </c:pt>
                <c:pt idx="21">
                  <c:v>4.3</c:v>
                </c:pt>
                <c:pt idx="22">
                  <c:v>4.3499999999999996</c:v>
                </c:pt>
                <c:pt idx="23">
                  <c:v>4.3499999999999996</c:v>
                </c:pt>
                <c:pt idx="24">
                  <c:v>4.3499999999999996</c:v>
                </c:pt>
                <c:pt idx="25">
                  <c:v>4.3</c:v>
                </c:pt>
                <c:pt idx="26">
                  <c:v>4.3</c:v>
                </c:pt>
                <c:pt idx="27">
                  <c:v>4.3499999999999996</c:v>
                </c:pt>
                <c:pt idx="28">
                  <c:v>4.3499999999999996</c:v>
                </c:pt>
                <c:pt idx="29">
                  <c:v>4.3499999999999996</c:v>
                </c:pt>
                <c:pt idx="30">
                  <c:v>4.3499999999999996</c:v>
                </c:pt>
                <c:pt idx="31">
                  <c:v>4.3499999999999996</c:v>
                </c:pt>
                <c:pt idx="32">
                  <c:v>4.3</c:v>
                </c:pt>
                <c:pt idx="33">
                  <c:v>4.3</c:v>
                </c:pt>
                <c:pt idx="34">
                  <c:v>4.3499999999999996</c:v>
                </c:pt>
                <c:pt idx="35">
                  <c:v>4.3499999999999996</c:v>
                </c:pt>
                <c:pt idx="36">
                  <c:v>4.4000000000000004</c:v>
                </c:pt>
                <c:pt idx="37">
                  <c:v>4.4000000000000004</c:v>
                </c:pt>
                <c:pt idx="38">
                  <c:v>4.3</c:v>
                </c:pt>
                <c:pt idx="41">
                  <c:v>4.3499999999999996</c:v>
                </c:pt>
                <c:pt idx="42">
                  <c:v>4.3499999999999996</c:v>
                </c:pt>
                <c:pt idx="45">
                  <c:v>4.3</c:v>
                </c:pt>
                <c:pt idx="46">
                  <c:v>4.3</c:v>
                </c:pt>
                <c:pt idx="47">
                  <c:v>4.3</c:v>
                </c:pt>
                <c:pt idx="48">
                  <c:v>4.3</c:v>
                </c:pt>
                <c:pt idx="50">
                  <c:v>4.3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0875888"/>
        <c:axId val="880875328"/>
      </c:scatterChart>
      <c:valAx>
        <c:axId val="880874208"/>
        <c:scaling>
          <c:orientation val="minMax"/>
          <c:max val="43305.666666666701"/>
          <c:min val="43305.375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numFmt formatCode="hh:mm:ss\ dd/mmm" sourceLinked="0"/>
        <c:majorTickMark val="none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874768"/>
        <c:crosses val="autoZero"/>
        <c:crossBetween val="midCat"/>
        <c:majorUnit val="1.0416666666666701E-2"/>
      </c:valAx>
      <c:valAx>
        <c:axId val="88087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874208"/>
        <c:crosses val="autoZero"/>
        <c:crossBetween val="midCat"/>
      </c:valAx>
      <c:valAx>
        <c:axId val="880875328"/>
        <c:scaling>
          <c:orientation val="minMax"/>
          <c:max val="5"/>
          <c:min val="3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875888"/>
        <c:crosses val="max"/>
        <c:crossBetween val="midCat"/>
      </c:valAx>
      <c:valAx>
        <c:axId val="880875888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880875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'Rough Calculation'!$F$13</c:f>
              <c:strCache>
                <c:ptCount val="1"/>
                <c:pt idx="0">
                  <c:v>Qty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'Rough Calculation'!$E$14:$E$24</c:f>
              <c:numCache>
                <c:formatCode>h:mm\ AM/PM</c:formatCode>
                <c:ptCount val="11"/>
                <c:pt idx="0">
                  <c:v>0.14722222222222223</c:v>
                </c:pt>
                <c:pt idx="1">
                  <c:v>0.15069444444444444</c:v>
                </c:pt>
                <c:pt idx="2">
                  <c:v>0.15416666666666665</c:v>
                </c:pt>
                <c:pt idx="3">
                  <c:v>0.15763888888888886</c:v>
                </c:pt>
                <c:pt idx="4">
                  <c:v>0.16111111111111107</c:v>
                </c:pt>
                <c:pt idx="5">
                  <c:v>0.16458333333333328</c:v>
                </c:pt>
                <c:pt idx="6">
                  <c:v>0.16805555555555549</c:v>
                </c:pt>
                <c:pt idx="7">
                  <c:v>0.1715277777777777</c:v>
                </c:pt>
                <c:pt idx="8">
                  <c:v>0.17499999999999991</c:v>
                </c:pt>
                <c:pt idx="9">
                  <c:v>0.17847222222222212</c:v>
                </c:pt>
                <c:pt idx="10">
                  <c:v>0.18194444444444433</c:v>
                </c:pt>
              </c:numCache>
            </c:numRef>
          </c:xVal>
          <c:yVal>
            <c:numRef>
              <c:f>'Rough Calculation'!$F$14:$F$24</c:f>
              <c:numCache>
                <c:formatCode>General</c:formatCode>
                <c:ptCount val="11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23</c:v>
                </c:pt>
                <c:pt idx="4">
                  <c:v>34</c:v>
                </c:pt>
                <c:pt idx="5">
                  <c:v>66</c:v>
                </c:pt>
                <c:pt idx="6">
                  <c:v>34</c:v>
                </c:pt>
                <c:pt idx="7">
                  <c:v>4</c:v>
                </c:pt>
                <c:pt idx="8">
                  <c:v>23</c:v>
                </c:pt>
                <c:pt idx="9">
                  <c:v>12</c:v>
                </c:pt>
                <c:pt idx="10">
                  <c:v>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0878688"/>
        <c:axId val="880879248"/>
      </c:scatterChart>
      <c:valAx>
        <c:axId val="880878688"/>
        <c:scaling>
          <c:orientation val="minMax"/>
          <c:max val="0.60000000000000009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879248"/>
        <c:crosses val="autoZero"/>
        <c:crossBetween val="midCat"/>
        <c:majorUnit val="2.0900000000000005E-2"/>
      </c:valAx>
      <c:valAx>
        <c:axId val="88087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087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>
    <tabColor theme="6" tint="0.39997558519241921"/>
  </sheetPr>
  <sheetViews>
    <sheetView zoomScale="8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Spin" dx="26" fmlaLink="$C$1" max="30000" page="10" val="105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131445</xdr:colOff>
      <xdr:row>0</xdr:row>
      <xdr:rowOff>144780</xdr:rowOff>
    </xdr:from>
    <xdr:to>
      <xdr:col>12</xdr:col>
      <xdr:colOff>369570</xdr:colOff>
      <xdr:row>2</xdr:row>
      <xdr:rowOff>47679</xdr:rowOff>
    </xdr:to>
    <xdr:sp macro="[0]!showTickerForm" textlink="">
      <xdr:nvSpPr>
        <xdr:cNvPr id="2" name="Rounded Rectangle 1"/>
        <xdr:cNvSpPr/>
      </xdr:nvSpPr>
      <xdr:spPr>
        <a:xfrm>
          <a:off x="7620000" y="152400"/>
          <a:ext cx="1428750" cy="28575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NSE</a:t>
          </a:r>
          <a:r>
            <a:rPr lang="en-US" sz="1100" b="1" baseline="0"/>
            <a:t> Ticker Lookup</a:t>
          </a:r>
          <a:endParaRPr lang="en-US" sz="1100" b="1"/>
        </a:p>
      </xdr:txBody>
    </xdr:sp>
    <xdr:clientData/>
  </xdr:twoCellAnchor>
  <xdr:twoCellAnchor>
    <xdr:from>
      <xdr:col>13</xdr:col>
      <xdr:colOff>104775</xdr:colOff>
      <xdr:row>0</xdr:row>
      <xdr:rowOff>144780</xdr:rowOff>
    </xdr:from>
    <xdr:to>
      <xdr:col>14</xdr:col>
      <xdr:colOff>577215</xdr:colOff>
      <xdr:row>2</xdr:row>
      <xdr:rowOff>47679</xdr:rowOff>
    </xdr:to>
    <xdr:sp macro="[0]!calculateFull" textlink="">
      <xdr:nvSpPr>
        <xdr:cNvPr id="3" name="Rounded Rectangle 2"/>
        <xdr:cNvSpPr/>
      </xdr:nvSpPr>
      <xdr:spPr>
        <a:xfrm>
          <a:off x="9334500" y="152400"/>
          <a:ext cx="1000125" cy="28575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Calculate</a:t>
          </a:r>
          <a:r>
            <a:rPr lang="en-US" sz="1100" b="1" baseline="0"/>
            <a:t> All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106680</xdr:rowOff>
        </xdr:from>
        <xdr:to>
          <xdr:col>1</xdr:col>
          <xdr:colOff>60960</xdr:colOff>
          <xdr:row>0</xdr:row>
          <xdr:rowOff>396240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Graph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0</xdr:row>
          <xdr:rowOff>114300</xdr:rowOff>
        </xdr:from>
        <xdr:to>
          <xdr:col>2</xdr:col>
          <xdr:colOff>571500</xdr:colOff>
          <xdr:row>0</xdr:row>
          <xdr:rowOff>403860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 to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0</xdr:row>
          <xdr:rowOff>434340</xdr:rowOff>
        </xdr:from>
        <xdr:to>
          <xdr:col>0</xdr:col>
          <xdr:colOff>784860</xdr:colOff>
          <xdr:row>0</xdr:row>
          <xdr:rowOff>807720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449580</xdr:rowOff>
        </xdr:from>
        <xdr:to>
          <xdr:col>2</xdr:col>
          <xdr:colOff>236220</xdr:colOff>
          <xdr:row>0</xdr:row>
          <xdr:rowOff>807720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Stop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373380</xdr:colOff>
          <xdr:row>0</xdr:row>
          <xdr:rowOff>457200</xdr:rowOff>
        </xdr:from>
        <xdr:to>
          <xdr:col>3</xdr:col>
          <xdr:colOff>7620</xdr:colOff>
          <xdr:row>0</xdr:row>
          <xdr:rowOff>1097280</xdr:rowOff>
        </xdr:to>
        <xdr:sp macro="" textlink="">
          <xdr:nvSpPr>
            <xdr:cNvPr id="5133" name="Spinner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78471" cy="604221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7</xdr:row>
      <xdr:rowOff>30480</xdr:rowOff>
    </xdr:from>
    <xdr:to>
      <xdr:col>18</xdr:col>
      <xdr:colOff>76200</xdr:colOff>
      <xdr:row>22</xdr:row>
      <xdr:rowOff>30480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6236"/>
  <sheetViews>
    <sheetView zoomScaleNormal="100" workbookViewId="0">
      <selection activeCell="B1" sqref="B1:D1048576"/>
    </sheetView>
  </sheetViews>
  <sheetFormatPr defaultColWidth="0" defaultRowHeight="14.4" zeroHeight="1" x14ac:dyDescent="0.3"/>
  <cols>
    <col min="1" max="1" width="4.33203125" customWidth="1"/>
    <col min="2" max="2" width="11" customWidth="1"/>
    <col min="3" max="3" width="6.33203125" hidden="1" customWidth="1"/>
    <col min="4" max="4" width="26.44140625" customWidth="1"/>
    <col min="5" max="5" width="6.109375" customWidth="1"/>
    <col min="6" max="6" width="9.109375" style="47" customWidth="1"/>
    <col min="7" max="7" width="10.5546875" customWidth="1"/>
    <col min="8" max="8" width="14.88671875" style="47" bestFit="1" customWidth="1"/>
    <col min="9" max="9" width="15" style="47" bestFit="1" customWidth="1"/>
    <col min="10" max="11" width="10.109375" style="26" bestFit="1" customWidth="1"/>
    <col min="12" max="12" width="9.109375" style="26" bestFit="1" customWidth="1"/>
    <col min="13" max="14" width="8.33203125" style="47" bestFit="1" customWidth="1"/>
    <col min="15" max="15" width="9.109375" style="26" customWidth="1"/>
    <col min="16" max="18" width="8.33203125" style="47" bestFit="1" customWidth="1"/>
    <col min="19" max="19" width="8" style="47" customWidth="1"/>
    <col min="20" max="26" width="9.109375" customWidth="1"/>
    <col min="27" max="27" width="0" hidden="1" customWidth="1"/>
    <col min="28" max="16384" width="9.109375" hidden="1"/>
  </cols>
  <sheetData>
    <row r="1" spans="2:20" x14ac:dyDescent="0.3">
      <c r="B1" s="12"/>
      <c r="C1" s="13"/>
      <c r="D1" s="13"/>
      <c r="E1" s="13"/>
      <c r="F1" s="34" t="s">
        <v>2646</v>
      </c>
      <c r="G1" s="14" t="s">
        <v>124</v>
      </c>
      <c r="H1" s="34" t="s">
        <v>2645</v>
      </c>
      <c r="I1" s="34" t="s">
        <v>2644</v>
      </c>
      <c r="J1" s="27"/>
      <c r="K1" s="27"/>
      <c r="L1" s="27"/>
      <c r="M1" s="35"/>
      <c r="N1" s="35"/>
      <c r="O1" s="27"/>
      <c r="P1" s="35"/>
      <c r="Q1" s="35"/>
      <c r="R1" s="35"/>
      <c r="S1" s="35"/>
      <c r="T1" s="15"/>
    </row>
    <row r="2" spans="2:20" ht="15" thickBot="1" x14ac:dyDescent="0.35">
      <c r="B2" s="16"/>
      <c r="C2" s="17"/>
      <c r="D2" s="7" t="s">
        <v>120</v>
      </c>
      <c r="E2" s="8">
        <f>SUM(E5:E4651)-1</f>
        <v>0</v>
      </c>
      <c r="F2" s="48">
        <f>G2/H2</f>
        <v>-0.10387766756837985</v>
      </c>
      <c r="G2" s="9">
        <f>I2-H2</f>
        <v>-34560.099999999977</v>
      </c>
      <c r="H2" s="36">
        <f>SUMPRODUCT($F$5:$F$4653,H5:H4653)</f>
        <v>332700</v>
      </c>
      <c r="I2" s="36">
        <f>SUMPRODUCT($F$5:$F$4653,I5:I4653*1)</f>
        <v>298139.90000000002</v>
      </c>
      <c r="J2" s="28"/>
      <c r="K2" s="28"/>
      <c r="L2" s="28"/>
      <c r="M2" s="37"/>
      <c r="N2" s="37"/>
      <c r="O2" s="28"/>
      <c r="P2" s="37"/>
      <c r="Q2" s="37"/>
      <c r="R2" s="37"/>
      <c r="S2" s="37"/>
      <c r="T2" s="18"/>
    </row>
    <row r="3" spans="2:20" ht="15" thickBot="1" x14ac:dyDescent="0.35">
      <c r="B3" s="19"/>
      <c r="C3" s="20"/>
      <c r="D3" s="20"/>
      <c r="E3" s="20"/>
      <c r="F3" s="38"/>
      <c r="G3" s="20"/>
      <c r="H3" s="38"/>
      <c r="I3" s="38"/>
      <c r="J3" s="29"/>
      <c r="K3" s="29"/>
      <c r="L3" s="29"/>
      <c r="M3" s="38"/>
      <c r="N3" s="38"/>
      <c r="O3" s="29"/>
      <c r="P3" s="38"/>
      <c r="Q3" s="38"/>
      <c r="R3" s="38"/>
      <c r="S3" s="38"/>
      <c r="T3" s="21"/>
    </row>
    <row r="4" spans="2:20" x14ac:dyDescent="0.3">
      <c r="B4" s="1" t="s">
        <v>11</v>
      </c>
      <c r="C4" t="s">
        <v>12</v>
      </c>
      <c r="D4" s="10" t="s">
        <v>10</v>
      </c>
      <c r="E4" s="11" t="s">
        <v>121</v>
      </c>
      <c r="F4" s="39" t="s">
        <v>118</v>
      </c>
      <c r="G4" s="11" t="s">
        <v>119</v>
      </c>
      <c r="H4" s="39" t="s">
        <v>2647</v>
      </c>
      <c r="I4" s="40" t="s">
        <v>2</v>
      </c>
      <c r="J4" s="30" t="s">
        <v>122</v>
      </c>
      <c r="K4" s="30" t="s">
        <v>123</v>
      </c>
      <c r="L4" s="30" t="s">
        <v>124</v>
      </c>
      <c r="M4" s="41" t="s">
        <v>5</v>
      </c>
      <c r="N4" s="40" t="s">
        <v>6</v>
      </c>
      <c r="O4" s="31" t="s">
        <v>7</v>
      </c>
      <c r="P4" s="41" t="s">
        <v>1</v>
      </c>
      <c r="Q4" s="40" t="s">
        <v>3</v>
      </c>
      <c r="R4" s="41" t="s">
        <v>0</v>
      </c>
      <c r="S4" s="40" t="s">
        <v>4</v>
      </c>
      <c r="T4" s="5" t="s">
        <v>8</v>
      </c>
    </row>
    <row r="5" spans="2:20" x14ac:dyDescent="0.3">
      <c r="B5" s="2" t="s">
        <v>112</v>
      </c>
      <c r="C5" s="6" t="str">
        <f>INDEX(nse!D:D,MATCH(B5,nse!B:B,0))</f>
        <v>EQ</v>
      </c>
      <c r="D5" s="3" t="str">
        <f>INDEX(nse!C:C,MATCH(B5,nse!B:B,0))</f>
        <v>ICICI Bank Limited</v>
      </c>
      <c r="E5" s="22">
        <f>F5*H5/$H$2</f>
        <v>6.7327923053802224E-2</v>
      </c>
      <c r="F5" s="44">
        <v>80</v>
      </c>
      <c r="G5" s="22">
        <f>I5/H5-1</f>
        <v>-5.8392857142857246E-2</v>
      </c>
      <c r="H5" s="42">
        <v>280</v>
      </c>
      <c r="I5" s="43">
        <v>263.64999999999998</v>
      </c>
      <c r="J5" s="32">
        <f>F5*H5</f>
        <v>22400</v>
      </c>
      <c r="K5" s="32">
        <f>F5*I5</f>
        <v>21092</v>
      </c>
      <c r="L5" s="33">
        <f>K5-J5</f>
        <v>-1308</v>
      </c>
      <c r="M5" s="45">
        <v>266.10000000000002</v>
      </c>
      <c r="N5" s="43">
        <v>260</v>
      </c>
      <c r="O5" s="25">
        <v>7640767</v>
      </c>
      <c r="P5" s="45">
        <v>255</v>
      </c>
      <c r="Q5" s="43">
        <v>365.7</v>
      </c>
      <c r="R5" s="45">
        <v>260.25</v>
      </c>
      <c r="S5" s="43" t="s">
        <v>2648</v>
      </c>
      <c r="T5" s="4" t="s">
        <v>4763</v>
      </c>
    </row>
    <row r="6" spans="2:20" x14ac:dyDescent="0.3">
      <c r="B6" t="s">
        <v>151</v>
      </c>
      <c r="C6" s="6" t="str">
        <f>INDEX(nse!D:D,MATCH(B6,nse!B:B,0))</f>
        <v>BE</v>
      </c>
      <c r="D6" s="3" t="str">
        <f>INDEX(nse!C:C,MATCH(B6,nse!B:B,0))</f>
        <v>Agarwal Industrial Corporation Limited</v>
      </c>
      <c r="E6" s="22">
        <f>F6*H6/$H$2</f>
        <v>7.5142771265404265E-2</v>
      </c>
      <c r="F6" s="44">
        <v>50</v>
      </c>
      <c r="G6" s="22">
        <f>I6/H6-1</f>
        <v>0.45799999999999996</v>
      </c>
      <c r="H6" s="42">
        <v>500</v>
      </c>
      <c r="I6" s="43">
        <v>729</v>
      </c>
      <c r="J6" s="32">
        <f>F6*H6</f>
        <v>25000</v>
      </c>
      <c r="K6" s="32">
        <f>F6*I6</f>
        <v>36450</v>
      </c>
      <c r="L6" s="33">
        <f>K6-J6</f>
        <v>11450</v>
      </c>
      <c r="M6" s="45">
        <v>745</v>
      </c>
      <c r="N6" s="43">
        <v>710</v>
      </c>
      <c r="O6" s="25">
        <v>1792</v>
      </c>
      <c r="P6" s="45">
        <v>108</v>
      </c>
      <c r="Q6" s="43">
        <v>790</v>
      </c>
      <c r="R6" s="45">
        <v>740</v>
      </c>
      <c r="S6" s="43" t="s">
        <v>2648</v>
      </c>
      <c r="T6" s="4" t="s">
        <v>2649</v>
      </c>
    </row>
    <row r="7" spans="2:20" x14ac:dyDescent="0.3">
      <c r="B7" t="s">
        <v>117</v>
      </c>
      <c r="C7" s="6" t="str">
        <f>INDEX(nse!D:D,MATCH(B7,nse!B:B,0))</f>
        <v>EQ</v>
      </c>
      <c r="D7" s="3" t="str">
        <f>INDEX(nse!C:C,MATCH(B7,nse!B:B,0))</f>
        <v>Tata Steel Limited</v>
      </c>
      <c r="E7" s="22">
        <f>F7*H7/$H$2</f>
        <v>0.19987977156597536</v>
      </c>
      <c r="F7" s="44">
        <v>133</v>
      </c>
      <c r="G7" s="22">
        <f>I7/H7-1</f>
        <v>5.259999999999998E-2</v>
      </c>
      <c r="H7" s="42">
        <v>500</v>
      </c>
      <c r="I7" s="43">
        <v>526.29999999999995</v>
      </c>
      <c r="J7" s="32">
        <f>F7*H7</f>
        <v>66500</v>
      </c>
      <c r="K7" s="32">
        <f>F7*I7</f>
        <v>69997.899999999994</v>
      </c>
      <c r="L7" s="33">
        <f>K7-J7</f>
        <v>3497.8999999999942</v>
      </c>
      <c r="M7" s="45">
        <v>529.9</v>
      </c>
      <c r="N7" s="43">
        <v>513</v>
      </c>
      <c r="O7" s="25">
        <v>6828145</v>
      </c>
      <c r="P7" s="45">
        <v>512.88</v>
      </c>
      <c r="Q7" s="43">
        <v>748.11</v>
      </c>
      <c r="R7" s="45">
        <v>522</v>
      </c>
      <c r="S7" s="43" t="s">
        <v>2648</v>
      </c>
      <c r="T7" s="4" t="s">
        <v>4764</v>
      </c>
    </row>
    <row r="8" spans="2:20" x14ac:dyDescent="0.3">
      <c r="B8" t="s">
        <v>125</v>
      </c>
      <c r="C8" s="6" t="str">
        <f>INDEX(nse!D:D,MATCH(B8,nse!B:B,0))</f>
        <v>EQ</v>
      </c>
      <c r="D8" s="3" t="str">
        <f>INDEX(nse!C:C,MATCH(B8,nse!B:B,0))</f>
        <v>Trident Limited</v>
      </c>
      <c r="E8" s="23">
        <f>F8*H8/$H$2</f>
        <v>0.63119927862939584</v>
      </c>
      <c r="F8" s="49">
        <v>3000</v>
      </c>
      <c r="G8" s="23">
        <f>I8/H8-1</f>
        <v>-0.22571428571428565</v>
      </c>
      <c r="H8" s="46">
        <v>70</v>
      </c>
      <c r="I8" s="47">
        <v>54.2</v>
      </c>
      <c r="J8" s="26">
        <f>F8*H8</f>
        <v>210000</v>
      </c>
      <c r="K8" s="26">
        <f>F8*I8</f>
        <v>162600</v>
      </c>
      <c r="L8" s="26">
        <f>K8-J8</f>
        <v>-47400</v>
      </c>
      <c r="M8" s="47">
        <v>54.9</v>
      </c>
      <c r="N8" s="47">
        <v>53.4</v>
      </c>
      <c r="O8" s="26">
        <v>261636</v>
      </c>
      <c r="P8" s="47">
        <v>51.15</v>
      </c>
      <c r="Q8" s="47">
        <v>109.5</v>
      </c>
      <c r="R8" s="47">
        <v>53.4</v>
      </c>
      <c r="S8" s="47" t="s">
        <v>2648</v>
      </c>
      <c r="T8" t="s">
        <v>4763</v>
      </c>
    </row>
    <row r="9" spans="2:20" x14ac:dyDescent="0.3">
      <c r="B9" t="s">
        <v>106</v>
      </c>
      <c r="C9" s="6" t="str">
        <f>INDEX(nse!D:D,MATCH(B9,nse!B:B,0))</f>
        <v>EQ</v>
      </c>
      <c r="D9" s="3" t="str">
        <f>INDEX(nse!C:C,MATCH(B9,nse!B:B,0))</f>
        <v>Unitech Limited</v>
      </c>
      <c r="E9" s="23">
        <f>F9*H9/$H$2</f>
        <v>2.6450255485422302E-2</v>
      </c>
      <c r="F9" s="49">
        <v>2000</v>
      </c>
      <c r="G9" s="23">
        <f>I9/H9-1</f>
        <v>-9.0909090909090939E-2</v>
      </c>
      <c r="H9" s="46">
        <v>4.4000000000000004</v>
      </c>
      <c r="I9" s="47">
        <v>4</v>
      </c>
      <c r="J9" s="26">
        <f>F9*H9</f>
        <v>8800</v>
      </c>
      <c r="K9" s="26">
        <f>F9*I9</f>
        <v>8000</v>
      </c>
      <c r="L9" s="26">
        <f>K9-J9</f>
        <v>-800</v>
      </c>
      <c r="M9" s="47">
        <v>4.05</v>
      </c>
      <c r="N9" s="47">
        <v>3.95</v>
      </c>
      <c r="O9" s="26">
        <v>2219397</v>
      </c>
      <c r="P9" s="47">
        <v>3.95</v>
      </c>
      <c r="Q9" s="47">
        <v>12.25</v>
      </c>
      <c r="R9" s="47">
        <v>4</v>
      </c>
      <c r="S9" s="47" t="s">
        <v>2648</v>
      </c>
      <c r="T9" t="s">
        <v>4762</v>
      </c>
    </row>
    <row r="10" spans="2:20" x14ac:dyDescent="0.3">
      <c r="C10" s="6"/>
      <c r="E10" s="23"/>
      <c r="G10" s="23"/>
    </row>
    <row r="11" spans="2:20" x14ac:dyDescent="0.3">
      <c r="C11" s="6"/>
      <c r="E11" s="23"/>
      <c r="G11" s="23"/>
    </row>
    <row r="12" spans="2:20" x14ac:dyDescent="0.3">
      <c r="C12" s="6"/>
      <c r="E12" s="23"/>
      <c r="G12" s="23"/>
    </row>
    <row r="13" spans="2:20" x14ac:dyDescent="0.3">
      <c r="C13" s="6"/>
      <c r="E13" s="23"/>
      <c r="G13" s="23"/>
    </row>
    <row r="14" spans="2:20" x14ac:dyDescent="0.3">
      <c r="C14" s="6"/>
      <c r="E14" s="23"/>
      <c r="G14" s="23"/>
    </row>
    <row r="15" spans="2:20" x14ac:dyDescent="0.3">
      <c r="C15" s="6"/>
      <c r="E15" s="23"/>
      <c r="G15" s="23"/>
    </row>
    <row r="16" spans="2:20" x14ac:dyDescent="0.3">
      <c r="C16" s="6"/>
      <c r="E16" s="23"/>
      <c r="G16" s="23"/>
    </row>
    <row r="17" spans="3:7" x14ac:dyDescent="0.3">
      <c r="C17" s="6"/>
      <c r="E17" s="23"/>
      <c r="G17" s="23"/>
    </row>
    <row r="18" spans="3:7" x14ac:dyDescent="0.3">
      <c r="C18" s="6"/>
      <c r="E18" s="23"/>
      <c r="G18" s="23"/>
    </row>
    <row r="19" spans="3:7" x14ac:dyDescent="0.3">
      <c r="C19" s="6"/>
      <c r="E19" s="23"/>
      <c r="G19" s="23"/>
    </row>
    <row r="20" spans="3:7" x14ac:dyDescent="0.3">
      <c r="C20" s="6"/>
      <c r="E20" s="23"/>
      <c r="G20" s="23"/>
    </row>
    <row r="21" spans="3:7" x14ac:dyDescent="0.3">
      <c r="C21" s="6"/>
      <c r="E21" s="23"/>
      <c r="G21" s="23"/>
    </row>
    <row r="22" spans="3:7" x14ac:dyDescent="0.3">
      <c r="C22" s="6"/>
      <c r="E22" s="23"/>
      <c r="G22" s="23"/>
    </row>
    <row r="23" spans="3:7" x14ac:dyDescent="0.3">
      <c r="C23" s="6"/>
      <c r="E23" s="23"/>
      <c r="G23" s="23"/>
    </row>
    <row r="24" spans="3:7" x14ac:dyDescent="0.3">
      <c r="C24" s="6"/>
      <c r="E24" s="23"/>
      <c r="G24" s="23"/>
    </row>
    <row r="25" spans="3:7" x14ac:dyDescent="0.3">
      <c r="C25" s="6"/>
      <c r="E25" s="23"/>
      <c r="G25" s="23"/>
    </row>
    <row r="26" spans="3:7" x14ac:dyDescent="0.3">
      <c r="C26" s="6"/>
      <c r="E26" s="23"/>
      <c r="G26" s="23"/>
    </row>
    <row r="27" spans="3:7" x14ac:dyDescent="0.3">
      <c r="C27" s="6"/>
      <c r="E27" s="23"/>
      <c r="G27" s="23"/>
    </row>
    <row r="28" spans="3:7" x14ac:dyDescent="0.3">
      <c r="C28" s="6"/>
      <c r="E28" s="23"/>
      <c r="G28" s="23"/>
    </row>
    <row r="29" spans="3:7" x14ac:dyDescent="0.3">
      <c r="C29" s="6"/>
      <c r="E29" s="23"/>
      <c r="G29" s="23"/>
    </row>
    <row r="30" spans="3:7" x14ac:dyDescent="0.3">
      <c r="C30" s="6"/>
      <c r="E30" s="23"/>
      <c r="G30" s="23"/>
    </row>
    <row r="31" spans="3:7" x14ac:dyDescent="0.3">
      <c r="C31" s="6"/>
      <c r="E31" s="23"/>
      <c r="G31" s="23"/>
    </row>
    <row r="32" spans="3:7" x14ac:dyDescent="0.3">
      <c r="C32" s="6"/>
      <c r="E32" s="23"/>
      <c r="G32" s="23"/>
    </row>
    <row r="33" spans="3:7" x14ac:dyDescent="0.3">
      <c r="C33" s="6"/>
      <c r="E33" s="23"/>
      <c r="G33" s="23"/>
    </row>
    <row r="34" spans="3:7" x14ac:dyDescent="0.3">
      <c r="C34" s="6"/>
      <c r="E34" s="23"/>
      <c r="G34" s="23"/>
    </row>
    <row r="35" spans="3:7" x14ac:dyDescent="0.3">
      <c r="C35" s="6"/>
      <c r="E35" s="23"/>
      <c r="G35" s="23"/>
    </row>
    <row r="36" spans="3:7" x14ac:dyDescent="0.3">
      <c r="C36" s="6"/>
      <c r="E36" s="23"/>
      <c r="G36" s="23"/>
    </row>
    <row r="37" spans="3:7" x14ac:dyDescent="0.3">
      <c r="C37" s="6"/>
      <c r="E37" s="23"/>
      <c r="G37" s="23"/>
    </row>
    <row r="38" spans="3:7" x14ac:dyDescent="0.3">
      <c r="C38" s="6"/>
      <c r="E38" s="23"/>
      <c r="G38" s="23"/>
    </row>
    <row r="39" spans="3:7" x14ac:dyDescent="0.3">
      <c r="C39" s="6"/>
      <c r="E39" s="23"/>
      <c r="G39" s="23"/>
    </row>
    <row r="40" spans="3:7" x14ac:dyDescent="0.3">
      <c r="C40" s="6"/>
      <c r="E40" s="23"/>
      <c r="G40" s="23"/>
    </row>
    <row r="41" spans="3:7" x14ac:dyDescent="0.3">
      <c r="C41" s="6"/>
      <c r="E41" s="23"/>
      <c r="G41" s="23"/>
    </row>
    <row r="42" spans="3:7" x14ac:dyDescent="0.3">
      <c r="C42" s="6"/>
      <c r="E42" s="23"/>
      <c r="G42" s="23"/>
    </row>
    <row r="43" spans="3:7" x14ac:dyDescent="0.3">
      <c r="C43" s="6"/>
      <c r="E43" s="23"/>
      <c r="G43" s="23"/>
    </row>
    <row r="44" spans="3:7" x14ac:dyDescent="0.3">
      <c r="C44" s="6"/>
      <c r="E44" s="23"/>
      <c r="G44" s="23"/>
    </row>
    <row r="45" spans="3:7" x14ac:dyDescent="0.3">
      <c r="C45" s="6"/>
      <c r="E45" s="23"/>
      <c r="G45" s="23"/>
    </row>
    <row r="46" spans="3:7" x14ac:dyDescent="0.3">
      <c r="C46" s="6"/>
      <c r="E46" s="23"/>
      <c r="G46" s="23"/>
    </row>
    <row r="47" spans="3:7" x14ac:dyDescent="0.3">
      <c r="C47" s="6"/>
      <c r="E47" s="23"/>
      <c r="G47" s="23"/>
    </row>
    <row r="48" spans="3:7" x14ac:dyDescent="0.3">
      <c r="C48" s="6"/>
      <c r="E48" s="23"/>
      <c r="G48" s="23"/>
    </row>
    <row r="49" spans="3:7" x14ac:dyDescent="0.3">
      <c r="C49" s="6"/>
      <c r="E49" s="23"/>
      <c r="G49" s="23"/>
    </row>
    <row r="50" spans="3:7" x14ac:dyDescent="0.3">
      <c r="C50" s="6"/>
      <c r="E50" s="23"/>
      <c r="G50" s="23"/>
    </row>
    <row r="51" spans="3:7" x14ac:dyDescent="0.3">
      <c r="C51" s="6"/>
      <c r="E51" s="23"/>
      <c r="G51" s="23"/>
    </row>
    <row r="52" spans="3:7" x14ac:dyDescent="0.3">
      <c r="C52" s="6"/>
      <c r="E52" s="23"/>
      <c r="G52" s="23"/>
    </row>
    <row r="53" spans="3:7" x14ac:dyDescent="0.3">
      <c r="C53" s="6"/>
      <c r="E53" s="23"/>
      <c r="G53" s="23"/>
    </row>
    <row r="54" spans="3:7" x14ac:dyDescent="0.3">
      <c r="C54" s="6"/>
      <c r="E54" s="23"/>
      <c r="G54" s="23"/>
    </row>
    <row r="55" spans="3:7" x14ac:dyDescent="0.3">
      <c r="C55" s="6"/>
      <c r="E55" s="23"/>
      <c r="G55" s="23"/>
    </row>
    <row r="56" spans="3:7" x14ac:dyDescent="0.3">
      <c r="C56" s="6"/>
      <c r="E56" s="23"/>
      <c r="G56" s="23"/>
    </row>
    <row r="57" spans="3:7" x14ac:dyDescent="0.3">
      <c r="C57" s="6"/>
      <c r="E57" s="23"/>
      <c r="G57" s="23"/>
    </row>
    <row r="58" spans="3:7" x14ac:dyDescent="0.3">
      <c r="C58" s="6"/>
      <c r="E58" s="23"/>
      <c r="G58" s="23"/>
    </row>
    <row r="59" spans="3:7" x14ac:dyDescent="0.3">
      <c r="C59" s="6"/>
      <c r="E59" s="23"/>
      <c r="G59" s="23"/>
    </row>
    <row r="60" spans="3:7" x14ac:dyDescent="0.3">
      <c r="C60" s="6"/>
      <c r="E60" s="23"/>
      <c r="G60" s="23"/>
    </row>
    <row r="61" spans="3:7" x14ac:dyDescent="0.3">
      <c r="C61" s="6"/>
      <c r="E61" s="23"/>
      <c r="G61" s="23"/>
    </row>
    <row r="62" spans="3:7" x14ac:dyDescent="0.3">
      <c r="C62" s="6"/>
      <c r="E62" s="23"/>
      <c r="G62" s="23"/>
    </row>
    <row r="63" spans="3:7" x14ac:dyDescent="0.3">
      <c r="C63" s="6"/>
      <c r="E63" s="23"/>
      <c r="G63" s="23"/>
    </row>
    <row r="64" spans="3:7" x14ac:dyDescent="0.3">
      <c r="C64" s="6"/>
      <c r="E64" s="23"/>
      <c r="G64" s="23"/>
    </row>
    <row r="65" spans="3:7" x14ac:dyDescent="0.3">
      <c r="C65" s="6"/>
      <c r="E65" s="23"/>
      <c r="G65" s="23"/>
    </row>
    <row r="66" spans="3:7" x14ac:dyDescent="0.3">
      <c r="C66" s="6"/>
      <c r="E66" s="23"/>
      <c r="G66" s="23"/>
    </row>
    <row r="67" spans="3:7" x14ac:dyDescent="0.3">
      <c r="C67" s="6"/>
      <c r="E67" s="23"/>
      <c r="G67" s="23"/>
    </row>
    <row r="68" spans="3:7" x14ac:dyDescent="0.3">
      <c r="C68" s="6"/>
      <c r="E68" s="23"/>
      <c r="G68" s="23"/>
    </row>
    <row r="69" spans="3:7" x14ac:dyDescent="0.3">
      <c r="C69" s="6"/>
      <c r="E69" s="23"/>
      <c r="G69" s="23"/>
    </row>
    <row r="70" spans="3:7" x14ac:dyDescent="0.3">
      <c r="C70" s="6"/>
      <c r="E70" s="23"/>
      <c r="G70" s="23"/>
    </row>
    <row r="71" spans="3:7" x14ac:dyDescent="0.3">
      <c r="C71" s="6"/>
      <c r="E71" s="23"/>
      <c r="G71" s="23"/>
    </row>
    <row r="72" spans="3:7" x14ac:dyDescent="0.3">
      <c r="C72" s="6"/>
      <c r="E72" s="23"/>
      <c r="G72" s="23"/>
    </row>
    <row r="73" spans="3:7" x14ac:dyDescent="0.3">
      <c r="C73" s="6"/>
      <c r="E73" s="23"/>
      <c r="G73" s="23"/>
    </row>
    <row r="74" spans="3:7" x14ac:dyDescent="0.3">
      <c r="C74" s="6"/>
      <c r="E74" s="23"/>
      <c r="G74" s="23"/>
    </row>
    <row r="75" spans="3:7" x14ac:dyDescent="0.3">
      <c r="C75" s="6"/>
      <c r="E75" s="23"/>
      <c r="G75" s="23"/>
    </row>
    <row r="76" spans="3:7" x14ac:dyDescent="0.3">
      <c r="C76" s="6"/>
      <c r="E76" s="23"/>
      <c r="G76" s="23"/>
    </row>
    <row r="77" spans="3:7" x14ac:dyDescent="0.3">
      <c r="C77" s="6"/>
      <c r="E77" s="23"/>
      <c r="G77" s="23"/>
    </row>
    <row r="78" spans="3:7" x14ac:dyDescent="0.3">
      <c r="C78" s="6"/>
      <c r="E78" s="23"/>
      <c r="G78" s="23"/>
    </row>
    <row r="79" spans="3:7" x14ac:dyDescent="0.3">
      <c r="C79" s="6"/>
      <c r="E79" s="23"/>
      <c r="G79" s="23"/>
    </row>
    <row r="80" spans="3:7" x14ac:dyDescent="0.3">
      <c r="C80" s="6"/>
      <c r="E80" s="23"/>
      <c r="G80" s="23"/>
    </row>
    <row r="81" spans="3:7" x14ac:dyDescent="0.3">
      <c r="C81" s="6"/>
      <c r="E81" s="23"/>
      <c r="G81" s="23"/>
    </row>
    <row r="82" spans="3:7" x14ac:dyDescent="0.3">
      <c r="C82" s="6"/>
      <c r="E82" s="23"/>
      <c r="G82" s="23"/>
    </row>
    <row r="83" spans="3:7" x14ac:dyDescent="0.3">
      <c r="C83" s="6"/>
      <c r="E83" s="23"/>
      <c r="G83" s="23"/>
    </row>
    <row r="84" spans="3:7" x14ac:dyDescent="0.3">
      <c r="C84" s="6"/>
      <c r="E84" s="23"/>
      <c r="G84" s="23"/>
    </row>
    <row r="85" spans="3:7" x14ac:dyDescent="0.3">
      <c r="C85" s="6"/>
      <c r="E85" s="23"/>
      <c r="G85" s="23"/>
    </row>
    <row r="86" spans="3:7" x14ac:dyDescent="0.3">
      <c r="C86" s="6"/>
      <c r="E86" s="23"/>
      <c r="G86" s="23"/>
    </row>
    <row r="87" spans="3:7" x14ac:dyDescent="0.3">
      <c r="C87" s="6"/>
      <c r="E87" s="23"/>
      <c r="G87" s="23"/>
    </row>
    <row r="88" spans="3:7" x14ac:dyDescent="0.3">
      <c r="C88" s="6"/>
      <c r="E88" s="23"/>
      <c r="G88" s="23"/>
    </row>
    <row r="89" spans="3:7" x14ac:dyDescent="0.3">
      <c r="C89" s="6"/>
      <c r="E89" s="23"/>
      <c r="G89" s="23"/>
    </row>
    <row r="90" spans="3:7" x14ac:dyDescent="0.3">
      <c r="C90" s="6"/>
      <c r="E90" s="23"/>
      <c r="G90" s="23"/>
    </row>
    <row r="91" spans="3:7" x14ac:dyDescent="0.3">
      <c r="C91" s="6"/>
      <c r="E91" s="23"/>
      <c r="G91" s="23"/>
    </row>
    <row r="92" spans="3:7" x14ac:dyDescent="0.3">
      <c r="C92" s="6"/>
      <c r="E92" s="23"/>
      <c r="G92" s="23"/>
    </row>
    <row r="93" spans="3:7" x14ac:dyDescent="0.3">
      <c r="C93" s="6"/>
      <c r="E93" s="23"/>
      <c r="G93" s="23"/>
    </row>
    <row r="94" spans="3:7" x14ac:dyDescent="0.3">
      <c r="C94" s="6"/>
      <c r="E94" s="23"/>
      <c r="G94" s="23"/>
    </row>
    <row r="95" spans="3:7" x14ac:dyDescent="0.3">
      <c r="C95" s="6"/>
      <c r="E95" s="23"/>
      <c r="G95" s="23"/>
    </row>
    <row r="96" spans="3:7" x14ac:dyDescent="0.3">
      <c r="C96" s="6"/>
      <c r="E96" s="23"/>
      <c r="G96" s="23"/>
    </row>
    <row r="97" spans="3:7" x14ac:dyDescent="0.3">
      <c r="C97" s="6"/>
      <c r="E97" s="23"/>
      <c r="G97" s="23"/>
    </row>
    <row r="98" spans="3:7" x14ac:dyDescent="0.3">
      <c r="C98" s="6"/>
      <c r="E98" s="23"/>
      <c r="G98" s="23"/>
    </row>
    <row r="99" spans="3:7" x14ac:dyDescent="0.3">
      <c r="C99" s="6"/>
      <c r="E99" s="23"/>
      <c r="G99" s="23"/>
    </row>
    <row r="100" spans="3:7" x14ac:dyDescent="0.3">
      <c r="C100" s="6"/>
      <c r="E100" s="23"/>
      <c r="G100" s="23"/>
    </row>
    <row r="101" spans="3:7" x14ac:dyDescent="0.3">
      <c r="C101" s="6"/>
      <c r="E101" s="23"/>
      <c r="G101" s="23"/>
    </row>
    <row r="102" spans="3:7" x14ac:dyDescent="0.3">
      <c r="C102" s="6"/>
      <c r="E102" s="23"/>
      <c r="G102" s="23"/>
    </row>
    <row r="103" spans="3:7" x14ac:dyDescent="0.3">
      <c r="C103" s="6"/>
      <c r="E103" s="23"/>
      <c r="G103" s="23"/>
    </row>
    <row r="104" spans="3:7" x14ac:dyDescent="0.3">
      <c r="C104" s="6"/>
      <c r="E104" s="23"/>
      <c r="G104" s="23"/>
    </row>
    <row r="105" spans="3:7" x14ac:dyDescent="0.3">
      <c r="C105" s="6"/>
      <c r="E105" s="23"/>
      <c r="G105" s="23"/>
    </row>
    <row r="106" spans="3:7" x14ac:dyDescent="0.3">
      <c r="C106" s="6"/>
      <c r="E106" s="23"/>
      <c r="G106" s="23"/>
    </row>
    <row r="107" spans="3:7" x14ac:dyDescent="0.3">
      <c r="C107" s="6"/>
      <c r="E107" s="23"/>
      <c r="G107" s="23"/>
    </row>
    <row r="108" spans="3:7" x14ac:dyDescent="0.3">
      <c r="C108" s="6"/>
      <c r="E108" s="23"/>
      <c r="G108" s="23"/>
    </row>
    <row r="109" spans="3:7" x14ac:dyDescent="0.3">
      <c r="C109" s="6"/>
      <c r="E109" s="23"/>
      <c r="G109" s="23"/>
    </row>
    <row r="110" spans="3:7" x14ac:dyDescent="0.3">
      <c r="C110" s="6"/>
      <c r="E110" s="23"/>
      <c r="G110" s="23"/>
    </row>
    <row r="111" spans="3:7" x14ac:dyDescent="0.3">
      <c r="C111" s="6"/>
      <c r="E111" s="23"/>
      <c r="G111" s="23"/>
    </row>
    <row r="112" spans="3:7" x14ac:dyDescent="0.3">
      <c r="C112" s="6"/>
      <c r="E112" s="23"/>
      <c r="G112" s="23"/>
    </row>
    <row r="113" spans="3:7" x14ac:dyDescent="0.3">
      <c r="C113" s="6"/>
      <c r="E113" s="23"/>
      <c r="G113" s="23"/>
    </row>
    <row r="114" spans="3:7" x14ac:dyDescent="0.3">
      <c r="C114" s="6"/>
      <c r="E114" s="23"/>
      <c r="G114" s="23"/>
    </row>
    <row r="115" spans="3:7" x14ac:dyDescent="0.3">
      <c r="C115" s="6"/>
      <c r="E115" s="23"/>
      <c r="G115" s="23"/>
    </row>
    <row r="116" spans="3:7" x14ac:dyDescent="0.3">
      <c r="C116" s="6"/>
      <c r="E116" s="23"/>
      <c r="G116" s="23"/>
    </row>
    <row r="117" spans="3:7" x14ac:dyDescent="0.3">
      <c r="C117" s="6"/>
      <c r="E117" s="23"/>
      <c r="G117" s="23"/>
    </row>
    <row r="118" spans="3:7" x14ac:dyDescent="0.3">
      <c r="C118" s="6"/>
      <c r="E118" s="23"/>
      <c r="G118" s="23"/>
    </row>
    <row r="119" spans="3:7" x14ac:dyDescent="0.3">
      <c r="C119" s="6"/>
      <c r="E119" s="23"/>
      <c r="G119" s="23"/>
    </row>
    <row r="120" spans="3:7" x14ac:dyDescent="0.3">
      <c r="C120" s="6"/>
      <c r="E120" s="23"/>
      <c r="G120" s="23"/>
    </row>
    <row r="121" spans="3:7" x14ac:dyDescent="0.3">
      <c r="C121" s="6"/>
      <c r="E121" s="23"/>
      <c r="G121" s="23"/>
    </row>
    <row r="122" spans="3:7" x14ac:dyDescent="0.3">
      <c r="C122" s="6"/>
      <c r="E122" s="23"/>
      <c r="G122" s="23"/>
    </row>
    <row r="123" spans="3:7" x14ac:dyDescent="0.3">
      <c r="C123" s="6"/>
      <c r="E123" s="23"/>
      <c r="G123" s="23"/>
    </row>
    <row r="124" spans="3:7" x14ac:dyDescent="0.3">
      <c r="C124" s="6"/>
      <c r="E124" s="23"/>
      <c r="G124" s="23"/>
    </row>
    <row r="125" spans="3:7" x14ac:dyDescent="0.3">
      <c r="C125" s="6"/>
      <c r="E125" s="23"/>
      <c r="G125" s="23"/>
    </row>
    <row r="126" spans="3:7" x14ac:dyDescent="0.3">
      <c r="C126" s="6"/>
      <c r="E126" s="23"/>
      <c r="G126" s="23"/>
    </row>
    <row r="127" spans="3:7" x14ac:dyDescent="0.3">
      <c r="C127" s="6"/>
      <c r="E127" s="23"/>
      <c r="G127" s="23"/>
    </row>
    <row r="128" spans="3:7" x14ac:dyDescent="0.3">
      <c r="C128" s="6"/>
      <c r="E128" s="23"/>
      <c r="G128" s="23"/>
    </row>
    <row r="129" spans="3:7" x14ac:dyDescent="0.3">
      <c r="C129" s="6"/>
      <c r="E129" s="23"/>
      <c r="G129" s="23"/>
    </row>
    <row r="130" spans="3:7" x14ac:dyDescent="0.3">
      <c r="C130" s="6"/>
      <c r="E130" s="23"/>
      <c r="G130" s="23"/>
    </row>
    <row r="131" spans="3:7" x14ac:dyDescent="0.3">
      <c r="C131" s="6"/>
      <c r="E131" s="23"/>
      <c r="G131" s="23"/>
    </row>
    <row r="132" spans="3:7" x14ac:dyDescent="0.3">
      <c r="C132" s="6"/>
      <c r="E132" s="23"/>
      <c r="G132" s="23"/>
    </row>
    <row r="133" spans="3:7" x14ac:dyDescent="0.3">
      <c r="C133" s="6"/>
      <c r="E133" s="23"/>
      <c r="G133" s="23"/>
    </row>
    <row r="134" spans="3:7" x14ac:dyDescent="0.3">
      <c r="C134" s="6"/>
      <c r="E134" s="23"/>
      <c r="G134" s="23"/>
    </row>
    <row r="135" spans="3:7" x14ac:dyDescent="0.3">
      <c r="C135" s="6"/>
      <c r="E135" s="23"/>
      <c r="G135" s="23"/>
    </row>
    <row r="136" spans="3:7" x14ac:dyDescent="0.3">
      <c r="C136" s="6"/>
      <c r="E136" s="23"/>
      <c r="G136" s="23"/>
    </row>
    <row r="137" spans="3:7" x14ac:dyDescent="0.3">
      <c r="C137" s="6"/>
      <c r="E137" s="23"/>
      <c r="G137" s="23"/>
    </row>
    <row r="138" spans="3:7" x14ac:dyDescent="0.3">
      <c r="C138" s="6"/>
      <c r="E138" s="23"/>
      <c r="G138" s="23"/>
    </row>
    <row r="139" spans="3:7" x14ac:dyDescent="0.3">
      <c r="C139" s="6"/>
      <c r="E139" s="23"/>
      <c r="G139" s="23"/>
    </row>
    <row r="140" spans="3:7" x14ac:dyDescent="0.3">
      <c r="C140" s="6"/>
      <c r="E140" s="23"/>
      <c r="G140" s="23"/>
    </row>
    <row r="141" spans="3:7" x14ac:dyDescent="0.3">
      <c r="C141" s="6"/>
      <c r="E141" s="23"/>
      <c r="G141" s="23"/>
    </row>
    <row r="142" spans="3:7" x14ac:dyDescent="0.3">
      <c r="C142" s="6"/>
      <c r="E142" s="23"/>
      <c r="G142" s="23"/>
    </row>
    <row r="143" spans="3:7" x14ac:dyDescent="0.3">
      <c r="C143" s="6"/>
      <c r="E143" s="23"/>
      <c r="G143" s="23"/>
    </row>
    <row r="144" spans="3:7" x14ac:dyDescent="0.3">
      <c r="C144" s="6"/>
      <c r="E144" s="23"/>
      <c r="G144" s="23"/>
    </row>
    <row r="145" spans="3:7" x14ac:dyDescent="0.3">
      <c r="C145" s="6"/>
      <c r="E145" s="23"/>
      <c r="G145" s="23"/>
    </row>
    <row r="146" spans="3:7" x14ac:dyDescent="0.3">
      <c r="C146" s="6"/>
      <c r="E146" s="23"/>
      <c r="G146" s="23"/>
    </row>
    <row r="147" spans="3:7" x14ac:dyDescent="0.3">
      <c r="C147" s="6"/>
      <c r="E147" s="23"/>
      <c r="G147" s="23"/>
    </row>
    <row r="148" spans="3:7" x14ac:dyDescent="0.3">
      <c r="C148" s="6"/>
      <c r="E148" s="23"/>
      <c r="G148" s="23"/>
    </row>
    <row r="149" spans="3:7" x14ac:dyDescent="0.3">
      <c r="C149" s="6"/>
      <c r="E149" s="23"/>
      <c r="G149" s="23"/>
    </row>
    <row r="150" spans="3:7" x14ac:dyDescent="0.3">
      <c r="C150" s="6"/>
      <c r="E150" s="23"/>
      <c r="G150" s="23"/>
    </row>
    <row r="151" spans="3:7" x14ac:dyDescent="0.3">
      <c r="C151" s="6"/>
      <c r="E151" s="23"/>
      <c r="G151" s="23"/>
    </row>
    <row r="152" spans="3:7" x14ac:dyDescent="0.3">
      <c r="C152" s="6"/>
      <c r="E152" s="23"/>
      <c r="G152" s="23"/>
    </row>
    <row r="153" spans="3:7" x14ac:dyDescent="0.3">
      <c r="C153" s="6"/>
      <c r="E153" s="23"/>
      <c r="G153" s="23"/>
    </row>
    <row r="154" spans="3:7" x14ac:dyDescent="0.3">
      <c r="C154" s="6"/>
      <c r="E154" s="23"/>
      <c r="G154" s="23"/>
    </row>
    <row r="155" spans="3:7" x14ac:dyDescent="0.3">
      <c r="C155" s="6"/>
      <c r="E155" s="23"/>
      <c r="G155" s="23"/>
    </row>
    <row r="156" spans="3:7" x14ac:dyDescent="0.3">
      <c r="C156" s="6"/>
      <c r="E156" s="23"/>
      <c r="G156" s="23"/>
    </row>
    <row r="157" spans="3:7" x14ac:dyDescent="0.3">
      <c r="C157" s="6"/>
      <c r="E157" s="23"/>
      <c r="G157" s="23"/>
    </row>
    <row r="158" spans="3:7" x14ac:dyDescent="0.3">
      <c r="C158" s="6"/>
      <c r="E158" s="23"/>
      <c r="G158" s="23"/>
    </row>
    <row r="159" spans="3:7" x14ac:dyDescent="0.3">
      <c r="C159" s="6"/>
      <c r="E159" s="23"/>
      <c r="G159" s="23"/>
    </row>
    <row r="160" spans="3:7" x14ac:dyDescent="0.3">
      <c r="C160" s="6"/>
      <c r="E160" s="23"/>
      <c r="G160" s="23"/>
    </row>
    <row r="161" spans="3:7" x14ac:dyDescent="0.3">
      <c r="C161" s="6"/>
      <c r="E161" s="23"/>
      <c r="G161" s="23"/>
    </row>
    <row r="162" spans="3:7" x14ac:dyDescent="0.3">
      <c r="C162" s="6"/>
      <c r="E162" s="23"/>
      <c r="G162" s="23"/>
    </row>
    <row r="163" spans="3:7" x14ac:dyDescent="0.3">
      <c r="C163" s="6"/>
      <c r="E163" s="23"/>
      <c r="G163" s="23"/>
    </row>
    <row r="164" spans="3:7" x14ac:dyDescent="0.3">
      <c r="C164" s="6"/>
      <c r="E164" s="23"/>
      <c r="G164" s="23"/>
    </row>
    <row r="165" spans="3:7" x14ac:dyDescent="0.3">
      <c r="C165" s="6"/>
      <c r="E165" s="23"/>
      <c r="G165" s="23"/>
    </row>
    <row r="166" spans="3:7" x14ac:dyDescent="0.3">
      <c r="C166" s="6"/>
      <c r="E166" s="23"/>
      <c r="G166" s="23"/>
    </row>
    <row r="167" spans="3:7" x14ac:dyDescent="0.3">
      <c r="C167" s="6"/>
      <c r="E167" s="23"/>
      <c r="G167" s="23"/>
    </row>
    <row r="168" spans="3:7" x14ac:dyDescent="0.3">
      <c r="C168" s="6"/>
      <c r="E168" s="23"/>
      <c r="G168" s="23"/>
    </row>
    <row r="169" spans="3:7" x14ac:dyDescent="0.3">
      <c r="C169" s="6"/>
      <c r="E169" s="23"/>
      <c r="G169" s="23"/>
    </row>
    <row r="170" spans="3:7" x14ac:dyDescent="0.3">
      <c r="C170" s="6"/>
      <c r="E170" s="23"/>
      <c r="G170" s="23"/>
    </row>
    <row r="171" spans="3:7" x14ac:dyDescent="0.3">
      <c r="C171" s="6"/>
      <c r="E171" s="23"/>
      <c r="G171" s="23"/>
    </row>
    <row r="172" spans="3:7" x14ac:dyDescent="0.3">
      <c r="C172" s="6"/>
      <c r="E172" s="23"/>
      <c r="G172" s="23"/>
    </row>
    <row r="173" spans="3:7" x14ac:dyDescent="0.3">
      <c r="C173" s="6"/>
      <c r="E173" s="23"/>
      <c r="G173" s="23"/>
    </row>
    <row r="174" spans="3:7" x14ac:dyDescent="0.3">
      <c r="C174" s="6"/>
      <c r="E174" s="23"/>
      <c r="G174" s="23"/>
    </row>
    <row r="175" spans="3:7" x14ac:dyDescent="0.3">
      <c r="C175" s="6"/>
      <c r="E175" s="23"/>
      <c r="G175" s="23"/>
    </row>
    <row r="176" spans="3:7" x14ac:dyDescent="0.3">
      <c r="C176" s="6"/>
      <c r="E176" s="23"/>
      <c r="G176" s="23"/>
    </row>
    <row r="177" spans="3:7" x14ac:dyDescent="0.3">
      <c r="C177" s="6"/>
      <c r="E177" s="23"/>
      <c r="G177" s="23"/>
    </row>
    <row r="178" spans="3:7" x14ac:dyDescent="0.3">
      <c r="C178" s="6"/>
      <c r="E178" s="23"/>
      <c r="G178" s="23"/>
    </row>
    <row r="179" spans="3:7" x14ac:dyDescent="0.3">
      <c r="C179" s="6"/>
      <c r="E179" s="23"/>
      <c r="G179" s="23"/>
    </row>
    <row r="180" spans="3:7" x14ac:dyDescent="0.3">
      <c r="C180" s="6"/>
      <c r="E180" s="23"/>
      <c r="G180" s="23"/>
    </row>
    <row r="181" spans="3:7" x14ac:dyDescent="0.3">
      <c r="C181" s="6"/>
      <c r="E181" s="23"/>
      <c r="G181" s="23"/>
    </row>
    <row r="182" spans="3:7" x14ac:dyDescent="0.3">
      <c r="C182" s="6"/>
      <c r="E182" s="23"/>
      <c r="G182" s="23"/>
    </row>
    <row r="183" spans="3:7" x14ac:dyDescent="0.3">
      <c r="C183" s="6"/>
      <c r="E183" s="23"/>
      <c r="G183" s="23"/>
    </row>
    <row r="184" spans="3:7" x14ac:dyDescent="0.3">
      <c r="C184" s="6"/>
      <c r="E184" s="23"/>
      <c r="G184" s="23"/>
    </row>
    <row r="185" spans="3:7" x14ac:dyDescent="0.3">
      <c r="C185" s="6"/>
      <c r="E185" s="23"/>
      <c r="G185" s="23"/>
    </row>
    <row r="186" spans="3:7" x14ac:dyDescent="0.3">
      <c r="C186" s="6"/>
      <c r="E186" s="23"/>
      <c r="G186" s="23"/>
    </row>
    <row r="187" spans="3:7" x14ac:dyDescent="0.3">
      <c r="C187" s="6"/>
      <c r="E187" s="23"/>
      <c r="G187" s="23"/>
    </row>
    <row r="188" spans="3:7" x14ac:dyDescent="0.3">
      <c r="C188" s="6"/>
      <c r="E188" s="23"/>
      <c r="G188" s="23"/>
    </row>
    <row r="189" spans="3:7" x14ac:dyDescent="0.3">
      <c r="C189" s="6"/>
      <c r="E189" s="23"/>
      <c r="G189" s="23"/>
    </row>
    <row r="190" spans="3:7" x14ac:dyDescent="0.3">
      <c r="C190" s="6"/>
      <c r="E190" s="23"/>
      <c r="G190" s="23"/>
    </row>
    <row r="191" spans="3:7" x14ac:dyDescent="0.3">
      <c r="C191" s="6"/>
      <c r="E191" s="23"/>
      <c r="G191" s="23"/>
    </row>
    <row r="192" spans="3:7" x14ac:dyDescent="0.3">
      <c r="C192" s="6"/>
      <c r="E192" s="23"/>
      <c r="G192" s="23"/>
    </row>
    <row r="193" spans="3:7" x14ac:dyDescent="0.3">
      <c r="C193" s="6"/>
      <c r="E193" s="23"/>
      <c r="G193" s="23"/>
    </row>
    <row r="194" spans="3:7" x14ac:dyDescent="0.3">
      <c r="C194" s="6"/>
      <c r="E194" s="23"/>
      <c r="G194" s="23"/>
    </row>
    <row r="195" spans="3:7" x14ac:dyDescent="0.3">
      <c r="C195" s="6"/>
      <c r="E195" s="23"/>
      <c r="G195" s="23"/>
    </row>
    <row r="196" spans="3:7" x14ac:dyDescent="0.3">
      <c r="C196" s="6"/>
      <c r="E196" s="23"/>
      <c r="G196" s="23"/>
    </row>
    <row r="197" spans="3:7" x14ac:dyDescent="0.3">
      <c r="C197" s="6"/>
      <c r="E197" s="23"/>
      <c r="G197" s="23"/>
    </row>
    <row r="198" spans="3:7" x14ac:dyDescent="0.3">
      <c r="C198" s="6"/>
      <c r="E198" s="23"/>
      <c r="G198" s="23"/>
    </row>
    <row r="199" spans="3:7" x14ac:dyDescent="0.3">
      <c r="C199" s="6"/>
      <c r="E199" s="23"/>
      <c r="G199" s="23"/>
    </row>
    <row r="200" spans="3:7" x14ac:dyDescent="0.3">
      <c r="C200" s="6"/>
      <c r="E200" s="23"/>
      <c r="G200" s="23"/>
    </row>
    <row r="201" spans="3:7" x14ac:dyDescent="0.3">
      <c r="C201" s="6"/>
      <c r="E201" s="23"/>
      <c r="G201" s="23"/>
    </row>
    <row r="202" spans="3:7" x14ac:dyDescent="0.3">
      <c r="C202" s="6"/>
      <c r="E202" s="23"/>
      <c r="G202" s="23"/>
    </row>
    <row r="203" spans="3:7" x14ac:dyDescent="0.3">
      <c r="C203" s="6"/>
      <c r="E203" s="23"/>
      <c r="G203" s="23"/>
    </row>
    <row r="204" spans="3:7" x14ac:dyDescent="0.3">
      <c r="C204" s="6"/>
      <c r="E204" s="23"/>
      <c r="G204" s="23"/>
    </row>
    <row r="205" spans="3:7" x14ac:dyDescent="0.3">
      <c r="C205" s="6"/>
      <c r="E205" s="23"/>
      <c r="G205" s="23"/>
    </row>
    <row r="206" spans="3:7" x14ac:dyDescent="0.3">
      <c r="C206" s="6"/>
      <c r="E206" s="23"/>
      <c r="G206" s="23"/>
    </row>
    <row r="207" spans="3:7" x14ac:dyDescent="0.3">
      <c r="C207" s="6"/>
      <c r="E207" s="23"/>
      <c r="G207" s="23"/>
    </row>
    <row r="208" spans="3:7" x14ac:dyDescent="0.3">
      <c r="C208" s="6"/>
      <c r="E208" s="23"/>
      <c r="G208" s="23"/>
    </row>
    <row r="209" spans="3:7" x14ac:dyDescent="0.3">
      <c r="C209" s="6"/>
      <c r="E209" s="23"/>
      <c r="G209" s="23"/>
    </row>
    <row r="210" spans="3:7" x14ac:dyDescent="0.3">
      <c r="C210" s="6"/>
      <c r="E210" s="23"/>
      <c r="G210" s="23"/>
    </row>
    <row r="211" spans="3:7" x14ac:dyDescent="0.3">
      <c r="C211" s="6"/>
      <c r="E211" s="23"/>
      <c r="G211" s="23"/>
    </row>
    <row r="212" spans="3:7" x14ac:dyDescent="0.3">
      <c r="C212" s="6"/>
      <c r="E212" s="23"/>
      <c r="G212" s="23"/>
    </row>
    <row r="213" spans="3:7" x14ac:dyDescent="0.3">
      <c r="C213" s="6"/>
      <c r="E213" s="23"/>
      <c r="G213" s="23"/>
    </row>
    <row r="214" spans="3:7" x14ac:dyDescent="0.3">
      <c r="C214" s="6"/>
      <c r="E214" s="23"/>
      <c r="G214" s="23"/>
    </row>
    <row r="215" spans="3:7" x14ac:dyDescent="0.3">
      <c r="C215" s="6"/>
      <c r="E215" s="23"/>
      <c r="G215" s="23"/>
    </row>
    <row r="216" spans="3:7" x14ac:dyDescent="0.3">
      <c r="C216" s="6"/>
      <c r="E216" s="23"/>
      <c r="G216" s="23"/>
    </row>
    <row r="217" spans="3:7" x14ac:dyDescent="0.3">
      <c r="C217" s="6"/>
      <c r="E217" s="23"/>
      <c r="G217" s="23"/>
    </row>
    <row r="218" spans="3:7" x14ac:dyDescent="0.3">
      <c r="C218" s="6"/>
      <c r="E218" s="23"/>
      <c r="G218" s="23"/>
    </row>
    <row r="219" spans="3:7" x14ac:dyDescent="0.3">
      <c r="C219" s="6"/>
      <c r="E219" s="23"/>
      <c r="G219" s="23"/>
    </row>
    <row r="220" spans="3:7" x14ac:dyDescent="0.3">
      <c r="C220" s="6"/>
      <c r="E220" s="23"/>
      <c r="G220" s="23"/>
    </row>
    <row r="221" spans="3:7" x14ac:dyDescent="0.3">
      <c r="C221" s="6"/>
      <c r="E221" s="23"/>
      <c r="G221" s="23"/>
    </row>
    <row r="222" spans="3:7" x14ac:dyDescent="0.3">
      <c r="C222" s="6"/>
      <c r="E222" s="23"/>
      <c r="G222" s="23"/>
    </row>
    <row r="223" spans="3:7" x14ac:dyDescent="0.3">
      <c r="C223" s="6"/>
      <c r="E223" s="23"/>
      <c r="G223" s="23"/>
    </row>
    <row r="224" spans="3:7" x14ac:dyDescent="0.3">
      <c r="C224" s="6"/>
      <c r="E224" s="23"/>
      <c r="G224" s="23"/>
    </row>
    <row r="225" spans="3:7" x14ac:dyDescent="0.3">
      <c r="C225" s="6"/>
      <c r="E225" s="23"/>
      <c r="G225" s="23"/>
    </row>
    <row r="226" spans="3:7" x14ac:dyDescent="0.3">
      <c r="C226" s="6"/>
      <c r="E226" s="23"/>
      <c r="G226" s="23"/>
    </row>
    <row r="227" spans="3:7" x14ac:dyDescent="0.3">
      <c r="C227" s="6"/>
      <c r="E227" s="23"/>
      <c r="G227" s="23"/>
    </row>
    <row r="228" spans="3:7" x14ac:dyDescent="0.3">
      <c r="C228" s="6"/>
      <c r="E228" s="23"/>
      <c r="G228" s="23"/>
    </row>
    <row r="229" spans="3:7" x14ac:dyDescent="0.3">
      <c r="C229" s="6"/>
      <c r="E229" s="23"/>
      <c r="G229" s="23"/>
    </row>
    <row r="230" spans="3:7" x14ac:dyDescent="0.3">
      <c r="C230" s="6"/>
      <c r="E230" s="23"/>
      <c r="G230" s="23"/>
    </row>
    <row r="231" spans="3:7" x14ac:dyDescent="0.3">
      <c r="C231" s="6"/>
      <c r="E231" s="23"/>
      <c r="G231" s="23"/>
    </row>
    <row r="232" spans="3:7" x14ac:dyDescent="0.3">
      <c r="C232" s="6"/>
      <c r="E232" s="23"/>
      <c r="G232" s="23"/>
    </row>
    <row r="233" spans="3:7" x14ac:dyDescent="0.3">
      <c r="C233" s="6"/>
      <c r="E233" s="23"/>
      <c r="G233" s="23"/>
    </row>
    <row r="234" spans="3:7" x14ac:dyDescent="0.3">
      <c r="C234" s="6"/>
      <c r="E234" s="23"/>
      <c r="G234" s="23"/>
    </row>
    <row r="235" spans="3:7" x14ac:dyDescent="0.3">
      <c r="C235" s="6"/>
      <c r="E235" s="23"/>
      <c r="G235" s="23"/>
    </row>
    <row r="236" spans="3:7" x14ac:dyDescent="0.3">
      <c r="C236" s="6"/>
      <c r="E236" s="23"/>
      <c r="G236" s="23"/>
    </row>
    <row r="237" spans="3:7" x14ac:dyDescent="0.3">
      <c r="C237" s="6"/>
      <c r="E237" s="23"/>
      <c r="G237" s="23"/>
    </row>
    <row r="238" spans="3:7" x14ac:dyDescent="0.3">
      <c r="C238" s="6"/>
      <c r="E238" s="23"/>
      <c r="G238" s="23"/>
    </row>
    <row r="239" spans="3:7" x14ac:dyDescent="0.3">
      <c r="C239" s="6"/>
      <c r="E239" s="23"/>
      <c r="G239" s="23"/>
    </row>
    <row r="240" spans="3:7" x14ac:dyDescent="0.3">
      <c r="C240" s="6"/>
      <c r="E240" s="23"/>
      <c r="G240" s="23"/>
    </row>
    <row r="241" spans="3:7" x14ac:dyDescent="0.3">
      <c r="C241" s="6"/>
      <c r="E241" s="23"/>
      <c r="G241" s="23"/>
    </row>
    <row r="242" spans="3:7" x14ac:dyDescent="0.3">
      <c r="C242" s="6"/>
      <c r="E242" s="23"/>
      <c r="G242" s="23"/>
    </row>
    <row r="243" spans="3:7" x14ac:dyDescent="0.3">
      <c r="C243" s="6"/>
      <c r="E243" s="23"/>
      <c r="G243" s="23"/>
    </row>
    <row r="244" spans="3:7" x14ac:dyDescent="0.3">
      <c r="C244" s="6"/>
      <c r="E244" s="23"/>
      <c r="G244" s="23"/>
    </row>
    <row r="245" spans="3:7" x14ac:dyDescent="0.3">
      <c r="C245" s="6"/>
      <c r="E245" s="23"/>
      <c r="G245" s="23"/>
    </row>
    <row r="246" spans="3:7" x14ac:dyDescent="0.3">
      <c r="C246" s="6"/>
      <c r="E246" s="23"/>
      <c r="G246" s="23"/>
    </row>
    <row r="247" spans="3:7" x14ac:dyDescent="0.3">
      <c r="C247" s="6"/>
      <c r="E247" s="23"/>
      <c r="G247" s="23"/>
    </row>
    <row r="248" spans="3:7" x14ac:dyDescent="0.3">
      <c r="C248" s="6"/>
      <c r="E248" s="23"/>
      <c r="G248" s="23"/>
    </row>
    <row r="249" spans="3:7" x14ac:dyDescent="0.3">
      <c r="C249" s="6"/>
      <c r="E249" s="23"/>
      <c r="G249" s="23"/>
    </row>
    <row r="250" spans="3:7" x14ac:dyDescent="0.3">
      <c r="C250" s="6"/>
      <c r="E250" s="23"/>
      <c r="G250" s="23"/>
    </row>
    <row r="251" spans="3:7" x14ac:dyDescent="0.3">
      <c r="C251" s="6"/>
      <c r="E251" s="23"/>
      <c r="G251" s="23"/>
    </row>
    <row r="252" spans="3:7" x14ac:dyDescent="0.3">
      <c r="C252" s="6"/>
      <c r="E252" s="23"/>
      <c r="G252" s="23"/>
    </row>
    <row r="253" spans="3:7" x14ac:dyDescent="0.3">
      <c r="C253" s="6"/>
      <c r="E253" s="23"/>
      <c r="G253" s="23"/>
    </row>
    <row r="254" spans="3:7" x14ac:dyDescent="0.3">
      <c r="C254" s="6"/>
      <c r="E254" s="23"/>
      <c r="G254" s="23"/>
    </row>
    <row r="255" spans="3:7" x14ac:dyDescent="0.3">
      <c r="C255" s="6"/>
      <c r="E255" s="23"/>
      <c r="G255" s="23"/>
    </row>
    <row r="256" spans="3:7" x14ac:dyDescent="0.3">
      <c r="C256" s="6"/>
      <c r="E256" s="23"/>
      <c r="G256" s="23"/>
    </row>
    <row r="257" spans="3:7" x14ac:dyDescent="0.3">
      <c r="C257" s="6"/>
      <c r="E257" s="23"/>
      <c r="G257" s="23"/>
    </row>
    <row r="258" spans="3:7" x14ac:dyDescent="0.3">
      <c r="C258" s="6"/>
      <c r="E258" s="23"/>
      <c r="G258" s="23"/>
    </row>
    <row r="259" spans="3:7" x14ac:dyDescent="0.3">
      <c r="C259" s="6"/>
      <c r="E259" s="23"/>
      <c r="G259" s="23"/>
    </row>
    <row r="260" spans="3:7" x14ac:dyDescent="0.3">
      <c r="C260" s="6"/>
      <c r="E260" s="23"/>
      <c r="G260" s="23"/>
    </row>
    <row r="261" spans="3:7" x14ac:dyDescent="0.3">
      <c r="C261" s="6"/>
      <c r="E261" s="23"/>
      <c r="G261" s="23"/>
    </row>
    <row r="262" spans="3:7" x14ac:dyDescent="0.3">
      <c r="C262" s="6"/>
      <c r="E262" s="23"/>
      <c r="G262" s="23"/>
    </row>
    <row r="263" spans="3:7" x14ac:dyDescent="0.3">
      <c r="C263" s="6"/>
      <c r="E263" s="23"/>
      <c r="G263" s="23"/>
    </row>
    <row r="264" spans="3:7" x14ac:dyDescent="0.3">
      <c r="C264" s="6"/>
      <c r="E264" s="23"/>
      <c r="G264" s="23"/>
    </row>
    <row r="265" spans="3:7" x14ac:dyDescent="0.3">
      <c r="C265" s="6"/>
      <c r="E265" s="23"/>
      <c r="G265" s="23"/>
    </row>
    <row r="266" spans="3:7" x14ac:dyDescent="0.3">
      <c r="C266" s="6"/>
      <c r="E266" s="23"/>
      <c r="G266" s="23"/>
    </row>
    <row r="267" spans="3:7" x14ac:dyDescent="0.3">
      <c r="C267" s="6"/>
      <c r="E267" s="23"/>
      <c r="G267" s="23"/>
    </row>
    <row r="268" spans="3:7" x14ac:dyDescent="0.3">
      <c r="C268" s="6"/>
      <c r="E268" s="23"/>
      <c r="G268" s="23"/>
    </row>
    <row r="269" spans="3:7" x14ac:dyDescent="0.3">
      <c r="C269" s="6"/>
      <c r="E269" s="23"/>
      <c r="G269" s="23"/>
    </row>
    <row r="270" spans="3:7" x14ac:dyDescent="0.3">
      <c r="C270" s="6"/>
      <c r="E270" s="23"/>
      <c r="G270" s="23"/>
    </row>
    <row r="271" spans="3:7" x14ac:dyDescent="0.3">
      <c r="C271" s="6"/>
      <c r="E271" s="23"/>
      <c r="G271" s="23"/>
    </row>
    <row r="272" spans="3:7" x14ac:dyDescent="0.3">
      <c r="C272" s="6"/>
      <c r="E272" s="23"/>
      <c r="G272" s="23"/>
    </row>
    <row r="273" spans="3:7" x14ac:dyDescent="0.3">
      <c r="C273" s="6"/>
      <c r="E273" s="23"/>
      <c r="G273" s="23"/>
    </row>
    <row r="274" spans="3:7" x14ac:dyDescent="0.3">
      <c r="C274" s="6"/>
      <c r="E274" s="23"/>
      <c r="G274" s="23"/>
    </row>
    <row r="275" spans="3:7" x14ac:dyDescent="0.3">
      <c r="C275" s="6"/>
      <c r="E275" s="23"/>
      <c r="G275" s="23"/>
    </row>
    <row r="276" spans="3:7" x14ac:dyDescent="0.3">
      <c r="C276" s="6"/>
      <c r="E276" s="23"/>
      <c r="G276" s="23"/>
    </row>
    <row r="277" spans="3:7" x14ac:dyDescent="0.3">
      <c r="C277" s="6"/>
      <c r="E277" s="23"/>
      <c r="G277" s="23"/>
    </row>
    <row r="278" spans="3:7" x14ac:dyDescent="0.3">
      <c r="C278" s="6"/>
      <c r="E278" s="23"/>
      <c r="G278" s="23"/>
    </row>
    <row r="279" spans="3:7" x14ac:dyDescent="0.3">
      <c r="C279" s="6"/>
      <c r="E279" s="23"/>
      <c r="G279" s="23"/>
    </row>
    <row r="280" spans="3:7" x14ac:dyDescent="0.3">
      <c r="C280" s="6"/>
      <c r="E280" s="23"/>
      <c r="G280" s="23"/>
    </row>
    <row r="281" spans="3:7" x14ac:dyDescent="0.3">
      <c r="C281" s="6"/>
      <c r="E281" s="23"/>
      <c r="G281" s="23"/>
    </row>
    <row r="282" spans="3:7" x14ac:dyDescent="0.3">
      <c r="C282" s="6"/>
      <c r="E282" s="23"/>
      <c r="G282" s="23"/>
    </row>
    <row r="283" spans="3:7" x14ac:dyDescent="0.3">
      <c r="C283" s="6"/>
      <c r="E283" s="23"/>
      <c r="G283" s="23"/>
    </row>
    <row r="284" spans="3:7" x14ac:dyDescent="0.3">
      <c r="C284" s="6"/>
      <c r="E284" s="23"/>
      <c r="G284" s="23"/>
    </row>
    <row r="285" spans="3:7" x14ac:dyDescent="0.3">
      <c r="C285" s="6"/>
      <c r="E285" s="23"/>
      <c r="G285" s="23"/>
    </row>
    <row r="286" spans="3:7" x14ac:dyDescent="0.3">
      <c r="C286" s="6"/>
      <c r="E286" s="23"/>
      <c r="G286" s="23"/>
    </row>
    <row r="287" spans="3:7" x14ac:dyDescent="0.3">
      <c r="C287" s="6"/>
      <c r="E287" s="23"/>
      <c r="G287" s="23"/>
    </row>
    <row r="288" spans="3:7" x14ac:dyDescent="0.3">
      <c r="C288" s="6"/>
      <c r="E288" s="23"/>
      <c r="G288" s="23"/>
    </row>
    <row r="289" spans="3:7" x14ac:dyDescent="0.3">
      <c r="C289" s="6"/>
      <c r="E289" s="23"/>
      <c r="G289" s="23"/>
    </row>
    <row r="290" spans="3:7" x14ac:dyDescent="0.3">
      <c r="C290" s="6"/>
      <c r="E290" s="23"/>
      <c r="G290" s="23"/>
    </row>
    <row r="291" spans="3:7" x14ac:dyDescent="0.3">
      <c r="C291" s="6"/>
      <c r="E291" s="23"/>
      <c r="G291" s="23"/>
    </row>
    <row r="292" spans="3:7" x14ac:dyDescent="0.3">
      <c r="C292" s="6"/>
      <c r="E292" s="23"/>
      <c r="G292" s="23"/>
    </row>
    <row r="293" spans="3:7" x14ac:dyDescent="0.3">
      <c r="C293" s="6"/>
      <c r="E293" s="23"/>
      <c r="G293" s="23"/>
    </row>
    <row r="294" spans="3:7" x14ac:dyDescent="0.3">
      <c r="C294" s="6"/>
      <c r="E294" s="23"/>
      <c r="G294" s="23"/>
    </row>
    <row r="295" spans="3:7" x14ac:dyDescent="0.3">
      <c r="C295" s="6"/>
      <c r="E295" s="23"/>
      <c r="G295" s="23"/>
    </row>
    <row r="296" spans="3:7" x14ac:dyDescent="0.3">
      <c r="C296" s="6"/>
      <c r="E296" s="23"/>
      <c r="G296" s="23"/>
    </row>
    <row r="297" spans="3:7" x14ac:dyDescent="0.3">
      <c r="C297" s="6"/>
      <c r="E297" s="23"/>
      <c r="G297" s="23"/>
    </row>
    <row r="298" spans="3:7" x14ac:dyDescent="0.3">
      <c r="C298" s="6"/>
      <c r="E298" s="23"/>
      <c r="G298" s="23"/>
    </row>
    <row r="299" spans="3:7" x14ac:dyDescent="0.3">
      <c r="C299" s="6"/>
      <c r="E299" s="23"/>
      <c r="G299" s="23"/>
    </row>
    <row r="300" spans="3:7" x14ac:dyDescent="0.3">
      <c r="C300" s="6"/>
      <c r="E300" s="23"/>
      <c r="G300" s="23"/>
    </row>
    <row r="301" spans="3:7" x14ac:dyDescent="0.3">
      <c r="C301" s="6"/>
      <c r="E301" s="23"/>
      <c r="G301" s="23"/>
    </row>
    <row r="302" spans="3:7" x14ac:dyDescent="0.3">
      <c r="C302" s="6"/>
      <c r="E302" s="23"/>
      <c r="G302" s="23"/>
    </row>
    <row r="303" spans="3:7" x14ac:dyDescent="0.3">
      <c r="C303" s="6"/>
      <c r="E303" s="23"/>
      <c r="G303" s="23"/>
    </row>
    <row r="304" spans="3:7" x14ac:dyDescent="0.3">
      <c r="C304" s="6"/>
      <c r="E304" s="23"/>
      <c r="G304" s="23"/>
    </row>
    <row r="305" spans="3:7" x14ac:dyDescent="0.3">
      <c r="C305" s="6"/>
      <c r="E305" s="23"/>
      <c r="G305" s="23"/>
    </row>
    <row r="306" spans="3:7" x14ac:dyDescent="0.3">
      <c r="C306" s="6"/>
      <c r="E306" s="23"/>
      <c r="G306" s="23"/>
    </row>
    <row r="307" spans="3:7" x14ac:dyDescent="0.3">
      <c r="C307" s="6"/>
      <c r="E307" s="23"/>
      <c r="G307" s="23"/>
    </row>
    <row r="308" spans="3:7" x14ac:dyDescent="0.3">
      <c r="C308" s="6"/>
      <c r="E308" s="23"/>
      <c r="G308" s="23"/>
    </row>
    <row r="309" spans="3:7" x14ac:dyDescent="0.3">
      <c r="C309" s="6"/>
      <c r="E309" s="23"/>
      <c r="G309" s="23"/>
    </row>
    <row r="310" spans="3:7" x14ac:dyDescent="0.3">
      <c r="C310" s="6"/>
      <c r="E310" s="23"/>
      <c r="G310" s="23"/>
    </row>
    <row r="311" spans="3:7" x14ac:dyDescent="0.3">
      <c r="C311" s="6"/>
      <c r="E311" s="23"/>
      <c r="G311" s="23"/>
    </row>
    <row r="312" spans="3:7" x14ac:dyDescent="0.3">
      <c r="C312" s="6"/>
      <c r="E312" s="23"/>
      <c r="G312" s="23"/>
    </row>
    <row r="313" spans="3:7" x14ac:dyDescent="0.3">
      <c r="C313" s="6"/>
      <c r="E313" s="23"/>
      <c r="G313" s="23"/>
    </row>
    <row r="314" spans="3:7" x14ac:dyDescent="0.3">
      <c r="C314" s="6"/>
      <c r="E314" s="23"/>
      <c r="G314" s="23"/>
    </row>
    <row r="315" spans="3:7" x14ac:dyDescent="0.3">
      <c r="C315" s="6"/>
      <c r="E315" s="23"/>
      <c r="G315" s="23"/>
    </row>
    <row r="316" spans="3:7" x14ac:dyDescent="0.3">
      <c r="C316" s="6"/>
      <c r="E316" s="23"/>
      <c r="G316" s="23"/>
    </row>
    <row r="317" spans="3:7" x14ac:dyDescent="0.3">
      <c r="C317" s="6"/>
      <c r="E317" s="23"/>
      <c r="G317" s="23"/>
    </row>
    <row r="318" spans="3:7" x14ac:dyDescent="0.3">
      <c r="C318" s="6"/>
      <c r="E318" s="23"/>
      <c r="G318" s="23"/>
    </row>
    <row r="319" spans="3:7" x14ac:dyDescent="0.3">
      <c r="C319" s="6"/>
      <c r="E319" s="23"/>
      <c r="G319" s="23"/>
    </row>
    <row r="320" spans="3:7" x14ac:dyDescent="0.3">
      <c r="C320" s="6"/>
      <c r="E320" s="23"/>
      <c r="G320" s="23"/>
    </row>
    <row r="321" spans="3:7" x14ac:dyDescent="0.3">
      <c r="C321" s="6"/>
      <c r="E321" s="23"/>
      <c r="G321" s="23"/>
    </row>
    <row r="322" spans="3:7" x14ac:dyDescent="0.3">
      <c r="C322" s="6"/>
      <c r="E322" s="23"/>
      <c r="G322" s="23"/>
    </row>
    <row r="323" spans="3:7" x14ac:dyDescent="0.3">
      <c r="C323" s="6"/>
      <c r="E323" s="23"/>
      <c r="G323" s="23"/>
    </row>
    <row r="324" spans="3:7" x14ac:dyDescent="0.3">
      <c r="C324" s="6"/>
      <c r="E324" s="23"/>
      <c r="G324" s="23"/>
    </row>
    <row r="325" spans="3:7" x14ac:dyDescent="0.3">
      <c r="C325" s="6"/>
      <c r="E325" s="23"/>
      <c r="G325" s="23"/>
    </row>
    <row r="326" spans="3:7" x14ac:dyDescent="0.3">
      <c r="C326" s="6"/>
      <c r="E326" s="23"/>
      <c r="G326" s="23"/>
    </row>
    <row r="327" spans="3:7" x14ac:dyDescent="0.3">
      <c r="C327" s="6"/>
      <c r="E327" s="23"/>
      <c r="G327" s="23"/>
    </row>
    <row r="328" spans="3:7" x14ac:dyDescent="0.3">
      <c r="C328" s="6"/>
      <c r="E328" s="23"/>
      <c r="G328" s="23"/>
    </row>
    <row r="329" spans="3:7" x14ac:dyDescent="0.3">
      <c r="C329" s="6"/>
      <c r="E329" s="23"/>
      <c r="G329" s="23"/>
    </row>
    <row r="330" spans="3:7" x14ac:dyDescent="0.3">
      <c r="C330" s="6"/>
      <c r="E330" s="23"/>
      <c r="G330" s="23"/>
    </row>
    <row r="331" spans="3:7" x14ac:dyDescent="0.3">
      <c r="C331" s="6"/>
      <c r="E331" s="23"/>
      <c r="G331" s="23"/>
    </row>
    <row r="332" spans="3:7" x14ac:dyDescent="0.3">
      <c r="C332" s="6"/>
      <c r="E332" s="23"/>
      <c r="G332" s="23"/>
    </row>
    <row r="333" spans="3:7" x14ac:dyDescent="0.3">
      <c r="C333" s="6"/>
      <c r="E333" s="23"/>
      <c r="G333" s="23"/>
    </row>
    <row r="334" spans="3:7" x14ac:dyDescent="0.3">
      <c r="C334" s="6"/>
      <c r="E334" s="23"/>
      <c r="G334" s="23"/>
    </row>
    <row r="335" spans="3:7" x14ac:dyDescent="0.3">
      <c r="C335" s="6"/>
      <c r="E335" s="23"/>
      <c r="G335" s="23"/>
    </row>
    <row r="336" spans="3:7" x14ac:dyDescent="0.3">
      <c r="C336" s="6"/>
      <c r="E336" s="23"/>
      <c r="G336" s="23"/>
    </row>
    <row r="337" spans="3:7" x14ac:dyDescent="0.3">
      <c r="C337" s="6"/>
      <c r="E337" s="23"/>
      <c r="G337" s="23"/>
    </row>
    <row r="338" spans="3:7" x14ac:dyDescent="0.3">
      <c r="C338" s="6"/>
      <c r="E338" s="23"/>
      <c r="G338" s="23"/>
    </row>
    <row r="339" spans="3:7" x14ac:dyDescent="0.3">
      <c r="C339" s="6"/>
      <c r="E339" s="23"/>
      <c r="G339" s="23"/>
    </row>
    <row r="340" spans="3:7" x14ac:dyDescent="0.3">
      <c r="C340" s="6"/>
      <c r="E340" s="23"/>
      <c r="G340" s="23"/>
    </row>
    <row r="341" spans="3:7" x14ac:dyDescent="0.3">
      <c r="C341" s="6"/>
      <c r="E341" s="23"/>
      <c r="G341" s="23"/>
    </row>
    <row r="342" spans="3:7" x14ac:dyDescent="0.3">
      <c r="C342" s="6"/>
      <c r="E342" s="23"/>
      <c r="G342" s="23"/>
    </row>
    <row r="343" spans="3:7" x14ac:dyDescent="0.3">
      <c r="C343" s="6"/>
      <c r="E343" s="23"/>
      <c r="G343" s="23"/>
    </row>
    <row r="344" spans="3:7" x14ac:dyDescent="0.3">
      <c r="C344" s="6"/>
      <c r="E344" s="23"/>
      <c r="G344" s="23"/>
    </row>
    <row r="345" spans="3:7" x14ac:dyDescent="0.3">
      <c r="C345" s="6"/>
      <c r="E345" s="23"/>
      <c r="G345" s="23"/>
    </row>
    <row r="346" spans="3:7" x14ac:dyDescent="0.3">
      <c r="C346" s="6"/>
      <c r="E346" s="23"/>
      <c r="G346" s="23"/>
    </row>
    <row r="347" spans="3:7" x14ac:dyDescent="0.3">
      <c r="C347" s="6"/>
      <c r="E347" s="23"/>
      <c r="G347" s="23"/>
    </row>
    <row r="348" spans="3:7" x14ac:dyDescent="0.3">
      <c r="C348" s="6"/>
      <c r="E348" s="23"/>
      <c r="G348" s="23"/>
    </row>
    <row r="349" spans="3:7" x14ac:dyDescent="0.3">
      <c r="C349" s="6"/>
      <c r="E349" s="23"/>
      <c r="G349" s="23"/>
    </row>
    <row r="350" spans="3:7" x14ac:dyDescent="0.3">
      <c r="C350" s="6"/>
      <c r="E350" s="23"/>
      <c r="G350" s="23"/>
    </row>
    <row r="351" spans="3:7" x14ac:dyDescent="0.3">
      <c r="C351" s="6"/>
      <c r="E351" s="23"/>
      <c r="G351" s="23"/>
    </row>
    <row r="352" spans="3:7" x14ac:dyDescent="0.3">
      <c r="C352" s="6"/>
      <c r="E352" s="23"/>
      <c r="G352" s="23"/>
    </row>
    <row r="353" spans="3:7" x14ac:dyDescent="0.3">
      <c r="C353" s="6"/>
      <c r="E353" s="23"/>
      <c r="G353" s="23"/>
    </row>
    <row r="354" spans="3:7" x14ac:dyDescent="0.3">
      <c r="C354" s="6"/>
      <c r="E354" s="23"/>
      <c r="G354" s="23"/>
    </row>
    <row r="355" spans="3:7" x14ac:dyDescent="0.3">
      <c r="C355" s="6"/>
      <c r="E355" s="23"/>
      <c r="G355" s="23"/>
    </row>
    <row r="356" spans="3:7" x14ac:dyDescent="0.3">
      <c r="C356" s="6"/>
      <c r="E356" s="23"/>
      <c r="G356" s="23"/>
    </row>
    <row r="357" spans="3:7" x14ac:dyDescent="0.3">
      <c r="C357" s="6"/>
      <c r="E357" s="23"/>
      <c r="G357" s="23"/>
    </row>
    <row r="358" spans="3:7" x14ac:dyDescent="0.3">
      <c r="C358" s="6"/>
      <c r="E358" s="23"/>
      <c r="G358" s="23"/>
    </row>
    <row r="359" spans="3:7" x14ac:dyDescent="0.3">
      <c r="C359" s="6"/>
      <c r="E359" s="23"/>
      <c r="G359" s="23"/>
    </row>
    <row r="360" spans="3:7" x14ac:dyDescent="0.3">
      <c r="C360" s="6"/>
      <c r="E360" s="23"/>
      <c r="G360" s="23"/>
    </row>
    <row r="361" spans="3:7" x14ac:dyDescent="0.3">
      <c r="C361" s="6"/>
      <c r="E361" s="23"/>
      <c r="G361" s="23"/>
    </row>
    <row r="362" spans="3:7" x14ac:dyDescent="0.3">
      <c r="C362" s="6"/>
      <c r="E362" s="23"/>
      <c r="G362" s="23"/>
    </row>
    <row r="363" spans="3:7" x14ac:dyDescent="0.3">
      <c r="C363" s="6"/>
      <c r="E363" s="23"/>
      <c r="G363" s="23"/>
    </row>
    <row r="364" spans="3:7" x14ac:dyDescent="0.3">
      <c r="C364" s="6"/>
      <c r="E364" s="23"/>
      <c r="G364" s="23"/>
    </row>
    <row r="365" spans="3:7" x14ac:dyDescent="0.3">
      <c r="C365" s="6"/>
      <c r="E365" s="23"/>
      <c r="G365" s="23"/>
    </row>
    <row r="366" spans="3:7" x14ac:dyDescent="0.3">
      <c r="C366" s="6"/>
      <c r="E366" s="23"/>
      <c r="G366" s="23"/>
    </row>
    <row r="367" spans="3:7" x14ac:dyDescent="0.3">
      <c r="C367" s="6"/>
      <c r="E367" s="23"/>
      <c r="G367" s="23"/>
    </row>
    <row r="368" spans="3:7" x14ac:dyDescent="0.3">
      <c r="C368" s="6"/>
      <c r="E368" s="23"/>
      <c r="G368" s="23"/>
    </row>
    <row r="369" spans="3:7" x14ac:dyDescent="0.3">
      <c r="C369" s="6"/>
      <c r="E369" s="23"/>
      <c r="G369" s="23"/>
    </row>
    <row r="370" spans="3:7" x14ac:dyDescent="0.3">
      <c r="C370" s="6"/>
      <c r="E370" s="23"/>
      <c r="G370" s="23"/>
    </row>
    <row r="371" spans="3:7" x14ac:dyDescent="0.3">
      <c r="C371" s="6"/>
      <c r="E371" s="23"/>
      <c r="G371" s="23"/>
    </row>
    <row r="372" spans="3:7" x14ac:dyDescent="0.3">
      <c r="C372" s="6"/>
      <c r="E372" s="23"/>
      <c r="G372" s="23"/>
    </row>
    <row r="373" spans="3:7" x14ac:dyDescent="0.3">
      <c r="C373" s="6"/>
      <c r="E373" s="23"/>
      <c r="G373" s="23"/>
    </row>
    <row r="374" spans="3:7" x14ac:dyDescent="0.3">
      <c r="C374" s="6"/>
      <c r="E374" s="23"/>
      <c r="G374" s="23"/>
    </row>
    <row r="375" spans="3:7" x14ac:dyDescent="0.3">
      <c r="C375" s="6"/>
      <c r="E375" s="23"/>
      <c r="G375" s="23"/>
    </row>
    <row r="376" spans="3:7" x14ac:dyDescent="0.3">
      <c r="C376" s="6"/>
      <c r="E376" s="23"/>
      <c r="G376" s="23"/>
    </row>
    <row r="377" spans="3:7" x14ac:dyDescent="0.3">
      <c r="C377" s="6"/>
      <c r="E377" s="23"/>
      <c r="G377" s="23"/>
    </row>
    <row r="378" spans="3:7" x14ac:dyDescent="0.3">
      <c r="C378" s="6"/>
      <c r="E378" s="23"/>
      <c r="G378" s="23"/>
    </row>
    <row r="379" spans="3:7" x14ac:dyDescent="0.3">
      <c r="C379" s="6"/>
      <c r="E379" s="23"/>
      <c r="G379" s="23"/>
    </row>
    <row r="380" spans="3:7" x14ac:dyDescent="0.3">
      <c r="C380" s="6"/>
      <c r="E380" s="23"/>
      <c r="G380" s="23"/>
    </row>
    <row r="381" spans="3:7" x14ac:dyDescent="0.3">
      <c r="C381" s="6"/>
      <c r="E381" s="23"/>
      <c r="G381" s="23"/>
    </row>
    <row r="382" spans="3:7" x14ac:dyDescent="0.3">
      <c r="C382" s="6"/>
      <c r="E382" s="23"/>
      <c r="G382" s="23"/>
    </row>
    <row r="383" spans="3:7" x14ac:dyDescent="0.3">
      <c r="C383" s="6"/>
      <c r="E383" s="23"/>
      <c r="G383" s="23"/>
    </row>
    <row r="384" spans="3:7" x14ac:dyDescent="0.3">
      <c r="C384" s="6"/>
      <c r="E384" s="23"/>
      <c r="G384" s="23"/>
    </row>
    <row r="385" spans="3:7" x14ac:dyDescent="0.3">
      <c r="C385" s="6"/>
      <c r="E385" s="23"/>
      <c r="G385" s="23"/>
    </row>
    <row r="386" spans="3:7" x14ac:dyDescent="0.3">
      <c r="C386" s="6"/>
      <c r="E386" s="23"/>
      <c r="G386" s="23"/>
    </row>
    <row r="387" spans="3:7" x14ac:dyDescent="0.3">
      <c r="C387" s="6"/>
      <c r="E387" s="23"/>
      <c r="G387" s="23"/>
    </row>
    <row r="388" spans="3:7" x14ac:dyDescent="0.3">
      <c r="C388" s="6"/>
      <c r="E388" s="23"/>
      <c r="G388" s="23"/>
    </row>
    <row r="389" spans="3:7" x14ac:dyDescent="0.3">
      <c r="C389" s="6"/>
      <c r="E389" s="23"/>
      <c r="G389" s="23"/>
    </row>
    <row r="390" spans="3:7" x14ac:dyDescent="0.3">
      <c r="C390" s="6"/>
      <c r="E390" s="23"/>
      <c r="G390" s="23"/>
    </row>
    <row r="391" spans="3:7" x14ac:dyDescent="0.3">
      <c r="C391" s="6"/>
      <c r="E391" s="23"/>
      <c r="G391" s="23"/>
    </row>
    <row r="392" spans="3:7" x14ac:dyDescent="0.3">
      <c r="C392" s="6"/>
      <c r="E392" s="23"/>
      <c r="G392" s="23"/>
    </row>
    <row r="393" spans="3:7" x14ac:dyDescent="0.3">
      <c r="C393" s="6"/>
      <c r="E393" s="23"/>
      <c r="G393" s="23"/>
    </row>
    <row r="394" spans="3:7" x14ac:dyDescent="0.3">
      <c r="C394" s="6"/>
      <c r="E394" s="23"/>
      <c r="G394" s="23"/>
    </row>
    <row r="395" spans="3:7" x14ac:dyDescent="0.3">
      <c r="C395" s="6"/>
      <c r="E395" s="23"/>
      <c r="G395" s="23"/>
    </row>
    <row r="396" spans="3:7" x14ac:dyDescent="0.3">
      <c r="C396" s="6"/>
      <c r="E396" s="23"/>
      <c r="G396" s="23"/>
    </row>
    <row r="397" spans="3:7" x14ac:dyDescent="0.3">
      <c r="C397" s="6"/>
      <c r="E397" s="23"/>
      <c r="G397" s="23"/>
    </row>
    <row r="398" spans="3:7" x14ac:dyDescent="0.3">
      <c r="C398" s="6"/>
      <c r="E398" s="23"/>
      <c r="G398" s="23"/>
    </row>
    <row r="399" spans="3:7" x14ac:dyDescent="0.3">
      <c r="C399" s="6"/>
      <c r="E399" s="23"/>
      <c r="G399" s="23"/>
    </row>
    <row r="400" spans="3:7" x14ac:dyDescent="0.3">
      <c r="C400" s="6"/>
      <c r="E400" s="23"/>
      <c r="G400" s="23"/>
    </row>
    <row r="401" spans="3:7" x14ac:dyDescent="0.3">
      <c r="C401" s="6"/>
      <c r="E401" s="23"/>
      <c r="G401" s="23"/>
    </row>
    <row r="402" spans="3:7" x14ac:dyDescent="0.3">
      <c r="C402" s="6"/>
      <c r="E402" s="23"/>
      <c r="G402" s="23"/>
    </row>
    <row r="403" spans="3:7" x14ac:dyDescent="0.3">
      <c r="C403" s="6"/>
      <c r="E403" s="23"/>
      <c r="G403" s="23"/>
    </row>
    <row r="404" spans="3:7" x14ac:dyDescent="0.3">
      <c r="C404" s="6"/>
      <c r="E404" s="23"/>
      <c r="G404" s="23"/>
    </row>
    <row r="405" spans="3:7" x14ac:dyDescent="0.3">
      <c r="C405" s="6"/>
      <c r="E405" s="23"/>
      <c r="G405" s="23"/>
    </row>
    <row r="406" spans="3:7" x14ac:dyDescent="0.3">
      <c r="C406" s="6"/>
      <c r="E406" s="23"/>
      <c r="G406" s="23"/>
    </row>
    <row r="407" spans="3:7" x14ac:dyDescent="0.3">
      <c r="C407" s="6"/>
      <c r="E407" s="23"/>
      <c r="G407" s="23"/>
    </row>
    <row r="408" spans="3:7" x14ac:dyDescent="0.3">
      <c r="C408" s="6"/>
      <c r="E408" s="23"/>
      <c r="G408" s="23"/>
    </row>
    <row r="409" spans="3:7" x14ac:dyDescent="0.3">
      <c r="C409" s="6"/>
      <c r="E409" s="23"/>
      <c r="G409" s="23"/>
    </row>
    <row r="410" spans="3:7" x14ac:dyDescent="0.3">
      <c r="C410" s="6"/>
      <c r="E410" s="23"/>
      <c r="G410" s="23"/>
    </row>
    <row r="411" spans="3:7" x14ac:dyDescent="0.3">
      <c r="C411" s="6"/>
      <c r="E411" s="23"/>
      <c r="G411" s="23"/>
    </row>
    <row r="412" spans="3:7" x14ac:dyDescent="0.3">
      <c r="C412" s="6"/>
      <c r="E412" s="23"/>
      <c r="G412" s="23"/>
    </row>
    <row r="413" spans="3:7" x14ac:dyDescent="0.3">
      <c r="C413" s="6"/>
      <c r="E413" s="23"/>
      <c r="G413" s="23"/>
    </row>
    <row r="414" spans="3:7" x14ac:dyDescent="0.3">
      <c r="C414" s="6"/>
      <c r="E414" s="23"/>
      <c r="G414" s="23"/>
    </row>
    <row r="415" spans="3:7" x14ac:dyDescent="0.3">
      <c r="C415" s="6"/>
      <c r="E415" s="23"/>
      <c r="G415" s="23"/>
    </row>
    <row r="416" spans="3:7" x14ac:dyDescent="0.3">
      <c r="C416" s="6"/>
      <c r="E416" s="23"/>
      <c r="G416" s="23"/>
    </row>
    <row r="417" spans="3:7" x14ac:dyDescent="0.3">
      <c r="C417" s="6"/>
      <c r="E417" s="23"/>
      <c r="G417" s="23"/>
    </row>
    <row r="418" spans="3:7" x14ac:dyDescent="0.3">
      <c r="C418" s="6"/>
      <c r="E418" s="23"/>
      <c r="G418" s="23"/>
    </row>
    <row r="419" spans="3:7" x14ac:dyDescent="0.3">
      <c r="C419" s="6"/>
      <c r="E419" s="23"/>
      <c r="G419" s="23"/>
    </row>
    <row r="420" spans="3:7" x14ac:dyDescent="0.3">
      <c r="C420" s="6"/>
      <c r="E420" s="23"/>
      <c r="G420" s="23"/>
    </row>
    <row r="421" spans="3:7" x14ac:dyDescent="0.3">
      <c r="C421" s="6"/>
      <c r="E421" s="23"/>
      <c r="G421" s="23"/>
    </row>
    <row r="422" spans="3:7" x14ac:dyDescent="0.3">
      <c r="C422" s="6"/>
      <c r="E422" s="23"/>
      <c r="G422" s="23"/>
    </row>
    <row r="423" spans="3:7" x14ac:dyDescent="0.3">
      <c r="C423" s="6"/>
      <c r="E423" s="23"/>
      <c r="G423" s="23"/>
    </row>
    <row r="424" spans="3:7" x14ac:dyDescent="0.3">
      <c r="C424" s="6"/>
      <c r="E424" s="23"/>
      <c r="G424" s="23"/>
    </row>
    <row r="425" spans="3:7" x14ac:dyDescent="0.3">
      <c r="C425" s="6"/>
      <c r="E425" s="23"/>
      <c r="G425" s="23"/>
    </row>
    <row r="426" spans="3:7" x14ac:dyDescent="0.3">
      <c r="C426" s="6"/>
      <c r="E426" s="23"/>
      <c r="G426" s="23"/>
    </row>
    <row r="427" spans="3:7" x14ac:dyDescent="0.3">
      <c r="C427" s="6"/>
      <c r="E427" s="23"/>
      <c r="G427" s="23"/>
    </row>
    <row r="428" spans="3:7" x14ac:dyDescent="0.3">
      <c r="C428" s="6"/>
      <c r="E428" s="23"/>
      <c r="G428" s="23"/>
    </row>
    <row r="429" spans="3:7" x14ac:dyDescent="0.3">
      <c r="C429" s="6"/>
      <c r="E429" s="23"/>
      <c r="G429" s="23"/>
    </row>
    <row r="430" spans="3:7" x14ac:dyDescent="0.3">
      <c r="C430" s="6"/>
      <c r="E430" s="23"/>
      <c r="G430" s="23"/>
    </row>
    <row r="431" spans="3:7" x14ac:dyDescent="0.3">
      <c r="C431" s="6"/>
      <c r="E431" s="23"/>
      <c r="G431" s="23"/>
    </row>
    <row r="432" spans="3:7" x14ac:dyDescent="0.3">
      <c r="C432" s="6"/>
      <c r="E432" s="23"/>
      <c r="G432" s="23"/>
    </row>
    <row r="433" spans="3:7" x14ac:dyDescent="0.3">
      <c r="C433" s="6"/>
      <c r="E433" s="23"/>
      <c r="G433" s="23"/>
    </row>
    <row r="434" spans="3:7" x14ac:dyDescent="0.3">
      <c r="C434" s="6"/>
      <c r="E434" s="23"/>
      <c r="G434" s="23"/>
    </row>
    <row r="435" spans="3:7" x14ac:dyDescent="0.3">
      <c r="C435" s="6"/>
      <c r="E435" s="23"/>
      <c r="G435" s="23"/>
    </row>
    <row r="436" spans="3:7" x14ac:dyDescent="0.3">
      <c r="C436" s="6"/>
      <c r="E436" s="23"/>
      <c r="G436" s="23"/>
    </row>
    <row r="437" spans="3:7" x14ac:dyDescent="0.3">
      <c r="C437" s="6"/>
      <c r="E437" s="23"/>
      <c r="G437" s="23"/>
    </row>
    <row r="438" spans="3:7" x14ac:dyDescent="0.3">
      <c r="C438" s="6"/>
      <c r="E438" s="23"/>
      <c r="G438" s="23"/>
    </row>
    <row r="439" spans="3:7" x14ac:dyDescent="0.3">
      <c r="C439" s="6"/>
      <c r="E439" s="23"/>
      <c r="G439" s="23"/>
    </row>
    <row r="440" spans="3:7" x14ac:dyDescent="0.3">
      <c r="C440" s="6"/>
      <c r="E440" s="23"/>
      <c r="G440" s="23"/>
    </row>
    <row r="441" spans="3:7" x14ac:dyDescent="0.3">
      <c r="C441" s="6"/>
      <c r="E441" s="23"/>
      <c r="G441" s="23"/>
    </row>
    <row r="442" spans="3:7" x14ac:dyDescent="0.3">
      <c r="C442" s="6"/>
      <c r="E442" s="23"/>
      <c r="G442" s="23"/>
    </row>
    <row r="443" spans="3:7" x14ac:dyDescent="0.3">
      <c r="C443" s="6"/>
      <c r="E443" s="23"/>
      <c r="G443" s="23"/>
    </row>
    <row r="444" spans="3:7" x14ac:dyDescent="0.3">
      <c r="C444" s="6"/>
      <c r="E444" s="23"/>
      <c r="G444" s="23"/>
    </row>
    <row r="445" spans="3:7" x14ac:dyDescent="0.3">
      <c r="C445" s="6"/>
      <c r="E445" s="23"/>
      <c r="G445" s="23"/>
    </row>
    <row r="446" spans="3:7" x14ac:dyDescent="0.3">
      <c r="C446" s="6"/>
      <c r="E446" s="23"/>
      <c r="G446" s="23"/>
    </row>
    <row r="447" spans="3:7" x14ac:dyDescent="0.3">
      <c r="C447" s="6"/>
      <c r="E447" s="23"/>
      <c r="G447" s="23"/>
    </row>
    <row r="448" spans="3:7" x14ac:dyDescent="0.3">
      <c r="C448" s="6"/>
      <c r="E448" s="23"/>
      <c r="G448" s="23"/>
    </row>
    <row r="449" spans="3:7" x14ac:dyDescent="0.3">
      <c r="C449" s="6"/>
      <c r="E449" s="23"/>
      <c r="G449" s="23"/>
    </row>
    <row r="450" spans="3:7" x14ac:dyDescent="0.3">
      <c r="C450" s="6"/>
      <c r="E450" s="23"/>
      <c r="G450" s="23"/>
    </row>
    <row r="451" spans="3:7" x14ac:dyDescent="0.3">
      <c r="C451" s="6"/>
      <c r="E451" s="23"/>
      <c r="G451" s="23"/>
    </row>
    <row r="452" spans="3:7" x14ac:dyDescent="0.3">
      <c r="C452" s="6"/>
      <c r="E452" s="23"/>
      <c r="G452" s="23"/>
    </row>
    <row r="453" spans="3:7" x14ac:dyDescent="0.3">
      <c r="C453" s="6"/>
      <c r="E453" s="23"/>
      <c r="G453" s="23"/>
    </row>
    <row r="454" spans="3:7" x14ac:dyDescent="0.3">
      <c r="C454" s="6"/>
      <c r="E454" s="23"/>
      <c r="G454" s="23"/>
    </row>
    <row r="455" spans="3:7" x14ac:dyDescent="0.3">
      <c r="C455" s="6"/>
      <c r="E455" s="23"/>
      <c r="G455" s="23"/>
    </row>
    <row r="456" spans="3:7" x14ac:dyDescent="0.3">
      <c r="C456" s="6"/>
      <c r="E456" s="23"/>
      <c r="G456" s="23"/>
    </row>
    <row r="457" spans="3:7" x14ac:dyDescent="0.3">
      <c r="C457" s="6"/>
      <c r="E457" s="23"/>
      <c r="G457" s="23"/>
    </row>
    <row r="458" spans="3:7" x14ac:dyDescent="0.3">
      <c r="C458" s="6"/>
      <c r="E458" s="23"/>
      <c r="G458" s="23"/>
    </row>
    <row r="459" spans="3:7" x14ac:dyDescent="0.3">
      <c r="C459" s="6"/>
      <c r="E459" s="23"/>
      <c r="G459" s="23"/>
    </row>
    <row r="460" spans="3:7" x14ac:dyDescent="0.3">
      <c r="C460" s="6"/>
      <c r="E460" s="23"/>
      <c r="G460" s="23"/>
    </row>
    <row r="461" spans="3:7" x14ac:dyDescent="0.3">
      <c r="C461" s="6"/>
      <c r="E461" s="23"/>
      <c r="G461" s="23"/>
    </row>
    <row r="462" spans="3:7" x14ac:dyDescent="0.3">
      <c r="C462" s="6"/>
      <c r="E462" s="23"/>
      <c r="G462" s="23"/>
    </row>
    <row r="463" spans="3:7" x14ac:dyDescent="0.3">
      <c r="C463" s="6"/>
      <c r="E463" s="23"/>
      <c r="G463" s="23"/>
    </row>
    <row r="464" spans="3:7" x14ac:dyDescent="0.3">
      <c r="C464" s="6"/>
      <c r="E464" s="23"/>
      <c r="G464" s="23"/>
    </row>
    <row r="465" spans="3:7" x14ac:dyDescent="0.3">
      <c r="C465" s="6"/>
      <c r="E465" s="23"/>
      <c r="G465" s="23"/>
    </row>
    <row r="466" spans="3:7" x14ac:dyDescent="0.3">
      <c r="C466" s="6"/>
      <c r="E466" s="23"/>
      <c r="G466" s="23"/>
    </row>
    <row r="467" spans="3:7" x14ac:dyDescent="0.3">
      <c r="C467" s="6"/>
      <c r="E467" s="23"/>
      <c r="G467" s="23"/>
    </row>
    <row r="468" spans="3:7" x14ac:dyDescent="0.3">
      <c r="C468" s="6"/>
      <c r="E468" s="23"/>
      <c r="G468" s="23"/>
    </row>
    <row r="469" spans="3:7" x14ac:dyDescent="0.3">
      <c r="C469" s="6"/>
      <c r="E469" s="23"/>
      <c r="G469" s="23"/>
    </row>
    <row r="470" spans="3:7" x14ac:dyDescent="0.3">
      <c r="C470" s="6"/>
      <c r="E470" s="23"/>
      <c r="G470" s="23"/>
    </row>
    <row r="471" spans="3:7" x14ac:dyDescent="0.3">
      <c r="C471" s="6"/>
      <c r="E471" s="23"/>
      <c r="G471" s="23"/>
    </row>
    <row r="472" spans="3:7" x14ac:dyDescent="0.3">
      <c r="C472" s="6"/>
      <c r="E472" s="23"/>
      <c r="G472" s="23"/>
    </row>
    <row r="473" spans="3:7" x14ac:dyDescent="0.3">
      <c r="C473" s="6"/>
      <c r="E473" s="23"/>
      <c r="G473" s="23"/>
    </row>
    <row r="474" spans="3:7" x14ac:dyDescent="0.3">
      <c r="C474" s="6"/>
      <c r="E474" s="23"/>
      <c r="G474" s="23"/>
    </row>
    <row r="475" spans="3:7" x14ac:dyDescent="0.3">
      <c r="C475" s="6"/>
      <c r="E475" s="23"/>
      <c r="G475" s="23"/>
    </row>
    <row r="476" spans="3:7" x14ac:dyDescent="0.3">
      <c r="C476" s="6"/>
      <c r="E476" s="23"/>
      <c r="G476" s="23"/>
    </row>
    <row r="477" spans="3:7" x14ac:dyDescent="0.3">
      <c r="C477" s="6"/>
      <c r="E477" s="23"/>
      <c r="G477" s="23"/>
    </row>
    <row r="478" spans="3:7" x14ac:dyDescent="0.3">
      <c r="C478" s="6"/>
      <c r="E478" s="23"/>
      <c r="G478" s="23"/>
    </row>
    <row r="479" spans="3:7" x14ac:dyDescent="0.3">
      <c r="C479" s="6"/>
      <c r="E479" s="23"/>
      <c r="G479" s="23"/>
    </row>
    <row r="480" spans="3:7" x14ac:dyDescent="0.3">
      <c r="C480" s="6"/>
      <c r="E480" s="23"/>
      <c r="G480" s="23"/>
    </row>
    <row r="481" spans="3:7" x14ac:dyDescent="0.3">
      <c r="C481" s="6"/>
      <c r="E481" s="23"/>
      <c r="G481" s="23"/>
    </row>
    <row r="482" spans="3:7" x14ac:dyDescent="0.3">
      <c r="C482" s="6"/>
      <c r="E482" s="23"/>
      <c r="G482" s="23"/>
    </row>
    <row r="483" spans="3:7" x14ac:dyDescent="0.3">
      <c r="C483" s="6"/>
      <c r="E483" s="23"/>
      <c r="G483" s="23"/>
    </row>
    <row r="484" spans="3:7" x14ac:dyDescent="0.3">
      <c r="C484" s="6"/>
      <c r="E484" s="23"/>
      <c r="G484" s="23"/>
    </row>
    <row r="485" spans="3:7" x14ac:dyDescent="0.3">
      <c r="C485" s="6"/>
      <c r="E485" s="23"/>
      <c r="G485" s="23"/>
    </row>
    <row r="486" spans="3:7" x14ac:dyDescent="0.3">
      <c r="C486" s="6"/>
      <c r="E486" s="23"/>
      <c r="G486" s="23"/>
    </row>
    <row r="487" spans="3:7" x14ac:dyDescent="0.3">
      <c r="C487" s="6"/>
      <c r="E487" s="23"/>
      <c r="G487" s="23"/>
    </row>
    <row r="488" spans="3:7" x14ac:dyDescent="0.3">
      <c r="C488" s="6"/>
      <c r="E488" s="23"/>
      <c r="G488" s="23"/>
    </row>
    <row r="489" spans="3:7" x14ac:dyDescent="0.3">
      <c r="C489" s="6"/>
      <c r="E489" s="23"/>
      <c r="G489" s="23"/>
    </row>
    <row r="490" spans="3:7" x14ac:dyDescent="0.3">
      <c r="C490" s="6"/>
      <c r="E490" s="23"/>
      <c r="G490" s="23"/>
    </row>
    <row r="491" spans="3:7" x14ac:dyDescent="0.3">
      <c r="C491" s="6"/>
      <c r="E491" s="23"/>
      <c r="G491" s="23"/>
    </row>
    <row r="492" spans="3:7" x14ac:dyDescent="0.3">
      <c r="C492" s="6"/>
      <c r="E492" s="23"/>
      <c r="G492" s="23"/>
    </row>
    <row r="493" spans="3:7" x14ac:dyDescent="0.3">
      <c r="C493" s="6"/>
      <c r="E493" s="23"/>
      <c r="G493" s="23"/>
    </row>
    <row r="494" spans="3:7" x14ac:dyDescent="0.3">
      <c r="C494" s="6"/>
      <c r="E494" s="23"/>
      <c r="G494" s="23"/>
    </row>
    <row r="495" spans="3:7" x14ac:dyDescent="0.3">
      <c r="C495" s="6"/>
      <c r="E495" s="23"/>
      <c r="G495" s="23"/>
    </row>
    <row r="496" spans="3:7" x14ac:dyDescent="0.3">
      <c r="C496" s="6"/>
      <c r="E496" s="23"/>
      <c r="G496" s="23"/>
    </row>
    <row r="497" spans="3:7" x14ac:dyDescent="0.3">
      <c r="C497" s="6"/>
      <c r="E497" s="23"/>
      <c r="G497" s="23"/>
    </row>
    <row r="498" spans="3:7" x14ac:dyDescent="0.3">
      <c r="C498" s="6"/>
      <c r="E498" s="23"/>
      <c r="G498" s="23"/>
    </row>
    <row r="499" spans="3:7" x14ac:dyDescent="0.3">
      <c r="C499" s="6"/>
      <c r="E499" s="23"/>
      <c r="G499" s="23"/>
    </row>
    <row r="500" spans="3:7" x14ac:dyDescent="0.3">
      <c r="C500" s="6"/>
      <c r="E500" s="23"/>
      <c r="G500" s="23"/>
    </row>
    <row r="501" spans="3:7" x14ac:dyDescent="0.3">
      <c r="C501" s="6"/>
      <c r="E501" s="23"/>
      <c r="G501" s="23"/>
    </row>
    <row r="502" spans="3:7" x14ac:dyDescent="0.3">
      <c r="C502" s="6"/>
      <c r="E502" s="23"/>
      <c r="G502" s="23"/>
    </row>
    <row r="503" spans="3:7" x14ac:dyDescent="0.3">
      <c r="C503" s="6"/>
      <c r="E503" s="23"/>
      <c r="G503" s="23"/>
    </row>
    <row r="504" spans="3:7" x14ac:dyDescent="0.3">
      <c r="C504" s="6"/>
      <c r="E504" s="23"/>
      <c r="G504" s="23"/>
    </row>
    <row r="505" spans="3:7" x14ac:dyDescent="0.3">
      <c r="C505" s="6"/>
      <c r="E505" s="23"/>
      <c r="G505" s="23"/>
    </row>
    <row r="506" spans="3:7" x14ac:dyDescent="0.3">
      <c r="C506" s="6"/>
      <c r="E506" s="23"/>
      <c r="G506" s="23"/>
    </row>
    <row r="507" spans="3:7" x14ac:dyDescent="0.3">
      <c r="C507" s="6"/>
      <c r="E507" s="23"/>
      <c r="G507" s="23"/>
    </row>
    <row r="508" spans="3:7" x14ac:dyDescent="0.3">
      <c r="C508" s="6"/>
      <c r="E508" s="23"/>
      <c r="G508" s="23"/>
    </row>
    <row r="509" spans="3:7" x14ac:dyDescent="0.3">
      <c r="C509" s="6"/>
      <c r="E509" s="23"/>
      <c r="G509" s="23"/>
    </row>
    <row r="510" spans="3:7" x14ac:dyDescent="0.3">
      <c r="C510" s="6"/>
      <c r="E510" s="23"/>
      <c r="G510" s="23"/>
    </row>
    <row r="511" spans="3:7" x14ac:dyDescent="0.3">
      <c r="C511" s="6"/>
      <c r="E511" s="23"/>
      <c r="G511" s="23"/>
    </row>
    <row r="512" spans="3:7" x14ac:dyDescent="0.3">
      <c r="C512" s="6"/>
      <c r="E512" s="23"/>
      <c r="G512" s="23"/>
    </row>
    <row r="513" spans="3:7" x14ac:dyDescent="0.3">
      <c r="C513" s="6"/>
      <c r="E513" s="23"/>
      <c r="G513" s="23"/>
    </row>
    <row r="514" spans="3:7" x14ac:dyDescent="0.3">
      <c r="C514" s="6"/>
      <c r="E514" s="23"/>
      <c r="G514" s="23"/>
    </row>
    <row r="515" spans="3:7" x14ac:dyDescent="0.3">
      <c r="C515" s="6"/>
      <c r="E515" s="23"/>
      <c r="G515" s="23"/>
    </row>
    <row r="516" spans="3:7" x14ac:dyDescent="0.3">
      <c r="C516" s="6"/>
      <c r="E516" s="23"/>
      <c r="G516" s="23"/>
    </row>
    <row r="517" spans="3:7" x14ac:dyDescent="0.3">
      <c r="C517" s="6"/>
      <c r="E517" s="23"/>
      <c r="G517" s="23"/>
    </row>
    <row r="518" spans="3:7" x14ac:dyDescent="0.3">
      <c r="C518" s="6"/>
      <c r="E518" s="23"/>
      <c r="G518" s="23"/>
    </row>
    <row r="519" spans="3:7" x14ac:dyDescent="0.3">
      <c r="C519" s="6"/>
      <c r="E519" s="23"/>
      <c r="G519" s="23"/>
    </row>
    <row r="520" spans="3:7" x14ac:dyDescent="0.3">
      <c r="C520" s="6"/>
      <c r="E520" s="23"/>
      <c r="G520" s="23"/>
    </row>
    <row r="521" spans="3:7" x14ac:dyDescent="0.3">
      <c r="C521" s="6"/>
      <c r="E521" s="23"/>
      <c r="G521" s="23"/>
    </row>
    <row r="522" spans="3:7" x14ac:dyDescent="0.3">
      <c r="C522" s="6"/>
      <c r="E522" s="23"/>
      <c r="G522" s="23"/>
    </row>
    <row r="523" spans="3:7" x14ac:dyDescent="0.3">
      <c r="C523" s="6"/>
      <c r="E523" s="23"/>
      <c r="G523" s="23"/>
    </row>
    <row r="524" spans="3:7" x14ac:dyDescent="0.3">
      <c r="C524" s="6"/>
      <c r="E524" s="23"/>
      <c r="G524" s="23"/>
    </row>
    <row r="525" spans="3:7" x14ac:dyDescent="0.3">
      <c r="C525" s="6"/>
      <c r="E525" s="23"/>
      <c r="G525" s="23"/>
    </row>
    <row r="526" spans="3:7" x14ac:dyDescent="0.3">
      <c r="C526" s="6"/>
      <c r="E526" s="23"/>
      <c r="G526" s="23"/>
    </row>
    <row r="527" spans="3:7" x14ac:dyDescent="0.3">
      <c r="C527" s="6"/>
      <c r="E527" s="23"/>
      <c r="G527" s="23"/>
    </row>
    <row r="528" spans="3:7" x14ac:dyDescent="0.3">
      <c r="C528" s="6"/>
      <c r="E528" s="23"/>
      <c r="G528" s="23"/>
    </row>
    <row r="529" spans="3:7" x14ac:dyDescent="0.3">
      <c r="C529" s="6"/>
      <c r="E529" s="23"/>
      <c r="G529" s="23"/>
    </row>
    <row r="530" spans="3:7" x14ac:dyDescent="0.3">
      <c r="C530" s="6"/>
      <c r="E530" s="23"/>
      <c r="G530" s="23"/>
    </row>
    <row r="531" spans="3:7" x14ac:dyDescent="0.3">
      <c r="C531" s="6"/>
      <c r="E531" s="23"/>
      <c r="G531" s="23"/>
    </row>
    <row r="532" spans="3:7" x14ac:dyDescent="0.3">
      <c r="C532" s="6"/>
      <c r="E532" s="23"/>
      <c r="G532" s="23"/>
    </row>
    <row r="533" spans="3:7" x14ac:dyDescent="0.3">
      <c r="C533" s="6"/>
      <c r="E533" s="23"/>
      <c r="G533" s="23"/>
    </row>
    <row r="534" spans="3:7" x14ac:dyDescent="0.3">
      <c r="C534" s="6"/>
      <c r="E534" s="23"/>
      <c r="G534" s="23"/>
    </row>
    <row r="535" spans="3:7" x14ac:dyDescent="0.3">
      <c r="C535" s="6"/>
      <c r="E535" s="23"/>
      <c r="G535" s="23"/>
    </row>
    <row r="536" spans="3:7" x14ac:dyDescent="0.3">
      <c r="C536" s="6"/>
      <c r="E536" s="23"/>
      <c r="G536" s="23"/>
    </row>
    <row r="537" spans="3:7" x14ac:dyDescent="0.3">
      <c r="C537" s="6"/>
      <c r="E537" s="23"/>
      <c r="G537" s="23"/>
    </row>
    <row r="538" spans="3:7" x14ac:dyDescent="0.3">
      <c r="C538" s="6"/>
      <c r="E538" s="23"/>
      <c r="G538" s="23"/>
    </row>
    <row r="539" spans="3:7" x14ac:dyDescent="0.3">
      <c r="C539" s="6"/>
      <c r="E539" s="23"/>
      <c r="G539" s="23"/>
    </row>
    <row r="540" spans="3:7" x14ac:dyDescent="0.3">
      <c r="C540" s="6"/>
      <c r="E540" s="23"/>
      <c r="G540" s="23"/>
    </row>
    <row r="541" spans="3:7" x14ac:dyDescent="0.3">
      <c r="C541" s="6"/>
      <c r="E541" s="23"/>
      <c r="G541" s="23"/>
    </row>
    <row r="542" spans="3:7" x14ac:dyDescent="0.3">
      <c r="C542" s="6"/>
      <c r="E542" s="23"/>
      <c r="G542" s="23"/>
    </row>
    <row r="543" spans="3:7" x14ac:dyDescent="0.3">
      <c r="C543" s="6"/>
      <c r="E543" s="23"/>
      <c r="G543" s="23"/>
    </row>
    <row r="544" spans="3:7" x14ac:dyDescent="0.3">
      <c r="C544" s="6"/>
      <c r="E544" s="23"/>
      <c r="G544" s="23"/>
    </row>
    <row r="545" spans="3:7" x14ac:dyDescent="0.3">
      <c r="C545" s="6"/>
      <c r="E545" s="23"/>
      <c r="G545" s="23"/>
    </row>
    <row r="546" spans="3:7" x14ac:dyDescent="0.3">
      <c r="C546" s="6"/>
      <c r="E546" s="23"/>
      <c r="G546" s="23"/>
    </row>
    <row r="547" spans="3:7" x14ac:dyDescent="0.3">
      <c r="C547" s="6"/>
      <c r="E547" s="23"/>
      <c r="G547" s="23"/>
    </row>
    <row r="548" spans="3:7" x14ac:dyDescent="0.3">
      <c r="C548" s="6"/>
      <c r="E548" s="23"/>
      <c r="G548" s="23"/>
    </row>
    <row r="549" spans="3:7" x14ac:dyDescent="0.3">
      <c r="C549" s="6"/>
      <c r="E549" s="23"/>
      <c r="G549" s="23"/>
    </row>
    <row r="550" spans="3:7" x14ac:dyDescent="0.3">
      <c r="C550" s="6"/>
      <c r="E550" s="23"/>
      <c r="G550" s="23"/>
    </row>
    <row r="551" spans="3:7" x14ac:dyDescent="0.3">
      <c r="C551" s="6"/>
      <c r="E551" s="23"/>
      <c r="G551" s="23"/>
    </row>
    <row r="552" spans="3:7" x14ac:dyDescent="0.3">
      <c r="C552" s="6"/>
      <c r="E552" s="23"/>
      <c r="G552" s="23"/>
    </row>
    <row r="553" spans="3:7" x14ac:dyDescent="0.3">
      <c r="C553" s="6"/>
      <c r="E553" s="23"/>
      <c r="G553" s="23"/>
    </row>
    <row r="554" spans="3:7" x14ac:dyDescent="0.3">
      <c r="C554" s="6"/>
      <c r="E554" s="23"/>
      <c r="G554" s="23"/>
    </row>
    <row r="555" spans="3:7" x14ac:dyDescent="0.3">
      <c r="C555" s="6"/>
      <c r="E555" s="23"/>
      <c r="G555" s="23"/>
    </row>
    <row r="556" spans="3:7" x14ac:dyDescent="0.3">
      <c r="C556" s="6"/>
      <c r="E556" s="23"/>
      <c r="G556" s="23"/>
    </row>
    <row r="557" spans="3:7" x14ac:dyDescent="0.3">
      <c r="C557" s="6"/>
      <c r="E557" s="23"/>
      <c r="G557" s="23"/>
    </row>
    <row r="558" spans="3:7" x14ac:dyDescent="0.3">
      <c r="C558" s="6"/>
      <c r="E558" s="23"/>
      <c r="G558" s="23"/>
    </row>
    <row r="559" spans="3:7" x14ac:dyDescent="0.3">
      <c r="C559" s="6"/>
      <c r="E559" s="23"/>
      <c r="G559" s="23"/>
    </row>
    <row r="560" spans="3:7" x14ac:dyDescent="0.3">
      <c r="C560" s="6"/>
      <c r="E560" s="23"/>
      <c r="G560" s="23"/>
    </row>
    <row r="561" spans="3:7" x14ac:dyDescent="0.3">
      <c r="C561" s="6"/>
      <c r="E561" s="23"/>
      <c r="G561" s="23"/>
    </row>
    <row r="562" spans="3:7" x14ac:dyDescent="0.3">
      <c r="C562" s="6"/>
      <c r="E562" s="23"/>
      <c r="G562" s="23"/>
    </row>
    <row r="563" spans="3:7" x14ac:dyDescent="0.3">
      <c r="C563" s="6"/>
      <c r="E563" s="23"/>
      <c r="G563" s="23"/>
    </row>
    <row r="564" spans="3:7" x14ac:dyDescent="0.3">
      <c r="C564" s="6"/>
      <c r="E564" s="23"/>
      <c r="G564" s="23"/>
    </row>
    <row r="565" spans="3:7" x14ac:dyDescent="0.3">
      <c r="C565" s="6"/>
      <c r="E565" s="23"/>
      <c r="G565" s="23"/>
    </row>
    <row r="566" spans="3:7" x14ac:dyDescent="0.3">
      <c r="C566" s="6"/>
      <c r="E566" s="23"/>
      <c r="G566" s="23"/>
    </row>
    <row r="567" spans="3:7" x14ac:dyDescent="0.3">
      <c r="C567" s="6"/>
      <c r="E567" s="23"/>
      <c r="G567" s="23"/>
    </row>
    <row r="568" spans="3:7" x14ac:dyDescent="0.3">
      <c r="C568" s="6"/>
      <c r="E568" s="23"/>
      <c r="G568" s="23"/>
    </row>
    <row r="569" spans="3:7" x14ac:dyDescent="0.3">
      <c r="C569" s="6"/>
      <c r="E569" s="23"/>
      <c r="G569" s="23"/>
    </row>
    <row r="570" spans="3:7" x14ac:dyDescent="0.3">
      <c r="C570" s="6"/>
      <c r="E570" s="23"/>
      <c r="G570" s="23"/>
    </row>
    <row r="571" spans="3:7" x14ac:dyDescent="0.3">
      <c r="C571" s="6"/>
      <c r="E571" s="23"/>
      <c r="G571" s="23"/>
    </row>
    <row r="572" spans="3:7" x14ac:dyDescent="0.3">
      <c r="C572" s="6"/>
      <c r="E572" s="23"/>
      <c r="G572" s="23"/>
    </row>
    <row r="573" spans="3:7" x14ac:dyDescent="0.3">
      <c r="C573" s="6"/>
      <c r="E573" s="23"/>
      <c r="G573" s="23"/>
    </row>
    <row r="574" spans="3:7" x14ac:dyDescent="0.3">
      <c r="C574" s="6"/>
      <c r="E574" s="23"/>
      <c r="G574" s="23"/>
    </row>
    <row r="575" spans="3:7" x14ac:dyDescent="0.3">
      <c r="C575" s="6"/>
      <c r="E575" s="23"/>
      <c r="G575" s="23"/>
    </row>
    <row r="576" spans="3:7" x14ac:dyDescent="0.3">
      <c r="C576" s="6"/>
      <c r="E576" s="23"/>
      <c r="G576" s="23"/>
    </row>
    <row r="577" spans="3:7" x14ac:dyDescent="0.3">
      <c r="C577" s="6"/>
      <c r="E577" s="23"/>
      <c r="G577" s="23"/>
    </row>
    <row r="578" spans="3:7" x14ac:dyDescent="0.3">
      <c r="C578" s="6"/>
      <c r="E578" s="23"/>
      <c r="G578" s="23"/>
    </row>
    <row r="579" spans="3:7" x14ac:dyDescent="0.3">
      <c r="C579" s="6"/>
      <c r="E579" s="23"/>
      <c r="G579" s="23"/>
    </row>
    <row r="580" spans="3:7" x14ac:dyDescent="0.3">
      <c r="C580" s="6"/>
      <c r="E580" s="23"/>
      <c r="G580" s="23"/>
    </row>
    <row r="581" spans="3:7" x14ac:dyDescent="0.3">
      <c r="C581" s="6"/>
      <c r="E581" s="23"/>
      <c r="G581" s="23"/>
    </row>
    <row r="582" spans="3:7" x14ac:dyDescent="0.3">
      <c r="C582" s="6"/>
      <c r="E582" s="23"/>
      <c r="G582" s="23"/>
    </row>
    <row r="583" spans="3:7" x14ac:dyDescent="0.3">
      <c r="C583" s="6"/>
      <c r="E583" s="23"/>
      <c r="G583" s="23"/>
    </row>
    <row r="584" spans="3:7" x14ac:dyDescent="0.3">
      <c r="C584" s="6"/>
      <c r="E584" s="23"/>
      <c r="G584" s="23"/>
    </row>
    <row r="585" spans="3:7" x14ac:dyDescent="0.3">
      <c r="C585" s="6"/>
      <c r="E585" s="23"/>
      <c r="G585" s="23"/>
    </row>
    <row r="586" spans="3:7" x14ac:dyDescent="0.3">
      <c r="C586" s="6"/>
      <c r="E586" s="23"/>
      <c r="G586" s="23"/>
    </row>
    <row r="587" spans="3:7" x14ac:dyDescent="0.3">
      <c r="C587" s="6"/>
      <c r="E587" s="23"/>
      <c r="G587" s="23"/>
    </row>
    <row r="588" spans="3:7" x14ac:dyDescent="0.3">
      <c r="C588" s="6"/>
      <c r="E588" s="23"/>
      <c r="G588" s="23"/>
    </row>
    <row r="589" spans="3:7" x14ac:dyDescent="0.3">
      <c r="C589" s="6"/>
      <c r="E589" s="23"/>
      <c r="G589" s="23"/>
    </row>
    <row r="590" spans="3:7" x14ac:dyDescent="0.3">
      <c r="C590" s="6"/>
      <c r="E590" s="23"/>
      <c r="G590" s="23"/>
    </row>
    <row r="591" spans="3:7" x14ac:dyDescent="0.3">
      <c r="C591" s="6"/>
      <c r="E591" s="23"/>
      <c r="G591" s="23"/>
    </row>
    <row r="592" spans="3:7" x14ac:dyDescent="0.3">
      <c r="C592" s="6"/>
      <c r="E592" s="23"/>
      <c r="G592" s="23"/>
    </row>
    <row r="593" spans="3:7" x14ac:dyDescent="0.3">
      <c r="C593" s="6"/>
      <c r="E593" s="23"/>
      <c r="G593" s="23"/>
    </row>
    <row r="594" spans="3:7" x14ac:dyDescent="0.3">
      <c r="C594" s="6"/>
      <c r="E594" s="23"/>
      <c r="G594" s="23"/>
    </row>
    <row r="595" spans="3:7" x14ac:dyDescent="0.3">
      <c r="C595" s="6"/>
      <c r="E595" s="23"/>
      <c r="G595" s="23"/>
    </row>
    <row r="596" spans="3:7" x14ac:dyDescent="0.3">
      <c r="C596" s="6"/>
      <c r="E596" s="23"/>
      <c r="G596" s="23"/>
    </row>
    <row r="597" spans="3:7" x14ac:dyDescent="0.3">
      <c r="C597" s="6"/>
      <c r="E597" s="23"/>
      <c r="G597" s="23"/>
    </row>
    <row r="598" spans="3:7" x14ac:dyDescent="0.3">
      <c r="C598" s="6"/>
      <c r="E598" s="23"/>
      <c r="G598" s="23"/>
    </row>
    <row r="599" spans="3:7" x14ac:dyDescent="0.3">
      <c r="C599" s="6"/>
      <c r="E599" s="23"/>
      <c r="G599" s="23"/>
    </row>
    <row r="600" spans="3:7" x14ac:dyDescent="0.3">
      <c r="C600" s="6"/>
      <c r="E600" s="23"/>
      <c r="G600" s="23"/>
    </row>
    <row r="601" spans="3:7" x14ac:dyDescent="0.3">
      <c r="C601" s="6"/>
      <c r="E601" s="23"/>
      <c r="G601" s="23"/>
    </row>
    <row r="602" spans="3:7" x14ac:dyDescent="0.3">
      <c r="C602" s="6"/>
      <c r="E602" s="23"/>
      <c r="G602" s="23"/>
    </row>
    <row r="603" spans="3:7" x14ac:dyDescent="0.3">
      <c r="C603" s="6"/>
      <c r="E603" s="23"/>
      <c r="G603" s="23"/>
    </row>
    <row r="604" spans="3:7" x14ac:dyDescent="0.3">
      <c r="C604" s="6"/>
      <c r="E604" s="23"/>
      <c r="G604" s="23"/>
    </row>
    <row r="605" spans="3:7" x14ac:dyDescent="0.3">
      <c r="C605" s="6"/>
      <c r="E605" s="23"/>
      <c r="G605" s="23"/>
    </row>
    <row r="606" spans="3:7" x14ac:dyDescent="0.3">
      <c r="C606" s="6"/>
      <c r="E606" s="23"/>
      <c r="G606" s="23"/>
    </row>
    <row r="607" spans="3:7" x14ac:dyDescent="0.3">
      <c r="C607" s="6"/>
      <c r="E607" s="23"/>
      <c r="G607" s="23"/>
    </row>
    <row r="608" spans="3:7" x14ac:dyDescent="0.3">
      <c r="C608" s="6"/>
      <c r="E608" s="23"/>
      <c r="G608" s="23"/>
    </row>
    <row r="609" spans="3:7" x14ac:dyDescent="0.3">
      <c r="C609" s="6"/>
      <c r="E609" s="23"/>
      <c r="G609" s="23"/>
    </row>
    <row r="610" spans="3:7" x14ac:dyDescent="0.3">
      <c r="C610" s="6"/>
      <c r="E610" s="23"/>
      <c r="G610" s="23"/>
    </row>
    <row r="611" spans="3:7" x14ac:dyDescent="0.3">
      <c r="C611" s="6"/>
      <c r="E611" s="23"/>
      <c r="G611" s="23"/>
    </row>
    <row r="612" spans="3:7" x14ac:dyDescent="0.3">
      <c r="C612" s="6"/>
      <c r="E612" s="23"/>
      <c r="G612" s="23"/>
    </row>
    <row r="613" spans="3:7" x14ac:dyDescent="0.3">
      <c r="C613" s="6"/>
      <c r="E613" s="23"/>
      <c r="G613" s="23"/>
    </row>
    <row r="614" spans="3:7" x14ac:dyDescent="0.3">
      <c r="C614" s="6"/>
      <c r="E614" s="23"/>
      <c r="G614" s="23"/>
    </row>
    <row r="615" spans="3:7" x14ac:dyDescent="0.3">
      <c r="C615" s="6"/>
      <c r="E615" s="23"/>
      <c r="G615" s="23"/>
    </row>
    <row r="616" spans="3:7" x14ac:dyDescent="0.3">
      <c r="C616" s="6"/>
      <c r="E616" s="23"/>
      <c r="G616" s="23"/>
    </row>
    <row r="617" spans="3:7" x14ac:dyDescent="0.3">
      <c r="C617" s="6"/>
      <c r="E617" s="23"/>
      <c r="G617" s="23"/>
    </row>
    <row r="618" spans="3:7" x14ac:dyDescent="0.3">
      <c r="C618" s="6"/>
      <c r="E618" s="23"/>
      <c r="G618" s="23"/>
    </row>
    <row r="619" spans="3:7" x14ac:dyDescent="0.3">
      <c r="C619" s="6"/>
      <c r="E619" s="23"/>
      <c r="G619" s="23"/>
    </row>
    <row r="620" spans="3:7" x14ac:dyDescent="0.3">
      <c r="C620" s="6"/>
      <c r="E620" s="23"/>
      <c r="G620" s="23"/>
    </row>
    <row r="621" spans="3:7" x14ac:dyDescent="0.3">
      <c r="C621" s="6"/>
      <c r="E621" s="23"/>
      <c r="G621" s="23"/>
    </row>
    <row r="622" spans="3:7" x14ac:dyDescent="0.3">
      <c r="C622" s="6"/>
      <c r="E622" s="23"/>
      <c r="G622" s="23"/>
    </row>
    <row r="623" spans="3:7" x14ac:dyDescent="0.3">
      <c r="C623" s="6"/>
      <c r="E623" s="23"/>
      <c r="G623" s="23"/>
    </row>
    <row r="624" spans="3:7" x14ac:dyDescent="0.3">
      <c r="C624" s="6"/>
      <c r="E624" s="23"/>
      <c r="G624" s="23"/>
    </row>
    <row r="625" spans="3:7" x14ac:dyDescent="0.3">
      <c r="C625" s="6"/>
      <c r="E625" s="23"/>
      <c r="G625" s="23"/>
    </row>
    <row r="626" spans="3:7" x14ac:dyDescent="0.3">
      <c r="C626" s="6"/>
      <c r="E626" s="23"/>
      <c r="G626" s="23"/>
    </row>
    <row r="627" spans="3:7" x14ac:dyDescent="0.3">
      <c r="C627" s="6"/>
      <c r="E627" s="23"/>
      <c r="G627" s="23"/>
    </row>
    <row r="628" spans="3:7" x14ac:dyDescent="0.3">
      <c r="C628" s="6"/>
      <c r="E628" s="23"/>
      <c r="G628" s="23"/>
    </row>
    <row r="629" spans="3:7" x14ac:dyDescent="0.3">
      <c r="C629" s="6"/>
      <c r="E629" s="23"/>
      <c r="G629" s="23"/>
    </row>
    <row r="630" spans="3:7" x14ac:dyDescent="0.3">
      <c r="C630" s="6"/>
      <c r="E630" s="23"/>
      <c r="G630" s="23"/>
    </row>
    <row r="631" spans="3:7" x14ac:dyDescent="0.3">
      <c r="C631" s="6"/>
      <c r="E631" s="23"/>
      <c r="G631" s="23"/>
    </row>
    <row r="632" spans="3:7" x14ac:dyDescent="0.3">
      <c r="C632" s="6"/>
      <c r="E632" s="23"/>
      <c r="G632" s="23"/>
    </row>
    <row r="633" spans="3:7" x14ac:dyDescent="0.3">
      <c r="C633" s="6"/>
      <c r="E633" s="23"/>
      <c r="G633" s="23"/>
    </row>
    <row r="634" spans="3:7" x14ac:dyDescent="0.3">
      <c r="C634" s="6"/>
      <c r="E634" s="23"/>
      <c r="G634" s="23"/>
    </row>
    <row r="635" spans="3:7" x14ac:dyDescent="0.3">
      <c r="C635" s="6"/>
      <c r="E635" s="23"/>
      <c r="G635" s="23"/>
    </row>
    <row r="636" spans="3:7" x14ac:dyDescent="0.3">
      <c r="C636" s="6"/>
      <c r="E636" s="23"/>
      <c r="G636" s="23"/>
    </row>
    <row r="637" spans="3:7" x14ac:dyDescent="0.3">
      <c r="C637" s="6"/>
      <c r="E637" s="23"/>
      <c r="G637" s="23"/>
    </row>
    <row r="638" spans="3:7" x14ac:dyDescent="0.3">
      <c r="C638" s="6"/>
      <c r="E638" s="23"/>
      <c r="G638" s="23"/>
    </row>
    <row r="639" spans="3:7" x14ac:dyDescent="0.3">
      <c r="C639" s="6"/>
      <c r="E639" s="23"/>
      <c r="G639" s="23"/>
    </row>
    <row r="640" spans="3:7" x14ac:dyDescent="0.3">
      <c r="C640" s="6"/>
      <c r="E640" s="23"/>
      <c r="G640" s="23"/>
    </row>
    <row r="641" spans="3:7" x14ac:dyDescent="0.3">
      <c r="C641" s="6"/>
      <c r="E641" s="23"/>
      <c r="G641" s="23"/>
    </row>
    <row r="642" spans="3:7" x14ac:dyDescent="0.3">
      <c r="C642" s="6"/>
      <c r="E642" s="23"/>
      <c r="G642" s="23"/>
    </row>
    <row r="643" spans="3:7" x14ac:dyDescent="0.3">
      <c r="C643" s="6"/>
      <c r="E643" s="23"/>
      <c r="G643" s="23"/>
    </row>
    <row r="644" spans="3:7" x14ac:dyDescent="0.3">
      <c r="C644" s="6"/>
      <c r="E644" s="23"/>
      <c r="G644" s="23"/>
    </row>
    <row r="645" spans="3:7" x14ac:dyDescent="0.3">
      <c r="C645" s="6"/>
      <c r="E645" s="23"/>
      <c r="G645" s="23"/>
    </row>
    <row r="646" spans="3:7" x14ac:dyDescent="0.3">
      <c r="C646" s="6"/>
      <c r="E646" s="23"/>
      <c r="G646" s="23"/>
    </row>
    <row r="647" spans="3:7" x14ac:dyDescent="0.3">
      <c r="C647" s="6"/>
      <c r="E647" s="23"/>
      <c r="G647" s="23"/>
    </row>
    <row r="648" spans="3:7" x14ac:dyDescent="0.3">
      <c r="C648" s="6"/>
      <c r="E648" s="23"/>
      <c r="G648" s="23"/>
    </row>
    <row r="649" spans="3:7" x14ac:dyDescent="0.3">
      <c r="C649" s="6"/>
      <c r="E649" s="23"/>
      <c r="G649" s="23"/>
    </row>
    <row r="650" spans="3:7" x14ac:dyDescent="0.3">
      <c r="C650" s="6"/>
      <c r="E650" s="23"/>
      <c r="G650" s="23"/>
    </row>
    <row r="651" spans="3:7" x14ac:dyDescent="0.3">
      <c r="C651" s="6"/>
      <c r="E651" s="23"/>
      <c r="G651" s="23"/>
    </row>
    <row r="652" spans="3:7" x14ac:dyDescent="0.3">
      <c r="C652" s="6"/>
      <c r="E652" s="23"/>
      <c r="G652" s="23"/>
    </row>
    <row r="653" spans="3:7" x14ac:dyDescent="0.3">
      <c r="C653" s="6"/>
      <c r="E653" s="23"/>
      <c r="G653" s="23"/>
    </row>
    <row r="654" spans="3:7" x14ac:dyDescent="0.3">
      <c r="C654" s="6"/>
      <c r="E654" s="23"/>
      <c r="G654" s="23"/>
    </row>
    <row r="655" spans="3:7" x14ac:dyDescent="0.3">
      <c r="C655" s="6"/>
      <c r="E655" s="23"/>
      <c r="G655" s="23"/>
    </row>
    <row r="656" spans="3:7" x14ac:dyDescent="0.3">
      <c r="C656" s="6"/>
      <c r="E656" s="23"/>
      <c r="G656" s="23"/>
    </row>
    <row r="657" spans="3:7" x14ac:dyDescent="0.3">
      <c r="C657" s="6"/>
      <c r="E657" s="23"/>
      <c r="G657" s="23"/>
    </row>
    <row r="658" spans="3:7" x14ac:dyDescent="0.3">
      <c r="C658" s="6"/>
      <c r="E658" s="23"/>
      <c r="G658" s="23"/>
    </row>
    <row r="659" spans="3:7" x14ac:dyDescent="0.3">
      <c r="C659" s="6"/>
      <c r="E659" s="23"/>
      <c r="G659" s="23"/>
    </row>
    <row r="660" spans="3:7" x14ac:dyDescent="0.3">
      <c r="C660" s="6"/>
      <c r="E660" s="23"/>
      <c r="G660" s="23"/>
    </row>
    <row r="661" spans="3:7" x14ac:dyDescent="0.3">
      <c r="C661" s="6"/>
      <c r="E661" s="23"/>
      <c r="G661" s="23"/>
    </row>
    <row r="662" spans="3:7" x14ac:dyDescent="0.3">
      <c r="C662" s="6"/>
      <c r="E662" s="23"/>
      <c r="G662" s="23"/>
    </row>
    <row r="663" spans="3:7" x14ac:dyDescent="0.3">
      <c r="C663" s="6"/>
      <c r="E663" s="23"/>
      <c r="G663" s="23"/>
    </row>
    <row r="664" spans="3:7" x14ac:dyDescent="0.3">
      <c r="C664" s="6"/>
      <c r="E664" s="23"/>
      <c r="G664" s="23"/>
    </row>
    <row r="665" spans="3:7" x14ac:dyDescent="0.3">
      <c r="C665" s="6"/>
      <c r="E665" s="23"/>
      <c r="G665" s="23"/>
    </row>
    <row r="666" spans="3:7" x14ac:dyDescent="0.3">
      <c r="C666" s="6"/>
      <c r="E666" s="23"/>
      <c r="G666" s="23"/>
    </row>
    <row r="667" spans="3:7" x14ac:dyDescent="0.3">
      <c r="C667" s="6"/>
      <c r="E667" s="23"/>
      <c r="G667" s="23"/>
    </row>
    <row r="668" spans="3:7" x14ac:dyDescent="0.3">
      <c r="C668" s="6"/>
      <c r="E668" s="23"/>
      <c r="G668" s="23"/>
    </row>
    <row r="669" spans="3:7" x14ac:dyDescent="0.3">
      <c r="C669" s="6"/>
      <c r="E669" s="23"/>
      <c r="G669" s="23"/>
    </row>
    <row r="670" spans="3:7" x14ac:dyDescent="0.3">
      <c r="C670" s="6"/>
      <c r="E670" s="23"/>
      <c r="G670" s="23"/>
    </row>
    <row r="671" spans="3:7" x14ac:dyDescent="0.3">
      <c r="C671" s="6"/>
      <c r="E671" s="23"/>
      <c r="G671" s="23"/>
    </row>
    <row r="672" spans="3:7" x14ac:dyDescent="0.3">
      <c r="C672" s="6"/>
      <c r="E672" s="23"/>
      <c r="G672" s="23"/>
    </row>
    <row r="673" spans="3:7" x14ac:dyDescent="0.3">
      <c r="C673" s="6"/>
      <c r="E673" s="23"/>
      <c r="G673" s="23"/>
    </row>
    <row r="674" spans="3:7" x14ac:dyDescent="0.3">
      <c r="C674" s="6"/>
      <c r="E674" s="23"/>
      <c r="G674" s="23"/>
    </row>
    <row r="675" spans="3:7" x14ac:dyDescent="0.3">
      <c r="C675" s="6"/>
      <c r="E675" s="23"/>
      <c r="G675" s="23"/>
    </row>
    <row r="676" spans="3:7" x14ac:dyDescent="0.3">
      <c r="C676" s="6"/>
      <c r="E676" s="23"/>
      <c r="G676" s="23"/>
    </row>
    <row r="677" spans="3:7" x14ac:dyDescent="0.3">
      <c r="C677" s="6"/>
      <c r="E677" s="23"/>
      <c r="G677" s="23"/>
    </row>
    <row r="678" spans="3:7" x14ac:dyDescent="0.3">
      <c r="C678" s="6"/>
      <c r="E678" s="23"/>
      <c r="G678" s="23"/>
    </row>
    <row r="679" spans="3:7" x14ac:dyDescent="0.3">
      <c r="C679" s="6"/>
      <c r="E679" s="23"/>
      <c r="G679" s="23"/>
    </row>
    <row r="680" spans="3:7" x14ac:dyDescent="0.3">
      <c r="C680" s="6"/>
      <c r="E680" s="23"/>
      <c r="G680" s="23"/>
    </row>
    <row r="681" spans="3:7" x14ac:dyDescent="0.3">
      <c r="C681" s="6"/>
      <c r="E681" s="23"/>
      <c r="G681" s="23"/>
    </row>
    <row r="682" spans="3:7" x14ac:dyDescent="0.3">
      <c r="C682" s="6"/>
      <c r="E682" s="23"/>
      <c r="G682" s="23"/>
    </row>
    <row r="683" spans="3:7" x14ac:dyDescent="0.3">
      <c r="C683" s="6"/>
      <c r="E683" s="23"/>
      <c r="G683" s="23"/>
    </row>
    <row r="684" spans="3:7" x14ac:dyDescent="0.3">
      <c r="C684" s="6"/>
      <c r="E684" s="23"/>
      <c r="G684" s="23"/>
    </row>
    <row r="685" spans="3:7" x14ac:dyDescent="0.3">
      <c r="C685" s="6"/>
      <c r="E685" s="23"/>
      <c r="G685" s="23"/>
    </row>
    <row r="686" spans="3:7" x14ac:dyDescent="0.3">
      <c r="C686" s="6"/>
      <c r="E686" s="23"/>
      <c r="G686" s="23"/>
    </row>
    <row r="687" spans="3:7" x14ac:dyDescent="0.3">
      <c r="C687" s="6"/>
      <c r="E687" s="23"/>
      <c r="G687" s="23"/>
    </row>
    <row r="688" spans="3:7" x14ac:dyDescent="0.3">
      <c r="C688" s="6"/>
      <c r="E688" s="23"/>
      <c r="G688" s="23"/>
    </row>
    <row r="689" spans="3:7" x14ac:dyDescent="0.3">
      <c r="C689" s="6"/>
      <c r="E689" s="23"/>
      <c r="G689" s="23"/>
    </row>
    <row r="690" spans="3:7" x14ac:dyDescent="0.3">
      <c r="C690" s="6"/>
      <c r="E690" s="23"/>
      <c r="G690" s="23"/>
    </row>
    <row r="691" spans="3:7" x14ac:dyDescent="0.3">
      <c r="C691" s="6"/>
      <c r="E691" s="23"/>
      <c r="G691" s="23"/>
    </row>
    <row r="692" spans="3:7" x14ac:dyDescent="0.3">
      <c r="C692" s="6"/>
      <c r="E692" s="23"/>
      <c r="G692" s="23"/>
    </row>
    <row r="693" spans="3:7" x14ac:dyDescent="0.3">
      <c r="C693" s="6"/>
      <c r="E693" s="23"/>
      <c r="G693" s="23"/>
    </row>
    <row r="694" spans="3:7" x14ac:dyDescent="0.3">
      <c r="C694" s="6"/>
      <c r="E694" s="23"/>
      <c r="G694" s="23"/>
    </row>
    <row r="695" spans="3:7" x14ac:dyDescent="0.3">
      <c r="C695" s="6"/>
      <c r="E695" s="23"/>
      <c r="G695" s="23"/>
    </row>
    <row r="696" spans="3:7" x14ac:dyDescent="0.3">
      <c r="C696" s="6"/>
      <c r="E696" s="23"/>
      <c r="G696" s="23"/>
    </row>
    <row r="697" spans="3:7" x14ac:dyDescent="0.3">
      <c r="C697" s="6"/>
      <c r="E697" s="23"/>
      <c r="G697" s="23"/>
    </row>
    <row r="698" spans="3:7" x14ac:dyDescent="0.3">
      <c r="C698" s="6"/>
      <c r="E698" s="23"/>
      <c r="G698" s="23"/>
    </row>
    <row r="699" spans="3:7" x14ac:dyDescent="0.3">
      <c r="C699" s="6"/>
      <c r="E699" s="23"/>
      <c r="G699" s="23"/>
    </row>
    <row r="700" spans="3:7" x14ac:dyDescent="0.3">
      <c r="C700" s="6"/>
      <c r="E700" s="23"/>
      <c r="G700" s="23"/>
    </row>
    <row r="701" spans="3:7" x14ac:dyDescent="0.3">
      <c r="C701" s="6"/>
      <c r="E701" s="23"/>
      <c r="G701" s="23"/>
    </row>
    <row r="702" spans="3:7" x14ac:dyDescent="0.3">
      <c r="C702" s="6"/>
      <c r="E702" s="23"/>
      <c r="G702" s="23"/>
    </row>
    <row r="703" spans="3:7" x14ac:dyDescent="0.3">
      <c r="C703" s="6"/>
      <c r="E703" s="23"/>
      <c r="G703" s="23"/>
    </row>
    <row r="704" spans="3:7" x14ac:dyDescent="0.3">
      <c r="C704" s="6"/>
      <c r="E704" s="23"/>
      <c r="G704" s="23"/>
    </row>
    <row r="705" spans="3:7" x14ac:dyDescent="0.3">
      <c r="C705" s="6"/>
      <c r="E705" s="23"/>
      <c r="G705" s="23"/>
    </row>
    <row r="706" spans="3:7" x14ac:dyDescent="0.3">
      <c r="C706" s="6"/>
      <c r="E706" s="23"/>
      <c r="G706" s="23"/>
    </row>
    <row r="707" spans="3:7" x14ac:dyDescent="0.3">
      <c r="C707" s="6"/>
      <c r="E707" s="23"/>
      <c r="G707" s="23"/>
    </row>
    <row r="708" spans="3:7" x14ac:dyDescent="0.3">
      <c r="C708" s="6"/>
      <c r="E708" s="23"/>
      <c r="G708" s="23"/>
    </row>
    <row r="709" spans="3:7" x14ac:dyDescent="0.3">
      <c r="C709" s="6"/>
      <c r="E709" s="23"/>
      <c r="G709" s="23"/>
    </row>
    <row r="710" spans="3:7" x14ac:dyDescent="0.3">
      <c r="C710" s="6"/>
      <c r="E710" s="23"/>
      <c r="G710" s="23"/>
    </row>
    <row r="711" spans="3:7" x14ac:dyDescent="0.3">
      <c r="C711" s="6"/>
      <c r="E711" s="23"/>
      <c r="G711" s="23"/>
    </row>
    <row r="712" spans="3:7" x14ac:dyDescent="0.3">
      <c r="C712" s="6"/>
      <c r="E712" s="23"/>
      <c r="G712" s="23"/>
    </row>
    <row r="713" spans="3:7" x14ac:dyDescent="0.3">
      <c r="C713" s="6"/>
      <c r="E713" s="23"/>
      <c r="G713" s="23"/>
    </row>
    <row r="714" spans="3:7" x14ac:dyDescent="0.3">
      <c r="C714" s="6"/>
      <c r="E714" s="23"/>
      <c r="G714" s="23"/>
    </row>
    <row r="715" spans="3:7" x14ac:dyDescent="0.3">
      <c r="C715" s="6"/>
      <c r="E715" s="23"/>
      <c r="G715" s="23"/>
    </row>
    <row r="716" spans="3:7" x14ac:dyDescent="0.3">
      <c r="C716" s="6"/>
      <c r="E716" s="23"/>
      <c r="G716" s="23"/>
    </row>
    <row r="717" spans="3:7" x14ac:dyDescent="0.3">
      <c r="C717" s="6"/>
      <c r="E717" s="23"/>
      <c r="G717" s="23"/>
    </row>
    <row r="718" spans="3:7" x14ac:dyDescent="0.3">
      <c r="C718" s="6"/>
      <c r="E718" s="23"/>
      <c r="G718" s="23"/>
    </row>
    <row r="719" spans="3:7" x14ac:dyDescent="0.3">
      <c r="C719" s="6"/>
      <c r="E719" s="23"/>
      <c r="G719" s="23"/>
    </row>
    <row r="720" spans="3:7" x14ac:dyDescent="0.3">
      <c r="C720" s="6"/>
      <c r="E720" s="23"/>
      <c r="G720" s="23"/>
    </row>
    <row r="721" spans="3:7" x14ac:dyDescent="0.3">
      <c r="C721" s="6"/>
      <c r="E721" s="23"/>
      <c r="G721" s="23"/>
    </row>
    <row r="722" spans="3:7" x14ac:dyDescent="0.3">
      <c r="C722" s="6"/>
      <c r="E722" s="23"/>
      <c r="G722" s="23"/>
    </row>
    <row r="723" spans="3:7" x14ac:dyDescent="0.3">
      <c r="C723" s="6"/>
      <c r="E723" s="23"/>
      <c r="G723" s="23"/>
    </row>
    <row r="724" spans="3:7" x14ac:dyDescent="0.3">
      <c r="C724" s="6"/>
      <c r="E724" s="23"/>
      <c r="G724" s="23"/>
    </row>
    <row r="725" spans="3:7" x14ac:dyDescent="0.3">
      <c r="C725" s="6"/>
      <c r="E725" s="23"/>
      <c r="G725" s="23"/>
    </row>
    <row r="726" spans="3:7" x14ac:dyDescent="0.3">
      <c r="C726" s="6"/>
      <c r="E726" s="23"/>
      <c r="G726" s="23"/>
    </row>
    <row r="727" spans="3:7" x14ac:dyDescent="0.3">
      <c r="C727" s="6"/>
      <c r="E727" s="23"/>
      <c r="G727" s="23"/>
    </row>
    <row r="728" spans="3:7" x14ac:dyDescent="0.3">
      <c r="C728" s="6"/>
      <c r="E728" s="23"/>
      <c r="G728" s="23"/>
    </row>
    <row r="729" spans="3:7" x14ac:dyDescent="0.3">
      <c r="C729" s="6"/>
      <c r="E729" s="23"/>
      <c r="G729" s="23"/>
    </row>
    <row r="730" spans="3:7" x14ac:dyDescent="0.3">
      <c r="C730" s="6"/>
      <c r="E730" s="23"/>
      <c r="G730" s="23"/>
    </row>
    <row r="731" spans="3:7" x14ac:dyDescent="0.3">
      <c r="C731" s="6"/>
      <c r="E731" s="23"/>
      <c r="G731" s="23"/>
    </row>
    <row r="732" spans="3:7" x14ac:dyDescent="0.3">
      <c r="C732" s="6"/>
      <c r="E732" s="23"/>
      <c r="G732" s="23"/>
    </row>
    <row r="733" spans="3:7" x14ac:dyDescent="0.3">
      <c r="C733" s="6"/>
      <c r="E733" s="23"/>
      <c r="G733" s="23"/>
    </row>
    <row r="734" spans="3:7" x14ac:dyDescent="0.3">
      <c r="C734" s="6"/>
      <c r="E734" s="23"/>
      <c r="G734" s="23"/>
    </row>
    <row r="735" spans="3:7" x14ac:dyDescent="0.3">
      <c r="C735" s="6"/>
      <c r="E735" s="23"/>
      <c r="G735" s="23"/>
    </row>
    <row r="736" spans="3:7" x14ac:dyDescent="0.3">
      <c r="C736" s="6"/>
      <c r="E736" s="23"/>
      <c r="G736" s="23"/>
    </row>
    <row r="737" spans="3:7" x14ac:dyDescent="0.3">
      <c r="C737" s="6"/>
      <c r="E737" s="23"/>
      <c r="G737" s="23"/>
    </row>
    <row r="738" spans="3:7" x14ac:dyDescent="0.3">
      <c r="C738" s="6"/>
      <c r="E738" s="23"/>
      <c r="G738" s="23"/>
    </row>
    <row r="739" spans="3:7" x14ac:dyDescent="0.3">
      <c r="C739" s="6"/>
      <c r="E739" s="23"/>
      <c r="G739" s="23"/>
    </row>
    <row r="740" spans="3:7" x14ac:dyDescent="0.3">
      <c r="C740" s="6"/>
      <c r="E740" s="23"/>
      <c r="G740" s="23"/>
    </row>
    <row r="741" spans="3:7" x14ac:dyDescent="0.3">
      <c r="C741" s="6"/>
      <c r="E741" s="23"/>
      <c r="G741" s="23"/>
    </row>
    <row r="742" spans="3:7" x14ac:dyDescent="0.3">
      <c r="C742" s="6"/>
      <c r="E742" s="23"/>
      <c r="G742" s="23"/>
    </row>
    <row r="743" spans="3:7" x14ac:dyDescent="0.3">
      <c r="C743" s="6"/>
      <c r="E743" s="23"/>
      <c r="G743" s="23"/>
    </row>
    <row r="744" spans="3:7" x14ac:dyDescent="0.3">
      <c r="C744" s="6"/>
      <c r="E744" s="23"/>
      <c r="G744" s="23"/>
    </row>
    <row r="745" spans="3:7" x14ac:dyDescent="0.3">
      <c r="C745" s="6"/>
      <c r="E745" s="23"/>
      <c r="G745" s="23"/>
    </row>
    <row r="746" spans="3:7" x14ac:dyDescent="0.3">
      <c r="C746" s="6"/>
      <c r="E746" s="23"/>
      <c r="G746" s="23"/>
    </row>
    <row r="747" spans="3:7" x14ac:dyDescent="0.3">
      <c r="C747" s="6"/>
      <c r="E747" s="23"/>
      <c r="G747" s="23"/>
    </row>
    <row r="748" spans="3:7" x14ac:dyDescent="0.3">
      <c r="C748" s="6"/>
      <c r="E748" s="23"/>
      <c r="G748" s="23"/>
    </row>
    <row r="749" spans="3:7" x14ac:dyDescent="0.3">
      <c r="C749" s="6"/>
      <c r="E749" s="23"/>
      <c r="G749" s="23"/>
    </row>
    <row r="750" spans="3:7" x14ac:dyDescent="0.3">
      <c r="C750" s="6"/>
      <c r="E750" s="23"/>
      <c r="G750" s="23"/>
    </row>
    <row r="751" spans="3:7" x14ac:dyDescent="0.3">
      <c r="C751" s="6"/>
      <c r="E751" s="23"/>
      <c r="G751" s="23"/>
    </row>
    <row r="752" spans="3:7" x14ac:dyDescent="0.3">
      <c r="C752" s="6"/>
      <c r="E752" s="23"/>
      <c r="G752" s="23"/>
    </row>
    <row r="753" spans="3:7" x14ac:dyDescent="0.3">
      <c r="C753" s="6"/>
      <c r="E753" s="23"/>
      <c r="G753" s="23"/>
    </row>
    <row r="754" spans="3:7" x14ac:dyDescent="0.3">
      <c r="C754" s="6"/>
      <c r="E754" s="23"/>
      <c r="G754" s="23"/>
    </row>
    <row r="755" spans="3:7" x14ac:dyDescent="0.3">
      <c r="C755" s="6"/>
      <c r="E755" s="23"/>
      <c r="G755" s="23"/>
    </row>
    <row r="756" spans="3:7" x14ac:dyDescent="0.3">
      <c r="C756" s="6"/>
      <c r="E756" s="23"/>
      <c r="G756" s="23"/>
    </row>
    <row r="757" spans="3:7" x14ac:dyDescent="0.3">
      <c r="C757" s="6"/>
      <c r="E757" s="23"/>
      <c r="G757" s="23"/>
    </row>
    <row r="758" spans="3:7" x14ac:dyDescent="0.3">
      <c r="C758" s="6"/>
      <c r="E758" s="23"/>
      <c r="G758" s="23"/>
    </row>
    <row r="759" spans="3:7" x14ac:dyDescent="0.3">
      <c r="C759" s="6"/>
      <c r="E759" s="23"/>
      <c r="G759" s="23"/>
    </row>
    <row r="760" spans="3:7" x14ac:dyDescent="0.3">
      <c r="C760" s="6"/>
      <c r="E760" s="23"/>
      <c r="G760" s="23"/>
    </row>
    <row r="761" spans="3:7" x14ac:dyDescent="0.3">
      <c r="C761" s="6"/>
      <c r="E761" s="23"/>
      <c r="G761" s="23"/>
    </row>
    <row r="762" spans="3:7" x14ac:dyDescent="0.3">
      <c r="C762" s="6"/>
      <c r="E762" s="23"/>
      <c r="G762" s="23"/>
    </row>
    <row r="763" spans="3:7" x14ac:dyDescent="0.3">
      <c r="C763" s="6"/>
      <c r="E763" s="23"/>
      <c r="G763" s="23"/>
    </row>
    <row r="764" spans="3:7" x14ac:dyDescent="0.3">
      <c r="C764" s="6"/>
      <c r="E764" s="23"/>
      <c r="G764" s="23"/>
    </row>
    <row r="765" spans="3:7" x14ac:dyDescent="0.3">
      <c r="C765" s="6"/>
      <c r="E765" s="23"/>
      <c r="G765" s="23"/>
    </row>
    <row r="766" spans="3:7" x14ac:dyDescent="0.3">
      <c r="C766" s="6"/>
      <c r="E766" s="23"/>
      <c r="G766" s="23"/>
    </row>
    <row r="767" spans="3:7" x14ac:dyDescent="0.3">
      <c r="C767" s="6"/>
      <c r="E767" s="23"/>
      <c r="G767" s="23"/>
    </row>
    <row r="768" spans="3:7" x14ac:dyDescent="0.3">
      <c r="C768" s="6"/>
      <c r="E768" s="23"/>
      <c r="G768" s="23"/>
    </row>
    <row r="769" spans="3:7" x14ac:dyDescent="0.3">
      <c r="C769" s="6"/>
      <c r="E769" s="23"/>
      <c r="G769" s="23"/>
    </row>
    <row r="770" spans="3:7" x14ac:dyDescent="0.3">
      <c r="C770" s="6"/>
      <c r="E770" s="23"/>
      <c r="G770" s="23"/>
    </row>
    <row r="771" spans="3:7" x14ac:dyDescent="0.3">
      <c r="C771" s="6"/>
      <c r="E771" s="23"/>
      <c r="G771" s="23"/>
    </row>
    <row r="772" spans="3:7" x14ac:dyDescent="0.3">
      <c r="C772" s="6"/>
      <c r="E772" s="23"/>
      <c r="G772" s="23"/>
    </row>
    <row r="773" spans="3:7" x14ac:dyDescent="0.3">
      <c r="C773" s="6"/>
      <c r="E773" s="23"/>
      <c r="G773" s="23"/>
    </row>
    <row r="774" spans="3:7" x14ac:dyDescent="0.3">
      <c r="C774" s="6"/>
      <c r="E774" s="23"/>
      <c r="G774" s="23"/>
    </row>
    <row r="775" spans="3:7" x14ac:dyDescent="0.3">
      <c r="C775" s="6"/>
      <c r="E775" s="23"/>
      <c r="G775" s="23"/>
    </row>
    <row r="776" spans="3:7" x14ac:dyDescent="0.3">
      <c r="C776" s="6"/>
      <c r="E776" s="23"/>
      <c r="G776" s="23"/>
    </row>
    <row r="777" spans="3:7" x14ac:dyDescent="0.3">
      <c r="C777" s="6"/>
      <c r="E777" s="23"/>
      <c r="G777" s="23"/>
    </row>
    <row r="778" spans="3:7" x14ac:dyDescent="0.3">
      <c r="C778" s="6"/>
      <c r="E778" s="23"/>
      <c r="G778" s="23"/>
    </row>
    <row r="779" spans="3:7" x14ac:dyDescent="0.3">
      <c r="C779" s="6"/>
      <c r="E779" s="23"/>
      <c r="G779" s="23"/>
    </row>
    <row r="780" spans="3:7" x14ac:dyDescent="0.3">
      <c r="C780" s="6"/>
      <c r="E780" s="23"/>
      <c r="G780" s="23"/>
    </row>
    <row r="781" spans="3:7" x14ac:dyDescent="0.3">
      <c r="C781" s="6"/>
      <c r="E781" s="23"/>
      <c r="G781" s="23"/>
    </row>
    <row r="782" spans="3:7" x14ac:dyDescent="0.3">
      <c r="C782" s="6"/>
      <c r="E782" s="23"/>
      <c r="G782" s="23"/>
    </row>
    <row r="783" spans="3:7" x14ac:dyDescent="0.3">
      <c r="C783" s="6"/>
      <c r="E783" s="23"/>
      <c r="G783" s="23"/>
    </row>
    <row r="784" spans="3:7" x14ac:dyDescent="0.3">
      <c r="C784" s="6"/>
      <c r="E784" s="23"/>
      <c r="G784" s="23"/>
    </row>
    <row r="785" spans="3:7" x14ac:dyDescent="0.3">
      <c r="C785" s="6"/>
      <c r="E785" s="23"/>
      <c r="G785" s="23"/>
    </row>
    <row r="786" spans="3:7" x14ac:dyDescent="0.3">
      <c r="C786" s="6"/>
      <c r="E786" s="23"/>
      <c r="G786" s="23"/>
    </row>
    <row r="787" spans="3:7" x14ac:dyDescent="0.3">
      <c r="C787" s="6"/>
      <c r="E787" s="23"/>
      <c r="G787" s="23"/>
    </row>
    <row r="788" spans="3:7" x14ac:dyDescent="0.3">
      <c r="C788" s="6"/>
      <c r="E788" s="23"/>
      <c r="G788" s="23"/>
    </row>
    <row r="789" spans="3:7" x14ac:dyDescent="0.3">
      <c r="C789" s="6"/>
      <c r="E789" s="23"/>
      <c r="G789" s="23"/>
    </row>
    <row r="790" spans="3:7" x14ac:dyDescent="0.3">
      <c r="C790" s="6"/>
      <c r="E790" s="23"/>
      <c r="G790" s="23"/>
    </row>
    <row r="791" spans="3:7" x14ac:dyDescent="0.3">
      <c r="C791" s="6"/>
      <c r="E791" s="23"/>
      <c r="G791" s="23"/>
    </row>
    <row r="792" spans="3:7" x14ac:dyDescent="0.3">
      <c r="C792" s="6"/>
      <c r="E792" s="23"/>
      <c r="G792" s="23"/>
    </row>
    <row r="793" spans="3:7" x14ac:dyDescent="0.3">
      <c r="C793" s="6"/>
      <c r="E793" s="23"/>
      <c r="G793" s="23"/>
    </row>
    <row r="794" spans="3:7" x14ac:dyDescent="0.3">
      <c r="C794" s="6"/>
      <c r="E794" s="23"/>
      <c r="G794" s="23"/>
    </row>
    <row r="795" spans="3:7" x14ac:dyDescent="0.3">
      <c r="C795" s="6"/>
      <c r="E795" s="23"/>
      <c r="G795" s="23"/>
    </row>
    <row r="796" spans="3:7" x14ac:dyDescent="0.3">
      <c r="C796" s="6"/>
      <c r="E796" s="23"/>
      <c r="G796" s="23"/>
    </row>
    <row r="797" spans="3:7" x14ac:dyDescent="0.3">
      <c r="C797" s="6"/>
      <c r="E797" s="23"/>
      <c r="G797" s="23"/>
    </row>
    <row r="798" spans="3:7" x14ac:dyDescent="0.3">
      <c r="C798" s="6"/>
      <c r="E798" s="23"/>
      <c r="G798" s="23"/>
    </row>
    <row r="799" spans="3:7" x14ac:dyDescent="0.3">
      <c r="C799" s="6"/>
      <c r="E799" s="23"/>
      <c r="G799" s="23"/>
    </row>
    <row r="800" spans="3:7" x14ac:dyDescent="0.3">
      <c r="C800" s="6"/>
      <c r="E800" s="23"/>
      <c r="G800" s="23"/>
    </row>
    <row r="801" spans="3:7" x14ac:dyDescent="0.3">
      <c r="C801" s="6"/>
      <c r="E801" s="23"/>
      <c r="G801" s="23"/>
    </row>
    <row r="802" spans="3:7" x14ac:dyDescent="0.3">
      <c r="C802" s="6"/>
      <c r="E802" s="23"/>
      <c r="G802" s="23"/>
    </row>
    <row r="803" spans="3:7" x14ac:dyDescent="0.3">
      <c r="C803" s="6"/>
      <c r="E803" s="23"/>
      <c r="G803" s="23"/>
    </row>
    <row r="804" spans="3:7" x14ac:dyDescent="0.3">
      <c r="C804" s="6"/>
      <c r="E804" s="23"/>
      <c r="G804" s="23"/>
    </row>
    <row r="805" spans="3:7" x14ac:dyDescent="0.3">
      <c r="C805" s="6"/>
      <c r="E805" s="23"/>
      <c r="G805" s="23"/>
    </row>
    <row r="806" spans="3:7" x14ac:dyDescent="0.3">
      <c r="C806" s="6"/>
      <c r="E806" s="23"/>
      <c r="G806" s="23"/>
    </row>
    <row r="807" spans="3:7" x14ac:dyDescent="0.3">
      <c r="C807" s="6"/>
      <c r="E807" s="23"/>
      <c r="G807" s="23"/>
    </row>
    <row r="808" spans="3:7" x14ac:dyDescent="0.3">
      <c r="C808" s="6"/>
      <c r="E808" s="23"/>
      <c r="G808" s="23"/>
    </row>
    <row r="809" spans="3:7" x14ac:dyDescent="0.3">
      <c r="C809" s="6"/>
      <c r="E809" s="23"/>
      <c r="G809" s="23"/>
    </row>
    <row r="810" spans="3:7" x14ac:dyDescent="0.3">
      <c r="C810" s="6"/>
      <c r="E810" s="23"/>
      <c r="G810" s="23"/>
    </row>
    <row r="811" spans="3:7" x14ac:dyDescent="0.3">
      <c r="C811" s="6"/>
      <c r="E811" s="23"/>
      <c r="G811" s="23"/>
    </row>
    <row r="812" spans="3:7" x14ac:dyDescent="0.3">
      <c r="C812" s="6"/>
      <c r="E812" s="23"/>
      <c r="G812" s="23"/>
    </row>
    <row r="813" spans="3:7" x14ac:dyDescent="0.3">
      <c r="C813" s="6"/>
      <c r="E813" s="23"/>
      <c r="G813" s="23"/>
    </row>
    <row r="814" spans="3:7" x14ac:dyDescent="0.3">
      <c r="C814" s="6"/>
      <c r="E814" s="23"/>
      <c r="G814" s="23"/>
    </row>
    <row r="815" spans="3:7" x14ac:dyDescent="0.3">
      <c r="C815" s="6"/>
      <c r="E815" s="23"/>
      <c r="G815" s="23"/>
    </row>
    <row r="816" spans="3:7" x14ac:dyDescent="0.3">
      <c r="C816" s="6"/>
      <c r="E816" s="23"/>
      <c r="G816" s="23"/>
    </row>
    <row r="817" spans="3:7" x14ac:dyDescent="0.3">
      <c r="C817" s="6"/>
      <c r="E817" s="23"/>
      <c r="G817" s="23"/>
    </row>
    <row r="818" spans="3:7" x14ac:dyDescent="0.3">
      <c r="C818" s="6"/>
      <c r="E818" s="23"/>
      <c r="G818" s="23"/>
    </row>
    <row r="819" spans="3:7" x14ac:dyDescent="0.3">
      <c r="C819" s="6"/>
      <c r="E819" s="23"/>
      <c r="G819" s="23"/>
    </row>
    <row r="820" spans="3:7" x14ac:dyDescent="0.3">
      <c r="C820" s="6"/>
      <c r="E820" s="23"/>
      <c r="G820" s="23"/>
    </row>
    <row r="821" spans="3:7" x14ac:dyDescent="0.3">
      <c r="C821" s="6"/>
      <c r="E821" s="23"/>
      <c r="G821" s="23"/>
    </row>
    <row r="822" spans="3:7" x14ac:dyDescent="0.3">
      <c r="C822" s="6"/>
      <c r="E822" s="23"/>
      <c r="G822" s="23"/>
    </row>
    <row r="823" spans="3:7" x14ac:dyDescent="0.3">
      <c r="C823" s="6"/>
      <c r="E823" s="23"/>
      <c r="G823" s="23"/>
    </row>
    <row r="824" spans="3:7" x14ac:dyDescent="0.3">
      <c r="C824" s="6"/>
      <c r="E824" s="23"/>
      <c r="G824" s="23"/>
    </row>
    <row r="825" spans="3:7" x14ac:dyDescent="0.3">
      <c r="C825" s="6"/>
      <c r="E825" s="23"/>
      <c r="G825" s="23"/>
    </row>
    <row r="826" spans="3:7" x14ac:dyDescent="0.3">
      <c r="C826" s="6"/>
      <c r="E826" s="23"/>
      <c r="G826" s="23"/>
    </row>
    <row r="827" spans="3:7" x14ac:dyDescent="0.3">
      <c r="C827" s="6"/>
      <c r="E827" s="23"/>
      <c r="G827" s="23"/>
    </row>
    <row r="828" spans="3:7" x14ac:dyDescent="0.3">
      <c r="C828" s="6"/>
      <c r="E828" s="23"/>
      <c r="G828" s="23"/>
    </row>
    <row r="829" spans="3:7" x14ac:dyDescent="0.3">
      <c r="C829" s="6"/>
      <c r="E829" s="23"/>
      <c r="G829" s="23"/>
    </row>
    <row r="830" spans="3:7" x14ac:dyDescent="0.3">
      <c r="C830" s="6"/>
      <c r="E830" s="23"/>
      <c r="G830" s="23"/>
    </row>
    <row r="831" spans="3:7" x14ac:dyDescent="0.3">
      <c r="C831" s="6"/>
      <c r="E831" s="23"/>
      <c r="G831" s="23"/>
    </row>
    <row r="832" spans="3:7" x14ac:dyDescent="0.3">
      <c r="C832" s="6"/>
      <c r="E832" s="23"/>
      <c r="G832" s="23"/>
    </row>
    <row r="833" spans="3:7" x14ac:dyDescent="0.3">
      <c r="C833" s="6"/>
      <c r="E833" s="23"/>
      <c r="G833" s="23"/>
    </row>
    <row r="834" spans="3:7" x14ac:dyDescent="0.3">
      <c r="C834" s="6"/>
      <c r="E834" s="23"/>
      <c r="G834" s="23"/>
    </row>
    <row r="835" spans="3:7" x14ac:dyDescent="0.3">
      <c r="C835" s="6"/>
      <c r="E835" s="23"/>
      <c r="G835" s="23"/>
    </row>
    <row r="836" spans="3:7" x14ac:dyDescent="0.3">
      <c r="C836" s="6"/>
      <c r="E836" s="23"/>
      <c r="G836" s="23"/>
    </row>
    <row r="837" spans="3:7" x14ac:dyDescent="0.3">
      <c r="C837" s="6"/>
      <c r="E837" s="23"/>
      <c r="G837" s="23"/>
    </row>
    <row r="838" spans="3:7" x14ac:dyDescent="0.3">
      <c r="C838" s="6"/>
      <c r="E838" s="23"/>
      <c r="G838" s="23"/>
    </row>
    <row r="839" spans="3:7" x14ac:dyDescent="0.3">
      <c r="C839" s="6"/>
      <c r="E839" s="23"/>
      <c r="G839" s="23"/>
    </row>
    <row r="840" spans="3:7" x14ac:dyDescent="0.3">
      <c r="C840" s="6"/>
      <c r="E840" s="23"/>
      <c r="G840" s="23"/>
    </row>
    <row r="841" spans="3:7" x14ac:dyDescent="0.3">
      <c r="C841" s="6"/>
      <c r="E841" s="23"/>
      <c r="G841" s="23"/>
    </row>
    <row r="842" spans="3:7" x14ac:dyDescent="0.3">
      <c r="C842" s="6"/>
      <c r="E842" s="23"/>
      <c r="G842" s="23"/>
    </row>
    <row r="843" spans="3:7" x14ac:dyDescent="0.3">
      <c r="C843" s="6"/>
      <c r="E843" s="23"/>
      <c r="G843" s="23"/>
    </row>
    <row r="844" spans="3:7" x14ac:dyDescent="0.3">
      <c r="C844" s="6"/>
      <c r="E844" s="23"/>
      <c r="G844" s="23"/>
    </row>
    <row r="845" spans="3:7" x14ac:dyDescent="0.3">
      <c r="C845" s="6"/>
      <c r="E845" s="23"/>
      <c r="G845" s="23"/>
    </row>
    <row r="846" spans="3:7" x14ac:dyDescent="0.3">
      <c r="C846" s="6"/>
      <c r="E846" s="23"/>
      <c r="G846" s="23"/>
    </row>
    <row r="847" spans="3:7" x14ac:dyDescent="0.3">
      <c r="C847" s="6"/>
      <c r="E847" s="23"/>
      <c r="G847" s="23"/>
    </row>
    <row r="848" spans="3:7" x14ac:dyDescent="0.3">
      <c r="C848" s="6"/>
      <c r="E848" s="23"/>
      <c r="G848" s="23"/>
    </row>
    <row r="849" spans="3:7" x14ac:dyDescent="0.3">
      <c r="C849" s="6"/>
      <c r="E849" s="23"/>
      <c r="G849" s="23"/>
    </row>
    <row r="850" spans="3:7" x14ac:dyDescent="0.3">
      <c r="C850" s="6"/>
      <c r="E850" s="23"/>
      <c r="G850" s="23"/>
    </row>
    <row r="851" spans="3:7" x14ac:dyDescent="0.3">
      <c r="C851" s="6"/>
      <c r="E851" s="23"/>
      <c r="G851" s="23"/>
    </row>
    <row r="852" spans="3:7" x14ac:dyDescent="0.3">
      <c r="C852" s="6"/>
      <c r="E852" s="23"/>
      <c r="G852" s="23"/>
    </row>
    <row r="853" spans="3:7" x14ac:dyDescent="0.3">
      <c r="C853" s="6"/>
      <c r="E853" s="23"/>
      <c r="G853" s="23"/>
    </row>
    <row r="854" spans="3:7" x14ac:dyDescent="0.3">
      <c r="C854" s="6"/>
      <c r="E854" s="23"/>
      <c r="G854" s="23"/>
    </row>
    <row r="855" spans="3:7" x14ac:dyDescent="0.3">
      <c r="C855" s="6"/>
      <c r="E855" s="23"/>
      <c r="G855" s="23"/>
    </row>
    <row r="856" spans="3:7" x14ac:dyDescent="0.3">
      <c r="C856" s="6"/>
      <c r="E856" s="23"/>
      <c r="G856" s="23"/>
    </row>
    <row r="857" spans="3:7" x14ac:dyDescent="0.3">
      <c r="C857" s="6"/>
      <c r="E857" s="23"/>
      <c r="G857" s="23"/>
    </row>
    <row r="858" spans="3:7" x14ac:dyDescent="0.3">
      <c r="C858" s="6"/>
      <c r="E858" s="23"/>
      <c r="G858" s="23"/>
    </row>
    <row r="859" spans="3:7" x14ac:dyDescent="0.3">
      <c r="C859" s="6"/>
      <c r="E859" s="23"/>
      <c r="G859" s="23"/>
    </row>
    <row r="860" spans="3:7" x14ac:dyDescent="0.3">
      <c r="C860" s="6"/>
      <c r="E860" s="23"/>
      <c r="G860" s="23"/>
    </row>
    <row r="861" spans="3:7" x14ac:dyDescent="0.3">
      <c r="C861" s="6"/>
      <c r="E861" s="23"/>
      <c r="G861" s="23"/>
    </row>
    <row r="862" spans="3:7" x14ac:dyDescent="0.3">
      <c r="C862" s="6"/>
      <c r="E862" s="23"/>
      <c r="G862" s="23"/>
    </row>
    <row r="863" spans="3:7" x14ac:dyDescent="0.3">
      <c r="C863" s="6"/>
      <c r="E863" s="23"/>
      <c r="G863" s="23"/>
    </row>
    <row r="864" spans="3:7" x14ac:dyDescent="0.3">
      <c r="C864" s="6"/>
      <c r="E864" s="23"/>
      <c r="G864" s="23"/>
    </row>
    <row r="865" spans="3:7" x14ac:dyDescent="0.3">
      <c r="C865" s="6"/>
      <c r="E865" s="23"/>
      <c r="G865" s="23"/>
    </row>
    <row r="866" spans="3:7" x14ac:dyDescent="0.3">
      <c r="C866" s="6"/>
      <c r="E866" s="23"/>
      <c r="G866" s="23"/>
    </row>
    <row r="867" spans="3:7" x14ac:dyDescent="0.3">
      <c r="C867" s="6"/>
      <c r="E867" s="23"/>
      <c r="G867" s="23"/>
    </row>
    <row r="868" spans="3:7" x14ac:dyDescent="0.3">
      <c r="C868" s="6"/>
      <c r="E868" s="23"/>
      <c r="G868" s="23"/>
    </row>
    <row r="869" spans="3:7" x14ac:dyDescent="0.3">
      <c r="C869" s="6"/>
      <c r="E869" s="23"/>
      <c r="G869" s="23"/>
    </row>
    <row r="870" spans="3:7" x14ac:dyDescent="0.3">
      <c r="C870" s="6"/>
      <c r="E870" s="23"/>
      <c r="G870" s="23"/>
    </row>
    <row r="871" spans="3:7" x14ac:dyDescent="0.3">
      <c r="C871" s="6"/>
      <c r="E871" s="23"/>
      <c r="G871" s="23"/>
    </row>
    <row r="872" spans="3:7" x14ac:dyDescent="0.3">
      <c r="C872" s="6"/>
      <c r="E872" s="23"/>
      <c r="G872" s="23"/>
    </row>
    <row r="873" spans="3:7" x14ac:dyDescent="0.3">
      <c r="C873" s="6"/>
      <c r="E873" s="23"/>
      <c r="G873" s="23"/>
    </row>
    <row r="874" spans="3:7" x14ac:dyDescent="0.3">
      <c r="C874" s="6"/>
      <c r="E874" s="23"/>
      <c r="G874" s="23"/>
    </row>
    <row r="875" spans="3:7" x14ac:dyDescent="0.3">
      <c r="C875" s="6"/>
      <c r="E875" s="23"/>
      <c r="G875" s="23"/>
    </row>
    <row r="876" spans="3:7" x14ac:dyDescent="0.3">
      <c r="C876" s="6"/>
      <c r="E876" s="23"/>
      <c r="G876" s="23"/>
    </row>
    <row r="877" spans="3:7" x14ac:dyDescent="0.3">
      <c r="C877" s="6"/>
      <c r="E877" s="23"/>
      <c r="G877" s="23"/>
    </row>
    <row r="878" spans="3:7" x14ac:dyDescent="0.3">
      <c r="C878" s="6"/>
      <c r="E878" s="23"/>
      <c r="G878" s="23"/>
    </row>
    <row r="879" spans="3:7" x14ac:dyDescent="0.3">
      <c r="C879" s="6"/>
      <c r="E879" s="23"/>
      <c r="G879" s="23"/>
    </row>
    <row r="880" spans="3:7" x14ac:dyDescent="0.3">
      <c r="C880" s="6"/>
      <c r="E880" s="23"/>
      <c r="G880" s="23"/>
    </row>
    <row r="881" spans="3:7" x14ac:dyDescent="0.3">
      <c r="C881" s="6"/>
      <c r="E881" s="23"/>
      <c r="G881" s="23"/>
    </row>
    <row r="882" spans="3:7" x14ac:dyDescent="0.3">
      <c r="C882" s="6"/>
      <c r="E882" s="23"/>
      <c r="G882" s="23"/>
    </row>
    <row r="883" spans="3:7" x14ac:dyDescent="0.3">
      <c r="C883" s="6"/>
      <c r="E883" s="23"/>
      <c r="G883" s="23"/>
    </row>
    <row r="884" spans="3:7" x14ac:dyDescent="0.3">
      <c r="C884" s="6"/>
      <c r="E884" s="23"/>
      <c r="G884" s="23"/>
    </row>
    <row r="885" spans="3:7" x14ac:dyDescent="0.3">
      <c r="C885" s="6"/>
      <c r="E885" s="23"/>
      <c r="G885" s="23"/>
    </row>
    <row r="886" spans="3:7" x14ac:dyDescent="0.3">
      <c r="C886" s="6"/>
      <c r="E886" s="23"/>
      <c r="G886" s="23"/>
    </row>
    <row r="887" spans="3:7" x14ac:dyDescent="0.3">
      <c r="C887" s="6"/>
      <c r="E887" s="23"/>
      <c r="G887" s="23"/>
    </row>
    <row r="888" spans="3:7" x14ac:dyDescent="0.3">
      <c r="C888" s="6"/>
      <c r="E888" s="23"/>
      <c r="G888" s="23"/>
    </row>
    <row r="889" spans="3:7" x14ac:dyDescent="0.3">
      <c r="C889" s="6"/>
      <c r="E889" s="23"/>
      <c r="G889" s="23"/>
    </row>
    <row r="890" spans="3:7" x14ac:dyDescent="0.3">
      <c r="C890" s="6"/>
      <c r="E890" s="23"/>
      <c r="G890" s="23"/>
    </row>
    <row r="891" spans="3:7" x14ac:dyDescent="0.3">
      <c r="C891" s="6"/>
      <c r="E891" s="23"/>
      <c r="G891" s="23"/>
    </row>
    <row r="892" spans="3:7" x14ac:dyDescent="0.3">
      <c r="C892" s="6"/>
      <c r="E892" s="23"/>
      <c r="G892" s="23"/>
    </row>
    <row r="893" spans="3:7" x14ac:dyDescent="0.3">
      <c r="C893" s="6"/>
      <c r="E893" s="23"/>
      <c r="G893" s="23"/>
    </row>
    <row r="894" spans="3:7" x14ac:dyDescent="0.3">
      <c r="C894" s="6"/>
      <c r="E894" s="23"/>
      <c r="G894" s="23"/>
    </row>
    <row r="895" spans="3:7" x14ac:dyDescent="0.3">
      <c r="C895" s="6"/>
      <c r="E895" s="23"/>
      <c r="G895" s="23"/>
    </row>
    <row r="896" spans="3:7" x14ac:dyDescent="0.3">
      <c r="C896" s="6"/>
      <c r="E896" s="23"/>
      <c r="G896" s="23"/>
    </row>
    <row r="897" spans="3:7" x14ac:dyDescent="0.3">
      <c r="C897" s="6"/>
      <c r="E897" s="23"/>
      <c r="G897" s="23"/>
    </row>
    <row r="898" spans="3:7" x14ac:dyDescent="0.3">
      <c r="C898" s="6"/>
      <c r="E898" s="23"/>
      <c r="G898" s="23"/>
    </row>
    <row r="899" spans="3:7" x14ac:dyDescent="0.3">
      <c r="C899" s="6"/>
      <c r="E899" s="23"/>
      <c r="G899" s="23"/>
    </row>
    <row r="900" spans="3:7" x14ac:dyDescent="0.3">
      <c r="C900" s="6"/>
      <c r="E900" s="23"/>
      <c r="G900" s="23"/>
    </row>
    <row r="901" spans="3:7" x14ac:dyDescent="0.3">
      <c r="C901" s="6"/>
      <c r="E901" s="23"/>
      <c r="G901" s="23"/>
    </row>
    <row r="902" spans="3:7" x14ac:dyDescent="0.3">
      <c r="C902" s="6"/>
      <c r="E902" s="23"/>
      <c r="G902" s="23"/>
    </row>
    <row r="903" spans="3:7" x14ac:dyDescent="0.3">
      <c r="C903" s="6"/>
      <c r="E903" s="23"/>
      <c r="G903" s="23"/>
    </row>
    <row r="904" spans="3:7" x14ac:dyDescent="0.3">
      <c r="C904" s="6"/>
      <c r="E904" s="23"/>
      <c r="G904" s="23"/>
    </row>
    <row r="905" spans="3:7" x14ac:dyDescent="0.3">
      <c r="C905" s="6"/>
      <c r="E905" s="23"/>
      <c r="G905" s="23"/>
    </row>
    <row r="906" spans="3:7" x14ac:dyDescent="0.3">
      <c r="C906" s="6"/>
      <c r="E906" s="23"/>
      <c r="G906" s="23"/>
    </row>
    <row r="907" spans="3:7" x14ac:dyDescent="0.3">
      <c r="C907" s="6"/>
      <c r="E907" s="23"/>
      <c r="G907" s="23"/>
    </row>
    <row r="908" spans="3:7" x14ac:dyDescent="0.3">
      <c r="C908" s="6"/>
      <c r="E908" s="23"/>
      <c r="G908" s="23"/>
    </row>
    <row r="909" spans="3:7" x14ac:dyDescent="0.3">
      <c r="C909" s="6"/>
      <c r="E909" s="23"/>
      <c r="G909" s="23"/>
    </row>
    <row r="910" spans="3:7" x14ac:dyDescent="0.3">
      <c r="C910" s="6"/>
      <c r="E910" s="23"/>
      <c r="G910" s="23"/>
    </row>
    <row r="911" spans="3:7" x14ac:dyDescent="0.3">
      <c r="C911" s="6"/>
      <c r="E911" s="23"/>
      <c r="G911" s="23"/>
    </row>
    <row r="912" spans="3:7" x14ac:dyDescent="0.3">
      <c r="C912" s="6"/>
      <c r="E912" s="23"/>
      <c r="G912" s="23"/>
    </row>
    <row r="913" spans="3:7" x14ac:dyDescent="0.3">
      <c r="C913" s="6"/>
      <c r="E913" s="23"/>
      <c r="G913" s="23"/>
    </row>
    <row r="914" spans="3:7" x14ac:dyDescent="0.3">
      <c r="C914" s="6"/>
      <c r="E914" s="23"/>
      <c r="G914" s="23"/>
    </row>
    <row r="915" spans="3:7" x14ac:dyDescent="0.3">
      <c r="C915" s="6"/>
      <c r="E915" s="23"/>
      <c r="G915" s="23"/>
    </row>
    <row r="916" spans="3:7" x14ac:dyDescent="0.3">
      <c r="C916" s="6"/>
      <c r="E916" s="23"/>
      <c r="G916" s="23"/>
    </row>
    <row r="917" spans="3:7" x14ac:dyDescent="0.3">
      <c r="C917" s="6"/>
      <c r="E917" s="23"/>
      <c r="G917" s="23"/>
    </row>
    <row r="918" spans="3:7" x14ac:dyDescent="0.3">
      <c r="C918" s="6"/>
      <c r="E918" s="23"/>
      <c r="G918" s="23"/>
    </row>
    <row r="919" spans="3:7" x14ac:dyDescent="0.3">
      <c r="C919" s="6"/>
      <c r="E919" s="23"/>
      <c r="G919" s="23"/>
    </row>
    <row r="920" spans="3:7" x14ac:dyDescent="0.3">
      <c r="C920" s="6"/>
      <c r="E920" s="23"/>
      <c r="G920" s="23"/>
    </row>
    <row r="921" spans="3:7" x14ac:dyDescent="0.3">
      <c r="C921" s="6"/>
      <c r="E921" s="23"/>
      <c r="G921" s="23"/>
    </row>
    <row r="922" spans="3:7" x14ac:dyDescent="0.3">
      <c r="C922" s="6"/>
      <c r="E922" s="23"/>
      <c r="G922" s="23"/>
    </row>
    <row r="923" spans="3:7" x14ac:dyDescent="0.3">
      <c r="C923" s="6"/>
      <c r="E923" s="23"/>
      <c r="G923" s="23"/>
    </row>
    <row r="924" spans="3:7" x14ac:dyDescent="0.3">
      <c r="C924" s="6"/>
      <c r="E924" s="23"/>
      <c r="G924" s="23"/>
    </row>
    <row r="925" spans="3:7" x14ac:dyDescent="0.3">
      <c r="C925" s="6"/>
      <c r="E925" s="23"/>
      <c r="G925" s="23"/>
    </row>
    <row r="926" spans="3:7" x14ac:dyDescent="0.3">
      <c r="C926" s="6"/>
      <c r="E926" s="23"/>
      <c r="G926" s="23"/>
    </row>
    <row r="927" spans="3:7" x14ac:dyDescent="0.3">
      <c r="C927" s="6"/>
      <c r="E927" s="23"/>
      <c r="G927" s="23"/>
    </row>
    <row r="928" spans="3:7" x14ac:dyDescent="0.3">
      <c r="C928" s="6"/>
      <c r="E928" s="23"/>
      <c r="G928" s="23"/>
    </row>
    <row r="929" spans="3:7" x14ac:dyDescent="0.3">
      <c r="C929" s="6"/>
      <c r="E929" s="23"/>
      <c r="G929" s="23"/>
    </row>
    <row r="930" spans="3:7" x14ac:dyDescent="0.3">
      <c r="C930" s="6"/>
      <c r="E930" s="23"/>
      <c r="G930" s="23"/>
    </row>
    <row r="931" spans="3:7" x14ac:dyDescent="0.3">
      <c r="C931" s="6"/>
      <c r="E931" s="23"/>
      <c r="G931" s="23"/>
    </row>
    <row r="932" spans="3:7" x14ac:dyDescent="0.3">
      <c r="C932" s="6"/>
      <c r="E932" s="23"/>
      <c r="G932" s="23"/>
    </row>
    <row r="933" spans="3:7" x14ac:dyDescent="0.3">
      <c r="C933" s="6"/>
      <c r="E933" s="23"/>
      <c r="G933" s="23"/>
    </row>
    <row r="934" spans="3:7" x14ac:dyDescent="0.3">
      <c r="C934" s="6"/>
      <c r="E934" s="23"/>
      <c r="G934" s="23"/>
    </row>
    <row r="935" spans="3:7" x14ac:dyDescent="0.3">
      <c r="C935" s="6"/>
      <c r="E935" s="23"/>
      <c r="G935" s="23"/>
    </row>
    <row r="936" spans="3:7" x14ac:dyDescent="0.3">
      <c r="C936" s="6"/>
      <c r="E936" s="23"/>
      <c r="G936" s="23"/>
    </row>
    <row r="937" spans="3:7" x14ac:dyDescent="0.3">
      <c r="C937" s="6"/>
      <c r="E937" s="23"/>
      <c r="G937" s="23"/>
    </row>
    <row r="938" spans="3:7" x14ac:dyDescent="0.3">
      <c r="C938" s="6"/>
      <c r="E938" s="23"/>
      <c r="G938" s="23"/>
    </row>
    <row r="939" spans="3:7" x14ac:dyDescent="0.3">
      <c r="C939" s="6"/>
      <c r="E939" s="23"/>
      <c r="G939" s="23"/>
    </row>
    <row r="940" spans="3:7" x14ac:dyDescent="0.3">
      <c r="C940" s="6"/>
      <c r="E940" s="23"/>
      <c r="G940" s="23"/>
    </row>
    <row r="941" spans="3:7" x14ac:dyDescent="0.3">
      <c r="C941" s="6"/>
      <c r="E941" s="23"/>
      <c r="G941" s="23"/>
    </row>
    <row r="942" spans="3:7" x14ac:dyDescent="0.3">
      <c r="C942" s="6"/>
      <c r="E942" s="23"/>
      <c r="G942" s="23"/>
    </row>
    <row r="943" spans="3:7" x14ac:dyDescent="0.3">
      <c r="C943" s="6"/>
      <c r="E943" s="23"/>
      <c r="G943" s="23"/>
    </row>
    <row r="944" spans="3:7" x14ac:dyDescent="0.3">
      <c r="C944" s="6"/>
      <c r="E944" s="23"/>
      <c r="G944" s="23"/>
    </row>
    <row r="945" spans="3:7" x14ac:dyDescent="0.3">
      <c r="C945" s="6"/>
      <c r="E945" s="23"/>
      <c r="G945" s="23"/>
    </row>
    <row r="946" spans="3:7" x14ac:dyDescent="0.3">
      <c r="C946" s="6"/>
      <c r="E946" s="23"/>
      <c r="G946" s="23"/>
    </row>
    <row r="947" spans="3:7" x14ac:dyDescent="0.3">
      <c r="C947" s="6"/>
      <c r="E947" s="23"/>
      <c r="G947" s="23"/>
    </row>
    <row r="948" spans="3:7" x14ac:dyDescent="0.3">
      <c r="C948" s="6"/>
      <c r="E948" s="23"/>
      <c r="G948" s="23"/>
    </row>
    <row r="949" spans="3:7" x14ac:dyDescent="0.3">
      <c r="C949" s="6"/>
      <c r="E949" s="23"/>
      <c r="G949" s="23"/>
    </row>
    <row r="950" spans="3:7" x14ac:dyDescent="0.3">
      <c r="C950" s="6"/>
      <c r="E950" s="23"/>
      <c r="G950" s="23"/>
    </row>
    <row r="951" spans="3:7" x14ac:dyDescent="0.3">
      <c r="C951" s="6"/>
      <c r="E951" s="23"/>
      <c r="G951" s="23"/>
    </row>
    <row r="952" spans="3:7" x14ac:dyDescent="0.3">
      <c r="C952" s="6"/>
      <c r="E952" s="23"/>
      <c r="G952" s="23"/>
    </row>
    <row r="953" spans="3:7" x14ac:dyDescent="0.3">
      <c r="C953" s="6"/>
      <c r="E953" s="23"/>
      <c r="G953" s="23"/>
    </row>
    <row r="954" spans="3:7" x14ac:dyDescent="0.3">
      <c r="C954" s="6"/>
      <c r="E954" s="23"/>
      <c r="G954" s="23"/>
    </row>
    <row r="955" spans="3:7" x14ac:dyDescent="0.3">
      <c r="C955" s="6"/>
      <c r="E955" s="23"/>
      <c r="G955" s="23"/>
    </row>
    <row r="956" spans="3:7" x14ac:dyDescent="0.3">
      <c r="C956" s="6"/>
      <c r="E956" s="23"/>
      <c r="G956" s="23"/>
    </row>
    <row r="957" spans="3:7" x14ac:dyDescent="0.3">
      <c r="C957" s="6"/>
      <c r="E957" s="23"/>
      <c r="G957" s="23"/>
    </row>
    <row r="958" spans="3:7" x14ac:dyDescent="0.3">
      <c r="C958" s="6"/>
      <c r="E958" s="23"/>
      <c r="G958" s="23"/>
    </row>
    <row r="959" spans="3:7" x14ac:dyDescent="0.3">
      <c r="C959" s="6"/>
      <c r="E959" s="23"/>
      <c r="G959" s="23"/>
    </row>
    <row r="960" spans="3:7" x14ac:dyDescent="0.3">
      <c r="C960" s="6"/>
      <c r="E960" s="23"/>
      <c r="G960" s="23"/>
    </row>
    <row r="961" spans="3:7" x14ac:dyDescent="0.3">
      <c r="C961" s="6"/>
      <c r="E961" s="23"/>
      <c r="G961" s="23"/>
    </row>
    <row r="962" spans="3:7" x14ac:dyDescent="0.3">
      <c r="C962" s="6"/>
      <c r="E962" s="23"/>
      <c r="G962" s="23"/>
    </row>
    <row r="963" spans="3:7" x14ac:dyDescent="0.3">
      <c r="C963" s="6"/>
      <c r="E963" s="23"/>
      <c r="G963" s="23"/>
    </row>
    <row r="964" spans="3:7" x14ac:dyDescent="0.3">
      <c r="C964" s="6"/>
      <c r="E964" s="23"/>
      <c r="G964" s="23"/>
    </row>
    <row r="965" spans="3:7" x14ac:dyDescent="0.3">
      <c r="C965" s="6"/>
      <c r="E965" s="23"/>
      <c r="G965" s="23"/>
    </row>
    <row r="966" spans="3:7" x14ac:dyDescent="0.3">
      <c r="C966" s="6"/>
      <c r="E966" s="23"/>
      <c r="G966" s="23"/>
    </row>
    <row r="967" spans="3:7" x14ac:dyDescent="0.3">
      <c r="C967" s="6"/>
      <c r="E967" s="23"/>
      <c r="G967" s="23"/>
    </row>
    <row r="968" spans="3:7" x14ac:dyDescent="0.3">
      <c r="C968" s="6"/>
      <c r="E968" s="23"/>
      <c r="G968" s="23"/>
    </row>
    <row r="969" spans="3:7" x14ac:dyDescent="0.3">
      <c r="C969" s="6"/>
      <c r="E969" s="23"/>
      <c r="G969" s="23"/>
    </row>
    <row r="970" spans="3:7" x14ac:dyDescent="0.3">
      <c r="C970" s="6"/>
      <c r="E970" s="23"/>
      <c r="G970" s="23"/>
    </row>
    <row r="971" spans="3:7" x14ac:dyDescent="0.3">
      <c r="C971" s="6"/>
      <c r="E971" s="23"/>
      <c r="G971" s="23"/>
    </row>
    <row r="972" spans="3:7" x14ac:dyDescent="0.3">
      <c r="C972" s="6"/>
      <c r="E972" s="23"/>
      <c r="G972" s="23"/>
    </row>
    <row r="973" spans="3:7" x14ac:dyDescent="0.3">
      <c r="C973" s="6"/>
      <c r="E973" s="23"/>
      <c r="G973" s="23"/>
    </row>
    <row r="974" spans="3:7" x14ac:dyDescent="0.3">
      <c r="C974" s="6"/>
      <c r="E974" s="23"/>
      <c r="G974" s="23"/>
    </row>
    <row r="975" spans="3:7" x14ac:dyDescent="0.3">
      <c r="C975" s="6"/>
      <c r="E975" s="23"/>
      <c r="G975" s="23"/>
    </row>
    <row r="976" spans="3:7" x14ac:dyDescent="0.3">
      <c r="C976" s="6"/>
      <c r="E976" s="23"/>
      <c r="G976" s="23"/>
    </row>
    <row r="977" spans="3:7" x14ac:dyDescent="0.3">
      <c r="C977" s="6"/>
      <c r="E977" s="23"/>
      <c r="G977" s="23"/>
    </row>
    <row r="978" spans="3:7" x14ac:dyDescent="0.3">
      <c r="C978" s="6"/>
      <c r="E978" s="23"/>
      <c r="G978" s="23"/>
    </row>
    <row r="979" spans="3:7" x14ac:dyDescent="0.3">
      <c r="C979" s="6"/>
      <c r="E979" s="23"/>
      <c r="G979" s="23"/>
    </row>
    <row r="980" spans="3:7" x14ac:dyDescent="0.3">
      <c r="C980" s="6"/>
      <c r="E980" s="23"/>
      <c r="G980" s="23"/>
    </row>
    <row r="981" spans="3:7" x14ac:dyDescent="0.3">
      <c r="C981" s="6"/>
      <c r="E981" s="23"/>
      <c r="G981" s="23"/>
    </row>
    <row r="982" spans="3:7" x14ac:dyDescent="0.3">
      <c r="C982" s="6"/>
      <c r="E982" s="23"/>
      <c r="G982" s="23"/>
    </row>
    <row r="983" spans="3:7" x14ac:dyDescent="0.3">
      <c r="C983" s="6"/>
      <c r="E983" s="23"/>
      <c r="G983" s="23"/>
    </row>
    <row r="984" spans="3:7" x14ac:dyDescent="0.3">
      <c r="C984" s="6"/>
      <c r="E984" s="23"/>
      <c r="G984" s="23"/>
    </row>
    <row r="985" spans="3:7" x14ac:dyDescent="0.3">
      <c r="C985" s="6"/>
      <c r="E985" s="23"/>
      <c r="G985" s="23"/>
    </row>
    <row r="986" spans="3:7" x14ac:dyDescent="0.3">
      <c r="C986" s="6"/>
      <c r="E986" s="23"/>
      <c r="G986" s="23"/>
    </row>
    <row r="987" spans="3:7" x14ac:dyDescent="0.3">
      <c r="C987" s="6"/>
      <c r="E987" s="23"/>
      <c r="G987" s="23"/>
    </row>
    <row r="988" spans="3:7" x14ac:dyDescent="0.3">
      <c r="C988" s="6"/>
      <c r="E988" s="23"/>
      <c r="G988" s="23"/>
    </row>
    <row r="989" spans="3:7" x14ac:dyDescent="0.3">
      <c r="C989" s="6"/>
      <c r="E989" s="23"/>
      <c r="G989" s="23"/>
    </row>
    <row r="990" spans="3:7" x14ac:dyDescent="0.3">
      <c r="C990" s="6"/>
      <c r="E990" s="23"/>
      <c r="G990" s="23"/>
    </row>
    <row r="991" spans="3:7" x14ac:dyDescent="0.3">
      <c r="C991" s="6"/>
      <c r="E991" s="23"/>
      <c r="G991" s="23"/>
    </row>
    <row r="992" spans="3:7" x14ac:dyDescent="0.3">
      <c r="C992" s="6"/>
      <c r="E992" s="23"/>
      <c r="G992" s="23"/>
    </row>
    <row r="993" spans="3:7" x14ac:dyDescent="0.3">
      <c r="C993" s="6"/>
      <c r="E993" s="23"/>
      <c r="G993" s="23"/>
    </row>
    <row r="994" spans="3:7" x14ac:dyDescent="0.3">
      <c r="C994" s="6"/>
      <c r="E994" s="23"/>
      <c r="G994" s="23"/>
    </row>
    <row r="995" spans="3:7" x14ac:dyDescent="0.3">
      <c r="C995" s="6"/>
      <c r="E995" s="23"/>
      <c r="G995" s="23"/>
    </row>
    <row r="996" spans="3:7" x14ac:dyDescent="0.3">
      <c r="C996" s="6"/>
      <c r="E996" s="23"/>
      <c r="G996" s="23"/>
    </row>
    <row r="997" spans="3:7" x14ac:dyDescent="0.3">
      <c r="C997" s="6"/>
      <c r="E997" s="23"/>
      <c r="G997" s="23"/>
    </row>
    <row r="998" spans="3:7" x14ac:dyDescent="0.3">
      <c r="C998" s="6"/>
      <c r="E998" s="23"/>
      <c r="G998" s="23"/>
    </row>
    <row r="999" spans="3:7" x14ac:dyDescent="0.3">
      <c r="C999" s="6"/>
      <c r="E999" s="23"/>
      <c r="G999" s="23"/>
    </row>
    <row r="1000" spans="3:7" x14ac:dyDescent="0.3">
      <c r="C1000" s="6"/>
      <c r="E1000" s="23"/>
      <c r="G1000" s="23"/>
    </row>
    <row r="1001" spans="3:7" x14ac:dyDescent="0.3">
      <c r="C1001" s="6"/>
      <c r="E1001" s="23"/>
      <c r="G1001" s="23"/>
    </row>
    <row r="1002" spans="3:7" x14ac:dyDescent="0.3">
      <c r="C1002" s="6"/>
      <c r="E1002" s="23"/>
      <c r="G1002" s="23"/>
    </row>
    <row r="1003" spans="3:7" x14ac:dyDescent="0.3">
      <c r="C1003" s="6"/>
      <c r="E1003" s="23"/>
      <c r="G1003" s="23"/>
    </row>
    <row r="1004" spans="3:7" x14ac:dyDescent="0.3">
      <c r="C1004" s="6"/>
      <c r="E1004" s="23"/>
      <c r="G1004" s="23"/>
    </row>
    <row r="1005" spans="3:7" x14ac:dyDescent="0.3">
      <c r="C1005" s="6"/>
      <c r="E1005" s="23"/>
      <c r="G1005" s="23"/>
    </row>
    <row r="1006" spans="3:7" x14ac:dyDescent="0.3">
      <c r="C1006" s="6"/>
      <c r="E1006" s="23"/>
      <c r="G1006" s="23"/>
    </row>
    <row r="1007" spans="3:7" x14ac:dyDescent="0.3">
      <c r="C1007" s="6"/>
      <c r="E1007" s="23"/>
      <c r="G1007" s="23"/>
    </row>
    <row r="1008" spans="3:7" x14ac:dyDescent="0.3">
      <c r="C1008" s="6"/>
      <c r="E1008" s="23"/>
      <c r="G1008" s="23"/>
    </row>
    <row r="1009" spans="3:7" x14ac:dyDescent="0.3">
      <c r="C1009" s="6"/>
      <c r="E1009" s="23"/>
      <c r="G1009" s="23"/>
    </row>
    <row r="1010" spans="3:7" x14ac:dyDescent="0.3">
      <c r="C1010" s="6"/>
      <c r="E1010" s="23"/>
      <c r="G1010" s="23"/>
    </row>
    <row r="1011" spans="3:7" x14ac:dyDescent="0.3">
      <c r="C1011" s="6"/>
      <c r="E1011" s="23"/>
      <c r="G1011" s="23"/>
    </row>
    <row r="1012" spans="3:7" x14ac:dyDescent="0.3">
      <c r="C1012" s="6"/>
      <c r="E1012" s="23"/>
      <c r="G1012" s="23"/>
    </row>
    <row r="1013" spans="3:7" x14ac:dyDescent="0.3">
      <c r="C1013" s="6"/>
      <c r="E1013" s="23"/>
      <c r="G1013" s="23"/>
    </row>
    <row r="1014" spans="3:7" x14ac:dyDescent="0.3">
      <c r="C1014" s="6"/>
      <c r="E1014" s="23"/>
      <c r="G1014" s="23"/>
    </row>
    <row r="1015" spans="3:7" x14ac:dyDescent="0.3">
      <c r="C1015" s="6"/>
      <c r="E1015" s="23"/>
      <c r="G1015" s="23"/>
    </row>
    <row r="1016" spans="3:7" x14ac:dyDescent="0.3">
      <c r="C1016" s="6"/>
      <c r="E1016" s="23"/>
      <c r="G1016" s="23"/>
    </row>
    <row r="1017" spans="3:7" x14ac:dyDescent="0.3">
      <c r="C1017" s="6"/>
      <c r="E1017" s="23"/>
      <c r="G1017" s="23"/>
    </row>
    <row r="1018" spans="3:7" x14ac:dyDescent="0.3">
      <c r="C1018" s="6"/>
      <c r="E1018" s="23"/>
      <c r="G1018" s="23"/>
    </row>
    <row r="1019" spans="3:7" x14ac:dyDescent="0.3">
      <c r="C1019" s="6"/>
      <c r="E1019" s="23"/>
      <c r="G1019" s="23"/>
    </row>
    <row r="1020" spans="3:7" x14ac:dyDescent="0.3">
      <c r="C1020" s="6"/>
      <c r="E1020" s="23"/>
      <c r="G1020" s="23"/>
    </row>
    <row r="1021" spans="3:7" x14ac:dyDescent="0.3">
      <c r="C1021" s="6"/>
      <c r="E1021" s="23"/>
      <c r="G1021" s="23"/>
    </row>
    <row r="1022" spans="3:7" x14ac:dyDescent="0.3">
      <c r="C1022" s="6"/>
      <c r="E1022" s="23"/>
      <c r="G1022" s="23"/>
    </row>
    <row r="1023" spans="3:7" x14ac:dyDescent="0.3">
      <c r="C1023" s="6"/>
      <c r="E1023" s="23"/>
      <c r="G1023" s="23"/>
    </row>
    <row r="1024" spans="3:7" x14ac:dyDescent="0.3">
      <c r="C1024" s="6"/>
      <c r="E1024" s="23"/>
      <c r="G1024" s="23"/>
    </row>
    <row r="1025" spans="3:7" x14ac:dyDescent="0.3">
      <c r="C1025" s="6"/>
      <c r="E1025" s="23"/>
      <c r="G1025" s="23"/>
    </row>
    <row r="1026" spans="3:7" x14ac:dyDescent="0.3">
      <c r="C1026" s="6"/>
      <c r="E1026" s="23"/>
      <c r="G1026" s="23"/>
    </row>
    <row r="1027" spans="3:7" x14ac:dyDescent="0.3">
      <c r="C1027" s="6"/>
      <c r="E1027" s="23"/>
      <c r="G1027" s="23"/>
    </row>
    <row r="1028" spans="3:7" x14ac:dyDescent="0.3">
      <c r="C1028" s="6"/>
      <c r="E1028" s="23"/>
      <c r="G1028" s="23"/>
    </row>
    <row r="1029" spans="3:7" x14ac:dyDescent="0.3">
      <c r="C1029" s="6"/>
      <c r="E1029" s="23"/>
      <c r="G1029" s="23"/>
    </row>
    <row r="1030" spans="3:7" x14ac:dyDescent="0.3">
      <c r="C1030" s="6"/>
      <c r="E1030" s="23"/>
      <c r="G1030" s="23"/>
    </row>
    <row r="1031" spans="3:7" x14ac:dyDescent="0.3">
      <c r="C1031" s="6"/>
      <c r="E1031" s="23"/>
      <c r="G1031" s="23"/>
    </row>
    <row r="1032" spans="3:7" x14ac:dyDescent="0.3">
      <c r="C1032" s="6"/>
      <c r="E1032" s="23"/>
      <c r="G1032" s="23"/>
    </row>
    <row r="1033" spans="3:7" x14ac:dyDescent="0.3">
      <c r="C1033" s="6"/>
      <c r="E1033" s="23"/>
      <c r="G1033" s="23"/>
    </row>
    <row r="1034" spans="3:7" x14ac:dyDescent="0.3">
      <c r="C1034" s="6"/>
      <c r="E1034" s="23"/>
      <c r="G1034" s="23"/>
    </row>
    <row r="1035" spans="3:7" x14ac:dyDescent="0.3">
      <c r="C1035" s="6"/>
      <c r="E1035" s="23"/>
      <c r="G1035" s="23"/>
    </row>
    <row r="1036" spans="3:7" x14ac:dyDescent="0.3">
      <c r="C1036" s="6"/>
      <c r="E1036" s="23"/>
      <c r="G1036" s="23"/>
    </row>
    <row r="1037" spans="3:7" x14ac:dyDescent="0.3">
      <c r="C1037" s="6"/>
      <c r="E1037" s="23"/>
      <c r="G1037" s="23"/>
    </row>
    <row r="1038" spans="3:7" x14ac:dyDescent="0.3">
      <c r="C1038" s="6"/>
      <c r="E1038" s="23"/>
      <c r="G1038" s="23"/>
    </row>
    <row r="1039" spans="3:7" x14ac:dyDescent="0.3">
      <c r="C1039" s="6"/>
      <c r="E1039" s="23"/>
      <c r="G1039" s="23"/>
    </row>
    <row r="1040" spans="3:7" x14ac:dyDescent="0.3">
      <c r="C1040" s="6"/>
      <c r="E1040" s="23"/>
      <c r="G1040" s="23"/>
    </row>
    <row r="1041" spans="3:7" x14ac:dyDescent="0.3">
      <c r="C1041" s="6"/>
      <c r="E1041" s="23"/>
      <c r="G1041" s="23"/>
    </row>
    <row r="1042" spans="3:7" x14ac:dyDescent="0.3">
      <c r="C1042" s="6"/>
      <c r="E1042" s="23"/>
      <c r="G1042" s="23"/>
    </row>
    <row r="1043" spans="3:7" x14ac:dyDescent="0.3">
      <c r="C1043" s="6"/>
      <c r="E1043" s="23"/>
      <c r="G1043" s="23"/>
    </row>
    <row r="1044" spans="3:7" x14ac:dyDescent="0.3">
      <c r="C1044" s="6"/>
      <c r="E1044" s="23"/>
      <c r="G1044" s="23"/>
    </row>
    <row r="1045" spans="3:7" x14ac:dyDescent="0.3">
      <c r="C1045" s="6"/>
      <c r="E1045" s="23"/>
      <c r="G1045" s="23"/>
    </row>
    <row r="1046" spans="3:7" x14ac:dyDescent="0.3">
      <c r="C1046" s="6"/>
      <c r="E1046" s="23"/>
      <c r="G1046" s="23"/>
    </row>
    <row r="1047" spans="3:7" x14ac:dyDescent="0.3">
      <c r="C1047" s="6"/>
      <c r="E1047" s="23"/>
      <c r="G1047" s="23"/>
    </row>
    <row r="1048" spans="3:7" x14ac:dyDescent="0.3">
      <c r="C1048" s="6"/>
      <c r="E1048" s="23"/>
      <c r="G1048" s="23"/>
    </row>
    <row r="1049" spans="3:7" x14ac:dyDescent="0.3">
      <c r="C1049" s="6"/>
      <c r="E1049" s="23"/>
      <c r="G1049" s="23"/>
    </row>
    <row r="1050" spans="3:7" x14ac:dyDescent="0.3">
      <c r="C1050" s="6"/>
      <c r="E1050" s="23"/>
      <c r="G1050" s="23"/>
    </row>
    <row r="1051" spans="3:7" x14ac:dyDescent="0.3">
      <c r="C1051" s="6"/>
      <c r="E1051" s="23"/>
      <c r="G1051" s="23"/>
    </row>
    <row r="1052" spans="3:7" x14ac:dyDescent="0.3">
      <c r="C1052" s="6"/>
      <c r="E1052" s="23"/>
      <c r="G1052" s="23"/>
    </row>
    <row r="1053" spans="3:7" x14ac:dyDescent="0.3">
      <c r="C1053" s="6"/>
      <c r="E1053" s="23"/>
      <c r="G1053" s="23"/>
    </row>
    <row r="1054" spans="3:7" x14ac:dyDescent="0.3">
      <c r="C1054" s="6"/>
      <c r="E1054" s="23"/>
      <c r="G1054" s="23"/>
    </row>
    <row r="1055" spans="3:7" x14ac:dyDescent="0.3">
      <c r="C1055" s="6"/>
      <c r="E1055" s="23"/>
      <c r="G1055" s="23"/>
    </row>
    <row r="1056" spans="3:7" x14ac:dyDescent="0.3">
      <c r="C1056" s="6"/>
      <c r="E1056" s="23"/>
      <c r="G1056" s="23"/>
    </row>
    <row r="1057" spans="3:7" x14ac:dyDescent="0.3">
      <c r="C1057" s="6"/>
      <c r="E1057" s="23"/>
      <c r="G1057" s="23"/>
    </row>
    <row r="1058" spans="3:7" x14ac:dyDescent="0.3">
      <c r="C1058" s="6"/>
      <c r="E1058" s="23"/>
      <c r="G1058" s="23"/>
    </row>
    <row r="1059" spans="3:7" x14ac:dyDescent="0.3">
      <c r="C1059" s="6"/>
      <c r="E1059" s="23"/>
      <c r="G1059" s="23"/>
    </row>
    <row r="1060" spans="3:7" x14ac:dyDescent="0.3">
      <c r="C1060" s="6"/>
      <c r="E1060" s="23"/>
      <c r="G1060" s="23"/>
    </row>
    <row r="1061" spans="3:7" x14ac:dyDescent="0.3">
      <c r="C1061" s="6"/>
      <c r="E1061" s="23"/>
      <c r="G1061" s="23"/>
    </row>
    <row r="1062" spans="3:7" x14ac:dyDescent="0.3">
      <c r="C1062" s="6"/>
      <c r="E1062" s="23"/>
      <c r="G1062" s="23"/>
    </row>
    <row r="1063" spans="3:7" x14ac:dyDescent="0.3">
      <c r="C1063" s="6"/>
      <c r="E1063" s="23"/>
      <c r="G1063" s="23"/>
    </row>
    <row r="1064" spans="3:7" x14ac:dyDescent="0.3">
      <c r="C1064" s="6"/>
      <c r="E1064" s="23"/>
      <c r="G1064" s="23"/>
    </row>
    <row r="1065" spans="3:7" x14ac:dyDescent="0.3">
      <c r="C1065" s="6"/>
      <c r="E1065" s="23"/>
      <c r="G1065" s="23"/>
    </row>
    <row r="1066" spans="3:7" x14ac:dyDescent="0.3">
      <c r="C1066" s="6"/>
      <c r="E1066" s="23"/>
      <c r="G1066" s="23"/>
    </row>
    <row r="1067" spans="3:7" x14ac:dyDescent="0.3">
      <c r="C1067" s="6"/>
      <c r="E1067" s="23"/>
      <c r="G1067" s="23"/>
    </row>
    <row r="1068" spans="3:7" x14ac:dyDescent="0.3">
      <c r="C1068" s="6"/>
      <c r="E1068" s="23"/>
      <c r="G1068" s="23"/>
    </row>
    <row r="1069" spans="3:7" x14ac:dyDescent="0.3">
      <c r="C1069" s="6"/>
      <c r="E1069" s="23"/>
      <c r="G1069" s="23"/>
    </row>
    <row r="1070" spans="3:7" x14ac:dyDescent="0.3">
      <c r="C1070" s="6"/>
      <c r="E1070" s="23"/>
      <c r="G1070" s="23"/>
    </row>
    <row r="1071" spans="3:7" x14ac:dyDescent="0.3">
      <c r="C1071" s="6"/>
      <c r="E1071" s="23"/>
      <c r="G1071" s="23"/>
    </row>
    <row r="1072" spans="3:7" x14ac:dyDescent="0.3">
      <c r="C1072" s="6"/>
      <c r="E1072" s="23"/>
      <c r="G1072" s="23"/>
    </row>
    <row r="1073" spans="3:7" x14ac:dyDescent="0.3">
      <c r="C1073" s="6"/>
      <c r="E1073" s="23"/>
      <c r="G1073" s="23"/>
    </row>
    <row r="1074" spans="3:7" x14ac:dyDescent="0.3">
      <c r="C1074" s="6"/>
      <c r="E1074" s="23"/>
      <c r="G1074" s="23"/>
    </row>
    <row r="1075" spans="3:7" x14ac:dyDescent="0.3">
      <c r="C1075" s="6"/>
      <c r="E1075" s="23"/>
      <c r="G1075" s="23"/>
    </row>
    <row r="1076" spans="3:7" x14ac:dyDescent="0.3">
      <c r="C1076" s="6"/>
      <c r="E1076" s="23"/>
      <c r="G1076" s="23"/>
    </row>
    <row r="1077" spans="3:7" x14ac:dyDescent="0.3">
      <c r="C1077" s="6"/>
      <c r="E1077" s="23"/>
      <c r="G1077" s="23"/>
    </row>
    <row r="1078" spans="3:7" x14ac:dyDescent="0.3">
      <c r="C1078" s="6"/>
      <c r="E1078" s="23"/>
      <c r="G1078" s="23"/>
    </row>
    <row r="1079" spans="3:7" x14ac:dyDescent="0.3">
      <c r="C1079" s="6"/>
      <c r="E1079" s="23"/>
      <c r="G1079" s="23"/>
    </row>
    <row r="1080" spans="3:7" x14ac:dyDescent="0.3">
      <c r="C1080" s="6"/>
      <c r="E1080" s="23"/>
      <c r="G1080" s="23"/>
    </row>
    <row r="1081" spans="3:7" x14ac:dyDescent="0.3">
      <c r="C1081" s="6"/>
      <c r="E1081" s="23"/>
      <c r="G1081" s="23"/>
    </row>
    <row r="1082" spans="3:7" x14ac:dyDescent="0.3">
      <c r="C1082" s="6"/>
      <c r="E1082" s="23"/>
      <c r="G1082" s="23"/>
    </row>
    <row r="1083" spans="3:7" x14ac:dyDescent="0.3">
      <c r="C1083" s="6"/>
      <c r="E1083" s="23"/>
      <c r="G1083" s="23"/>
    </row>
    <row r="1084" spans="3:7" x14ac:dyDescent="0.3">
      <c r="C1084" s="6"/>
      <c r="E1084" s="23"/>
      <c r="G1084" s="23"/>
    </row>
    <row r="1085" spans="3:7" x14ac:dyDescent="0.3">
      <c r="C1085" s="6"/>
      <c r="E1085" s="23"/>
      <c r="G1085" s="23"/>
    </row>
    <row r="1086" spans="3:7" x14ac:dyDescent="0.3">
      <c r="C1086" s="6"/>
      <c r="E1086" s="23"/>
      <c r="G1086" s="23"/>
    </row>
    <row r="1087" spans="3:7" x14ac:dyDescent="0.3">
      <c r="C1087" s="6"/>
      <c r="E1087" s="23"/>
      <c r="G1087" s="23"/>
    </row>
    <row r="1088" spans="3:7" x14ac:dyDescent="0.3">
      <c r="C1088" s="6"/>
      <c r="E1088" s="23"/>
      <c r="G1088" s="23"/>
    </row>
    <row r="1089" spans="3:7" x14ac:dyDescent="0.3">
      <c r="C1089" s="6"/>
      <c r="E1089" s="23"/>
      <c r="G1089" s="23"/>
    </row>
    <row r="1090" spans="3:7" x14ac:dyDescent="0.3">
      <c r="C1090" s="6"/>
      <c r="E1090" s="23"/>
      <c r="G1090" s="23"/>
    </row>
    <row r="1091" spans="3:7" x14ac:dyDescent="0.3">
      <c r="C1091" s="6"/>
      <c r="E1091" s="23"/>
      <c r="G1091" s="23"/>
    </row>
    <row r="1092" spans="3:7" x14ac:dyDescent="0.3">
      <c r="C1092" s="6"/>
      <c r="E1092" s="23"/>
      <c r="G1092" s="23"/>
    </row>
    <row r="1093" spans="3:7" x14ac:dyDescent="0.3">
      <c r="C1093" s="6"/>
      <c r="E1093" s="23"/>
      <c r="G1093" s="23"/>
    </row>
    <row r="1094" spans="3:7" x14ac:dyDescent="0.3">
      <c r="C1094" s="6"/>
      <c r="E1094" s="23"/>
      <c r="G1094" s="23"/>
    </row>
    <row r="1095" spans="3:7" x14ac:dyDescent="0.3">
      <c r="C1095" s="6"/>
      <c r="E1095" s="23"/>
      <c r="G1095" s="23"/>
    </row>
    <row r="1096" spans="3:7" x14ac:dyDescent="0.3">
      <c r="C1096" s="6"/>
      <c r="E1096" s="23"/>
      <c r="G1096" s="23"/>
    </row>
    <row r="1097" spans="3:7" x14ac:dyDescent="0.3">
      <c r="C1097" s="6"/>
      <c r="E1097" s="23"/>
      <c r="G1097" s="23"/>
    </row>
    <row r="1098" spans="3:7" x14ac:dyDescent="0.3">
      <c r="C1098" s="6"/>
      <c r="E1098" s="23"/>
      <c r="G1098" s="23"/>
    </row>
    <row r="1099" spans="3:7" x14ac:dyDescent="0.3">
      <c r="C1099" s="6"/>
      <c r="E1099" s="23"/>
      <c r="G1099" s="23"/>
    </row>
    <row r="1100" spans="3:7" x14ac:dyDescent="0.3">
      <c r="C1100" s="6"/>
      <c r="E1100" s="23"/>
      <c r="G1100" s="23"/>
    </row>
    <row r="1101" spans="3:7" x14ac:dyDescent="0.3">
      <c r="C1101" s="6"/>
      <c r="E1101" s="23"/>
      <c r="G1101" s="23"/>
    </row>
    <row r="1102" spans="3:7" x14ac:dyDescent="0.3">
      <c r="C1102" s="6"/>
      <c r="E1102" s="23"/>
      <c r="G1102" s="23"/>
    </row>
    <row r="1103" spans="3:7" x14ac:dyDescent="0.3">
      <c r="C1103" s="6"/>
      <c r="E1103" s="23"/>
      <c r="G1103" s="23"/>
    </row>
    <row r="1104" spans="3:7" x14ac:dyDescent="0.3">
      <c r="C1104" s="6"/>
      <c r="E1104" s="23"/>
      <c r="G1104" s="23"/>
    </row>
    <row r="1105" spans="3:7" x14ac:dyDescent="0.3">
      <c r="C1105" s="6"/>
      <c r="E1105" s="23"/>
      <c r="G1105" s="23"/>
    </row>
    <row r="1106" spans="3:7" x14ac:dyDescent="0.3">
      <c r="C1106" s="6"/>
      <c r="E1106" s="23"/>
      <c r="G1106" s="23"/>
    </row>
    <row r="1107" spans="3:7" x14ac:dyDescent="0.3">
      <c r="C1107" s="6"/>
      <c r="E1107" s="23"/>
      <c r="G1107" s="23"/>
    </row>
    <row r="1108" spans="3:7" x14ac:dyDescent="0.3">
      <c r="C1108" s="6"/>
      <c r="E1108" s="23"/>
      <c r="G1108" s="23"/>
    </row>
    <row r="1109" spans="3:7" x14ac:dyDescent="0.3">
      <c r="C1109" s="6"/>
      <c r="E1109" s="23"/>
      <c r="G1109" s="23"/>
    </row>
    <row r="1110" spans="3:7" x14ac:dyDescent="0.3">
      <c r="C1110" s="6"/>
      <c r="E1110" s="23"/>
      <c r="G1110" s="23"/>
    </row>
    <row r="1111" spans="3:7" x14ac:dyDescent="0.3">
      <c r="C1111" s="6"/>
      <c r="E1111" s="23"/>
      <c r="G1111" s="23"/>
    </row>
    <row r="1112" spans="3:7" x14ac:dyDescent="0.3">
      <c r="C1112" s="6"/>
      <c r="E1112" s="23"/>
      <c r="G1112" s="23"/>
    </row>
    <row r="1113" spans="3:7" x14ac:dyDescent="0.3">
      <c r="C1113" s="6"/>
      <c r="E1113" s="23"/>
      <c r="G1113" s="23"/>
    </row>
    <row r="1114" spans="3:7" x14ac:dyDescent="0.3">
      <c r="C1114" s="6"/>
      <c r="E1114" s="23"/>
      <c r="G1114" s="23"/>
    </row>
    <row r="1115" spans="3:7" x14ac:dyDescent="0.3">
      <c r="C1115" s="6"/>
      <c r="E1115" s="23"/>
      <c r="G1115" s="23"/>
    </row>
    <row r="1116" spans="3:7" x14ac:dyDescent="0.3">
      <c r="C1116" s="6"/>
      <c r="E1116" s="23"/>
      <c r="G1116" s="23"/>
    </row>
    <row r="1117" spans="3:7" x14ac:dyDescent="0.3">
      <c r="C1117" s="6"/>
      <c r="E1117" s="23"/>
      <c r="G1117" s="23"/>
    </row>
    <row r="1118" spans="3:7" x14ac:dyDescent="0.3">
      <c r="C1118" s="6"/>
      <c r="E1118" s="23"/>
      <c r="G1118" s="23"/>
    </row>
    <row r="1119" spans="3:7" x14ac:dyDescent="0.3">
      <c r="C1119" s="6"/>
      <c r="E1119" s="23"/>
      <c r="G1119" s="23"/>
    </row>
    <row r="1120" spans="3:7" x14ac:dyDescent="0.3">
      <c r="C1120" s="6"/>
      <c r="E1120" s="23"/>
      <c r="G1120" s="23"/>
    </row>
    <row r="1121" spans="3:7" x14ac:dyDescent="0.3">
      <c r="C1121" s="6"/>
      <c r="E1121" s="23"/>
      <c r="G1121" s="23"/>
    </row>
    <row r="1122" spans="3:7" x14ac:dyDescent="0.3">
      <c r="C1122" s="6"/>
      <c r="E1122" s="23"/>
      <c r="G1122" s="23"/>
    </row>
    <row r="1123" spans="3:7" x14ac:dyDescent="0.3">
      <c r="C1123" s="6"/>
      <c r="E1123" s="23"/>
      <c r="G1123" s="23"/>
    </row>
    <row r="1124" spans="3:7" x14ac:dyDescent="0.3">
      <c r="C1124" s="6"/>
      <c r="E1124" s="23"/>
      <c r="G1124" s="23"/>
    </row>
    <row r="1125" spans="3:7" x14ac:dyDescent="0.3">
      <c r="C1125" s="6"/>
      <c r="E1125" s="23"/>
      <c r="G1125" s="23"/>
    </row>
    <row r="1126" spans="3:7" x14ac:dyDescent="0.3">
      <c r="C1126" s="6"/>
      <c r="E1126" s="23"/>
      <c r="G1126" s="23"/>
    </row>
    <row r="1127" spans="3:7" x14ac:dyDescent="0.3">
      <c r="C1127" s="6"/>
      <c r="E1127" s="23"/>
      <c r="G1127" s="23"/>
    </row>
    <row r="1128" spans="3:7" x14ac:dyDescent="0.3">
      <c r="C1128" s="6"/>
      <c r="E1128" s="23"/>
      <c r="G1128" s="23"/>
    </row>
    <row r="1129" spans="3:7" x14ac:dyDescent="0.3">
      <c r="C1129" s="6"/>
      <c r="E1129" s="23"/>
      <c r="G1129" s="23"/>
    </row>
    <row r="1130" spans="3:7" x14ac:dyDescent="0.3">
      <c r="C1130" s="6"/>
      <c r="E1130" s="23"/>
      <c r="G1130" s="23"/>
    </row>
    <row r="1131" spans="3:7" x14ac:dyDescent="0.3">
      <c r="C1131" s="6"/>
      <c r="E1131" s="23"/>
      <c r="G1131" s="23"/>
    </row>
    <row r="1132" spans="3:7" x14ac:dyDescent="0.3">
      <c r="C1132" s="6"/>
      <c r="E1132" s="23"/>
      <c r="G1132" s="23"/>
    </row>
    <row r="1133" spans="3:7" x14ac:dyDescent="0.3">
      <c r="C1133" s="6"/>
      <c r="E1133" s="23"/>
      <c r="G1133" s="23"/>
    </row>
    <row r="1134" spans="3:7" x14ac:dyDescent="0.3">
      <c r="C1134" s="6"/>
      <c r="E1134" s="23"/>
      <c r="G1134" s="23"/>
    </row>
    <row r="1135" spans="3:7" x14ac:dyDescent="0.3">
      <c r="C1135" s="6"/>
      <c r="E1135" s="23"/>
      <c r="G1135" s="23"/>
    </row>
    <row r="1136" spans="3:7" x14ac:dyDescent="0.3">
      <c r="C1136" s="6"/>
      <c r="E1136" s="23"/>
      <c r="G1136" s="23"/>
    </row>
    <row r="1137" spans="3:7" x14ac:dyDescent="0.3">
      <c r="C1137" s="6"/>
      <c r="E1137" s="23"/>
      <c r="G1137" s="23"/>
    </row>
    <row r="1138" spans="3:7" x14ac:dyDescent="0.3">
      <c r="C1138" s="6"/>
      <c r="E1138" s="23"/>
      <c r="G1138" s="23"/>
    </row>
    <row r="1139" spans="3:7" x14ac:dyDescent="0.3">
      <c r="C1139" s="6"/>
      <c r="E1139" s="23"/>
      <c r="G1139" s="23"/>
    </row>
    <row r="1140" spans="3:7" x14ac:dyDescent="0.3">
      <c r="C1140" s="6"/>
      <c r="E1140" s="23"/>
      <c r="G1140" s="23"/>
    </row>
    <row r="1141" spans="3:7" x14ac:dyDescent="0.3">
      <c r="C1141" s="6"/>
      <c r="E1141" s="23"/>
      <c r="G1141" s="23"/>
    </row>
    <row r="1142" spans="3:7" x14ac:dyDescent="0.3">
      <c r="C1142" s="6"/>
      <c r="E1142" s="23"/>
      <c r="G1142" s="23"/>
    </row>
    <row r="1143" spans="3:7" x14ac:dyDescent="0.3">
      <c r="C1143" s="6"/>
      <c r="E1143" s="23"/>
      <c r="G1143" s="23"/>
    </row>
    <row r="1144" spans="3:7" x14ac:dyDescent="0.3">
      <c r="C1144" s="6"/>
      <c r="E1144" s="23"/>
      <c r="G1144" s="23"/>
    </row>
    <row r="1145" spans="3:7" x14ac:dyDescent="0.3">
      <c r="C1145" s="6"/>
      <c r="E1145" s="23"/>
      <c r="G1145" s="23"/>
    </row>
    <row r="1146" spans="3:7" x14ac:dyDescent="0.3">
      <c r="C1146" s="6"/>
      <c r="E1146" s="23"/>
      <c r="G1146" s="23"/>
    </row>
    <row r="1147" spans="3:7" x14ac:dyDescent="0.3">
      <c r="C1147" s="6"/>
      <c r="E1147" s="23"/>
      <c r="G1147" s="23"/>
    </row>
    <row r="1148" spans="3:7" x14ac:dyDescent="0.3">
      <c r="C1148" s="6"/>
      <c r="E1148" s="23"/>
      <c r="G1148" s="23"/>
    </row>
    <row r="1149" spans="3:7" x14ac:dyDescent="0.3">
      <c r="C1149" s="6"/>
      <c r="E1149" s="23"/>
      <c r="G1149" s="23"/>
    </row>
    <row r="1150" spans="3:7" x14ac:dyDescent="0.3">
      <c r="C1150" s="6"/>
      <c r="E1150" s="23"/>
      <c r="G1150" s="23"/>
    </row>
    <row r="1151" spans="3:7" x14ac:dyDescent="0.3">
      <c r="C1151" s="6"/>
      <c r="E1151" s="23"/>
      <c r="G1151" s="23"/>
    </row>
    <row r="1152" spans="3:7" x14ac:dyDescent="0.3">
      <c r="C1152" s="6"/>
      <c r="E1152" s="23"/>
      <c r="G1152" s="23"/>
    </row>
    <row r="1153" spans="3:7" x14ac:dyDescent="0.3">
      <c r="C1153" s="6"/>
      <c r="E1153" s="23"/>
      <c r="G1153" s="23"/>
    </row>
    <row r="1154" spans="3:7" x14ac:dyDescent="0.3">
      <c r="C1154" s="6"/>
      <c r="E1154" s="23"/>
      <c r="G1154" s="23"/>
    </row>
    <row r="1155" spans="3:7" x14ac:dyDescent="0.3">
      <c r="C1155" s="6"/>
      <c r="E1155" s="23"/>
      <c r="G1155" s="23"/>
    </row>
    <row r="1156" spans="3:7" x14ac:dyDescent="0.3">
      <c r="C1156" s="6"/>
      <c r="E1156" s="23"/>
      <c r="G1156" s="23"/>
    </row>
    <row r="1157" spans="3:7" x14ac:dyDescent="0.3">
      <c r="C1157" s="6"/>
      <c r="E1157" s="23"/>
      <c r="G1157" s="23"/>
    </row>
    <row r="1158" spans="3:7" x14ac:dyDescent="0.3">
      <c r="C1158" s="6"/>
      <c r="E1158" s="23"/>
      <c r="G1158" s="23"/>
    </row>
    <row r="1159" spans="3:7" x14ac:dyDescent="0.3">
      <c r="C1159" s="6"/>
      <c r="E1159" s="23"/>
      <c r="G1159" s="23"/>
    </row>
    <row r="1160" spans="3:7" x14ac:dyDescent="0.3">
      <c r="C1160" s="6"/>
      <c r="E1160" s="23"/>
      <c r="G1160" s="23"/>
    </row>
    <row r="1161" spans="3:7" x14ac:dyDescent="0.3">
      <c r="C1161" s="6"/>
      <c r="E1161" s="23"/>
      <c r="G1161" s="23"/>
    </row>
    <row r="1162" spans="3:7" x14ac:dyDescent="0.3">
      <c r="C1162" s="6"/>
      <c r="E1162" s="23"/>
      <c r="G1162" s="23"/>
    </row>
    <row r="1163" spans="3:7" x14ac:dyDescent="0.3">
      <c r="C1163" s="6"/>
      <c r="E1163" s="23"/>
      <c r="G1163" s="23"/>
    </row>
    <row r="1164" spans="3:7" x14ac:dyDescent="0.3">
      <c r="C1164" s="6"/>
      <c r="E1164" s="23"/>
      <c r="G1164" s="23"/>
    </row>
    <row r="1165" spans="3:7" x14ac:dyDescent="0.3">
      <c r="C1165" s="6"/>
      <c r="E1165" s="23"/>
      <c r="G1165" s="23"/>
    </row>
    <row r="1166" spans="3:7" x14ac:dyDescent="0.3">
      <c r="C1166" s="6"/>
      <c r="E1166" s="23"/>
      <c r="G1166" s="23"/>
    </row>
    <row r="1167" spans="3:7" x14ac:dyDescent="0.3">
      <c r="C1167" s="6"/>
      <c r="E1167" s="23"/>
      <c r="G1167" s="23"/>
    </row>
    <row r="1168" spans="3:7" x14ac:dyDescent="0.3">
      <c r="C1168" s="6"/>
      <c r="E1168" s="23"/>
      <c r="G1168" s="23"/>
    </row>
    <row r="1169" spans="3:7" x14ac:dyDescent="0.3">
      <c r="C1169" s="6"/>
      <c r="E1169" s="23"/>
      <c r="G1169" s="23"/>
    </row>
    <row r="1170" spans="3:7" x14ac:dyDescent="0.3">
      <c r="C1170" s="6"/>
      <c r="E1170" s="23"/>
      <c r="G1170" s="23"/>
    </row>
    <row r="1171" spans="3:7" x14ac:dyDescent="0.3">
      <c r="C1171" s="6"/>
      <c r="E1171" s="23"/>
      <c r="G1171" s="23"/>
    </row>
    <row r="1172" spans="3:7" x14ac:dyDescent="0.3">
      <c r="C1172" s="6"/>
      <c r="E1172" s="23"/>
      <c r="G1172" s="23"/>
    </row>
    <row r="1173" spans="3:7" x14ac:dyDescent="0.3">
      <c r="C1173" s="6"/>
      <c r="E1173" s="23"/>
      <c r="G1173" s="23"/>
    </row>
    <row r="1174" spans="3:7" x14ac:dyDescent="0.3">
      <c r="C1174" s="6"/>
      <c r="E1174" s="23"/>
      <c r="G1174" s="23"/>
    </row>
    <row r="1175" spans="3:7" x14ac:dyDescent="0.3">
      <c r="C1175" s="6"/>
      <c r="E1175" s="23"/>
      <c r="G1175" s="23"/>
    </row>
    <row r="1176" spans="3:7" x14ac:dyDescent="0.3">
      <c r="C1176" s="6"/>
      <c r="E1176" s="23"/>
      <c r="G1176" s="23"/>
    </row>
    <row r="1177" spans="3:7" x14ac:dyDescent="0.3">
      <c r="C1177" s="6"/>
      <c r="E1177" s="23"/>
      <c r="G1177" s="23"/>
    </row>
    <row r="1178" spans="3:7" x14ac:dyDescent="0.3">
      <c r="C1178" s="6"/>
      <c r="E1178" s="23"/>
      <c r="G1178" s="23"/>
    </row>
    <row r="1179" spans="3:7" x14ac:dyDescent="0.3">
      <c r="C1179" s="6"/>
      <c r="E1179" s="23"/>
      <c r="G1179" s="23"/>
    </row>
    <row r="1180" spans="3:7" x14ac:dyDescent="0.3">
      <c r="C1180" s="6"/>
      <c r="E1180" s="23"/>
      <c r="G1180" s="23"/>
    </row>
    <row r="1181" spans="3:7" x14ac:dyDescent="0.3">
      <c r="C1181" s="6"/>
      <c r="E1181" s="23"/>
      <c r="G1181" s="23"/>
    </row>
    <row r="1182" spans="3:7" x14ac:dyDescent="0.3">
      <c r="C1182" s="6"/>
      <c r="E1182" s="23"/>
      <c r="G1182" s="23"/>
    </row>
    <row r="1183" spans="3:7" x14ac:dyDescent="0.3">
      <c r="C1183" s="6"/>
      <c r="E1183" s="23"/>
      <c r="G1183" s="23"/>
    </row>
    <row r="1184" spans="3:7" x14ac:dyDescent="0.3">
      <c r="C1184" s="6"/>
      <c r="E1184" s="23"/>
      <c r="G1184" s="23"/>
    </row>
    <row r="1185" spans="3:7" x14ac:dyDescent="0.3">
      <c r="C1185" s="6"/>
      <c r="E1185" s="23"/>
      <c r="G1185" s="23"/>
    </row>
    <row r="1186" spans="3:7" x14ac:dyDescent="0.3">
      <c r="C1186" s="6"/>
      <c r="E1186" s="23"/>
      <c r="G1186" s="23"/>
    </row>
    <row r="1187" spans="3:7" x14ac:dyDescent="0.3">
      <c r="C1187" s="6"/>
      <c r="E1187" s="23"/>
      <c r="G1187" s="23"/>
    </row>
    <row r="1188" spans="3:7" x14ac:dyDescent="0.3">
      <c r="C1188" s="6"/>
      <c r="E1188" s="23"/>
      <c r="G1188" s="23"/>
    </row>
    <row r="1189" spans="3:7" x14ac:dyDescent="0.3">
      <c r="C1189" s="6"/>
      <c r="E1189" s="23"/>
      <c r="G1189" s="23"/>
    </row>
    <row r="1190" spans="3:7" x14ac:dyDescent="0.3">
      <c r="C1190" s="6"/>
      <c r="E1190" s="23"/>
      <c r="G1190" s="23"/>
    </row>
    <row r="1191" spans="3:7" x14ac:dyDescent="0.3">
      <c r="C1191" s="6"/>
      <c r="E1191" s="23"/>
      <c r="G1191" s="23"/>
    </row>
    <row r="1192" spans="3:7" x14ac:dyDescent="0.3">
      <c r="C1192" s="6"/>
      <c r="E1192" s="23"/>
      <c r="G1192" s="23"/>
    </row>
    <row r="1193" spans="3:7" x14ac:dyDescent="0.3">
      <c r="C1193" s="6"/>
      <c r="E1193" s="23"/>
      <c r="G1193" s="23"/>
    </row>
    <row r="1194" spans="3:7" x14ac:dyDescent="0.3">
      <c r="C1194" s="6"/>
      <c r="E1194" s="23"/>
      <c r="G1194" s="23"/>
    </row>
    <row r="1195" spans="3:7" x14ac:dyDescent="0.3">
      <c r="C1195" s="6"/>
      <c r="E1195" s="23"/>
      <c r="G1195" s="23"/>
    </row>
    <row r="1196" spans="3:7" x14ac:dyDescent="0.3">
      <c r="C1196" s="6"/>
      <c r="E1196" s="23"/>
      <c r="G1196" s="23"/>
    </row>
    <row r="1197" spans="3:7" x14ac:dyDescent="0.3">
      <c r="C1197" s="6"/>
      <c r="E1197" s="23"/>
      <c r="G1197" s="23"/>
    </row>
    <row r="1198" spans="3:7" x14ac:dyDescent="0.3">
      <c r="C1198" s="6"/>
      <c r="E1198" s="23"/>
      <c r="G1198" s="23"/>
    </row>
    <row r="1199" spans="3:7" x14ac:dyDescent="0.3">
      <c r="C1199" s="6"/>
      <c r="E1199" s="23"/>
      <c r="G1199" s="23"/>
    </row>
    <row r="1200" spans="3:7" x14ac:dyDescent="0.3">
      <c r="C1200" s="6"/>
      <c r="E1200" s="23"/>
      <c r="G1200" s="23"/>
    </row>
    <row r="1201" spans="3:7" x14ac:dyDescent="0.3">
      <c r="C1201" s="6"/>
      <c r="E1201" s="23"/>
      <c r="G1201" s="23"/>
    </row>
    <row r="1202" spans="3:7" x14ac:dyDescent="0.3">
      <c r="C1202" s="6"/>
      <c r="E1202" s="23"/>
      <c r="G1202" s="23"/>
    </row>
    <row r="1203" spans="3:7" x14ac:dyDescent="0.3">
      <c r="C1203" s="6"/>
      <c r="E1203" s="23"/>
      <c r="G1203" s="23"/>
    </row>
    <row r="1204" spans="3:7" x14ac:dyDescent="0.3">
      <c r="C1204" s="6"/>
      <c r="E1204" s="23"/>
      <c r="G1204" s="23"/>
    </row>
    <row r="1205" spans="3:7" x14ac:dyDescent="0.3">
      <c r="C1205" s="6"/>
      <c r="E1205" s="23"/>
      <c r="G1205" s="23"/>
    </row>
    <row r="1206" spans="3:7" x14ac:dyDescent="0.3">
      <c r="C1206" s="6"/>
      <c r="E1206" s="23"/>
      <c r="G1206" s="23"/>
    </row>
    <row r="1207" spans="3:7" x14ac:dyDescent="0.3">
      <c r="C1207" s="6"/>
      <c r="E1207" s="23"/>
      <c r="G1207" s="23"/>
    </row>
    <row r="1208" spans="3:7" x14ac:dyDescent="0.3">
      <c r="C1208" s="6"/>
      <c r="E1208" s="23"/>
      <c r="G1208" s="23"/>
    </row>
    <row r="1209" spans="3:7" x14ac:dyDescent="0.3">
      <c r="C1209" s="6"/>
      <c r="E1209" s="23"/>
      <c r="G1209" s="23"/>
    </row>
    <row r="1210" spans="3:7" x14ac:dyDescent="0.3">
      <c r="C1210" s="6"/>
      <c r="E1210" s="23"/>
      <c r="G1210" s="23"/>
    </row>
    <row r="1211" spans="3:7" x14ac:dyDescent="0.3">
      <c r="C1211" s="6"/>
      <c r="E1211" s="23"/>
      <c r="G1211" s="23"/>
    </row>
    <row r="1212" spans="3:7" x14ac:dyDescent="0.3">
      <c r="C1212" s="6"/>
      <c r="E1212" s="23"/>
      <c r="G1212" s="23"/>
    </row>
    <row r="1213" spans="3:7" x14ac:dyDescent="0.3">
      <c r="C1213" s="6"/>
      <c r="E1213" s="23"/>
      <c r="G1213" s="23"/>
    </row>
    <row r="1214" spans="3:7" x14ac:dyDescent="0.3">
      <c r="C1214" s="6"/>
      <c r="E1214" s="23"/>
      <c r="G1214" s="23"/>
    </row>
    <row r="1215" spans="3:7" x14ac:dyDescent="0.3">
      <c r="C1215" s="6"/>
      <c r="E1215" s="23"/>
      <c r="G1215" s="23"/>
    </row>
    <row r="1216" spans="3:7" x14ac:dyDescent="0.3">
      <c r="C1216" s="6"/>
      <c r="E1216" s="23"/>
      <c r="G1216" s="23"/>
    </row>
    <row r="1217" spans="3:7" x14ac:dyDescent="0.3">
      <c r="C1217" s="6"/>
      <c r="E1217" s="23"/>
      <c r="G1217" s="23"/>
    </row>
    <row r="1218" spans="3:7" x14ac:dyDescent="0.3">
      <c r="C1218" s="6"/>
      <c r="E1218" s="23"/>
      <c r="G1218" s="23"/>
    </row>
    <row r="1219" spans="3:7" x14ac:dyDescent="0.3">
      <c r="C1219" s="6"/>
      <c r="E1219" s="23"/>
      <c r="G1219" s="23"/>
    </row>
    <row r="1220" spans="3:7" x14ac:dyDescent="0.3">
      <c r="C1220" s="6"/>
      <c r="E1220" s="23"/>
      <c r="G1220" s="23"/>
    </row>
    <row r="1221" spans="3:7" x14ac:dyDescent="0.3">
      <c r="C1221" s="6"/>
      <c r="E1221" s="23"/>
      <c r="G1221" s="23"/>
    </row>
    <row r="1222" spans="3:7" x14ac:dyDescent="0.3">
      <c r="C1222" s="6"/>
      <c r="E1222" s="23"/>
      <c r="G1222" s="23"/>
    </row>
    <row r="1223" spans="3:7" x14ac:dyDescent="0.3">
      <c r="C1223" s="6"/>
      <c r="E1223" s="23"/>
      <c r="G1223" s="23"/>
    </row>
    <row r="1224" spans="3:7" x14ac:dyDescent="0.3">
      <c r="C1224" s="6"/>
      <c r="E1224" s="23"/>
      <c r="G1224" s="23"/>
    </row>
    <row r="1225" spans="3:7" x14ac:dyDescent="0.3">
      <c r="C1225" s="6"/>
      <c r="E1225" s="23"/>
      <c r="G1225" s="23"/>
    </row>
    <row r="1226" spans="3:7" x14ac:dyDescent="0.3">
      <c r="C1226" s="6"/>
      <c r="E1226" s="23"/>
      <c r="G1226" s="23"/>
    </row>
    <row r="1227" spans="3:7" x14ac:dyDescent="0.3">
      <c r="C1227" s="6"/>
      <c r="E1227" s="23"/>
      <c r="G1227" s="23"/>
    </row>
    <row r="1228" spans="3:7" x14ac:dyDescent="0.3">
      <c r="C1228" s="6"/>
      <c r="E1228" s="23"/>
      <c r="G1228" s="23"/>
    </row>
    <row r="1229" spans="3:7" x14ac:dyDescent="0.3">
      <c r="C1229" s="6"/>
      <c r="E1229" s="23"/>
      <c r="G1229" s="23"/>
    </row>
    <row r="1230" spans="3:7" x14ac:dyDescent="0.3">
      <c r="C1230" s="6"/>
      <c r="E1230" s="23"/>
      <c r="G1230" s="23"/>
    </row>
    <row r="1231" spans="3:7" x14ac:dyDescent="0.3">
      <c r="C1231" s="6"/>
      <c r="E1231" s="23"/>
      <c r="G1231" s="23"/>
    </row>
    <row r="1232" spans="3:7" x14ac:dyDescent="0.3">
      <c r="C1232" s="6"/>
      <c r="E1232" s="23"/>
      <c r="G1232" s="23"/>
    </row>
    <row r="1233" spans="3:7" x14ac:dyDescent="0.3">
      <c r="C1233" s="6"/>
      <c r="E1233" s="23"/>
      <c r="G1233" s="23"/>
    </row>
    <row r="1234" spans="3:7" x14ac:dyDescent="0.3">
      <c r="C1234" s="6"/>
      <c r="E1234" s="23"/>
      <c r="G1234" s="23"/>
    </row>
    <row r="1235" spans="3:7" x14ac:dyDescent="0.3">
      <c r="C1235" s="6"/>
      <c r="E1235" s="23"/>
      <c r="G1235" s="23"/>
    </row>
    <row r="1236" spans="3:7" x14ac:dyDescent="0.3">
      <c r="C1236" s="6"/>
      <c r="E1236" s="23"/>
      <c r="G1236" s="23"/>
    </row>
    <row r="1237" spans="3:7" x14ac:dyDescent="0.3">
      <c r="C1237" s="6"/>
      <c r="E1237" s="23"/>
      <c r="G1237" s="23"/>
    </row>
    <row r="1238" spans="3:7" x14ac:dyDescent="0.3">
      <c r="C1238" s="6"/>
      <c r="E1238" s="23"/>
      <c r="G1238" s="23"/>
    </row>
    <row r="1239" spans="3:7" x14ac:dyDescent="0.3">
      <c r="C1239" s="6"/>
      <c r="E1239" s="23"/>
      <c r="G1239" s="23"/>
    </row>
    <row r="1240" spans="3:7" x14ac:dyDescent="0.3">
      <c r="C1240" s="6"/>
      <c r="E1240" s="23"/>
      <c r="G1240" s="23"/>
    </row>
    <row r="1241" spans="3:7" x14ac:dyDescent="0.3">
      <c r="C1241" s="6"/>
      <c r="E1241" s="23"/>
      <c r="G1241" s="23"/>
    </row>
    <row r="1242" spans="3:7" x14ac:dyDescent="0.3">
      <c r="C1242" s="6"/>
      <c r="E1242" s="23"/>
      <c r="G1242" s="23"/>
    </row>
    <row r="1243" spans="3:7" x14ac:dyDescent="0.3">
      <c r="C1243" s="6"/>
      <c r="E1243" s="23"/>
      <c r="G1243" s="23"/>
    </row>
    <row r="1244" spans="3:7" x14ac:dyDescent="0.3">
      <c r="C1244" s="6"/>
      <c r="E1244" s="23"/>
      <c r="G1244" s="23"/>
    </row>
    <row r="1245" spans="3:7" x14ac:dyDescent="0.3">
      <c r="C1245" s="6"/>
      <c r="E1245" s="23"/>
      <c r="G1245" s="23"/>
    </row>
    <row r="1246" spans="3:7" x14ac:dyDescent="0.3">
      <c r="C1246" s="6"/>
      <c r="E1246" s="23"/>
      <c r="G1246" s="23"/>
    </row>
    <row r="1247" spans="3:7" x14ac:dyDescent="0.3">
      <c r="C1247" s="6"/>
      <c r="E1247" s="23"/>
      <c r="G1247" s="23"/>
    </row>
    <row r="1248" spans="3:7" x14ac:dyDescent="0.3">
      <c r="C1248" s="6"/>
      <c r="E1248" s="23"/>
      <c r="G1248" s="23"/>
    </row>
    <row r="1249" spans="3:7" x14ac:dyDescent="0.3">
      <c r="C1249" s="6"/>
      <c r="E1249" s="23"/>
      <c r="G1249" s="23"/>
    </row>
    <row r="1250" spans="3:7" x14ac:dyDescent="0.3">
      <c r="C1250" s="6"/>
      <c r="E1250" s="23"/>
      <c r="G1250" s="23"/>
    </row>
    <row r="1251" spans="3:7" x14ac:dyDescent="0.3">
      <c r="C1251" s="6"/>
      <c r="E1251" s="23"/>
      <c r="G1251" s="23"/>
    </row>
    <row r="1252" spans="3:7" x14ac:dyDescent="0.3">
      <c r="C1252" s="6"/>
      <c r="E1252" s="23"/>
      <c r="G1252" s="23"/>
    </row>
    <row r="1253" spans="3:7" x14ac:dyDescent="0.3">
      <c r="C1253" s="6"/>
      <c r="E1253" s="23"/>
      <c r="G1253" s="23"/>
    </row>
    <row r="1254" spans="3:7" x14ac:dyDescent="0.3">
      <c r="C1254" s="6"/>
      <c r="E1254" s="23"/>
      <c r="G1254" s="23"/>
    </row>
    <row r="1255" spans="3:7" x14ac:dyDescent="0.3">
      <c r="C1255" s="6"/>
      <c r="E1255" s="23"/>
      <c r="G1255" s="23"/>
    </row>
    <row r="1256" spans="3:7" x14ac:dyDescent="0.3">
      <c r="C1256" s="6"/>
      <c r="E1256" s="23"/>
      <c r="G1256" s="23"/>
    </row>
    <row r="1257" spans="3:7" x14ac:dyDescent="0.3">
      <c r="C1257" s="6"/>
      <c r="E1257" s="23"/>
      <c r="G1257" s="23"/>
    </row>
    <row r="1258" spans="3:7" x14ac:dyDescent="0.3">
      <c r="C1258" s="6"/>
      <c r="E1258" s="23"/>
      <c r="G1258" s="23"/>
    </row>
    <row r="1259" spans="3:7" x14ac:dyDescent="0.3">
      <c r="C1259" s="6"/>
      <c r="E1259" s="23"/>
      <c r="G1259" s="23"/>
    </row>
    <row r="1260" spans="3:7" x14ac:dyDescent="0.3">
      <c r="C1260" s="6"/>
      <c r="E1260" s="23"/>
      <c r="G1260" s="23"/>
    </row>
    <row r="1261" spans="3:7" x14ac:dyDescent="0.3">
      <c r="C1261" s="6"/>
      <c r="E1261" s="23"/>
      <c r="G1261" s="23"/>
    </row>
    <row r="1262" spans="3:7" x14ac:dyDescent="0.3">
      <c r="C1262" s="6"/>
      <c r="E1262" s="23"/>
      <c r="G1262" s="23"/>
    </row>
    <row r="1263" spans="3:7" x14ac:dyDescent="0.3">
      <c r="C1263" s="6"/>
      <c r="E1263" s="23"/>
      <c r="G1263" s="23"/>
    </row>
    <row r="1264" spans="3:7" x14ac:dyDescent="0.3">
      <c r="C1264" s="6"/>
      <c r="E1264" s="23"/>
      <c r="G1264" s="23"/>
    </row>
    <row r="1265" spans="3:7" x14ac:dyDescent="0.3">
      <c r="C1265" s="6"/>
      <c r="E1265" s="23"/>
      <c r="G1265" s="23"/>
    </row>
    <row r="1266" spans="3:7" x14ac:dyDescent="0.3">
      <c r="C1266" s="6"/>
      <c r="E1266" s="23"/>
      <c r="G1266" s="23"/>
    </row>
    <row r="1267" spans="3:7" x14ac:dyDescent="0.3">
      <c r="C1267" s="6"/>
      <c r="E1267" s="23"/>
      <c r="G1267" s="23"/>
    </row>
    <row r="1268" spans="3:7" x14ac:dyDescent="0.3">
      <c r="C1268" s="6"/>
      <c r="E1268" s="23"/>
      <c r="G1268" s="23"/>
    </row>
    <row r="1269" spans="3:7" x14ac:dyDescent="0.3">
      <c r="C1269" s="6"/>
      <c r="E1269" s="23"/>
      <c r="G1269" s="23"/>
    </row>
    <row r="1270" spans="3:7" x14ac:dyDescent="0.3">
      <c r="C1270" s="6"/>
      <c r="E1270" s="23"/>
      <c r="G1270" s="23"/>
    </row>
    <row r="1271" spans="3:7" x14ac:dyDescent="0.3">
      <c r="C1271" s="6"/>
      <c r="E1271" s="23"/>
      <c r="G1271" s="23"/>
    </row>
    <row r="1272" spans="3:7" x14ac:dyDescent="0.3">
      <c r="C1272" s="6"/>
      <c r="E1272" s="23"/>
      <c r="G1272" s="23"/>
    </row>
    <row r="1273" spans="3:7" x14ac:dyDescent="0.3">
      <c r="C1273" s="6"/>
      <c r="E1273" s="23"/>
      <c r="G1273" s="23"/>
    </row>
    <row r="1274" spans="3:7" x14ac:dyDescent="0.3">
      <c r="C1274" s="6"/>
      <c r="E1274" s="23"/>
      <c r="G1274" s="23"/>
    </row>
    <row r="1275" spans="3:7" x14ac:dyDescent="0.3">
      <c r="C1275" s="6"/>
      <c r="E1275" s="23"/>
      <c r="G1275" s="23"/>
    </row>
    <row r="1276" spans="3:7" x14ac:dyDescent="0.3">
      <c r="C1276" s="6"/>
      <c r="E1276" s="23"/>
      <c r="G1276" s="23"/>
    </row>
    <row r="1277" spans="3:7" x14ac:dyDescent="0.3">
      <c r="C1277" s="6"/>
      <c r="E1277" s="23"/>
      <c r="G1277" s="23"/>
    </row>
    <row r="1278" spans="3:7" x14ac:dyDescent="0.3">
      <c r="C1278" s="6"/>
      <c r="E1278" s="23"/>
      <c r="G1278" s="23"/>
    </row>
    <row r="1279" spans="3:7" x14ac:dyDescent="0.3">
      <c r="C1279" s="6"/>
      <c r="E1279" s="23"/>
      <c r="G1279" s="23"/>
    </row>
    <row r="1280" spans="3:7" x14ac:dyDescent="0.3">
      <c r="C1280" s="6"/>
      <c r="E1280" s="23"/>
      <c r="G1280" s="23"/>
    </row>
    <row r="1281" spans="3:7" x14ac:dyDescent="0.3">
      <c r="C1281" s="6"/>
      <c r="E1281" s="23"/>
      <c r="G1281" s="23"/>
    </row>
    <row r="1282" spans="3:7" x14ac:dyDescent="0.3">
      <c r="C1282" s="6"/>
      <c r="E1282" s="23"/>
      <c r="G1282" s="23"/>
    </row>
    <row r="1283" spans="3:7" x14ac:dyDescent="0.3">
      <c r="C1283" s="6"/>
      <c r="E1283" s="23"/>
      <c r="G1283" s="23"/>
    </row>
    <row r="1284" spans="3:7" x14ac:dyDescent="0.3">
      <c r="C1284" s="6"/>
      <c r="E1284" s="23"/>
      <c r="G1284" s="23"/>
    </row>
    <row r="1285" spans="3:7" x14ac:dyDescent="0.3">
      <c r="C1285" s="6"/>
      <c r="E1285" s="23"/>
      <c r="G1285" s="23"/>
    </row>
    <row r="1286" spans="3:7" x14ac:dyDescent="0.3">
      <c r="C1286" s="6"/>
      <c r="E1286" s="23"/>
      <c r="G1286" s="23"/>
    </row>
    <row r="1287" spans="3:7" x14ac:dyDescent="0.3">
      <c r="C1287" s="6"/>
      <c r="E1287" s="23"/>
      <c r="G1287" s="23"/>
    </row>
    <row r="1288" spans="3:7" x14ac:dyDescent="0.3">
      <c r="C1288" s="6"/>
      <c r="E1288" s="23"/>
      <c r="G1288" s="23"/>
    </row>
    <row r="1289" spans="3:7" x14ac:dyDescent="0.3">
      <c r="C1289" s="6"/>
      <c r="E1289" s="23"/>
      <c r="G1289" s="23"/>
    </row>
    <row r="1290" spans="3:7" x14ac:dyDescent="0.3">
      <c r="C1290" s="6"/>
      <c r="E1290" s="23"/>
      <c r="G1290" s="23"/>
    </row>
    <row r="1291" spans="3:7" x14ac:dyDescent="0.3">
      <c r="C1291" s="6"/>
      <c r="E1291" s="23"/>
      <c r="G1291" s="23"/>
    </row>
    <row r="1292" spans="3:7" x14ac:dyDescent="0.3">
      <c r="C1292" s="6"/>
      <c r="E1292" s="23"/>
      <c r="G1292" s="23"/>
    </row>
    <row r="1293" spans="3:7" x14ac:dyDescent="0.3">
      <c r="C1293" s="6"/>
      <c r="E1293" s="23"/>
      <c r="G1293" s="23"/>
    </row>
    <row r="1294" spans="3:7" x14ac:dyDescent="0.3">
      <c r="C1294" s="6"/>
      <c r="E1294" s="23"/>
      <c r="G1294" s="23"/>
    </row>
    <row r="1295" spans="3:7" x14ac:dyDescent="0.3">
      <c r="C1295" s="6"/>
      <c r="E1295" s="23"/>
      <c r="G1295" s="23"/>
    </row>
    <row r="1296" spans="3:7" x14ac:dyDescent="0.3">
      <c r="C1296" s="6"/>
      <c r="E1296" s="23"/>
      <c r="G1296" s="23"/>
    </row>
    <row r="1297" spans="3:7" x14ac:dyDescent="0.3">
      <c r="C1297" s="6"/>
      <c r="E1297" s="23"/>
      <c r="G1297" s="23"/>
    </row>
    <row r="1298" spans="3:7" x14ac:dyDescent="0.3">
      <c r="C1298" s="6"/>
      <c r="E1298" s="23"/>
      <c r="G1298" s="23"/>
    </row>
    <row r="1299" spans="3:7" x14ac:dyDescent="0.3">
      <c r="C1299" s="6"/>
      <c r="E1299" s="23"/>
      <c r="G1299" s="23"/>
    </row>
    <row r="1300" spans="3:7" x14ac:dyDescent="0.3">
      <c r="C1300" s="6"/>
      <c r="E1300" s="23"/>
      <c r="G1300" s="23"/>
    </row>
    <row r="1301" spans="3:7" x14ac:dyDescent="0.3">
      <c r="C1301" s="6"/>
      <c r="E1301" s="23"/>
      <c r="G1301" s="23"/>
    </row>
    <row r="1302" spans="3:7" x14ac:dyDescent="0.3">
      <c r="C1302" s="6"/>
      <c r="E1302" s="23"/>
      <c r="G1302" s="23"/>
    </row>
    <row r="1303" spans="3:7" x14ac:dyDescent="0.3">
      <c r="C1303" s="6"/>
      <c r="E1303" s="23"/>
      <c r="G1303" s="23"/>
    </row>
    <row r="1304" spans="3:7" x14ac:dyDescent="0.3">
      <c r="C1304" s="6"/>
      <c r="E1304" s="23"/>
      <c r="G1304" s="23"/>
    </row>
    <row r="1305" spans="3:7" x14ac:dyDescent="0.3">
      <c r="C1305" s="6"/>
      <c r="E1305" s="23"/>
      <c r="G1305" s="23"/>
    </row>
    <row r="1306" spans="3:7" x14ac:dyDescent="0.3">
      <c r="C1306" s="6"/>
      <c r="E1306" s="23"/>
      <c r="G1306" s="23"/>
    </row>
    <row r="1307" spans="3:7" x14ac:dyDescent="0.3">
      <c r="C1307" s="6"/>
      <c r="E1307" s="23"/>
      <c r="G1307" s="23"/>
    </row>
    <row r="1308" spans="3:7" x14ac:dyDescent="0.3">
      <c r="C1308" s="6"/>
      <c r="E1308" s="23"/>
      <c r="G1308" s="23"/>
    </row>
    <row r="1309" spans="3:7" x14ac:dyDescent="0.3">
      <c r="C1309" s="6"/>
      <c r="E1309" s="23"/>
      <c r="G1309" s="23"/>
    </row>
    <row r="1310" spans="3:7" x14ac:dyDescent="0.3">
      <c r="C1310" s="6"/>
      <c r="E1310" s="23"/>
      <c r="G1310" s="23"/>
    </row>
    <row r="1311" spans="3:7" x14ac:dyDescent="0.3">
      <c r="C1311" s="6"/>
      <c r="E1311" s="23"/>
      <c r="G1311" s="23"/>
    </row>
    <row r="1312" spans="3:7" x14ac:dyDescent="0.3">
      <c r="C1312" s="6"/>
      <c r="E1312" s="23"/>
      <c r="G1312" s="23"/>
    </row>
    <row r="1313" spans="3:7" x14ac:dyDescent="0.3">
      <c r="C1313" s="6"/>
      <c r="E1313" s="23"/>
      <c r="G1313" s="23"/>
    </row>
    <row r="1314" spans="3:7" x14ac:dyDescent="0.3">
      <c r="C1314" s="6"/>
      <c r="E1314" s="23"/>
      <c r="G1314" s="23"/>
    </row>
    <row r="1315" spans="3:7" x14ac:dyDescent="0.3">
      <c r="C1315" s="6"/>
      <c r="E1315" s="23"/>
      <c r="G1315" s="23"/>
    </row>
    <row r="1316" spans="3:7" x14ac:dyDescent="0.3">
      <c r="C1316" s="6"/>
      <c r="E1316" s="23"/>
      <c r="G1316" s="23"/>
    </row>
    <row r="1317" spans="3:7" x14ac:dyDescent="0.3">
      <c r="C1317" s="6"/>
      <c r="E1317" s="23"/>
      <c r="G1317" s="23"/>
    </row>
    <row r="1318" spans="3:7" x14ac:dyDescent="0.3">
      <c r="C1318" s="6"/>
      <c r="E1318" s="23"/>
      <c r="G1318" s="23"/>
    </row>
    <row r="1319" spans="3:7" x14ac:dyDescent="0.3">
      <c r="C1319" s="6"/>
      <c r="E1319" s="23"/>
      <c r="G1319" s="23"/>
    </row>
    <row r="1320" spans="3:7" x14ac:dyDescent="0.3">
      <c r="C1320" s="6"/>
      <c r="E1320" s="23"/>
      <c r="G1320" s="23"/>
    </row>
    <row r="1321" spans="3:7" x14ac:dyDescent="0.3">
      <c r="C1321" s="6"/>
      <c r="E1321" s="23"/>
      <c r="G1321" s="23"/>
    </row>
    <row r="1322" spans="3:7" x14ac:dyDescent="0.3">
      <c r="C1322" s="6"/>
      <c r="E1322" s="23"/>
      <c r="G1322" s="23"/>
    </row>
    <row r="1323" spans="3:7" x14ac:dyDescent="0.3">
      <c r="C1323" s="6"/>
      <c r="E1323" s="23"/>
      <c r="G1323" s="23"/>
    </row>
    <row r="1324" spans="3:7" x14ac:dyDescent="0.3">
      <c r="C1324" s="6"/>
      <c r="E1324" s="23"/>
      <c r="G1324" s="23"/>
    </row>
    <row r="1325" spans="3:7" x14ac:dyDescent="0.3">
      <c r="C1325" s="6"/>
      <c r="E1325" s="23"/>
      <c r="G1325" s="23"/>
    </row>
    <row r="1326" spans="3:7" x14ac:dyDescent="0.3">
      <c r="C1326" s="6"/>
      <c r="E1326" s="23"/>
      <c r="G1326" s="23"/>
    </row>
    <row r="1327" spans="3:7" x14ac:dyDescent="0.3">
      <c r="C1327" s="6"/>
      <c r="E1327" s="23"/>
      <c r="G1327" s="23"/>
    </row>
    <row r="1328" spans="3:7" x14ac:dyDescent="0.3">
      <c r="C1328" s="6"/>
      <c r="E1328" s="23"/>
      <c r="G1328" s="23"/>
    </row>
    <row r="1329" spans="3:7" x14ac:dyDescent="0.3">
      <c r="C1329" s="6"/>
      <c r="E1329" s="23"/>
      <c r="G1329" s="23"/>
    </row>
    <row r="1330" spans="3:7" x14ac:dyDescent="0.3">
      <c r="C1330" s="6"/>
      <c r="E1330" s="23"/>
      <c r="G1330" s="23"/>
    </row>
    <row r="1331" spans="3:7" x14ac:dyDescent="0.3">
      <c r="C1331" s="6"/>
      <c r="E1331" s="23"/>
      <c r="G1331" s="23"/>
    </row>
    <row r="1332" spans="3:7" x14ac:dyDescent="0.3">
      <c r="C1332" s="6"/>
      <c r="E1332" s="23"/>
      <c r="G1332" s="23"/>
    </row>
    <row r="1333" spans="3:7" x14ac:dyDescent="0.3">
      <c r="C1333" s="6"/>
      <c r="E1333" s="23"/>
      <c r="G1333" s="23"/>
    </row>
    <row r="1334" spans="3:7" x14ac:dyDescent="0.3">
      <c r="C1334" s="6"/>
      <c r="E1334" s="23"/>
      <c r="G1334" s="23"/>
    </row>
    <row r="1335" spans="3:7" x14ac:dyDescent="0.3">
      <c r="C1335" s="6"/>
      <c r="E1335" s="23"/>
      <c r="G1335" s="23"/>
    </row>
    <row r="1336" spans="3:7" x14ac:dyDescent="0.3">
      <c r="C1336" s="6"/>
      <c r="E1336" s="23"/>
      <c r="G1336" s="23"/>
    </row>
    <row r="1337" spans="3:7" x14ac:dyDescent="0.3">
      <c r="C1337" s="6"/>
      <c r="E1337" s="23"/>
      <c r="G1337" s="23"/>
    </row>
    <row r="1338" spans="3:7" x14ac:dyDescent="0.3">
      <c r="C1338" s="6"/>
      <c r="E1338" s="23"/>
      <c r="G1338" s="23"/>
    </row>
    <row r="1339" spans="3:7" x14ac:dyDescent="0.3">
      <c r="C1339" s="6"/>
      <c r="E1339" s="23"/>
      <c r="G1339" s="23"/>
    </row>
    <row r="1340" spans="3:7" x14ac:dyDescent="0.3">
      <c r="C1340" s="6"/>
      <c r="E1340" s="23"/>
      <c r="G1340" s="23"/>
    </row>
    <row r="1341" spans="3:7" x14ac:dyDescent="0.3">
      <c r="C1341" s="6"/>
      <c r="E1341" s="23"/>
      <c r="G1341" s="23"/>
    </row>
    <row r="1342" spans="3:7" x14ac:dyDescent="0.3">
      <c r="C1342" s="6"/>
      <c r="E1342" s="23"/>
      <c r="G1342" s="23"/>
    </row>
    <row r="1343" spans="3:7" x14ac:dyDescent="0.3">
      <c r="C1343" s="6"/>
      <c r="E1343" s="23"/>
      <c r="G1343" s="23"/>
    </row>
    <row r="1344" spans="3:7" x14ac:dyDescent="0.3">
      <c r="C1344" s="6"/>
      <c r="E1344" s="23"/>
      <c r="G1344" s="23"/>
    </row>
    <row r="1345" spans="3:7" x14ac:dyDescent="0.3">
      <c r="C1345" s="6"/>
      <c r="E1345" s="23"/>
      <c r="G1345" s="23"/>
    </row>
    <row r="1346" spans="3:7" x14ac:dyDescent="0.3">
      <c r="C1346" s="6"/>
      <c r="E1346" s="23"/>
      <c r="G1346" s="23"/>
    </row>
    <row r="1347" spans="3:7" x14ac:dyDescent="0.3">
      <c r="C1347" s="6"/>
      <c r="E1347" s="23"/>
      <c r="G1347" s="23"/>
    </row>
    <row r="1348" spans="3:7" x14ac:dyDescent="0.3">
      <c r="C1348" s="6"/>
      <c r="E1348" s="23"/>
      <c r="G1348" s="23"/>
    </row>
    <row r="1349" spans="3:7" x14ac:dyDescent="0.3">
      <c r="C1349" s="6"/>
      <c r="E1349" s="23"/>
      <c r="G1349" s="23"/>
    </row>
    <row r="1350" spans="3:7" x14ac:dyDescent="0.3">
      <c r="C1350" s="6"/>
      <c r="E1350" s="23"/>
      <c r="G1350" s="23"/>
    </row>
    <row r="1351" spans="3:7" x14ac:dyDescent="0.3">
      <c r="C1351" s="6"/>
      <c r="E1351" s="23"/>
      <c r="G1351" s="23"/>
    </row>
    <row r="1352" spans="3:7" x14ac:dyDescent="0.3">
      <c r="C1352" s="6"/>
      <c r="E1352" s="23"/>
      <c r="G1352" s="23"/>
    </row>
    <row r="1353" spans="3:7" x14ac:dyDescent="0.3">
      <c r="C1353" s="6"/>
      <c r="E1353" s="23"/>
      <c r="G1353" s="23"/>
    </row>
    <row r="1354" spans="3:7" x14ac:dyDescent="0.3">
      <c r="C1354" s="6"/>
      <c r="E1354" s="23"/>
      <c r="G1354" s="23"/>
    </row>
    <row r="1355" spans="3:7" x14ac:dyDescent="0.3">
      <c r="C1355" s="6"/>
      <c r="E1355" s="23"/>
      <c r="G1355" s="23"/>
    </row>
    <row r="1356" spans="3:7" x14ac:dyDescent="0.3">
      <c r="C1356" s="6"/>
      <c r="E1356" s="23"/>
      <c r="G1356" s="23"/>
    </row>
    <row r="1357" spans="3:7" x14ac:dyDescent="0.3">
      <c r="C1357" s="6"/>
      <c r="E1357" s="23"/>
      <c r="G1357" s="23"/>
    </row>
    <row r="1358" spans="3:7" x14ac:dyDescent="0.3">
      <c r="C1358" s="6"/>
      <c r="E1358" s="23"/>
      <c r="G1358" s="23"/>
    </row>
    <row r="1359" spans="3:7" x14ac:dyDescent="0.3">
      <c r="C1359" s="6"/>
      <c r="E1359" s="23"/>
      <c r="G1359" s="23"/>
    </row>
    <row r="1360" spans="3:7" x14ac:dyDescent="0.3">
      <c r="C1360" s="6"/>
      <c r="E1360" s="23"/>
      <c r="G1360" s="23"/>
    </row>
    <row r="1361" spans="3:7" x14ac:dyDescent="0.3">
      <c r="C1361" s="6"/>
      <c r="E1361" s="23"/>
      <c r="G1361" s="23"/>
    </row>
    <row r="1362" spans="3:7" x14ac:dyDescent="0.3">
      <c r="C1362" s="6"/>
      <c r="E1362" s="23"/>
      <c r="G1362" s="23"/>
    </row>
    <row r="1363" spans="3:7" x14ac:dyDescent="0.3">
      <c r="C1363" s="6"/>
      <c r="E1363" s="23"/>
      <c r="G1363" s="23"/>
    </row>
    <row r="1364" spans="3:7" x14ac:dyDescent="0.3">
      <c r="C1364" s="6"/>
      <c r="E1364" s="23"/>
      <c r="G1364" s="23"/>
    </row>
    <row r="1365" spans="3:7" x14ac:dyDescent="0.3">
      <c r="C1365" s="6"/>
      <c r="E1365" s="23"/>
      <c r="G1365" s="23"/>
    </row>
    <row r="1366" spans="3:7" x14ac:dyDescent="0.3">
      <c r="C1366" s="6"/>
      <c r="E1366" s="23"/>
      <c r="G1366" s="23"/>
    </row>
    <row r="1367" spans="3:7" x14ac:dyDescent="0.3">
      <c r="C1367" s="6"/>
      <c r="E1367" s="23"/>
      <c r="G1367" s="23"/>
    </row>
    <row r="1368" spans="3:7" x14ac:dyDescent="0.3">
      <c r="C1368" s="6"/>
      <c r="E1368" s="23"/>
      <c r="G1368" s="23"/>
    </row>
    <row r="1369" spans="3:7" x14ac:dyDescent="0.3">
      <c r="C1369" s="6"/>
      <c r="E1369" s="23"/>
      <c r="G1369" s="23"/>
    </row>
    <row r="1370" spans="3:7" x14ac:dyDescent="0.3">
      <c r="C1370" s="6"/>
      <c r="E1370" s="23"/>
      <c r="G1370" s="23"/>
    </row>
    <row r="1371" spans="3:7" x14ac:dyDescent="0.3">
      <c r="C1371" s="6"/>
      <c r="E1371" s="23"/>
      <c r="G1371" s="23"/>
    </row>
    <row r="1372" spans="3:7" x14ac:dyDescent="0.3">
      <c r="C1372" s="6"/>
      <c r="E1372" s="23"/>
      <c r="G1372" s="23"/>
    </row>
    <row r="1373" spans="3:7" x14ac:dyDescent="0.3">
      <c r="C1373" s="6"/>
      <c r="E1373" s="23"/>
      <c r="G1373" s="23"/>
    </row>
    <row r="1374" spans="3:7" x14ac:dyDescent="0.3">
      <c r="C1374" s="6"/>
      <c r="E1374" s="23"/>
      <c r="G1374" s="23"/>
    </row>
    <row r="1375" spans="3:7" x14ac:dyDescent="0.3">
      <c r="C1375" s="6"/>
      <c r="E1375" s="23"/>
      <c r="G1375" s="23"/>
    </row>
    <row r="1376" spans="3:7" x14ac:dyDescent="0.3">
      <c r="C1376" s="6"/>
      <c r="E1376" s="23"/>
      <c r="G1376" s="23"/>
    </row>
    <row r="1377" spans="3:7" x14ac:dyDescent="0.3">
      <c r="C1377" s="6"/>
      <c r="E1377" s="23"/>
      <c r="G1377" s="23"/>
    </row>
    <row r="1378" spans="3:7" x14ac:dyDescent="0.3">
      <c r="C1378" s="6"/>
      <c r="E1378" s="23"/>
      <c r="G1378" s="23"/>
    </row>
    <row r="1379" spans="3:7" x14ac:dyDescent="0.3">
      <c r="C1379" s="6"/>
      <c r="E1379" s="23"/>
      <c r="G1379" s="23"/>
    </row>
    <row r="1380" spans="3:7" x14ac:dyDescent="0.3">
      <c r="C1380" s="6"/>
      <c r="E1380" s="23"/>
      <c r="G1380" s="23"/>
    </row>
    <row r="1381" spans="3:7" x14ac:dyDescent="0.3">
      <c r="C1381" s="6"/>
      <c r="E1381" s="23"/>
      <c r="G1381" s="23"/>
    </row>
    <row r="1382" spans="3:7" x14ac:dyDescent="0.3">
      <c r="C1382" s="6"/>
      <c r="E1382" s="23"/>
      <c r="G1382" s="23"/>
    </row>
    <row r="1383" spans="3:7" x14ac:dyDescent="0.3">
      <c r="C1383" s="6"/>
      <c r="E1383" s="23"/>
      <c r="G1383" s="23"/>
    </row>
    <row r="1384" spans="3:7" x14ac:dyDescent="0.3">
      <c r="C1384" s="6"/>
      <c r="E1384" s="23"/>
      <c r="G1384" s="23"/>
    </row>
    <row r="1385" spans="3:7" x14ac:dyDescent="0.3">
      <c r="C1385" s="6"/>
      <c r="E1385" s="23"/>
      <c r="G1385" s="23"/>
    </row>
    <row r="1386" spans="3:7" x14ac:dyDescent="0.3">
      <c r="C1386" s="6"/>
      <c r="E1386" s="23"/>
      <c r="G1386" s="23"/>
    </row>
    <row r="1387" spans="3:7" x14ac:dyDescent="0.3">
      <c r="C1387" s="6"/>
      <c r="E1387" s="23"/>
      <c r="G1387" s="23"/>
    </row>
    <row r="1388" spans="3:7" x14ac:dyDescent="0.3">
      <c r="C1388" s="6"/>
      <c r="E1388" s="23"/>
      <c r="G1388" s="23"/>
    </row>
    <row r="1389" spans="3:7" x14ac:dyDescent="0.3">
      <c r="C1389" s="6"/>
      <c r="E1389" s="23"/>
      <c r="G1389" s="23"/>
    </row>
    <row r="1390" spans="3:7" x14ac:dyDescent="0.3">
      <c r="C1390" s="6"/>
      <c r="E1390" s="23"/>
      <c r="G1390" s="23"/>
    </row>
    <row r="1391" spans="3:7" x14ac:dyDescent="0.3">
      <c r="C1391" s="6"/>
      <c r="E1391" s="23"/>
      <c r="G1391" s="23"/>
    </row>
    <row r="1392" spans="3:7" x14ac:dyDescent="0.3">
      <c r="C1392" s="6"/>
      <c r="E1392" s="23"/>
      <c r="G1392" s="23"/>
    </row>
    <row r="1393" spans="3:7" x14ac:dyDescent="0.3">
      <c r="C1393" s="6"/>
      <c r="E1393" s="23"/>
      <c r="G1393" s="23"/>
    </row>
    <row r="1394" spans="3:7" x14ac:dyDescent="0.3">
      <c r="C1394" s="6"/>
      <c r="E1394" s="23"/>
      <c r="G1394" s="23"/>
    </row>
    <row r="1395" spans="3:7" x14ac:dyDescent="0.3">
      <c r="C1395" s="6"/>
      <c r="E1395" s="23"/>
      <c r="G1395" s="23"/>
    </row>
    <row r="1396" spans="3:7" x14ac:dyDescent="0.3">
      <c r="C1396" s="6"/>
      <c r="E1396" s="23"/>
      <c r="G1396" s="23"/>
    </row>
    <row r="1397" spans="3:7" x14ac:dyDescent="0.3">
      <c r="C1397" s="6"/>
      <c r="E1397" s="23"/>
      <c r="G1397" s="23"/>
    </row>
    <row r="1398" spans="3:7" x14ac:dyDescent="0.3">
      <c r="C1398" s="6"/>
      <c r="E1398" s="23"/>
      <c r="G1398" s="23"/>
    </row>
    <row r="1399" spans="3:7" x14ac:dyDescent="0.3">
      <c r="C1399" s="6"/>
      <c r="E1399" s="23"/>
      <c r="G1399" s="23"/>
    </row>
    <row r="1400" spans="3:7" x14ac:dyDescent="0.3">
      <c r="C1400" s="6"/>
      <c r="E1400" s="23"/>
      <c r="G1400" s="23"/>
    </row>
    <row r="1401" spans="3:7" x14ac:dyDescent="0.3">
      <c r="C1401" s="6"/>
      <c r="E1401" s="23"/>
      <c r="G1401" s="23"/>
    </row>
    <row r="1402" spans="3:7" x14ac:dyDescent="0.3">
      <c r="C1402" s="6"/>
      <c r="E1402" s="23"/>
      <c r="G1402" s="23"/>
    </row>
    <row r="1403" spans="3:7" x14ac:dyDescent="0.3">
      <c r="C1403" s="6"/>
      <c r="E1403" s="23"/>
      <c r="G1403" s="23"/>
    </row>
    <row r="1404" spans="3:7" x14ac:dyDescent="0.3">
      <c r="C1404" s="6"/>
      <c r="E1404" s="23"/>
      <c r="G1404" s="23"/>
    </row>
    <row r="1405" spans="3:7" x14ac:dyDescent="0.3">
      <c r="C1405" s="6"/>
      <c r="E1405" s="23"/>
      <c r="G1405" s="23"/>
    </row>
    <row r="1406" spans="3:7" x14ac:dyDescent="0.3">
      <c r="C1406" s="6"/>
      <c r="E1406" s="23"/>
      <c r="G1406" s="23"/>
    </row>
    <row r="1407" spans="3:7" x14ac:dyDescent="0.3">
      <c r="C1407" s="6"/>
      <c r="E1407" s="23"/>
      <c r="G1407" s="23"/>
    </row>
    <row r="1408" spans="3:7" x14ac:dyDescent="0.3">
      <c r="C1408" s="6"/>
      <c r="E1408" s="23"/>
      <c r="G1408" s="23"/>
    </row>
    <row r="1409" spans="3:7" x14ac:dyDescent="0.3">
      <c r="C1409" s="6"/>
      <c r="E1409" s="23"/>
      <c r="G1409" s="23"/>
    </row>
    <row r="1410" spans="3:7" x14ac:dyDescent="0.3">
      <c r="C1410" s="6"/>
      <c r="E1410" s="23"/>
      <c r="G1410" s="23"/>
    </row>
    <row r="1411" spans="3:7" x14ac:dyDescent="0.3">
      <c r="C1411" s="6"/>
      <c r="E1411" s="23"/>
      <c r="G1411" s="23"/>
    </row>
    <row r="1412" spans="3:7" x14ac:dyDescent="0.3">
      <c r="C1412" s="6"/>
      <c r="E1412" s="23"/>
      <c r="G1412" s="23"/>
    </row>
    <row r="1413" spans="3:7" x14ac:dyDescent="0.3">
      <c r="C1413" s="6"/>
      <c r="E1413" s="23"/>
      <c r="G1413" s="23"/>
    </row>
    <row r="1414" spans="3:7" x14ac:dyDescent="0.3">
      <c r="C1414" s="6"/>
      <c r="E1414" s="23"/>
      <c r="G1414" s="23"/>
    </row>
    <row r="1415" spans="3:7" x14ac:dyDescent="0.3">
      <c r="C1415" s="6"/>
      <c r="E1415" s="23"/>
      <c r="G1415" s="23"/>
    </row>
    <row r="1416" spans="3:7" x14ac:dyDescent="0.3">
      <c r="C1416" s="6"/>
      <c r="E1416" s="23"/>
      <c r="G1416" s="23"/>
    </row>
    <row r="1417" spans="3:7" x14ac:dyDescent="0.3">
      <c r="C1417" s="6"/>
      <c r="E1417" s="23"/>
      <c r="G1417" s="23"/>
    </row>
    <row r="1418" spans="3:7" x14ac:dyDescent="0.3">
      <c r="C1418" s="6"/>
      <c r="E1418" s="23"/>
      <c r="G1418" s="23"/>
    </row>
    <row r="1419" spans="3:7" x14ac:dyDescent="0.3">
      <c r="C1419" s="6"/>
      <c r="E1419" s="23"/>
      <c r="G1419" s="23"/>
    </row>
    <row r="1420" spans="3:7" x14ac:dyDescent="0.3">
      <c r="C1420" s="6"/>
      <c r="E1420" s="23"/>
      <c r="G1420" s="23"/>
    </row>
    <row r="1421" spans="3:7" x14ac:dyDescent="0.3">
      <c r="C1421" s="6"/>
      <c r="E1421" s="23"/>
      <c r="G1421" s="23"/>
    </row>
    <row r="1422" spans="3:7" x14ac:dyDescent="0.3">
      <c r="C1422" s="6"/>
      <c r="E1422" s="23"/>
      <c r="G1422" s="23"/>
    </row>
    <row r="1423" spans="3:7" x14ac:dyDescent="0.3">
      <c r="C1423" s="6"/>
      <c r="E1423" s="23"/>
      <c r="G1423" s="23"/>
    </row>
    <row r="1424" spans="3:7" x14ac:dyDescent="0.3">
      <c r="C1424" s="6"/>
      <c r="E1424" s="23"/>
      <c r="G1424" s="23"/>
    </row>
    <row r="1425" spans="3:7" x14ac:dyDescent="0.3">
      <c r="C1425" s="6"/>
      <c r="E1425" s="23"/>
      <c r="G1425" s="23"/>
    </row>
    <row r="1426" spans="3:7" x14ac:dyDescent="0.3">
      <c r="C1426" s="6"/>
      <c r="E1426" s="23"/>
      <c r="G1426" s="23"/>
    </row>
    <row r="1427" spans="3:7" x14ac:dyDescent="0.3">
      <c r="C1427" s="6"/>
      <c r="E1427" s="23"/>
      <c r="G1427" s="23"/>
    </row>
    <row r="1428" spans="3:7" x14ac:dyDescent="0.3">
      <c r="C1428" s="6"/>
      <c r="E1428" s="23"/>
      <c r="G1428" s="23"/>
    </row>
    <row r="1429" spans="3:7" x14ac:dyDescent="0.3">
      <c r="C1429" s="6"/>
      <c r="E1429" s="23"/>
      <c r="G1429" s="23"/>
    </row>
    <row r="1430" spans="3:7" x14ac:dyDescent="0.3">
      <c r="C1430" s="6"/>
      <c r="E1430" s="23"/>
      <c r="G1430" s="23"/>
    </row>
    <row r="1431" spans="3:7" x14ac:dyDescent="0.3">
      <c r="C1431" s="6"/>
      <c r="E1431" s="23"/>
      <c r="G1431" s="23"/>
    </row>
    <row r="1432" spans="3:7" x14ac:dyDescent="0.3">
      <c r="C1432" s="6"/>
      <c r="E1432" s="23"/>
      <c r="G1432" s="23"/>
    </row>
    <row r="1433" spans="3:7" x14ac:dyDescent="0.3">
      <c r="C1433" s="6"/>
      <c r="E1433" s="23"/>
      <c r="G1433" s="23"/>
    </row>
    <row r="1434" spans="3:7" x14ac:dyDescent="0.3">
      <c r="C1434" s="6"/>
      <c r="E1434" s="23"/>
      <c r="G1434" s="23"/>
    </row>
    <row r="1435" spans="3:7" x14ac:dyDescent="0.3">
      <c r="C1435" s="6"/>
      <c r="E1435" s="23"/>
      <c r="G1435" s="23"/>
    </row>
    <row r="1436" spans="3:7" x14ac:dyDescent="0.3">
      <c r="C1436" s="6"/>
      <c r="E1436" s="23"/>
      <c r="G1436" s="23"/>
    </row>
    <row r="1437" spans="3:7" x14ac:dyDescent="0.3">
      <c r="C1437" s="6"/>
      <c r="E1437" s="23"/>
      <c r="G1437" s="23"/>
    </row>
    <row r="1438" spans="3:7" x14ac:dyDescent="0.3">
      <c r="C1438" s="6"/>
      <c r="E1438" s="23"/>
      <c r="G1438" s="23"/>
    </row>
    <row r="1439" spans="3:7" x14ac:dyDescent="0.3">
      <c r="C1439" s="6"/>
      <c r="E1439" s="23"/>
      <c r="G1439" s="23"/>
    </row>
    <row r="1440" spans="3:7" x14ac:dyDescent="0.3">
      <c r="C1440" s="6"/>
      <c r="E1440" s="23"/>
      <c r="G1440" s="23"/>
    </row>
    <row r="1441" spans="3:7" x14ac:dyDescent="0.3">
      <c r="C1441" s="6"/>
      <c r="E1441" s="23"/>
      <c r="G1441" s="23"/>
    </row>
    <row r="1442" spans="3:7" x14ac:dyDescent="0.3">
      <c r="C1442" s="6"/>
      <c r="E1442" s="23"/>
      <c r="G1442" s="23"/>
    </row>
    <row r="1443" spans="3:7" x14ac:dyDescent="0.3">
      <c r="C1443" s="6"/>
      <c r="E1443" s="23"/>
      <c r="G1443" s="23"/>
    </row>
    <row r="1444" spans="3:7" x14ac:dyDescent="0.3">
      <c r="C1444" s="6"/>
      <c r="E1444" s="23"/>
      <c r="G1444" s="23"/>
    </row>
    <row r="1445" spans="3:7" x14ac:dyDescent="0.3">
      <c r="C1445" s="6"/>
      <c r="E1445" s="23"/>
      <c r="G1445" s="23"/>
    </row>
    <row r="1446" spans="3:7" x14ac:dyDescent="0.3">
      <c r="C1446" s="6"/>
      <c r="E1446" s="23"/>
      <c r="G1446" s="23"/>
    </row>
    <row r="1447" spans="3:7" x14ac:dyDescent="0.3">
      <c r="C1447" s="6"/>
      <c r="E1447" s="23"/>
      <c r="G1447" s="23"/>
    </row>
    <row r="1448" spans="3:7" x14ac:dyDescent="0.3">
      <c r="C1448" s="6"/>
      <c r="E1448" s="23"/>
      <c r="G1448" s="23"/>
    </row>
    <row r="1449" spans="3:7" x14ac:dyDescent="0.3">
      <c r="C1449" s="6"/>
      <c r="E1449" s="23"/>
      <c r="G1449" s="23"/>
    </row>
    <row r="1450" spans="3:7" x14ac:dyDescent="0.3">
      <c r="C1450" s="6"/>
      <c r="E1450" s="23"/>
      <c r="G1450" s="23"/>
    </row>
    <row r="1451" spans="3:7" x14ac:dyDescent="0.3">
      <c r="C1451" s="6"/>
      <c r="E1451" s="23"/>
      <c r="G1451" s="23"/>
    </row>
    <row r="1452" spans="3:7" x14ac:dyDescent="0.3">
      <c r="C1452" s="6"/>
      <c r="E1452" s="23"/>
      <c r="G1452" s="23"/>
    </row>
    <row r="1453" spans="3:7" x14ac:dyDescent="0.3">
      <c r="C1453" s="6"/>
      <c r="E1453" s="23"/>
      <c r="G1453" s="23"/>
    </row>
    <row r="1454" spans="3:7" x14ac:dyDescent="0.3">
      <c r="C1454" s="6"/>
      <c r="E1454" s="23"/>
      <c r="G1454" s="23"/>
    </row>
    <row r="1455" spans="3:7" x14ac:dyDescent="0.3">
      <c r="C1455" s="6"/>
      <c r="E1455" s="23"/>
      <c r="G1455" s="23"/>
    </row>
    <row r="1456" spans="3:7" x14ac:dyDescent="0.3">
      <c r="C1456" s="6"/>
      <c r="E1456" s="23"/>
      <c r="G1456" s="23"/>
    </row>
    <row r="1457" spans="3:7" x14ac:dyDescent="0.3">
      <c r="C1457" s="6"/>
      <c r="E1457" s="23"/>
      <c r="G1457" s="23"/>
    </row>
    <row r="1458" spans="3:7" x14ac:dyDescent="0.3">
      <c r="C1458" s="6"/>
      <c r="E1458" s="23"/>
      <c r="G1458" s="23"/>
    </row>
    <row r="1459" spans="3:7" x14ac:dyDescent="0.3">
      <c r="C1459" s="6"/>
      <c r="E1459" s="23"/>
      <c r="G1459" s="23"/>
    </row>
    <row r="1460" spans="3:7" x14ac:dyDescent="0.3">
      <c r="C1460" s="6"/>
      <c r="E1460" s="23"/>
      <c r="G1460" s="23"/>
    </row>
    <row r="1461" spans="3:7" x14ac:dyDescent="0.3">
      <c r="C1461" s="6"/>
      <c r="E1461" s="23"/>
      <c r="G1461" s="23"/>
    </row>
    <row r="1462" spans="3:7" x14ac:dyDescent="0.3">
      <c r="C1462" s="6"/>
      <c r="E1462" s="23"/>
      <c r="G1462" s="23"/>
    </row>
    <row r="1463" spans="3:7" x14ac:dyDescent="0.3">
      <c r="C1463" s="6"/>
      <c r="E1463" s="23"/>
      <c r="G1463" s="23"/>
    </row>
    <row r="1464" spans="3:7" x14ac:dyDescent="0.3">
      <c r="C1464" s="6"/>
      <c r="E1464" s="23"/>
      <c r="G1464" s="23"/>
    </row>
    <row r="1465" spans="3:7" x14ac:dyDescent="0.3">
      <c r="C1465" s="6"/>
      <c r="E1465" s="23"/>
      <c r="G1465" s="23"/>
    </row>
    <row r="1466" spans="3:7" x14ac:dyDescent="0.3">
      <c r="C1466" s="6"/>
      <c r="E1466" s="23"/>
      <c r="G1466" s="23"/>
    </row>
    <row r="1467" spans="3:7" x14ac:dyDescent="0.3">
      <c r="C1467" s="6"/>
      <c r="E1467" s="23"/>
      <c r="G1467" s="23"/>
    </row>
    <row r="1468" spans="3:7" x14ac:dyDescent="0.3">
      <c r="C1468" s="6"/>
      <c r="E1468" s="23"/>
      <c r="G1468" s="23"/>
    </row>
    <row r="1469" spans="3:7" x14ac:dyDescent="0.3">
      <c r="C1469" s="6"/>
      <c r="E1469" s="23"/>
      <c r="G1469" s="23"/>
    </row>
    <row r="1470" spans="3:7" x14ac:dyDescent="0.3">
      <c r="C1470" s="6"/>
      <c r="E1470" s="23"/>
      <c r="G1470" s="23"/>
    </row>
    <row r="1471" spans="3:7" x14ac:dyDescent="0.3">
      <c r="C1471" s="6"/>
      <c r="E1471" s="23"/>
      <c r="G1471" s="23"/>
    </row>
    <row r="1472" spans="3:7" x14ac:dyDescent="0.3">
      <c r="C1472" s="6"/>
      <c r="E1472" s="23"/>
      <c r="G1472" s="23"/>
    </row>
    <row r="1473" spans="3:7" x14ac:dyDescent="0.3">
      <c r="C1473" s="6"/>
      <c r="E1473" s="23"/>
      <c r="G1473" s="23"/>
    </row>
    <row r="1474" spans="3:7" x14ac:dyDescent="0.3">
      <c r="C1474" s="6"/>
      <c r="E1474" s="23"/>
      <c r="G1474" s="23"/>
    </row>
    <row r="1475" spans="3:7" x14ac:dyDescent="0.3">
      <c r="C1475" s="6"/>
      <c r="E1475" s="23"/>
      <c r="G1475" s="23"/>
    </row>
    <row r="1476" spans="3:7" x14ac:dyDescent="0.3">
      <c r="C1476" s="6"/>
      <c r="E1476" s="23"/>
      <c r="G1476" s="23"/>
    </row>
    <row r="1477" spans="3:7" x14ac:dyDescent="0.3">
      <c r="C1477" s="6"/>
      <c r="E1477" s="23"/>
      <c r="G1477" s="23"/>
    </row>
    <row r="1478" spans="3:7" x14ac:dyDescent="0.3">
      <c r="C1478" s="6"/>
      <c r="E1478" s="23"/>
      <c r="G1478" s="23"/>
    </row>
    <row r="1479" spans="3:7" x14ac:dyDescent="0.3">
      <c r="C1479" s="6"/>
      <c r="E1479" s="23"/>
      <c r="G1479" s="23"/>
    </row>
    <row r="1480" spans="3:7" x14ac:dyDescent="0.3">
      <c r="C1480" s="6"/>
      <c r="E1480" s="23"/>
      <c r="G1480" s="23"/>
    </row>
    <row r="1481" spans="3:7" x14ac:dyDescent="0.3">
      <c r="C1481" s="6"/>
      <c r="E1481" s="23"/>
      <c r="G1481" s="23"/>
    </row>
    <row r="1482" spans="3:7" x14ac:dyDescent="0.3">
      <c r="C1482" s="6"/>
      <c r="E1482" s="23"/>
      <c r="G1482" s="23"/>
    </row>
    <row r="1483" spans="3:7" x14ac:dyDescent="0.3">
      <c r="C1483" s="6"/>
      <c r="E1483" s="23"/>
      <c r="G1483" s="23"/>
    </row>
    <row r="1484" spans="3:7" x14ac:dyDescent="0.3">
      <c r="C1484" s="6"/>
      <c r="E1484" s="23"/>
      <c r="G1484" s="23"/>
    </row>
    <row r="1485" spans="3:7" x14ac:dyDescent="0.3">
      <c r="C1485" s="6"/>
      <c r="E1485" s="23"/>
      <c r="G1485" s="23"/>
    </row>
    <row r="1486" spans="3:7" x14ac:dyDescent="0.3">
      <c r="C1486" s="6"/>
      <c r="E1486" s="23"/>
      <c r="G1486" s="23"/>
    </row>
    <row r="1487" spans="3:7" x14ac:dyDescent="0.3">
      <c r="C1487" s="6"/>
      <c r="E1487" s="23"/>
      <c r="G1487" s="23"/>
    </row>
    <row r="1488" spans="3:7" x14ac:dyDescent="0.3">
      <c r="C1488" s="6"/>
      <c r="E1488" s="23"/>
      <c r="G1488" s="23"/>
    </row>
    <row r="1489" spans="3:7" x14ac:dyDescent="0.3">
      <c r="C1489" s="6"/>
      <c r="E1489" s="23"/>
      <c r="G1489" s="23"/>
    </row>
    <row r="1490" spans="3:7" x14ac:dyDescent="0.3">
      <c r="C1490" s="6"/>
      <c r="E1490" s="23"/>
      <c r="G1490" s="23"/>
    </row>
    <row r="1491" spans="3:7" x14ac:dyDescent="0.3">
      <c r="C1491" s="6"/>
      <c r="E1491" s="23"/>
      <c r="G1491" s="23"/>
    </row>
    <row r="1492" spans="3:7" x14ac:dyDescent="0.3">
      <c r="C1492" s="6"/>
      <c r="E1492" s="23"/>
      <c r="G1492" s="23"/>
    </row>
    <row r="1493" spans="3:7" x14ac:dyDescent="0.3">
      <c r="C1493" s="6"/>
      <c r="E1493" s="23"/>
      <c r="G1493" s="23"/>
    </row>
    <row r="1494" spans="3:7" x14ac:dyDescent="0.3">
      <c r="C1494" s="6"/>
      <c r="E1494" s="23"/>
      <c r="G1494" s="23"/>
    </row>
    <row r="1495" spans="3:7" x14ac:dyDescent="0.3">
      <c r="C1495" s="6"/>
      <c r="E1495" s="23"/>
      <c r="G1495" s="23"/>
    </row>
    <row r="1496" spans="3:7" x14ac:dyDescent="0.3">
      <c r="C1496" s="6"/>
      <c r="E1496" s="23"/>
      <c r="G1496" s="23"/>
    </row>
    <row r="1497" spans="3:7" x14ac:dyDescent="0.3">
      <c r="C1497" s="6"/>
      <c r="E1497" s="23"/>
      <c r="G1497" s="23"/>
    </row>
    <row r="1498" spans="3:7" x14ac:dyDescent="0.3">
      <c r="C1498" s="6"/>
      <c r="E1498" s="23"/>
      <c r="G1498" s="23"/>
    </row>
    <row r="1499" spans="3:7" x14ac:dyDescent="0.3">
      <c r="C1499" s="6"/>
      <c r="E1499" s="23"/>
      <c r="G1499" s="23"/>
    </row>
    <row r="1500" spans="3:7" x14ac:dyDescent="0.3">
      <c r="C1500" s="6"/>
      <c r="E1500" s="23"/>
      <c r="G1500" s="23"/>
    </row>
    <row r="1501" spans="3:7" x14ac:dyDescent="0.3">
      <c r="C1501" s="6"/>
      <c r="E1501" s="23"/>
      <c r="G1501" s="23"/>
    </row>
    <row r="1502" spans="3:7" x14ac:dyDescent="0.3">
      <c r="C1502" s="6"/>
      <c r="E1502" s="23"/>
      <c r="G1502" s="23"/>
    </row>
    <row r="1503" spans="3:7" x14ac:dyDescent="0.3">
      <c r="C1503" s="6"/>
      <c r="E1503" s="23"/>
      <c r="G1503" s="23"/>
    </row>
    <row r="1504" spans="3:7" x14ac:dyDescent="0.3">
      <c r="C1504" s="6"/>
      <c r="E1504" s="23"/>
      <c r="G1504" s="23"/>
    </row>
    <row r="1505" spans="3:7" x14ac:dyDescent="0.3">
      <c r="C1505" s="6"/>
      <c r="E1505" s="23"/>
      <c r="G1505" s="23"/>
    </row>
    <row r="1506" spans="3:7" x14ac:dyDescent="0.3">
      <c r="C1506" s="6"/>
      <c r="E1506" s="23"/>
      <c r="G1506" s="23"/>
    </row>
    <row r="1507" spans="3:7" x14ac:dyDescent="0.3">
      <c r="C1507" s="6"/>
      <c r="E1507" s="23"/>
      <c r="G1507" s="23"/>
    </row>
    <row r="1508" spans="3:7" x14ac:dyDescent="0.3">
      <c r="C1508" s="6"/>
      <c r="E1508" s="23"/>
      <c r="G1508" s="23"/>
    </row>
    <row r="1509" spans="3:7" x14ac:dyDescent="0.3">
      <c r="C1509" s="6"/>
      <c r="E1509" s="23"/>
      <c r="G1509" s="23"/>
    </row>
    <row r="1510" spans="3:7" x14ac:dyDescent="0.3">
      <c r="C1510" s="6"/>
      <c r="E1510" s="23"/>
      <c r="G1510" s="23"/>
    </row>
    <row r="1511" spans="3:7" x14ac:dyDescent="0.3">
      <c r="C1511" s="6"/>
      <c r="E1511" s="23"/>
      <c r="G1511" s="23"/>
    </row>
    <row r="1512" spans="3:7" x14ac:dyDescent="0.3">
      <c r="C1512" s="6"/>
      <c r="E1512" s="23"/>
      <c r="G1512" s="23"/>
    </row>
    <row r="1513" spans="3:7" x14ac:dyDescent="0.3">
      <c r="C1513" s="6"/>
      <c r="E1513" s="23"/>
      <c r="G1513" s="23"/>
    </row>
    <row r="1514" spans="3:7" x14ac:dyDescent="0.3">
      <c r="C1514" s="6"/>
      <c r="E1514" s="23"/>
      <c r="G1514" s="23"/>
    </row>
    <row r="1515" spans="3:7" x14ac:dyDescent="0.3">
      <c r="C1515" s="6"/>
      <c r="E1515" s="23"/>
      <c r="G1515" s="23"/>
    </row>
    <row r="1516" spans="3:7" x14ac:dyDescent="0.3">
      <c r="C1516" s="6"/>
      <c r="E1516" s="23"/>
      <c r="G1516" s="23"/>
    </row>
    <row r="1517" spans="3:7" x14ac:dyDescent="0.3">
      <c r="C1517" s="6"/>
      <c r="E1517" s="23"/>
      <c r="G1517" s="23"/>
    </row>
    <row r="1518" spans="3:7" x14ac:dyDescent="0.3">
      <c r="C1518" s="6"/>
      <c r="E1518" s="23"/>
      <c r="G1518" s="23"/>
    </row>
    <row r="1519" spans="3:7" x14ac:dyDescent="0.3">
      <c r="C1519" s="6"/>
      <c r="E1519" s="23"/>
      <c r="G1519" s="23"/>
    </row>
    <row r="1520" spans="3:7" x14ac:dyDescent="0.3">
      <c r="C1520" s="6"/>
      <c r="E1520" s="23"/>
      <c r="G1520" s="23"/>
    </row>
    <row r="1521" spans="3:7" x14ac:dyDescent="0.3">
      <c r="C1521" s="6"/>
      <c r="E1521" s="23"/>
      <c r="G1521" s="23"/>
    </row>
    <row r="1522" spans="3:7" x14ac:dyDescent="0.3">
      <c r="C1522" s="6"/>
      <c r="E1522" s="23"/>
      <c r="G1522" s="23"/>
    </row>
    <row r="1523" spans="3:7" x14ac:dyDescent="0.3">
      <c r="C1523" s="6"/>
      <c r="E1523" s="23"/>
      <c r="G1523" s="23"/>
    </row>
    <row r="1524" spans="3:7" x14ac:dyDescent="0.3">
      <c r="C1524" s="6"/>
      <c r="E1524" s="23"/>
      <c r="G1524" s="23"/>
    </row>
    <row r="1525" spans="3:7" x14ac:dyDescent="0.3">
      <c r="C1525" s="6"/>
      <c r="E1525" s="23"/>
      <c r="G1525" s="23"/>
    </row>
    <row r="1526" spans="3:7" x14ac:dyDescent="0.3">
      <c r="C1526" s="6"/>
      <c r="E1526" s="23"/>
      <c r="G1526" s="23"/>
    </row>
    <row r="1527" spans="3:7" x14ac:dyDescent="0.3">
      <c r="C1527" s="6"/>
      <c r="E1527" s="23"/>
      <c r="G1527" s="23"/>
    </row>
    <row r="1528" spans="3:7" x14ac:dyDescent="0.3">
      <c r="C1528" s="6"/>
      <c r="E1528" s="23"/>
      <c r="G1528" s="23"/>
    </row>
    <row r="1529" spans="3:7" x14ac:dyDescent="0.3">
      <c r="C1529" s="6"/>
      <c r="E1529" s="23"/>
      <c r="G1529" s="23"/>
    </row>
    <row r="1530" spans="3:7" x14ac:dyDescent="0.3">
      <c r="C1530" s="6"/>
      <c r="E1530" s="23"/>
      <c r="G1530" s="23"/>
    </row>
    <row r="1531" spans="3:7" x14ac:dyDescent="0.3">
      <c r="C1531" s="6"/>
      <c r="E1531" s="23"/>
      <c r="G1531" s="23"/>
    </row>
    <row r="1532" spans="3:7" x14ac:dyDescent="0.3">
      <c r="C1532" s="6"/>
      <c r="E1532" s="23"/>
      <c r="G1532" s="23"/>
    </row>
    <row r="1533" spans="3:7" x14ac:dyDescent="0.3">
      <c r="C1533" s="6"/>
      <c r="E1533" s="23"/>
      <c r="G1533" s="23"/>
    </row>
    <row r="1534" spans="3:7" x14ac:dyDescent="0.3">
      <c r="C1534" s="6"/>
      <c r="E1534" s="23"/>
      <c r="G1534" s="23"/>
    </row>
    <row r="1535" spans="3:7" x14ac:dyDescent="0.3">
      <c r="C1535" s="6"/>
      <c r="E1535" s="23"/>
      <c r="G1535" s="23"/>
    </row>
    <row r="1536" spans="3:7" x14ac:dyDescent="0.3">
      <c r="C1536" s="6"/>
      <c r="E1536" s="23"/>
      <c r="G1536" s="23"/>
    </row>
    <row r="1537" spans="3:7" x14ac:dyDescent="0.3">
      <c r="C1537" s="6"/>
      <c r="E1537" s="23"/>
      <c r="G1537" s="23"/>
    </row>
    <row r="1538" spans="3:7" x14ac:dyDescent="0.3">
      <c r="C1538" s="6"/>
      <c r="E1538" s="23"/>
      <c r="G1538" s="23"/>
    </row>
    <row r="1539" spans="3:7" x14ac:dyDescent="0.3">
      <c r="C1539" s="6"/>
      <c r="E1539" s="23"/>
      <c r="G1539" s="23"/>
    </row>
    <row r="1540" spans="3:7" x14ac:dyDescent="0.3">
      <c r="C1540" s="6"/>
      <c r="E1540" s="23"/>
      <c r="G1540" s="23"/>
    </row>
    <row r="1541" spans="3:7" x14ac:dyDescent="0.3">
      <c r="C1541" s="6"/>
      <c r="E1541" s="23"/>
      <c r="G1541" s="23"/>
    </row>
    <row r="1542" spans="3:7" x14ac:dyDescent="0.3">
      <c r="C1542" s="6"/>
      <c r="E1542" s="23"/>
      <c r="G1542" s="23"/>
    </row>
    <row r="1543" spans="3:7" x14ac:dyDescent="0.3">
      <c r="C1543" s="6"/>
      <c r="E1543" s="23"/>
      <c r="G1543" s="23"/>
    </row>
    <row r="1544" spans="3:7" x14ac:dyDescent="0.3">
      <c r="C1544" s="6"/>
      <c r="E1544" s="23"/>
      <c r="G1544" s="23"/>
    </row>
    <row r="1545" spans="3:7" x14ac:dyDescent="0.3">
      <c r="C1545" s="6"/>
      <c r="E1545" s="23"/>
      <c r="G1545" s="23"/>
    </row>
    <row r="1546" spans="3:7" x14ac:dyDescent="0.3">
      <c r="C1546" s="6"/>
      <c r="E1546" s="23"/>
      <c r="G1546" s="23"/>
    </row>
    <row r="1547" spans="3:7" x14ac:dyDescent="0.3">
      <c r="C1547" s="6"/>
      <c r="E1547" s="23"/>
      <c r="G1547" s="23"/>
    </row>
    <row r="1548" spans="3:7" x14ac:dyDescent="0.3">
      <c r="C1548" s="6"/>
      <c r="E1548" s="23"/>
      <c r="G1548" s="23"/>
    </row>
    <row r="1549" spans="3:7" x14ac:dyDescent="0.3">
      <c r="C1549" s="6"/>
      <c r="E1549" s="23"/>
      <c r="G1549" s="23"/>
    </row>
    <row r="1550" spans="3:7" x14ac:dyDescent="0.3">
      <c r="C1550" s="6"/>
      <c r="E1550" s="23"/>
      <c r="G1550" s="23"/>
    </row>
    <row r="1551" spans="3:7" x14ac:dyDescent="0.3">
      <c r="C1551" s="6"/>
      <c r="E1551" s="23"/>
      <c r="G1551" s="23"/>
    </row>
    <row r="1552" spans="3:7" x14ac:dyDescent="0.3">
      <c r="C1552" s="6"/>
      <c r="E1552" s="23"/>
      <c r="G1552" s="23"/>
    </row>
    <row r="1553" spans="3:7" x14ac:dyDescent="0.3">
      <c r="C1553" s="6"/>
      <c r="E1553" s="23"/>
      <c r="G1553" s="23"/>
    </row>
    <row r="1554" spans="3:7" x14ac:dyDescent="0.3">
      <c r="C1554" s="6"/>
      <c r="E1554" s="23"/>
      <c r="G1554" s="23"/>
    </row>
    <row r="1555" spans="3:7" x14ac:dyDescent="0.3">
      <c r="C1555" s="6"/>
      <c r="E1555" s="23"/>
      <c r="G1555" s="23"/>
    </row>
    <row r="1556" spans="3:7" x14ac:dyDescent="0.3">
      <c r="C1556" s="6"/>
      <c r="E1556" s="23"/>
      <c r="G1556" s="23"/>
    </row>
    <row r="1557" spans="3:7" x14ac:dyDescent="0.3">
      <c r="C1557" s="6"/>
      <c r="E1557" s="23"/>
      <c r="G1557" s="23"/>
    </row>
    <row r="1558" spans="3:7" x14ac:dyDescent="0.3">
      <c r="C1558" s="6"/>
      <c r="E1558" s="23"/>
      <c r="G1558" s="23"/>
    </row>
    <row r="1559" spans="3:7" x14ac:dyDescent="0.3">
      <c r="C1559" s="6"/>
      <c r="E1559" s="23"/>
      <c r="G1559" s="23"/>
    </row>
    <row r="1560" spans="3:7" x14ac:dyDescent="0.3">
      <c r="C1560" s="6"/>
      <c r="E1560" s="23"/>
      <c r="G1560" s="23"/>
    </row>
    <row r="1561" spans="3:7" x14ac:dyDescent="0.3">
      <c r="C1561" s="6"/>
      <c r="E1561" s="23"/>
      <c r="G1561" s="23"/>
    </row>
    <row r="1562" spans="3:7" x14ac:dyDescent="0.3">
      <c r="C1562" s="6"/>
      <c r="E1562" s="23"/>
      <c r="G1562" s="23"/>
    </row>
    <row r="1563" spans="3:7" x14ac:dyDescent="0.3">
      <c r="C1563" s="6"/>
      <c r="E1563" s="23"/>
      <c r="G1563" s="23"/>
    </row>
    <row r="1564" spans="3:7" x14ac:dyDescent="0.3">
      <c r="C1564" s="6"/>
      <c r="E1564" s="23"/>
      <c r="G1564" s="23"/>
    </row>
    <row r="1565" spans="3:7" x14ac:dyDescent="0.3">
      <c r="C1565" s="6"/>
      <c r="E1565" s="23"/>
      <c r="G1565" s="23"/>
    </row>
    <row r="1566" spans="3:7" x14ac:dyDescent="0.3">
      <c r="C1566" s="6"/>
      <c r="E1566" s="23"/>
      <c r="G1566" s="23"/>
    </row>
    <row r="1567" spans="3:7" x14ac:dyDescent="0.3">
      <c r="C1567" s="6"/>
      <c r="E1567" s="23"/>
      <c r="G1567" s="23"/>
    </row>
    <row r="1568" spans="3:7" x14ac:dyDescent="0.3">
      <c r="C1568" s="6"/>
      <c r="E1568" s="23"/>
      <c r="G1568" s="23"/>
    </row>
    <row r="1569" spans="3:7" x14ac:dyDescent="0.3">
      <c r="C1569" s="6"/>
      <c r="E1569" s="23"/>
      <c r="G1569" s="23"/>
    </row>
    <row r="1570" spans="3:7" x14ac:dyDescent="0.3">
      <c r="C1570" s="6"/>
      <c r="E1570" s="23"/>
      <c r="G1570" s="23"/>
    </row>
    <row r="1571" spans="3:7" x14ac:dyDescent="0.3">
      <c r="C1571" s="6"/>
      <c r="E1571" s="23"/>
      <c r="G1571" s="23"/>
    </row>
    <row r="1572" spans="3:7" x14ac:dyDescent="0.3">
      <c r="C1572" s="6"/>
      <c r="E1572" s="23"/>
      <c r="G1572" s="23"/>
    </row>
    <row r="1573" spans="3:7" x14ac:dyDescent="0.3">
      <c r="C1573" s="6"/>
      <c r="E1573" s="23"/>
      <c r="G1573" s="23"/>
    </row>
    <row r="1574" spans="3:7" x14ac:dyDescent="0.3">
      <c r="C1574" s="6"/>
      <c r="E1574" s="23"/>
      <c r="G1574" s="23"/>
    </row>
    <row r="1575" spans="3:7" x14ac:dyDescent="0.3">
      <c r="C1575" s="6"/>
      <c r="E1575" s="23"/>
      <c r="G1575" s="23"/>
    </row>
    <row r="1576" spans="3:7" x14ac:dyDescent="0.3">
      <c r="C1576" s="6"/>
      <c r="E1576" s="23"/>
      <c r="G1576" s="23"/>
    </row>
    <row r="1577" spans="3:7" x14ac:dyDescent="0.3">
      <c r="C1577" s="6"/>
      <c r="E1577" s="23"/>
      <c r="G1577" s="23"/>
    </row>
    <row r="1578" spans="3:7" x14ac:dyDescent="0.3">
      <c r="C1578" s="6"/>
      <c r="E1578" s="23"/>
      <c r="G1578" s="23"/>
    </row>
    <row r="1579" spans="3:7" x14ac:dyDescent="0.3">
      <c r="C1579" s="6"/>
      <c r="E1579" s="23"/>
      <c r="G1579" s="23"/>
    </row>
    <row r="1580" spans="3:7" x14ac:dyDescent="0.3">
      <c r="C1580" s="6"/>
      <c r="E1580" s="23"/>
      <c r="G1580" s="23"/>
    </row>
    <row r="1581" spans="3:7" x14ac:dyDescent="0.3">
      <c r="C1581" s="6"/>
      <c r="E1581" s="23"/>
      <c r="G1581" s="23"/>
    </row>
    <row r="1582" spans="3:7" x14ac:dyDescent="0.3">
      <c r="C1582" s="6"/>
      <c r="E1582" s="23"/>
      <c r="G1582" s="23"/>
    </row>
    <row r="1583" spans="3:7" x14ac:dyDescent="0.3">
      <c r="C1583" s="6"/>
      <c r="E1583" s="23"/>
      <c r="G1583" s="23"/>
    </row>
    <row r="1584" spans="3:7" x14ac:dyDescent="0.3">
      <c r="C1584" s="6"/>
      <c r="E1584" s="23"/>
      <c r="G1584" s="23"/>
    </row>
    <row r="1585" spans="3:7" x14ac:dyDescent="0.3">
      <c r="C1585" s="6"/>
      <c r="E1585" s="23"/>
      <c r="G1585" s="23"/>
    </row>
    <row r="1586" spans="3:7" x14ac:dyDescent="0.3">
      <c r="C1586" s="6"/>
      <c r="E1586" s="23"/>
      <c r="G1586" s="23"/>
    </row>
    <row r="1587" spans="3:7" x14ac:dyDescent="0.3">
      <c r="C1587" s="6"/>
      <c r="E1587" s="23"/>
      <c r="G1587" s="23"/>
    </row>
    <row r="1588" spans="3:7" x14ac:dyDescent="0.3">
      <c r="C1588" s="6"/>
      <c r="E1588" s="23"/>
      <c r="G1588" s="23"/>
    </row>
    <row r="1589" spans="3:7" x14ac:dyDescent="0.3">
      <c r="C1589" s="6"/>
      <c r="E1589" s="23"/>
      <c r="G1589" s="23"/>
    </row>
    <row r="1590" spans="3:7" x14ac:dyDescent="0.3">
      <c r="C1590" s="6"/>
      <c r="E1590" s="23"/>
      <c r="G1590" s="23"/>
    </row>
    <row r="1591" spans="3:7" x14ac:dyDescent="0.3">
      <c r="C1591" s="6"/>
      <c r="E1591" s="23"/>
      <c r="G1591" s="23"/>
    </row>
    <row r="1592" spans="3:7" x14ac:dyDescent="0.3">
      <c r="C1592" s="6"/>
      <c r="E1592" s="23"/>
      <c r="G1592" s="23"/>
    </row>
    <row r="1593" spans="3:7" x14ac:dyDescent="0.3">
      <c r="C1593" s="6"/>
      <c r="E1593" s="23"/>
      <c r="G1593" s="23"/>
    </row>
    <row r="1594" spans="3:7" x14ac:dyDescent="0.3">
      <c r="C1594" s="6"/>
      <c r="E1594" s="23"/>
      <c r="G1594" s="23"/>
    </row>
    <row r="1595" spans="3:7" x14ac:dyDescent="0.3">
      <c r="C1595" s="6"/>
      <c r="E1595" s="23"/>
      <c r="G1595" s="23"/>
    </row>
    <row r="1596" spans="3:7" x14ac:dyDescent="0.3">
      <c r="C1596" s="6"/>
      <c r="E1596" s="23"/>
      <c r="G1596" s="23"/>
    </row>
    <row r="1597" spans="3:7" x14ac:dyDescent="0.3">
      <c r="C1597" s="6"/>
      <c r="E1597" s="23"/>
      <c r="G1597" s="23"/>
    </row>
    <row r="1598" spans="3:7" x14ac:dyDescent="0.3">
      <c r="C1598" s="6"/>
      <c r="E1598" s="23"/>
      <c r="G1598" s="23"/>
    </row>
    <row r="1599" spans="3:7" x14ac:dyDescent="0.3">
      <c r="C1599" s="6"/>
      <c r="E1599" s="23"/>
      <c r="G1599" s="23"/>
    </row>
    <row r="1600" spans="3:7" x14ac:dyDescent="0.3">
      <c r="C1600" s="6"/>
      <c r="E1600" s="23"/>
      <c r="G1600" s="23"/>
    </row>
    <row r="1601" spans="5:7" x14ac:dyDescent="0.3">
      <c r="E1601" s="23"/>
      <c r="G1601" s="23"/>
    </row>
    <row r="1602" spans="5:7" x14ac:dyDescent="0.3">
      <c r="E1602" s="23"/>
      <c r="G1602" s="23"/>
    </row>
    <row r="1603" spans="5:7" x14ac:dyDescent="0.3">
      <c r="E1603" s="23"/>
      <c r="G1603" s="23"/>
    </row>
    <row r="1604" spans="5:7" x14ac:dyDescent="0.3">
      <c r="E1604" s="23"/>
      <c r="G1604" s="23"/>
    </row>
    <row r="1605" spans="5:7" x14ac:dyDescent="0.3">
      <c r="E1605" s="23"/>
      <c r="G1605" s="23"/>
    </row>
    <row r="1606" spans="5:7" x14ac:dyDescent="0.3">
      <c r="E1606" s="23"/>
      <c r="G1606" s="23"/>
    </row>
    <row r="1607" spans="5:7" x14ac:dyDescent="0.3">
      <c r="E1607" s="23"/>
      <c r="G1607" s="23"/>
    </row>
    <row r="1608" spans="5:7" x14ac:dyDescent="0.3">
      <c r="E1608" s="23"/>
      <c r="G1608" s="23"/>
    </row>
    <row r="1609" spans="5:7" x14ac:dyDescent="0.3">
      <c r="E1609" s="23"/>
      <c r="G1609" s="23"/>
    </row>
    <row r="1610" spans="5:7" x14ac:dyDescent="0.3">
      <c r="E1610" s="23"/>
      <c r="G1610" s="23"/>
    </row>
    <row r="1611" spans="5:7" x14ac:dyDescent="0.3">
      <c r="E1611" s="23"/>
      <c r="G1611" s="23"/>
    </row>
    <row r="1612" spans="5:7" x14ac:dyDescent="0.3">
      <c r="E1612" s="23"/>
      <c r="G1612" s="23"/>
    </row>
    <row r="1613" spans="5:7" x14ac:dyDescent="0.3">
      <c r="E1613" s="23"/>
      <c r="G1613" s="23"/>
    </row>
    <row r="1614" spans="5:7" x14ac:dyDescent="0.3">
      <c r="E1614" s="23"/>
      <c r="G1614" s="23"/>
    </row>
    <row r="1615" spans="5:7" x14ac:dyDescent="0.3">
      <c r="E1615" s="23"/>
      <c r="G1615" s="23"/>
    </row>
    <row r="1616" spans="5:7" x14ac:dyDescent="0.3">
      <c r="E1616" s="23"/>
      <c r="G1616" s="23"/>
    </row>
    <row r="1617" spans="5:7" x14ac:dyDescent="0.3">
      <c r="E1617" s="23"/>
      <c r="G1617" s="23"/>
    </row>
    <row r="1618" spans="5:7" x14ac:dyDescent="0.3">
      <c r="E1618" s="23"/>
      <c r="G1618" s="23"/>
    </row>
    <row r="1619" spans="5:7" x14ac:dyDescent="0.3">
      <c r="E1619" s="23"/>
      <c r="G1619" s="23"/>
    </row>
    <row r="1620" spans="5:7" x14ac:dyDescent="0.3">
      <c r="E1620" s="23"/>
      <c r="G1620" s="23"/>
    </row>
    <row r="1621" spans="5:7" x14ac:dyDescent="0.3">
      <c r="E1621" s="23"/>
      <c r="G1621" s="23"/>
    </row>
    <row r="1622" spans="5:7" x14ac:dyDescent="0.3">
      <c r="E1622" s="23"/>
      <c r="G1622" s="23"/>
    </row>
    <row r="1623" spans="5:7" x14ac:dyDescent="0.3">
      <c r="E1623" s="23"/>
      <c r="G1623" s="23"/>
    </row>
    <row r="1624" spans="5:7" x14ac:dyDescent="0.3">
      <c r="E1624" s="23"/>
      <c r="G1624" s="23"/>
    </row>
    <row r="1625" spans="5:7" x14ac:dyDescent="0.3">
      <c r="E1625" s="23"/>
      <c r="G1625" s="23"/>
    </row>
    <row r="1626" spans="5:7" x14ac:dyDescent="0.3">
      <c r="E1626" s="23"/>
      <c r="G1626" s="23"/>
    </row>
    <row r="1627" spans="5:7" x14ac:dyDescent="0.3">
      <c r="E1627" s="23"/>
      <c r="G1627" s="23"/>
    </row>
    <row r="1628" spans="5:7" x14ac:dyDescent="0.3">
      <c r="E1628" s="23"/>
      <c r="G1628" s="23"/>
    </row>
    <row r="1629" spans="5:7" x14ac:dyDescent="0.3">
      <c r="E1629" s="23"/>
      <c r="G1629" s="23"/>
    </row>
    <row r="1630" spans="5:7" x14ac:dyDescent="0.3">
      <c r="E1630" s="23"/>
      <c r="G1630" s="23"/>
    </row>
    <row r="1631" spans="5:7" x14ac:dyDescent="0.3">
      <c r="E1631" s="23"/>
      <c r="G1631" s="23"/>
    </row>
    <row r="1632" spans="5:7" x14ac:dyDescent="0.3">
      <c r="E1632" s="23"/>
      <c r="G1632" s="23"/>
    </row>
    <row r="1633" spans="5:7" x14ac:dyDescent="0.3">
      <c r="E1633" s="23"/>
      <c r="G1633" s="23"/>
    </row>
    <row r="1634" spans="5:7" x14ac:dyDescent="0.3">
      <c r="E1634" s="23"/>
      <c r="G1634" s="23"/>
    </row>
    <row r="1635" spans="5:7" x14ac:dyDescent="0.3">
      <c r="E1635" s="23"/>
      <c r="G1635" s="23"/>
    </row>
    <row r="1636" spans="5:7" x14ac:dyDescent="0.3">
      <c r="E1636" s="23"/>
      <c r="G1636" s="23"/>
    </row>
    <row r="1637" spans="5:7" x14ac:dyDescent="0.3">
      <c r="E1637" s="23"/>
      <c r="G1637" s="23"/>
    </row>
    <row r="1638" spans="5:7" x14ac:dyDescent="0.3">
      <c r="E1638" s="23"/>
      <c r="G1638" s="23"/>
    </row>
    <row r="1639" spans="5:7" x14ac:dyDescent="0.3">
      <c r="E1639" s="23"/>
      <c r="G1639" s="23"/>
    </row>
    <row r="1640" spans="5:7" x14ac:dyDescent="0.3">
      <c r="E1640" s="23"/>
      <c r="G1640" s="23"/>
    </row>
    <row r="1641" spans="5:7" x14ac:dyDescent="0.3">
      <c r="E1641" s="23"/>
      <c r="G1641" s="23"/>
    </row>
    <row r="1642" spans="5:7" x14ac:dyDescent="0.3">
      <c r="E1642" s="23"/>
      <c r="G1642" s="23"/>
    </row>
    <row r="1643" spans="5:7" x14ac:dyDescent="0.3">
      <c r="E1643" s="23"/>
      <c r="G1643" s="23"/>
    </row>
    <row r="1644" spans="5:7" x14ac:dyDescent="0.3">
      <c r="E1644" s="23"/>
      <c r="G1644" s="23"/>
    </row>
    <row r="1645" spans="5:7" x14ac:dyDescent="0.3">
      <c r="E1645" s="23"/>
      <c r="G1645" s="23"/>
    </row>
    <row r="1646" spans="5:7" x14ac:dyDescent="0.3">
      <c r="E1646" s="23"/>
      <c r="G1646" s="23"/>
    </row>
    <row r="1647" spans="5:7" x14ac:dyDescent="0.3">
      <c r="E1647" s="23"/>
      <c r="G1647" s="23"/>
    </row>
    <row r="1648" spans="5:7" x14ac:dyDescent="0.3">
      <c r="E1648" s="23"/>
      <c r="G1648" s="23"/>
    </row>
    <row r="1649" spans="5:7" x14ac:dyDescent="0.3">
      <c r="E1649" s="23"/>
      <c r="G1649" s="23"/>
    </row>
    <row r="1650" spans="5:7" x14ac:dyDescent="0.3">
      <c r="E1650" s="23"/>
      <c r="G1650" s="23"/>
    </row>
    <row r="1651" spans="5:7" x14ac:dyDescent="0.3">
      <c r="E1651" s="23"/>
      <c r="G1651" s="23"/>
    </row>
    <row r="1652" spans="5:7" x14ac:dyDescent="0.3">
      <c r="E1652" s="23"/>
      <c r="G1652" s="23"/>
    </row>
    <row r="1653" spans="5:7" x14ac:dyDescent="0.3">
      <c r="E1653" s="23"/>
      <c r="G1653" s="23"/>
    </row>
    <row r="1654" spans="5:7" x14ac:dyDescent="0.3">
      <c r="E1654" s="23"/>
      <c r="G1654" s="23"/>
    </row>
    <row r="1655" spans="5:7" x14ac:dyDescent="0.3">
      <c r="E1655" s="23"/>
      <c r="G1655" s="23"/>
    </row>
    <row r="1656" spans="5:7" x14ac:dyDescent="0.3">
      <c r="E1656" s="23"/>
      <c r="G1656" s="23"/>
    </row>
    <row r="1657" spans="5:7" x14ac:dyDescent="0.3">
      <c r="E1657" s="23"/>
      <c r="G1657" s="23"/>
    </row>
    <row r="1658" spans="5:7" x14ac:dyDescent="0.3">
      <c r="E1658" s="23"/>
      <c r="G1658" s="23"/>
    </row>
    <row r="1659" spans="5:7" x14ac:dyDescent="0.3">
      <c r="E1659" s="23"/>
      <c r="G1659" s="23"/>
    </row>
    <row r="1660" spans="5:7" x14ac:dyDescent="0.3">
      <c r="E1660" s="23"/>
      <c r="G1660" s="23"/>
    </row>
    <row r="1661" spans="5:7" x14ac:dyDescent="0.3">
      <c r="E1661" s="23"/>
      <c r="G1661" s="23"/>
    </row>
    <row r="1662" spans="5:7" x14ac:dyDescent="0.3">
      <c r="E1662" s="23"/>
      <c r="G1662" s="23"/>
    </row>
    <row r="1663" spans="5:7" x14ac:dyDescent="0.3">
      <c r="E1663" s="23"/>
      <c r="G1663" s="23"/>
    </row>
    <row r="1664" spans="5:7" x14ac:dyDescent="0.3">
      <c r="E1664" s="23"/>
      <c r="G1664" s="23"/>
    </row>
    <row r="1665" spans="5:7" x14ac:dyDescent="0.3">
      <c r="E1665" s="23"/>
      <c r="G1665" s="23"/>
    </row>
    <row r="1666" spans="5:7" x14ac:dyDescent="0.3">
      <c r="E1666" s="23"/>
      <c r="G1666" s="23"/>
    </row>
    <row r="1667" spans="5:7" x14ac:dyDescent="0.3">
      <c r="E1667" s="23"/>
      <c r="G1667" s="23"/>
    </row>
    <row r="1668" spans="5:7" x14ac:dyDescent="0.3">
      <c r="E1668" s="23"/>
      <c r="G1668" s="23"/>
    </row>
    <row r="1669" spans="5:7" x14ac:dyDescent="0.3">
      <c r="E1669" s="23"/>
      <c r="G1669" s="23"/>
    </row>
    <row r="1670" spans="5:7" x14ac:dyDescent="0.3">
      <c r="E1670" s="23"/>
      <c r="G1670" s="23"/>
    </row>
    <row r="1671" spans="5:7" x14ac:dyDescent="0.3">
      <c r="E1671" s="23"/>
      <c r="G1671" s="23"/>
    </row>
    <row r="1672" spans="5:7" x14ac:dyDescent="0.3">
      <c r="E1672" s="23"/>
      <c r="G1672" s="23"/>
    </row>
    <row r="1673" spans="5:7" x14ac:dyDescent="0.3">
      <c r="E1673" s="23"/>
      <c r="G1673" s="23"/>
    </row>
    <row r="1674" spans="5:7" x14ac:dyDescent="0.3">
      <c r="E1674" s="23"/>
      <c r="G1674" s="23"/>
    </row>
    <row r="1675" spans="5:7" x14ac:dyDescent="0.3">
      <c r="E1675" s="23"/>
      <c r="G1675" s="23"/>
    </row>
    <row r="1676" spans="5:7" x14ac:dyDescent="0.3">
      <c r="E1676" s="23"/>
      <c r="G1676" s="23"/>
    </row>
    <row r="1677" spans="5:7" x14ac:dyDescent="0.3">
      <c r="E1677" s="23"/>
      <c r="G1677" s="23"/>
    </row>
    <row r="1678" spans="5:7" x14ac:dyDescent="0.3">
      <c r="E1678" s="23"/>
      <c r="G1678" s="23"/>
    </row>
    <row r="1679" spans="5:7" x14ac:dyDescent="0.3">
      <c r="E1679" s="23"/>
      <c r="G1679" s="23"/>
    </row>
    <row r="1680" spans="5:7" x14ac:dyDescent="0.3">
      <c r="E1680" s="23"/>
      <c r="G1680" s="23"/>
    </row>
    <row r="1681" spans="5:7" x14ac:dyDescent="0.3">
      <c r="E1681" s="23"/>
      <c r="G1681" s="23"/>
    </row>
    <row r="1682" spans="5:7" x14ac:dyDescent="0.3">
      <c r="E1682" s="23"/>
      <c r="G1682" s="23"/>
    </row>
    <row r="1683" spans="5:7" x14ac:dyDescent="0.3">
      <c r="E1683" s="23"/>
      <c r="G1683" s="23"/>
    </row>
    <row r="1684" spans="5:7" x14ac:dyDescent="0.3">
      <c r="E1684" s="23"/>
      <c r="G1684" s="23"/>
    </row>
    <row r="1685" spans="5:7" x14ac:dyDescent="0.3">
      <c r="E1685" s="23"/>
      <c r="G1685" s="23"/>
    </row>
    <row r="1686" spans="5:7" x14ac:dyDescent="0.3">
      <c r="E1686" s="23"/>
      <c r="G1686" s="23"/>
    </row>
    <row r="1687" spans="5:7" x14ac:dyDescent="0.3">
      <c r="E1687" s="23"/>
      <c r="G1687" s="23"/>
    </row>
    <row r="1688" spans="5:7" x14ac:dyDescent="0.3">
      <c r="E1688" s="23"/>
      <c r="G1688" s="23"/>
    </row>
    <row r="1689" spans="5:7" x14ac:dyDescent="0.3">
      <c r="E1689" s="23"/>
      <c r="G1689" s="23"/>
    </row>
    <row r="1690" spans="5:7" x14ac:dyDescent="0.3">
      <c r="E1690" s="23"/>
      <c r="G1690" s="23"/>
    </row>
    <row r="1691" spans="5:7" x14ac:dyDescent="0.3">
      <c r="E1691" s="23"/>
      <c r="G1691" s="23"/>
    </row>
    <row r="1692" spans="5:7" x14ac:dyDescent="0.3">
      <c r="E1692" s="23"/>
      <c r="G1692" s="23"/>
    </row>
    <row r="1693" spans="5:7" x14ac:dyDescent="0.3">
      <c r="E1693" s="23"/>
      <c r="G1693" s="23"/>
    </row>
    <row r="1694" spans="5:7" x14ac:dyDescent="0.3">
      <c r="E1694" s="23"/>
      <c r="G1694" s="23"/>
    </row>
    <row r="1695" spans="5:7" x14ac:dyDescent="0.3">
      <c r="E1695" s="23"/>
      <c r="G1695" s="23"/>
    </row>
    <row r="1696" spans="5:7" x14ac:dyDescent="0.3">
      <c r="E1696" s="23"/>
      <c r="G1696" s="23"/>
    </row>
    <row r="1697" spans="5:7" x14ac:dyDescent="0.3">
      <c r="E1697" s="23"/>
      <c r="G1697" s="23"/>
    </row>
    <row r="1698" spans="5:7" x14ac:dyDescent="0.3">
      <c r="E1698" s="23"/>
      <c r="G1698" s="23"/>
    </row>
    <row r="1699" spans="5:7" x14ac:dyDescent="0.3">
      <c r="E1699" s="23"/>
      <c r="G1699" s="23"/>
    </row>
    <row r="1700" spans="5:7" x14ac:dyDescent="0.3">
      <c r="E1700" s="23"/>
      <c r="G1700" s="23"/>
    </row>
    <row r="1701" spans="5:7" x14ac:dyDescent="0.3">
      <c r="E1701" s="23"/>
      <c r="G1701" s="23"/>
    </row>
    <row r="1702" spans="5:7" x14ac:dyDescent="0.3">
      <c r="E1702" s="23"/>
      <c r="G1702" s="23"/>
    </row>
    <row r="1703" spans="5:7" x14ac:dyDescent="0.3">
      <c r="E1703" s="23"/>
      <c r="G1703" s="23"/>
    </row>
    <row r="1704" spans="5:7" x14ac:dyDescent="0.3">
      <c r="E1704" s="23"/>
      <c r="G1704" s="23"/>
    </row>
    <row r="1705" spans="5:7" x14ac:dyDescent="0.3">
      <c r="E1705" s="23"/>
      <c r="G1705" s="23"/>
    </row>
    <row r="1706" spans="5:7" x14ac:dyDescent="0.3">
      <c r="E1706" s="23"/>
      <c r="G1706" s="23"/>
    </row>
    <row r="1707" spans="5:7" x14ac:dyDescent="0.3">
      <c r="E1707" s="23"/>
      <c r="G1707" s="23"/>
    </row>
    <row r="1708" spans="5:7" x14ac:dyDescent="0.3">
      <c r="E1708" s="23"/>
      <c r="G1708" s="23"/>
    </row>
    <row r="1709" spans="5:7" x14ac:dyDescent="0.3">
      <c r="E1709" s="23"/>
      <c r="G1709" s="23"/>
    </row>
    <row r="1710" spans="5:7" x14ac:dyDescent="0.3">
      <c r="E1710" s="23"/>
      <c r="G1710" s="23"/>
    </row>
    <row r="1711" spans="5:7" x14ac:dyDescent="0.3">
      <c r="E1711" s="23"/>
      <c r="G1711" s="23"/>
    </row>
    <row r="1712" spans="5:7" x14ac:dyDescent="0.3">
      <c r="E1712" s="23"/>
      <c r="G1712" s="23"/>
    </row>
    <row r="1713" spans="5:7" x14ac:dyDescent="0.3">
      <c r="E1713" s="23"/>
      <c r="G1713" s="23"/>
    </row>
    <row r="1714" spans="5:7" x14ac:dyDescent="0.3">
      <c r="E1714" s="23"/>
      <c r="G1714" s="23"/>
    </row>
    <row r="1715" spans="5:7" x14ac:dyDescent="0.3">
      <c r="E1715" s="23"/>
      <c r="G1715" s="23"/>
    </row>
    <row r="1716" spans="5:7" x14ac:dyDescent="0.3">
      <c r="E1716" s="23"/>
      <c r="G1716" s="23"/>
    </row>
    <row r="1717" spans="5:7" x14ac:dyDescent="0.3">
      <c r="E1717" s="23"/>
      <c r="G1717" s="23"/>
    </row>
    <row r="1718" spans="5:7" x14ac:dyDescent="0.3">
      <c r="E1718" s="23"/>
      <c r="G1718" s="23"/>
    </row>
    <row r="1719" spans="5:7" x14ac:dyDescent="0.3">
      <c r="E1719" s="23"/>
      <c r="G1719" s="23"/>
    </row>
    <row r="1720" spans="5:7" x14ac:dyDescent="0.3">
      <c r="E1720" s="23"/>
      <c r="G1720" s="23"/>
    </row>
    <row r="1721" spans="5:7" x14ac:dyDescent="0.3">
      <c r="E1721" s="23"/>
      <c r="G1721" s="23"/>
    </row>
    <row r="1722" spans="5:7" x14ac:dyDescent="0.3">
      <c r="E1722" s="23"/>
      <c r="G1722" s="23"/>
    </row>
    <row r="1723" spans="5:7" x14ac:dyDescent="0.3">
      <c r="E1723" s="23"/>
      <c r="G1723" s="23"/>
    </row>
    <row r="1724" spans="5:7" x14ac:dyDescent="0.3">
      <c r="E1724" s="23"/>
      <c r="G1724" s="23"/>
    </row>
    <row r="1725" spans="5:7" x14ac:dyDescent="0.3">
      <c r="E1725" s="23"/>
      <c r="G1725" s="23"/>
    </row>
    <row r="1726" spans="5:7" x14ac:dyDescent="0.3">
      <c r="E1726" s="23"/>
      <c r="G1726" s="23"/>
    </row>
    <row r="1727" spans="5:7" x14ac:dyDescent="0.3">
      <c r="E1727" s="23"/>
      <c r="G1727" s="23"/>
    </row>
    <row r="1728" spans="5:7" x14ac:dyDescent="0.3">
      <c r="E1728" s="23"/>
      <c r="G1728" s="23"/>
    </row>
    <row r="1729" spans="5:7" x14ac:dyDescent="0.3">
      <c r="E1729" s="23"/>
      <c r="G1729" s="23"/>
    </row>
    <row r="1730" spans="5:7" x14ac:dyDescent="0.3">
      <c r="E1730" s="23"/>
      <c r="G1730" s="23"/>
    </row>
    <row r="1731" spans="5:7" x14ac:dyDescent="0.3">
      <c r="E1731" s="23"/>
      <c r="G1731" s="23"/>
    </row>
    <row r="1732" spans="5:7" x14ac:dyDescent="0.3">
      <c r="E1732" s="23"/>
      <c r="G1732" s="23"/>
    </row>
    <row r="1733" spans="5:7" x14ac:dyDescent="0.3">
      <c r="E1733" s="23"/>
      <c r="G1733" s="23"/>
    </row>
    <row r="1734" spans="5:7" x14ac:dyDescent="0.3">
      <c r="E1734" s="23"/>
      <c r="G1734" s="23"/>
    </row>
    <row r="1735" spans="5:7" x14ac:dyDescent="0.3">
      <c r="E1735" s="23"/>
      <c r="G1735" s="23"/>
    </row>
    <row r="1736" spans="5:7" x14ac:dyDescent="0.3">
      <c r="E1736" s="23"/>
      <c r="G1736" s="23"/>
    </row>
    <row r="1737" spans="5:7" x14ac:dyDescent="0.3">
      <c r="E1737" s="23"/>
      <c r="G1737" s="23"/>
    </row>
    <row r="1738" spans="5:7" x14ac:dyDescent="0.3">
      <c r="E1738" s="23"/>
      <c r="G1738" s="23"/>
    </row>
    <row r="1739" spans="5:7" x14ac:dyDescent="0.3">
      <c r="E1739" s="23"/>
      <c r="G1739" s="23"/>
    </row>
    <row r="1740" spans="5:7" x14ac:dyDescent="0.3">
      <c r="E1740" s="23"/>
      <c r="G1740" s="23"/>
    </row>
    <row r="1741" spans="5:7" x14ac:dyDescent="0.3">
      <c r="E1741" s="23"/>
      <c r="G1741" s="23"/>
    </row>
    <row r="1742" spans="5:7" x14ac:dyDescent="0.3">
      <c r="E1742" s="23"/>
      <c r="G1742" s="23"/>
    </row>
    <row r="1743" spans="5:7" x14ac:dyDescent="0.3">
      <c r="E1743" s="23"/>
      <c r="G1743" s="23"/>
    </row>
    <row r="1744" spans="5:7" x14ac:dyDescent="0.3">
      <c r="E1744" s="23"/>
      <c r="G1744" s="23"/>
    </row>
    <row r="1745" spans="5:7" x14ac:dyDescent="0.3">
      <c r="E1745" s="23"/>
      <c r="G1745" s="23"/>
    </row>
    <row r="1746" spans="5:7" x14ac:dyDescent="0.3">
      <c r="E1746" s="23"/>
      <c r="G1746" s="23"/>
    </row>
    <row r="1747" spans="5:7" x14ac:dyDescent="0.3">
      <c r="E1747" s="23"/>
      <c r="G1747" s="23"/>
    </row>
    <row r="1748" spans="5:7" x14ac:dyDescent="0.3">
      <c r="E1748" s="23"/>
      <c r="G1748" s="23"/>
    </row>
    <row r="1749" spans="5:7" x14ac:dyDescent="0.3">
      <c r="E1749" s="23"/>
      <c r="G1749" s="23"/>
    </row>
    <row r="1750" spans="5:7" x14ac:dyDescent="0.3">
      <c r="E1750" s="23"/>
      <c r="G1750" s="23"/>
    </row>
    <row r="1751" spans="5:7" x14ac:dyDescent="0.3">
      <c r="E1751" s="23"/>
      <c r="G1751" s="23"/>
    </row>
    <row r="1752" spans="5:7" x14ac:dyDescent="0.3">
      <c r="E1752" s="23"/>
      <c r="G1752" s="23"/>
    </row>
    <row r="1753" spans="5:7" x14ac:dyDescent="0.3">
      <c r="E1753" s="23"/>
      <c r="G1753" s="23"/>
    </row>
    <row r="1754" spans="5:7" x14ac:dyDescent="0.3">
      <c r="E1754" s="23"/>
      <c r="G1754" s="23"/>
    </row>
    <row r="1755" spans="5:7" x14ac:dyDescent="0.3">
      <c r="E1755" s="23"/>
      <c r="G1755" s="23"/>
    </row>
    <row r="1756" spans="5:7" x14ac:dyDescent="0.3">
      <c r="E1756" s="23"/>
      <c r="G1756" s="23"/>
    </row>
    <row r="1757" spans="5:7" x14ac:dyDescent="0.3">
      <c r="E1757" s="23"/>
      <c r="G1757" s="23"/>
    </row>
    <row r="1758" spans="5:7" x14ac:dyDescent="0.3">
      <c r="E1758" s="23"/>
      <c r="G1758" s="23"/>
    </row>
    <row r="1759" spans="5:7" x14ac:dyDescent="0.3">
      <c r="E1759" s="23"/>
      <c r="G1759" s="23"/>
    </row>
    <row r="1760" spans="5:7" x14ac:dyDescent="0.3">
      <c r="E1760" s="23"/>
      <c r="G1760" s="23"/>
    </row>
    <row r="1761" spans="5:7" x14ac:dyDescent="0.3">
      <c r="E1761" s="23"/>
      <c r="G1761" s="23"/>
    </row>
    <row r="1762" spans="5:7" x14ac:dyDescent="0.3">
      <c r="E1762" s="23"/>
      <c r="G1762" s="23"/>
    </row>
    <row r="1763" spans="5:7" x14ac:dyDescent="0.3">
      <c r="E1763" s="23"/>
      <c r="G1763" s="23"/>
    </row>
    <row r="1764" spans="5:7" x14ac:dyDescent="0.3">
      <c r="E1764" s="23"/>
      <c r="G1764" s="23"/>
    </row>
    <row r="1765" spans="5:7" x14ac:dyDescent="0.3">
      <c r="E1765" s="23"/>
      <c r="G1765" s="23"/>
    </row>
    <row r="1766" spans="5:7" x14ac:dyDescent="0.3">
      <c r="E1766" s="23"/>
      <c r="G1766" s="23"/>
    </row>
    <row r="1767" spans="5:7" x14ac:dyDescent="0.3">
      <c r="E1767" s="23"/>
      <c r="G1767" s="23"/>
    </row>
    <row r="1768" spans="5:7" x14ac:dyDescent="0.3">
      <c r="E1768" s="23"/>
      <c r="G1768" s="23"/>
    </row>
    <row r="1769" spans="5:7" x14ac:dyDescent="0.3">
      <c r="E1769" s="23"/>
      <c r="G1769" s="23"/>
    </row>
    <row r="1770" spans="5:7" x14ac:dyDescent="0.3">
      <c r="E1770" s="23"/>
      <c r="G1770" s="23"/>
    </row>
    <row r="1771" spans="5:7" x14ac:dyDescent="0.3">
      <c r="E1771" s="23"/>
      <c r="G1771" s="23"/>
    </row>
    <row r="1772" spans="5:7" x14ac:dyDescent="0.3">
      <c r="E1772" s="23"/>
      <c r="G1772" s="23"/>
    </row>
    <row r="1773" spans="5:7" x14ac:dyDescent="0.3">
      <c r="E1773" s="23"/>
      <c r="G1773" s="23"/>
    </row>
    <row r="1774" spans="5:7" x14ac:dyDescent="0.3">
      <c r="E1774" s="23"/>
      <c r="G1774" s="23"/>
    </row>
    <row r="1775" spans="5:7" x14ac:dyDescent="0.3">
      <c r="E1775" s="23"/>
      <c r="G1775" s="23"/>
    </row>
    <row r="1776" spans="5:7" x14ac:dyDescent="0.3">
      <c r="E1776" s="23"/>
      <c r="G1776" s="23"/>
    </row>
    <row r="1777" spans="5:7" x14ac:dyDescent="0.3">
      <c r="E1777" s="23"/>
      <c r="G1777" s="23"/>
    </row>
    <row r="1778" spans="5:7" x14ac:dyDescent="0.3">
      <c r="E1778" s="23"/>
      <c r="G1778" s="23"/>
    </row>
    <row r="1779" spans="5:7" x14ac:dyDescent="0.3">
      <c r="E1779" s="23"/>
      <c r="G1779" s="23"/>
    </row>
    <row r="1780" spans="5:7" x14ac:dyDescent="0.3">
      <c r="E1780" s="23"/>
      <c r="G1780" s="23"/>
    </row>
    <row r="1781" spans="5:7" x14ac:dyDescent="0.3">
      <c r="E1781" s="23"/>
      <c r="G1781" s="23"/>
    </row>
    <row r="1782" spans="5:7" x14ac:dyDescent="0.3">
      <c r="E1782" s="23"/>
      <c r="G1782" s="23"/>
    </row>
    <row r="1783" spans="5:7" x14ac:dyDescent="0.3">
      <c r="E1783" s="23"/>
      <c r="G1783" s="23"/>
    </row>
    <row r="1784" spans="5:7" x14ac:dyDescent="0.3">
      <c r="E1784" s="23"/>
      <c r="G1784" s="23"/>
    </row>
    <row r="1785" spans="5:7" x14ac:dyDescent="0.3">
      <c r="E1785" s="23"/>
      <c r="G1785" s="23"/>
    </row>
    <row r="1786" spans="5:7" x14ac:dyDescent="0.3">
      <c r="E1786" s="23"/>
      <c r="G1786" s="23"/>
    </row>
    <row r="1787" spans="5:7" x14ac:dyDescent="0.3">
      <c r="E1787" s="23"/>
      <c r="G1787" s="23"/>
    </row>
    <row r="1788" spans="5:7" x14ac:dyDescent="0.3">
      <c r="E1788" s="23"/>
      <c r="G1788" s="23"/>
    </row>
    <row r="1789" spans="5:7" x14ac:dyDescent="0.3">
      <c r="E1789" s="23"/>
      <c r="G1789" s="23"/>
    </row>
    <row r="1790" spans="5:7" x14ac:dyDescent="0.3">
      <c r="E1790" s="23"/>
      <c r="G1790" s="23"/>
    </row>
    <row r="1791" spans="5:7" x14ac:dyDescent="0.3">
      <c r="E1791" s="23"/>
      <c r="G1791" s="23"/>
    </row>
    <row r="1792" spans="5:7" x14ac:dyDescent="0.3">
      <c r="E1792" s="23"/>
      <c r="G1792" s="23"/>
    </row>
    <row r="1793" spans="5:7" x14ac:dyDescent="0.3">
      <c r="E1793" s="23"/>
      <c r="G1793" s="23"/>
    </row>
    <row r="1794" spans="5:7" x14ac:dyDescent="0.3">
      <c r="E1794" s="23"/>
      <c r="G1794" s="23"/>
    </row>
    <row r="1795" spans="5:7" x14ac:dyDescent="0.3">
      <c r="E1795" s="23"/>
      <c r="G1795" s="23"/>
    </row>
    <row r="1796" spans="5:7" x14ac:dyDescent="0.3">
      <c r="E1796" s="23"/>
      <c r="G1796" s="23"/>
    </row>
    <row r="1797" spans="5:7" x14ac:dyDescent="0.3">
      <c r="E1797" s="23"/>
      <c r="G1797" s="23"/>
    </row>
    <row r="1798" spans="5:7" x14ac:dyDescent="0.3">
      <c r="E1798" s="23"/>
      <c r="G1798" s="23"/>
    </row>
    <row r="1799" spans="5:7" x14ac:dyDescent="0.3">
      <c r="E1799" s="23"/>
      <c r="G1799" s="23"/>
    </row>
    <row r="1800" spans="5:7" x14ac:dyDescent="0.3">
      <c r="E1800" s="23"/>
      <c r="G1800" s="23"/>
    </row>
    <row r="1801" spans="5:7" x14ac:dyDescent="0.3">
      <c r="E1801" s="23"/>
      <c r="G1801" s="23"/>
    </row>
    <row r="1802" spans="5:7" x14ac:dyDescent="0.3">
      <c r="E1802" s="23"/>
      <c r="G1802" s="23"/>
    </row>
    <row r="1803" spans="5:7" x14ac:dyDescent="0.3">
      <c r="E1803" s="23"/>
      <c r="G1803" s="23"/>
    </row>
    <row r="1804" spans="5:7" x14ac:dyDescent="0.3">
      <c r="E1804" s="23"/>
      <c r="G1804" s="23"/>
    </row>
    <row r="1805" spans="5:7" x14ac:dyDescent="0.3">
      <c r="E1805" s="23"/>
      <c r="G1805" s="23"/>
    </row>
    <row r="1806" spans="5:7" x14ac:dyDescent="0.3">
      <c r="E1806" s="23"/>
      <c r="G1806" s="23"/>
    </row>
    <row r="1807" spans="5:7" x14ac:dyDescent="0.3">
      <c r="E1807" s="23"/>
      <c r="G1807" s="23"/>
    </row>
    <row r="1808" spans="5:7" x14ac:dyDescent="0.3">
      <c r="E1808" s="23"/>
      <c r="G1808" s="23"/>
    </row>
    <row r="1809" spans="5:7" x14ac:dyDescent="0.3">
      <c r="E1809" s="23"/>
      <c r="G1809" s="23"/>
    </row>
    <row r="1810" spans="5:7" x14ac:dyDescent="0.3">
      <c r="E1810" s="23"/>
      <c r="G1810" s="23"/>
    </row>
    <row r="1811" spans="5:7" x14ac:dyDescent="0.3">
      <c r="E1811" s="23"/>
      <c r="G1811" s="23"/>
    </row>
    <row r="1812" spans="5:7" x14ac:dyDescent="0.3">
      <c r="E1812" s="23"/>
      <c r="G1812" s="23"/>
    </row>
    <row r="1813" spans="5:7" x14ac:dyDescent="0.3">
      <c r="E1813" s="23"/>
      <c r="G1813" s="23"/>
    </row>
    <row r="1814" spans="5:7" x14ac:dyDescent="0.3">
      <c r="E1814" s="23"/>
      <c r="G1814" s="23"/>
    </row>
    <row r="1815" spans="5:7" x14ac:dyDescent="0.3">
      <c r="E1815" s="23"/>
      <c r="G1815" s="23"/>
    </row>
    <row r="1816" spans="5:7" x14ac:dyDescent="0.3">
      <c r="E1816" s="23"/>
      <c r="G1816" s="23"/>
    </row>
    <row r="1817" spans="5:7" x14ac:dyDescent="0.3">
      <c r="E1817" s="23"/>
      <c r="G1817" s="23"/>
    </row>
    <row r="1818" spans="5:7" x14ac:dyDescent="0.3">
      <c r="E1818" s="23"/>
      <c r="G1818" s="23"/>
    </row>
    <row r="1819" spans="5:7" x14ac:dyDescent="0.3">
      <c r="E1819" s="23"/>
      <c r="G1819" s="23"/>
    </row>
    <row r="1820" spans="5:7" x14ac:dyDescent="0.3">
      <c r="E1820" s="23"/>
      <c r="G1820" s="23"/>
    </row>
    <row r="1821" spans="5:7" x14ac:dyDescent="0.3">
      <c r="E1821" s="23"/>
      <c r="G1821" s="23"/>
    </row>
    <row r="1822" spans="5:7" x14ac:dyDescent="0.3">
      <c r="E1822" s="23"/>
      <c r="G1822" s="23"/>
    </row>
    <row r="1823" spans="5:7" x14ac:dyDescent="0.3">
      <c r="E1823" s="23"/>
      <c r="G1823" s="23"/>
    </row>
    <row r="1824" spans="5:7" x14ac:dyDescent="0.3">
      <c r="E1824" s="23"/>
      <c r="G1824" s="23"/>
    </row>
    <row r="1825" spans="5:7" x14ac:dyDescent="0.3">
      <c r="E1825" s="23"/>
      <c r="G1825" s="23"/>
    </row>
    <row r="1826" spans="5:7" x14ac:dyDescent="0.3">
      <c r="E1826" s="23"/>
      <c r="G1826" s="23"/>
    </row>
    <row r="1827" spans="5:7" x14ac:dyDescent="0.3">
      <c r="E1827" s="23"/>
      <c r="G1827" s="23"/>
    </row>
    <row r="1828" spans="5:7" x14ac:dyDescent="0.3">
      <c r="E1828" s="23"/>
      <c r="G1828" s="23"/>
    </row>
    <row r="1829" spans="5:7" x14ac:dyDescent="0.3">
      <c r="E1829" s="23"/>
      <c r="G1829" s="23"/>
    </row>
    <row r="1830" spans="5:7" x14ac:dyDescent="0.3">
      <c r="E1830" s="23"/>
      <c r="G1830" s="23"/>
    </row>
    <row r="1831" spans="5:7" x14ac:dyDescent="0.3">
      <c r="E1831" s="23"/>
      <c r="G1831" s="23"/>
    </row>
    <row r="1832" spans="5:7" x14ac:dyDescent="0.3">
      <c r="E1832" s="23"/>
      <c r="G1832" s="23"/>
    </row>
    <row r="1833" spans="5:7" x14ac:dyDescent="0.3">
      <c r="E1833" s="23"/>
      <c r="G1833" s="23"/>
    </row>
    <row r="1834" spans="5:7" x14ac:dyDescent="0.3">
      <c r="E1834" s="23"/>
      <c r="G1834" s="23"/>
    </row>
    <row r="1835" spans="5:7" x14ac:dyDescent="0.3">
      <c r="E1835" s="23"/>
      <c r="G1835" s="23"/>
    </row>
    <row r="1836" spans="5:7" x14ac:dyDescent="0.3">
      <c r="E1836" s="23"/>
      <c r="G1836" s="23"/>
    </row>
    <row r="1837" spans="5:7" x14ac:dyDescent="0.3">
      <c r="E1837" s="23"/>
      <c r="G1837" s="23"/>
    </row>
    <row r="1838" spans="5:7" x14ac:dyDescent="0.3">
      <c r="E1838" s="23"/>
      <c r="G1838" s="23"/>
    </row>
    <row r="1839" spans="5:7" x14ac:dyDescent="0.3">
      <c r="E1839" s="23"/>
      <c r="G1839" s="23"/>
    </row>
    <row r="1840" spans="5:7" x14ac:dyDescent="0.3">
      <c r="E1840" s="23"/>
      <c r="G1840" s="23"/>
    </row>
    <row r="1841" spans="5:7" x14ac:dyDescent="0.3">
      <c r="E1841" s="23"/>
      <c r="G1841" s="23"/>
    </row>
    <row r="1842" spans="5:7" x14ac:dyDescent="0.3">
      <c r="E1842" s="23"/>
      <c r="G1842" s="23"/>
    </row>
    <row r="1843" spans="5:7" x14ac:dyDescent="0.3">
      <c r="E1843" s="23"/>
      <c r="G1843" s="23"/>
    </row>
    <row r="1844" spans="5:7" x14ac:dyDescent="0.3">
      <c r="E1844" s="23"/>
      <c r="G1844" s="23"/>
    </row>
    <row r="1845" spans="5:7" x14ac:dyDescent="0.3">
      <c r="E1845" s="23"/>
      <c r="G1845" s="23"/>
    </row>
    <row r="1846" spans="5:7" x14ac:dyDescent="0.3">
      <c r="E1846" s="23"/>
      <c r="G1846" s="23"/>
    </row>
    <row r="1847" spans="5:7" x14ac:dyDescent="0.3">
      <c r="E1847" s="23"/>
      <c r="G1847" s="23"/>
    </row>
    <row r="1848" spans="5:7" x14ac:dyDescent="0.3">
      <c r="E1848" s="23"/>
      <c r="G1848" s="23"/>
    </row>
    <row r="1849" spans="5:7" x14ac:dyDescent="0.3">
      <c r="E1849" s="23"/>
      <c r="G1849" s="23"/>
    </row>
    <row r="1850" spans="5:7" x14ac:dyDescent="0.3">
      <c r="E1850" s="23"/>
      <c r="G1850" s="23"/>
    </row>
    <row r="1851" spans="5:7" x14ac:dyDescent="0.3">
      <c r="E1851" s="23"/>
      <c r="G1851" s="23"/>
    </row>
    <row r="1852" spans="5:7" x14ac:dyDescent="0.3">
      <c r="E1852" s="23"/>
      <c r="G1852" s="23"/>
    </row>
    <row r="1853" spans="5:7" x14ac:dyDescent="0.3">
      <c r="E1853" s="23"/>
      <c r="G1853" s="23"/>
    </row>
    <row r="1854" spans="5:7" x14ac:dyDescent="0.3">
      <c r="E1854" s="23"/>
      <c r="G1854" s="23"/>
    </row>
    <row r="1855" spans="5:7" x14ac:dyDescent="0.3">
      <c r="E1855" s="23"/>
      <c r="G1855" s="23"/>
    </row>
    <row r="1856" spans="5:7" x14ac:dyDescent="0.3">
      <c r="E1856" s="23"/>
      <c r="G1856" s="23"/>
    </row>
    <row r="1857" spans="5:7" x14ac:dyDescent="0.3">
      <c r="E1857" s="23"/>
      <c r="G1857" s="23"/>
    </row>
    <row r="1858" spans="5:7" x14ac:dyDescent="0.3">
      <c r="E1858" s="23"/>
      <c r="G1858" s="23"/>
    </row>
    <row r="1859" spans="5:7" x14ac:dyDescent="0.3">
      <c r="E1859" s="23"/>
      <c r="G1859" s="23"/>
    </row>
    <row r="1860" spans="5:7" x14ac:dyDescent="0.3">
      <c r="E1860" s="23"/>
      <c r="G1860" s="23"/>
    </row>
    <row r="1861" spans="5:7" x14ac:dyDescent="0.3">
      <c r="E1861" s="23"/>
      <c r="G1861" s="23"/>
    </row>
    <row r="1862" spans="5:7" x14ac:dyDescent="0.3">
      <c r="E1862" s="23"/>
      <c r="G1862" s="23"/>
    </row>
    <row r="1863" spans="5:7" x14ac:dyDescent="0.3">
      <c r="E1863" s="23"/>
      <c r="G1863" s="23"/>
    </row>
    <row r="1864" spans="5:7" x14ac:dyDescent="0.3">
      <c r="E1864" s="23"/>
      <c r="G1864" s="23"/>
    </row>
    <row r="1865" spans="5:7" x14ac:dyDescent="0.3">
      <c r="E1865" s="23"/>
      <c r="G1865" s="23"/>
    </row>
    <row r="1866" spans="5:7" x14ac:dyDescent="0.3">
      <c r="E1866" s="23"/>
      <c r="G1866" s="23"/>
    </row>
    <row r="1867" spans="5:7" x14ac:dyDescent="0.3">
      <c r="E1867" s="23"/>
      <c r="G1867" s="23"/>
    </row>
    <row r="1868" spans="5:7" x14ac:dyDescent="0.3">
      <c r="E1868" s="23"/>
      <c r="G1868" s="23"/>
    </row>
    <row r="1869" spans="5:7" x14ac:dyDescent="0.3">
      <c r="E1869" s="23"/>
      <c r="G1869" s="23"/>
    </row>
    <row r="1870" spans="5:7" x14ac:dyDescent="0.3">
      <c r="E1870" s="23"/>
      <c r="G1870" s="23"/>
    </row>
    <row r="1871" spans="5:7" x14ac:dyDescent="0.3">
      <c r="E1871" s="23"/>
      <c r="G1871" s="23"/>
    </row>
    <row r="1872" spans="5:7" x14ac:dyDescent="0.3">
      <c r="E1872" s="23"/>
      <c r="G1872" s="23"/>
    </row>
    <row r="1873" spans="5:7" x14ac:dyDescent="0.3">
      <c r="E1873" s="23"/>
      <c r="G1873" s="23"/>
    </row>
    <row r="1874" spans="5:7" x14ac:dyDescent="0.3">
      <c r="E1874" s="23"/>
      <c r="G1874" s="23"/>
    </row>
    <row r="1875" spans="5:7" x14ac:dyDescent="0.3">
      <c r="E1875" s="23"/>
      <c r="G1875" s="23"/>
    </row>
    <row r="1876" spans="5:7" x14ac:dyDescent="0.3">
      <c r="E1876" s="23"/>
      <c r="G1876" s="23"/>
    </row>
    <row r="1877" spans="5:7" x14ac:dyDescent="0.3">
      <c r="E1877" s="23"/>
      <c r="G1877" s="23"/>
    </row>
    <row r="1878" spans="5:7" x14ac:dyDescent="0.3">
      <c r="E1878" s="23"/>
      <c r="G1878" s="23"/>
    </row>
    <row r="1879" spans="5:7" x14ac:dyDescent="0.3">
      <c r="E1879" s="23"/>
      <c r="G1879" s="23"/>
    </row>
    <row r="1880" spans="5:7" x14ac:dyDescent="0.3">
      <c r="E1880" s="23"/>
      <c r="G1880" s="23"/>
    </row>
    <row r="1881" spans="5:7" x14ac:dyDescent="0.3">
      <c r="E1881" s="23"/>
      <c r="G1881" s="23"/>
    </row>
    <row r="1882" spans="5:7" x14ac:dyDescent="0.3">
      <c r="E1882" s="23"/>
      <c r="G1882" s="23"/>
    </row>
    <row r="1883" spans="5:7" x14ac:dyDescent="0.3">
      <c r="E1883" s="23"/>
      <c r="G1883" s="23"/>
    </row>
    <row r="1884" spans="5:7" x14ac:dyDescent="0.3">
      <c r="E1884" s="23"/>
      <c r="G1884" s="23"/>
    </row>
    <row r="1885" spans="5:7" x14ac:dyDescent="0.3">
      <c r="E1885" s="23"/>
      <c r="G1885" s="23"/>
    </row>
    <row r="1886" spans="5:7" x14ac:dyDescent="0.3">
      <c r="E1886" s="23"/>
      <c r="G1886" s="23"/>
    </row>
    <row r="1887" spans="5:7" x14ac:dyDescent="0.3">
      <c r="E1887" s="23"/>
      <c r="G1887" s="23"/>
    </row>
    <row r="1888" spans="5:7" x14ac:dyDescent="0.3">
      <c r="E1888" s="23"/>
      <c r="G1888" s="23"/>
    </row>
    <row r="1889" spans="5:7" x14ac:dyDescent="0.3">
      <c r="E1889" s="23"/>
      <c r="G1889" s="23"/>
    </row>
    <row r="1890" spans="5:7" x14ac:dyDescent="0.3">
      <c r="E1890" s="23"/>
      <c r="G1890" s="23"/>
    </row>
    <row r="1891" spans="5:7" x14ac:dyDescent="0.3">
      <c r="E1891" s="23"/>
      <c r="G1891" s="23"/>
    </row>
    <row r="1892" spans="5:7" x14ac:dyDescent="0.3">
      <c r="E1892" s="23"/>
      <c r="G1892" s="23"/>
    </row>
    <row r="1893" spans="5:7" x14ac:dyDescent="0.3">
      <c r="E1893" s="23"/>
      <c r="G1893" s="23"/>
    </row>
    <row r="1894" spans="5:7" x14ac:dyDescent="0.3">
      <c r="E1894" s="23"/>
      <c r="G1894" s="23"/>
    </row>
    <row r="1895" spans="5:7" x14ac:dyDescent="0.3">
      <c r="E1895" s="23"/>
      <c r="G1895" s="23"/>
    </row>
    <row r="1896" spans="5:7" x14ac:dyDescent="0.3">
      <c r="E1896" s="23"/>
      <c r="G1896" s="23"/>
    </row>
    <row r="1897" spans="5:7" x14ac:dyDescent="0.3">
      <c r="E1897" s="23"/>
      <c r="G1897" s="23"/>
    </row>
    <row r="1898" spans="5:7" x14ac:dyDescent="0.3">
      <c r="E1898" s="23"/>
      <c r="G1898" s="23"/>
    </row>
    <row r="1899" spans="5:7" x14ac:dyDescent="0.3">
      <c r="E1899" s="23"/>
      <c r="G1899" s="23"/>
    </row>
    <row r="1900" spans="5:7" x14ac:dyDescent="0.3">
      <c r="E1900" s="23"/>
      <c r="G1900" s="23"/>
    </row>
    <row r="1901" spans="5:7" x14ac:dyDescent="0.3">
      <c r="E1901" s="23"/>
      <c r="G1901" s="23"/>
    </row>
    <row r="1902" spans="5:7" x14ac:dyDescent="0.3">
      <c r="E1902" s="23"/>
      <c r="G1902" s="23"/>
    </row>
    <row r="1903" spans="5:7" x14ac:dyDescent="0.3">
      <c r="E1903" s="23"/>
      <c r="G1903" s="23"/>
    </row>
    <row r="1904" spans="5:7" x14ac:dyDescent="0.3">
      <c r="E1904" s="23"/>
      <c r="G1904" s="23"/>
    </row>
    <row r="1905" spans="5:7" x14ac:dyDescent="0.3">
      <c r="E1905" s="23"/>
      <c r="G1905" s="23"/>
    </row>
    <row r="1906" spans="5:7" x14ac:dyDescent="0.3">
      <c r="E1906" s="23"/>
      <c r="G1906" s="23"/>
    </row>
    <row r="1907" spans="5:7" x14ac:dyDescent="0.3">
      <c r="E1907" s="23"/>
      <c r="G1907" s="23"/>
    </row>
    <row r="1908" spans="5:7" x14ac:dyDescent="0.3">
      <c r="E1908" s="23"/>
      <c r="G1908" s="23"/>
    </row>
    <row r="1909" spans="5:7" x14ac:dyDescent="0.3">
      <c r="E1909" s="23"/>
      <c r="G1909" s="23"/>
    </row>
    <row r="1910" spans="5:7" x14ac:dyDescent="0.3">
      <c r="E1910" s="23"/>
      <c r="G1910" s="23"/>
    </row>
    <row r="1911" spans="5:7" x14ac:dyDescent="0.3">
      <c r="E1911" s="23"/>
      <c r="G1911" s="23"/>
    </row>
    <row r="1912" spans="5:7" x14ac:dyDescent="0.3">
      <c r="E1912" s="23"/>
      <c r="G1912" s="23"/>
    </row>
    <row r="1913" spans="5:7" x14ac:dyDescent="0.3">
      <c r="E1913" s="23"/>
      <c r="G1913" s="23"/>
    </row>
    <row r="1914" spans="5:7" x14ac:dyDescent="0.3">
      <c r="E1914" s="23"/>
      <c r="G1914" s="23"/>
    </row>
    <row r="1915" spans="5:7" x14ac:dyDescent="0.3">
      <c r="E1915" s="23"/>
      <c r="G1915" s="23"/>
    </row>
    <row r="1916" spans="5:7" x14ac:dyDescent="0.3">
      <c r="E1916" s="23"/>
      <c r="G1916" s="23"/>
    </row>
    <row r="1917" spans="5:7" x14ac:dyDescent="0.3">
      <c r="E1917" s="23"/>
      <c r="G1917" s="23"/>
    </row>
    <row r="1918" spans="5:7" x14ac:dyDescent="0.3">
      <c r="E1918" s="23"/>
      <c r="G1918" s="23"/>
    </row>
    <row r="1919" spans="5:7" x14ac:dyDescent="0.3">
      <c r="E1919" s="23"/>
      <c r="G1919" s="23"/>
    </row>
    <row r="1920" spans="5:7" x14ac:dyDescent="0.3">
      <c r="E1920" s="23"/>
      <c r="G1920" s="23"/>
    </row>
    <row r="1921" spans="5:7" x14ac:dyDescent="0.3">
      <c r="E1921" s="23"/>
      <c r="G1921" s="23"/>
    </row>
    <row r="1922" spans="5:7" x14ac:dyDescent="0.3">
      <c r="E1922" s="23"/>
      <c r="G1922" s="23"/>
    </row>
    <row r="1923" spans="5:7" x14ac:dyDescent="0.3">
      <c r="E1923" s="23"/>
      <c r="G1923" s="23"/>
    </row>
    <row r="1924" spans="5:7" x14ac:dyDescent="0.3">
      <c r="E1924" s="23"/>
      <c r="G1924" s="23"/>
    </row>
    <row r="1925" spans="5:7" x14ac:dyDescent="0.3">
      <c r="E1925" s="23"/>
      <c r="G1925" s="23"/>
    </row>
    <row r="1926" spans="5:7" x14ac:dyDescent="0.3">
      <c r="E1926" s="23"/>
      <c r="G1926" s="23"/>
    </row>
    <row r="1927" spans="5:7" x14ac:dyDescent="0.3">
      <c r="E1927" s="23"/>
      <c r="G1927" s="23"/>
    </row>
    <row r="1928" spans="5:7" x14ac:dyDescent="0.3">
      <c r="E1928" s="23"/>
      <c r="G1928" s="23"/>
    </row>
    <row r="1929" spans="5:7" x14ac:dyDescent="0.3">
      <c r="E1929" s="23"/>
      <c r="G1929" s="23"/>
    </row>
    <row r="1930" spans="5:7" x14ac:dyDescent="0.3">
      <c r="E1930" s="23"/>
      <c r="G1930" s="23"/>
    </row>
    <row r="1931" spans="5:7" x14ac:dyDescent="0.3">
      <c r="E1931" s="23"/>
      <c r="G1931" s="23"/>
    </row>
    <row r="1932" spans="5:7" x14ac:dyDescent="0.3">
      <c r="E1932" s="23"/>
      <c r="G1932" s="23"/>
    </row>
    <row r="1933" spans="5:7" x14ac:dyDescent="0.3">
      <c r="E1933" s="23"/>
      <c r="G1933" s="23"/>
    </row>
    <row r="1934" spans="5:7" x14ac:dyDescent="0.3">
      <c r="E1934" s="23"/>
      <c r="G1934" s="23"/>
    </row>
    <row r="1935" spans="5:7" x14ac:dyDescent="0.3">
      <c r="E1935" s="23"/>
      <c r="G1935" s="23"/>
    </row>
    <row r="1936" spans="5:7" x14ac:dyDescent="0.3">
      <c r="E1936" s="23"/>
      <c r="G1936" s="23"/>
    </row>
    <row r="1937" spans="5:7" x14ac:dyDescent="0.3">
      <c r="E1937" s="23"/>
      <c r="G1937" s="23"/>
    </row>
    <row r="1938" spans="5:7" x14ac:dyDescent="0.3">
      <c r="E1938" s="23"/>
      <c r="G1938" s="23"/>
    </row>
    <row r="1939" spans="5:7" x14ac:dyDescent="0.3">
      <c r="E1939" s="23"/>
      <c r="G1939" s="23"/>
    </row>
    <row r="1940" spans="5:7" x14ac:dyDescent="0.3">
      <c r="E1940" s="23"/>
      <c r="G1940" s="23"/>
    </row>
    <row r="1941" spans="5:7" x14ac:dyDescent="0.3">
      <c r="E1941" s="23"/>
      <c r="G1941" s="23"/>
    </row>
    <row r="1942" spans="5:7" x14ac:dyDescent="0.3">
      <c r="E1942" s="23"/>
      <c r="G1942" s="23"/>
    </row>
    <row r="1943" spans="5:7" x14ac:dyDescent="0.3">
      <c r="E1943" s="23"/>
      <c r="G1943" s="23"/>
    </row>
    <row r="1944" spans="5:7" x14ac:dyDescent="0.3">
      <c r="E1944" s="23"/>
      <c r="G1944" s="23"/>
    </row>
    <row r="1945" spans="5:7" x14ac:dyDescent="0.3">
      <c r="E1945" s="23"/>
      <c r="G1945" s="23"/>
    </row>
    <row r="1946" spans="5:7" x14ac:dyDescent="0.3">
      <c r="E1946" s="23"/>
      <c r="G1946" s="23"/>
    </row>
    <row r="1947" spans="5:7" x14ac:dyDescent="0.3">
      <c r="E1947" s="23"/>
      <c r="G1947" s="23"/>
    </row>
    <row r="1948" spans="5:7" x14ac:dyDescent="0.3">
      <c r="E1948" s="23"/>
      <c r="G1948" s="23"/>
    </row>
    <row r="1949" spans="5:7" x14ac:dyDescent="0.3">
      <c r="E1949" s="23"/>
      <c r="G1949" s="23"/>
    </row>
    <row r="1950" spans="5:7" x14ac:dyDescent="0.3">
      <c r="E1950" s="23"/>
      <c r="G1950" s="23"/>
    </row>
    <row r="1951" spans="5:7" x14ac:dyDescent="0.3">
      <c r="E1951" s="23"/>
      <c r="G1951" s="23"/>
    </row>
    <row r="1952" spans="5:7" x14ac:dyDescent="0.3">
      <c r="E1952" s="23"/>
      <c r="G1952" s="23"/>
    </row>
    <row r="1953" spans="5:7" x14ac:dyDescent="0.3">
      <c r="E1953" s="23"/>
      <c r="G1953" s="23"/>
    </row>
    <row r="1954" spans="5:7" x14ac:dyDescent="0.3">
      <c r="E1954" s="23"/>
      <c r="G1954" s="23"/>
    </row>
    <row r="1955" spans="5:7" x14ac:dyDescent="0.3">
      <c r="E1955" s="23"/>
      <c r="G1955" s="23"/>
    </row>
    <row r="1956" spans="5:7" x14ac:dyDescent="0.3">
      <c r="E1956" s="23"/>
      <c r="G1956" s="23"/>
    </row>
    <row r="1957" spans="5:7" x14ac:dyDescent="0.3">
      <c r="E1957" s="23"/>
      <c r="G1957" s="23"/>
    </row>
    <row r="1958" spans="5:7" x14ac:dyDescent="0.3">
      <c r="E1958" s="23"/>
      <c r="G1958" s="23"/>
    </row>
    <row r="1959" spans="5:7" x14ac:dyDescent="0.3">
      <c r="E1959" s="23"/>
      <c r="G1959" s="23"/>
    </row>
    <row r="1960" spans="5:7" x14ac:dyDescent="0.3">
      <c r="E1960" s="23"/>
      <c r="G1960" s="23"/>
    </row>
    <row r="1961" spans="5:7" x14ac:dyDescent="0.3">
      <c r="E1961" s="23"/>
      <c r="G1961" s="23"/>
    </row>
    <row r="1962" spans="5:7" x14ac:dyDescent="0.3">
      <c r="E1962" s="23"/>
      <c r="G1962" s="23"/>
    </row>
    <row r="1963" spans="5:7" x14ac:dyDescent="0.3">
      <c r="E1963" s="23"/>
      <c r="G1963" s="23"/>
    </row>
    <row r="1964" spans="5:7" x14ac:dyDescent="0.3">
      <c r="E1964" s="23"/>
      <c r="G1964" s="23"/>
    </row>
    <row r="1965" spans="5:7" x14ac:dyDescent="0.3">
      <c r="E1965" s="23"/>
      <c r="G1965" s="23"/>
    </row>
    <row r="1966" spans="5:7" x14ac:dyDescent="0.3">
      <c r="E1966" s="23"/>
      <c r="G1966" s="23"/>
    </row>
    <row r="1967" spans="5:7" x14ac:dyDescent="0.3">
      <c r="E1967" s="23"/>
      <c r="G1967" s="23"/>
    </row>
    <row r="1968" spans="5:7" x14ac:dyDescent="0.3">
      <c r="E1968" s="23"/>
      <c r="G1968" s="23"/>
    </row>
    <row r="1969" spans="5:7" x14ac:dyDescent="0.3">
      <c r="E1969" s="23"/>
      <c r="G1969" s="23"/>
    </row>
    <row r="1970" spans="5:7" x14ac:dyDescent="0.3">
      <c r="E1970" s="23"/>
      <c r="G1970" s="23"/>
    </row>
    <row r="1971" spans="5:7" x14ac:dyDescent="0.3">
      <c r="E1971" s="23"/>
      <c r="G1971" s="23"/>
    </row>
    <row r="1972" spans="5:7" x14ac:dyDescent="0.3">
      <c r="E1972" s="23"/>
      <c r="G1972" s="23"/>
    </row>
    <row r="1973" spans="5:7" x14ac:dyDescent="0.3">
      <c r="E1973" s="23"/>
      <c r="G1973" s="23"/>
    </row>
    <row r="1974" spans="5:7" x14ac:dyDescent="0.3">
      <c r="E1974" s="23"/>
      <c r="G1974" s="23"/>
    </row>
    <row r="1975" spans="5:7" x14ac:dyDescent="0.3">
      <c r="E1975" s="23"/>
      <c r="G1975" s="23"/>
    </row>
    <row r="1976" spans="5:7" x14ac:dyDescent="0.3">
      <c r="E1976" s="23"/>
      <c r="G1976" s="23"/>
    </row>
    <row r="1977" spans="5:7" x14ac:dyDescent="0.3">
      <c r="E1977" s="23"/>
      <c r="G1977" s="23"/>
    </row>
    <row r="1978" spans="5:7" x14ac:dyDescent="0.3">
      <c r="E1978" s="23"/>
      <c r="G1978" s="23"/>
    </row>
    <row r="1979" spans="5:7" x14ac:dyDescent="0.3">
      <c r="E1979" s="23"/>
      <c r="G1979" s="23"/>
    </row>
    <row r="1980" spans="5:7" x14ac:dyDescent="0.3">
      <c r="E1980" s="23"/>
      <c r="G1980" s="23"/>
    </row>
    <row r="1981" spans="5:7" x14ac:dyDescent="0.3">
      <c r="E1981" s="23"/>
      <c r="G1981" s="23"/>
    </row>
    <row r="1982" spans="5:7" x14ac:dyDescent="0.3">
      <c r="E1982" s="23"/>
      <c r="G1982" s="23"/>
    </row>
    <row r="1983" spans="5:7" x14ac:dyDescent="0.3">
      <c r="E1983" s="23"/>
      <c r="G1983" s="23"/>
    </row>
    <row r="1984" spans="5:7" x14ac:dyDescent="0.3">
      <c r="E1984" s="23"/>
      <c r="G1984" s="23"/>
    </row>
    <row r="1985" spans="5:7" x14ac:dyDescent="0.3">
      <c r="E1985" s="23"/>
      <c r="G1985" s="23"/>
    </row>
    <row r="1986" spans="5:7" x14ac:dyDescent="0.3">
      <c r="E1986" s="23"/>
      <c r="G1986" s="23"/>
    </row>
    <row r="1987" spans="5:7" x14ac:dyDescent="0.3">
      <c r="E1987" s="23"/>
      <c r="G1987" s="23"/>
    </row>
    <row r="1988" spans="5:7" x14ac:dyDescent="0.3">
      <c r="E1988" s="23"/>
      <c r="G1988" s="23"/>
    </row>
    <row r="1989" spans="5:7" x14ac:dyDescent="0.3">
      <c r="E1989" s="23"/>
      <c r="G1989" s="23"/>
    </row>
    <row r="1990" spans="5:7" x14ac:dyDescent="0.3">
      <c r="E1990" s="23"/>
      <c r="G1990" s="23"/>
    </row>
    <row r="1991" spans="5:7" x14ac:dyDescent="0.3">
      <c r="E1991" s="23"/>
      <c r="G1991" s="23"/>
    </row>
    <row r="1992" spans="5:7" x14ac:dyDescent="0.3">
      <c r="E1992" s="23"/>
      <c r="G1992" s="23"/>
    </row>
    <row r="1993" spans="5:7" x14ac:dyDescent="0.3">
      <c r="E1993" s="23"/>
      <c r="G1993" s="23"/>
    </row>
    <row r="1994" spans="5:7" x14ac:dyDescent="0.3">
      <c r="E1994" s="23"/>
      <c r="G1994" s="23"/>
    </row>
    <row r="1995" spans="5:7" x14ac:dyDescent="0.3">
      <c r="E1995" s="23"/>
      <c r="G1995" s="23"/>
    </row>
    <row r="1996" spans="5:7" x14ac:dyDescent="0.3">
      <c r="E1996" s="23"/>
      <c r="G1996" s="23"/>
    </row>
    <row r="1997" spans="5:7" x14ac:dyDescent="0.3">
      <c r="E1997" s="23"/>
      <c r="G1997" s="23"/>
    </row>
    <row r="1998" spans="5:7" x14ac:dyDescent="0.3">
      <c r="E1998" s="23"/>
      <c r="G1998" s="23"/>
    </row>
    <row r="1999" spans="5:7" x14ac:dyDescent="0.3">
      <c r="E1999" s="23"/>
      <c r="G1999" s="23"/>
    </row>
    <row r="2000" spans="5:7" x14ac:dyDescent="0.3">
      <c r="E2000" s="23"/>
      <c r="G2000" s="23"/>
    </row>
    <row r="2001" spans="5:7" x14ac:dyDescent="0.3">
      <c r="E2001" s="23"/>
      <c r="G2001" s="23"/>
    </row>
    <row r="2002" spans="5:7" x14ac:dyDescent="0.3">
      <c r="E2002" s="23"/>
      <c r="G2002" s="23"/>
    </row>
    <row r="2003" spans="5:7" x14ac:dyDescent="0.3">
      <c r="E2003" s="23"/>
      <c r="G2003" s="23"/>
    </row>
    <row r="2004" spans="5:7" x14ac:dyDescent="0.3">
      <c r="E2004" s="23"/>
      <c r="G2004" s="23"/>
    </row>
    <row r="2005" spans="5:7" x14ac:dyDescent="0.3">
      <c r="E2005" s="23"/>
      <c r="G2005" s="23"/>
    </row>
    <row r="2006" spans="5:7" x14ac:dyDescent="0.3">
      <c r="E2006" s="23"/>
      <c r="G2006" s="23"/>
    </row>
    <row r="2007" spans="5:7" x14ac:dyDescent="0.3">
      <c r="E2007" s="23"/>
      <c r="G2007" s="23"/>
    </row>
    <row r="2008" spans="5:7" x14ac:dyDescent="0.3">
      <c r="E2008" s="23"/>
      <c r="G2008" s="23"/>
    </row>
    <row r="2009" spans="5:7" x14ac:dyDescent="0.3">
      <c r="E2009" s="23"/>
      <c r="G2009" s="23"/>
    </row>
    <row r="2010" spans="5:7" x14ac:dyDescent="0.3">
      <c r="E2010" s="23"/>
      <c r="G2010" s="23"/>
    </row>
    <row r="2011" spans="5:7" x14ac:dyDescent="0.3">
      <c r="E2011" s="23"/>
      <c r="G2011" s="23"/>
    </row>
    <row r="2012" spans="5:7" x14ac:dyDescent="0.3">
      <c r="E2012" s="23"/>
      <c r="G2012" s="23"/>
    </row>
    <row r="2013" spans="5:7" x14ac:dyDescent="0.3">
      <c r="E2013" s="23"/>
      <c r="G2013" s="23"/>
    </row>
    <row r="2014" spans="5:7" x14ac:dyDescent="0.3">
      <c r="E2014" s="23"/>
      <c r="G2014" s="23"/>
    </row>
    <row r="2015" spans="5:7" x14ac:dyDescent="0.3">
      <c r="E2015" s="23"/>
      <c r="G2015" s="23"/>
    </row>
    <row r="2016" spans="5:7" x14ac:dyDescent="0.3">
      <c r="E2016" s="23"/>
      <c r="G2016" s="23"/>
    </row>
    <row r="2017" spans="5:7" x14ac:dyDescent="0.3">
      <c r="E2017" s="23"/>
      <c r="G2017" s="23"/>
    </row>
    <row r="2018" spans="5:7" x14ac:dyDescent="0.3">
      <c r="E2018" s="23"/>
      <c r="G2018" s="23"/>
    </row>
    <row r="2019" spans="5:7" x14ac:dyDescent="0.3">
      <c r="E2019" s="23"/>
      <c r="G2019" s="23"/>
    </row>
    <row r="2020" spans="5:7" x14ac:dyDescent="0.3">
      <c r="E2020" s="23"/>
      <c r="G2020" s="23"/>
    </row>
    <row r="2021" spans="5:7" x14ac:dyDescent="0.3">
      <c r="E2021" s="23"/>
      <c r="G2021" s="23"/>
    </row>
    <row r="2022" spans="5:7" x14ac:dyDescent="0.3">
      <c r="E2022" s="23"/>
      <c r="G2022" s="23"/>
    </row>
    <row r="2023" spans="5:7" x14ac:dyDescent="0.3">
      <c r="E2023" s="23"/>
      <c r="G2023" s="23"/>
    </row>
    <row r="2024" spans="5:7" x14ac:dyDescent="0.3">
      <c r="E2024" s="23"/>
      <c r="G2024" s="23"/>
    </row>
    <row r="2025" spans="5:7" x14ac:dyDescent="0.3">
      <c r="E2025" s="23"/>
      <c r="G2025" s="23"/>
    </row>
    <row r="2026" spans="5:7" x14ac:dyDescent="0.3">
      <c r="E2026" s="23"/>
      <c r="G2026" s="23"/>
    </row>
    <row r="2027" spans="5:7" x14ac:dyDescent="0.3">
      <c r="E2027" s="23"/>
      <c r="G2027" s="23"/>
    </row>
    <row r="2028" spans="5:7" x14ac:dyDescent="0.3">
      <c r="E2028" s="23"/>
      <c r="G2028" s="23"/>
    </row>
    <row r="2029" spans="5:7" x14ac:dyDescent="0.3">
      <c r="E2029" s="23"/>
      <c r="G2029" s="23"/>
    </row>
    <row r="2030" spans="5:7" x14ac:dyDescent="0.3">
      <c r="E2030" s="23"/>
      <c r="G2030" s="23"/>
    </row>
    <row r="2031" spans="5:7" x14ac:dyDescent="0.3">
      <c r="E2031" s="23"/>
      <c r="G2031" s="23"/>
    </row>
    <row r="2032" spans="5:7" x14ac:dyDescent="0.3">
      <c r="E2032" s="23"/>
      <c r="G2032" s="23"/>
    </row>
    <row r="2033" spans="5:7" x14ac:dyDescent="0.3">
      <c r="E2033" s="23"/>
      <c r="G2033" s="23"/>
    </row>
    <row r="2034" spans="5:7" x14ac:dyDescent="0.3">
      <c r="E2034" s="23"/>
      <c r="G2034" s="23"/>
    </row>
    <row r="2035" spans="5:7" x14ac:dyDescent="0.3">
      <c r="E2035" s="23"/>
      <c r="G2035" s="23"/>
    </row>
    <row r="2036" spans="5:7" x14ac:dyDescent="0.3">
      <c r="E2036" s="23"/>
      <c r="G2036" s="23"/>
    </row>
    <row r="2037" spans="5:7" x14ac:dyDescent="0.3">
      <c r="E2037" s="23"/>
      <c r="G2037" s="23"/>
    </row>
    <row r="2038" spans="5:7" x14ac:dyDescent="0.3">
      <c r="E2038" s="23"/>
      <c r="G2038" s="23"/>
    </row>
    <row r="2039" spans="5:7" x14ac:dyDescent="0.3">
      <c r="E2039" s="23"/>
      <c r="G2039" s="23"/>
    </row>
    <row r="2040" spans="5:7" x14ac:dyDescent="0.3">
      <c r="E2040" s="23"/>
      <c r="G2040" s="23"/>
    </row>
    <row r="2041" spans="5:7" x14ac:dyDescent="0.3">
      <c r="E2041" s="23"/>
      <c r="G2041" s="23"/>
    </row>
    <row r="2042" spans="5:7" x14ac:dyDescent="0.3">
      <c r="E2042" s="23"/>
      <c r="G2042" s="23"/>
    </row>
    <row r="2043" spans="5:7" x14ac:dyDescent="0.3">
      <c r="E2043" s="23"/>
      <c r="G2043" s="23"/>
    </row>
    <row r="2044" spans="5:7" x14ac:dyDescent="0.3">
      <c r="E2044" s="23"/>
      <c r="G2044" s="23"/>
    </row>
    <row r="2045" spans="5:7" x14ac:dyDescent="0.3">
      <c r="E2045" s="23"/>
      <c r="G2045" s="23"/>
    </row>
    <row r="2046" spans="5:7" x14ac:dyDescent="0.3">
      <c r="E2046" s="23"/>
      <c r="G2046" s="23"/>
    </row>
    <row r="2047" spans="5:7" x14ac:dyDescent="0.3">
      <c r="E2047" s="23"/>
      <c r="G2047" s="23"/>
    </row>
    <row r="2048" spans="5:7" x14ac:dyDescent="0.3">
      <c r="E2048" s="23"/>
      <c r="G2048" s="23"/>
    </row>
    <row r="2049" spans="5:7" x14ac:dyDescent="0.3">
      <c r="E2049" s="23"/>
      <c r="G2049" s="23"/>
    </row>
    <row r="2050" spans="5:7" x14ac:dyDescent="0.3">
      <c r="E2050" s="23"/>
      <c r="G2050" s="23"/>
    </row>
    <row r="2051" spans="5:7" x14ac:dyDescent="0.3">
      <c r="E2051" s="23"/>
      <c r="G2051" s="23"/>
    </row>
    <row r="2052" spans="5:7" x14ac:dyDescent="0.3">
      <c r="E2052" s="23"/>
      <c r="G2052" s="23"/>
    </row>
    <row r="2053" spans="5:7" x14ac:dyDescent="0.3">
      <c r="E2053" s="23"/>
      <c r="G2053" s="23"/>
    </row>
    <row r="2054" spans="5:7" x14ac:dyDescent="0.3">
      <c r="E2054" s="23"/>
      <c r="G2054" s="23"/>
    </row>
    <row r="2055" spans="5:7" x14ac:dyDescent="0.3">
      <c r="E2055" s="23"/>
      <c r="G2055" s="23"/>
    </row>
    <row r="2056" spans="5:7" x14ac:dyDescent="0.3">
      <c r="E2056" s="23"/>
      <c r="G2056" s="23"/>
    </row>
    <row r="2057" spans="5:7" x14ac:dyDescent="0.3">
      <c r="E2057" s="23"/>
      <c r="G2057" s="23"/>
    </row>
    <row r="2058" spans="5:7" x14ac:dyDescent="0.3">
      <c r="E2058" s="23"/>
      <c r="G2058" s="23"/>
    </row>
    <row r="2059" spans="5:7" x14ac:dyDescent="0.3">
      <c r="E2059" s="23"/>
      <c r="G2059" s="23"/>
    </row>
    <row r="2060" spans="5:7" x14ac:dyDescent="0.3">
      <c r="E2060" s="23"/>
      <c r="G2060" s="23"/>
    </row>
    <row r="2061" spans="5:7" x14ac:dyDescent="0.3">
      <c r="E2061" s="23"/>
      <c r="G2061" s="23"/>
    </row>
    <row r="2062" spans="5:7" x14ac:dyDescent="0.3">
      <c r="E2062" s="23"/>
      <c r="G2062" s="23"/>
    </row>
    <row r="2063" spans="5:7" x14ac:dyDescent="0.3">
      <c r="E2063" s="23"/>
      <c r="G2063" s="23"/>
    </row>
    <row r="2064" spans="5:7" x14ac:dyDescent="0.3">
      <c r="E2064" s="23"/>
      <c r="G2064" s="23"/>
    </row>
    <row r="2065" spans="5:7" x14ac:dyDescent="0.3">
      <c r="E2065" s="23"/>
      <c r="G2065" s="23"/>
    </row>
    <row r="2066" spans="5:7" x14ac:dyDescent="0.3">
      <c r="E2066" s="23"/>
      <c r="G2066" s="23"/>
    </row>
    <row r="2067" spans="5:7" x14ac:dyDescent="0.3">
      <c r="E2067" s="23"/>
      <c r="G2067" s="23"/>
    </row>
    <row r="2068" spans="5:7" x14ac:dyDescent="0.3">
      <c r="E2068" s="23"/>
      <c r="G2068" s="23"/>
    </row>
    <row r="2069" spans="5:7" x14ac:dyDescent="0.3">
      <c r="E2069" s="23"/>
      <c r="G2069" s="23"/>
    </row>
    <row r="2070" spans="5:7" x14ac:dyDescent="0.3">
      <c r="E2070" s="23"/>
      <c r="G2070" s="23"/>
    </row>
    <row r="2071" spans="5:7" x14ac:dyDescent="0.3">
      <c r="E2071" s="23"/>
      <c r="G2071" s="23"/>
    </row>
    <row r="2072" spans="5:7" x14ac:dyDescent="0.3">
      <c r="E2072" s="23"/>
      <c r="G2072" s="23"/>
    </row>
    <row r="2073" spans="5:7" x14ac:dyDescent="0.3">
      <c r="E2073" s="23"/>
      <c r="G2073" s="23"/>
    </row>
    <row r="2074" spans="5:7" x14ac:dyDescent="0.3">
      <c r="E2074" s="23"/>
      <c r="G2074" s="23"/>
    </row>
    <row r="2075" spans="5:7" x14ac:dyDescent="0.3">
      <c r="E2075" s="23"/>
      <c r="G2075" s="23"/>
    </row>
    <row r="2076" spans="5:7" x14ac:dyDescent="0.3">
      <c r="E2076" s="23"/>
      <c r="G2076" s="23"/>
    </row>
    <row r="2077" spans="5:7" x14ac:dyDescent="0.3">
      <c r="E2077" s="23"/>
      <c r="G2077" s="23"/>
    </row>
    <row r="2078" spans="5:7" x14ac:dyDescent="0.3">
      <c r="E2078" s="23"/>
      <c r="G2078" s="23"/>
    </row>
    <row r="2079" spans="5:7" x14ac:dyDescent="0.3">
      <c r="E2079" s="23"/>
      <c r="G2079" s="23"/>
    </row>
    <row r="2080" spans="5:7" x14ac:dyDescent="0.3">
      <c r="E2080" s="23"/>
      <c r="G2080" s="23"/>
    </row>
    <row r="2081" spans="5:7" x14ac:dyDescent="0.3">
      <c r="E2081" s="23"/>
      <c r="G2081" s="23"/>
    </row>
    <row r="2082" spans="5:7" x14ac:dyDescent="0.3">
      <c r="E2082" s="23"/>
      <c r="G2082" s="23"/>
    </row>
    <row r="2083" spans="5:7" x14ac:dyDescent="0.3">
      <c r="E2083" s="23"/>
      <c r="G2083" s="23"/>
    </row>
    <row r="2084" spans="5:7" x14ac:dyDescent="0.3">
      <c r="E2084" s="23"/>
      <c r="G2084" s="23"/>
    </row>
    <row r="2085" spans="5:7" x14ac:dyDescent="0.3">
      <c r="E2085" s="23"/>
      <c r="G2085" s="23"/>
    </row>
    <row r="2086" spans="5:7" x14ac:dyDescent="0.3">
      <c r="E2086" s="23"/>
      <c r="G2086" s="23"/>
    </row>
    <row r="2087" spans="5:7" x14ac:dyDescent="0.3">
      <c r="E2087" s="23"/>
      <c r="G2087" s="23"/>
    </row>
    <row r="2088" spans="5:7" x14ac:dyDescent="0.3">
      <c r="E2088" s="23"/>
      <c r="G2088" s="23"/>
    </row>
    <row r="2089" spans="5:7" x14ac:dyDescent="0.3">
      <c r="E2089" s="23"/>
      <c r="G2089" s="23"/>
    </row>
    <row r="2090" spans="5:7" x14ac:dyDescent="0.3">
      <c r="E2090" s="23"/>
      <c r="G2090" s="23"/>
    </row>
    <row r="2091" spans="5:7" x14ac:dyDescent="0.3">
      <c r="E2091" s="23"/>
      <c r="G2091" s="23"/>
    </row>
    <row r="2092" spans="5:7" x14ac:dyDescent="0.3">
      <c r="E2092" s="23"/>
      <c r="G2092" s="23"/>
    </row>
    <row r="2093" spans="5:7" x14ac:dyDescent="0.3">
      <c r="E2093" s="23"/>
      <c r="G2093" s="23"/>
    </row>
    <row r="2094" spans="5:7" x14ac:dyDescent="0.3">
      <c r="E2094" s="23"/>
      <c r="G2094" s="23"/>
    </row>
    <row r="2095" spans="5:7" x14ac:dyDescent="0.3">
      <c r="E2095" s="23"/>
      <c r="G2095" s="23"/>
    </row>
    <row r="2096" spans="5:7" x14ac:dyDescent="0.3">
      <c r="E2096" s="23"/>
      <c r="G2096" s="23"/>
    </row>
    <row r="2097" spans="5:7" x14ac:dyDescent="0.3">
      <c r="E2097" s="23"/>
      <c r="G2097" s="23"/>
    </row>
    <row r="2098" spans="5:7" x14ac:dyDescent="0.3">
      <c r="E2098" s="23"/>
      <c r="G2098" s="23"/>
    </row>
    <row r="2099" spans="5:7" x14ac:dyDescent="0.3">
      <c r="E2099" s="23"/>
      <c r="G2099" s="23"/>
    </row>
    <row r="2100" spans="5:7" x14ac:dyDescent="0.3">
      <c r="E2100" s="23"/>
      <c r="G2100" s="23"/>
    </row>
    <row r="2101" spans="5:7" x14ac:dyDescent="0.3">
      <c r="E2101" s="23"/>
      <c r="G2101" s="23"/>
    </row>
    <row r="2102" spans="5:7" x14ac:dyDescent="0.3">
      <c r="E2102" s="23"/>
      <c r="G2102" s="23"/>
    </row>
    <row r="2103" spans="5:7" x14ac:dyDescent="0.3">
      <c r="E2103" s="23"/>
      <c r="G2103" s="23"/>
    </row>
    <row r="2104" spans="5:7" x14ac:dyDescent="0.3">
      <c r="E2104" s="23"/>
      <c r="G2104" s="23"/>
    </row>
    <row r="2105" spans="5:7" x14ac:dyDescent="0.3">
      <c r="E2105" s="23"/>
      <c r="G2105" s="23"/>
    </row>
    <row r="2106" spans="5:7" x14ac:dyDescent="0.3">
      <c r="E2106" s="23"/>
      <c r="G2106" s="23"/>
    </row>
    <row r="2107" spans="5:7" x14ac:dyDescent="0.3">
      <c r="E2107" s="23"/>
      <c r="G2107" s="23"/>
    </row>
    <row r="2108" spans="5:7" x14ac:dyDescent="0.3">
      <c r="E2108" s="23"/>
      <c r="G2108" s="23"/>
    </row>
    <row r="2109" spans="5:7" x14ac:dyDescent="0.3">
      <c r="E2109" s="23"/>
      <c r="G2109" s="23"/>
    </row>
    <row r="2110" spans="5:7" x14ac:dyDescent="0.3">
      <c r="E2110" s="23"/>
      <c r="G2110" s="23"/>
    </row>
    <row r="2111" spans="5:7" x14ac:dyDescent="0.3">
      <c r="E2111" s="23"/>
      <c r="G2111" s="23"/>
    </row>
    <row r="2112" spans="5:7" x14ac:dyDescent="0.3">
      <c r="E2112" s="23"/>
      <c r="G2112" s="23"/>
    </row>
    <row r="2113" spans="5:7" x14ac:dyDescent="0.3">
      <c r="E2113" s="23"/>
      <c r="G2113" s="23"/>
    </row>
    <row r="2114" spans="5:7" x14ac:dyDescent="0.3">
      <c r="E2114" s="23"/>
      <c r="G2114" s="23"/>
    </row>
    <row r="2115" spans="5:7" x14ac:dyDescent="0.3">
      <c r="E2115" s="23"/>
      <c r="G2115" s="23"/>
    </row>
    <row r="2116" spans="5:7" x14ac:dyDescent="0.3">
      <c r="E2116" s="23"/>
      <c r="G2116" s="23"/>
    </row>
    <row r="2117" spans="5:7" x14ac:dyDescent="0.3">
      <c r="E2117" s="23"/>
      <c r="G2117" s="23"/>
    </row>
    <row r="2118" spans="5:7" x14ac:dyDescent="0.3">
      <c r="E2118" s="23"/>
      <c r="G2118" s="23"/>
    </row>
    <row r="2119" spans="5:7" x14ac:dyDescent="0.3">
      <c r="E2119" s="23"/>
      <c r="G2119" s="23"/>
    </row>
    <row r="2120" spans="5:7" x14ac:dyDescent="0.3">
      <c r="E2120" s="23"/>
      <c r="G2120" s="23"/>
    </row>
    <row r="2121" spans="5:7" x14ac:dyDescent="0.3">
      <c r="E2121" s="23"/>
      <c r="G2121" s="23"/>
    </row>
    <row r="2122" spans="5:7" x14ac:dyDescent="0.3">
      <c r="E2122" s="23"/>
      <c r="G2122" s="23"/>
    </row>
    <row r="2123" spans="5:7" x14ac:dyDescent="0.3">
      <c r="E2123" s="23"/>
      <c r="G2123" s="23"/>
    </row>
    <row r="2124" spans="5:7" x14ac:dyDescent="0.3">
      <c r="E2124" s="23"/>
      <c r="G2124" s="23"/>
    </row>
    <row r="2125" spans="5:7" x14ac:dyDescent="0.3">
      <c r="E2125" s="23"/>
      <c r="G2125" s="23"/>
    </row>
    <row r="2126" spans="5:7" x14ac:dyDescent="0.3">
      <c r="E2126" s="23"/>
      <c r="G2126" s="23"/>
    </row>
    <row r="2127" spans="5:7" x14ac:dyDescent="0.3">
      <c r="E2127" s="23"/>
      <c r="G2127" s="23"/>
    </row>
    <row r="2128" spans="5:7" x14ac:dyDescent="0.3">
      <c r="E2128" s="23"/>
      <c r="G2128" s="23"/>
    </row>
    <row r="2129" spans="5:7" x14ac:dyDescent="0.3">
      <c r="E2129" s="23"/>
      <c r="G2129" s="23"/>
    </row>
    <row r="2130" spans="5:7" x14ac:dyDescent="0.3">
      <c r="E2130" s="23"/>
      <c r="G2130" s="23"/>
    </row>
    <row r="2131" spans="5:7" x14ac:dyDescent="0.3">
      <c r="E2131" s="23"/>
      <c r="G2131" s="23"/>
    </row>
    <row r="2132" spans="5:7" x14ac:dyDescent="0.3">
      <c r="E2132" s="23"/>
      <c r="G2132" s="23"/>
    </row>
    <row r="2133" spans="5:7" x14ac:dyDescent="0.3">
      <c r="E2133" s="23"/>
      <c r="G2133" s="23"/>
    </row>
    <row r="2134" spans="5:7" x14ac:dyDescent="0.3">
      <c r="E2134" s="23"/>
      <c r="G2134" s="23"/>
    </row>
    <row r="2135" spans="5:7" x14ac:dyDescent="0.3">
      <c r="E2135" s="23"/>
      <c r="G2135" s="23"/>
    </row>
    <row r="2136" spans="5:7" x14ac:dyDescent="0.3">
      <c r="E2136" s="23"/>
      <c r="G2136" s="23"/>
    </row>
    <row r="2137" spans="5:7" x14ac:dyDescent="0.3">
      <c r="E2137" s="23"/>
      <c r="G2137" s="23"/>
    </row>
    <row r="2138" spans="5:7" x14ac:dyDescent="0.3">
      <c r="E2138" s="23"/>
      <c r="G2138" s="23"/>
    </row>
    <row r="2139" spans="5:7" x14ac:dyDescent="0.3">
      <c r="E2139" s="23"/>
      <c r="G2139" s="23"/>
    </row>
    <row r="2140" spans="5:7" x14ac:dyDescent="0.3">
      <c r="E2140" s="23"/>
      <c r="G2140" s="23"/>
    </row>
    <row r="2141" spans="5:7" x14ac:dyDescent="0.3">
      <c r="E2141" s="23"/>
      <c r="G2141" s="23"/>
    </row>
    <row r="2142" spans="5:7" x14ac:dyDescent="0.3">
      <c r="E2142" s="23"/>
      <c r="G2142" s="23"/>
    </row>
    <row r="2143" spans="5:7" x14ac:dyDescent="0.3">
      <c r="E2143" s="23"/>
      <c r="G2143" s="23"/>
    </row>
    <row r="2144" spans="5:7" x14ac:dyDescent="0.3">
      <c r="E2144" s="23"/>
      <c r="G2144" s="23"/>
    </row>
    <row r="2145" spans="5:7" x14ac:dyDescent="0.3">
      <c r="E2145" s="23"/>
      <c r="G2145" s="23"/>
    </row>
    <row r="2146" spans="5:7" x14ac:dyDescent="0.3">
      <c r="E2146" s="23"/>
      <c r="G2146" s="23"/>
    </row>
    <row r="2147" spans="5:7" x14ac:dyDescent="0.3">
      <c r="E2147" s="23"/>
      <c r="G2147" s="23"/>
    </row>
    <row r="2148" spans="5:7" x14ac:dyDescent="0.3">
      <c r="E2148" s="23"/>
      <c r="G2148" s="23"/>
    </row>
    <row r="2149" spans="5:7" x14ac:dyDescent="0.3">
      <c r="E2149" s="23"/>
      <c r="G2149" s="23"/>
    </row>
    <row r="2150" spans="5:7" x14ac:dyDescent="0.3">
      <c r="E2150" s="23"/>
      <c r="G2150" s="23"/>
    </row>
    <row r="2151" spans="5:7" x14ac:dyDescent="0.3">
      <c r="E2151" s="23"/>
      <c r="G2151" s="23"/>
    </row>
    <row r="2152" spans="5:7" x14ac:dyDescent="0.3">
      <c r="E2152" s="23"/>
      <c r="G2152" s="23"/>
    </row>
    <row r="2153" spans="5:7" x14ac:dyDescent="0.3">
      <c r="E2153" s="23"/>
      <c r="G2153" s="23"/>
    </row>
    <row r="2154" spans="5:7" x14ac:dyDescent="0.3">
      <c r="E2154" s="23"/>
      <c r="G2154" s="23"/>
    </row>
    <row r="2155" spans="5:7" x14ac:dyDescent="0.3">
      <c r="E2155" s="23"/>
      <c r="G2155" s="23"/>
    </row>
    <row r="2156" spans="5:7" x14ac:dyDescent="0.3">
      <c r="E2156" s="23"/>
      <c r="G2156" s="23"/>
    </row>
    <row r="2157" spans="5:7" x14ac:dyDescent="0.3">
      <c r="E2157" s="23"/>
      <c r="G2157" s="23"/>
    </row>
    <row r="2158" spans="5:7" x14ac:dyDescent="0.3">
      <c r="E2158" s="23"/>
      <c r="G2158" s="23"/>
    </row>
    <row r="2159" spans="5:7" x14ac:dyDescent="0.3">
      <c r="E2159" s="23"/>
      <c r="G2159" s="23"/>
    </row>
    <row r="2160" spans="5:7" x14ac:dyDescent="0.3">
      <c r="E2160" s="23"/>
      <c r="G2160" s="23"/>
    </row>
    <row r="2161" spans="5:7" x14ac:dyDescent="0.3">
      <c r="E2161" s="23"/>
      <c r="G2161" s="23"/>
    </row>
    <row r="2162" spans="5:7" x14ac:dyDescent="0.3">
      <c r="E2162" s="23"/>
      <c r="G2162" s="23"/>
    </row>
    <row r="2163" spans="5:7" x14ac:dyDescent="0.3">
      <c r="E2163" s="23"/>
      <c r="G2163" s="23"/>
    </row>
    <row r="2164" spans="5:7" x14ac:dyDescent="0.3">
      <c r="E2164" s="23"/>
      <c r="G2164" s="23"/>
    </row>
    <row r="2165" spans="5:7" x14ac:dyDescent="0.3">
      <c r="E2165" s="23"/>
      <c r="G2165" s="23"/>
    </row>
    <row r="2166" spans="5:7" x14ac:dyDescent="0.3">
      <c r="E2166" s="23"/>
      <c r="G2166" s="23"/>
    </row>
    <row r="2167" spans="5:7" x14ac:dyDescent="0.3">
      <c r="E2167" s="23"/>
      <c r="G2167" s="23"/>
    </row>
    <row r="2168" spans="5:7" x14ac:dyDescent="0.3">
      <c r="E2168" s="23"/>
      <c r="G2168" s="23"/>
    </row>
    <row r="2169" spans="5:7" x14ac:dyDescent="0.3">
      <c r="E2169" s="23"/>
      <c r="G2169" s="23"/>
    </row>
    <row r="2170" spans="5:7" x14ac:dyDescent="0.3">
      <c r="E2170" s="23"/>
      <c r="G2170" s="23"/>
    </row>
    <row r="2171" spans="5:7" x14ac:dyDescent="0.3">
      <c r="E2171" s="23"/>
      <c r="G2171" s="23"/>
    </row>
    <row r="2172" spans="5:7" x14ac:dyDescent="0.3">
      <c r="E2172" s="23"/>
      <c r="G2172" s="23"/>
    </row>
    <row r="2173" spans="5:7" x14ac:dyDescent="0.3">
      <c r="E2173" s="23"/>
      <c r="G2173" s="23"/>
    </row>
    <row r="2174" spans="5:7" x14ac:dyDescent="0.3">
      <c r="E2174" s="23"/>
      <c r="G2174" s="23"/>
    </row>
    <row r="2175" spans="5:7" x14ac:dyDescent="0.3">
      <c r="E2175" s="23"/>
      <c r="G2175" s="23"/>
    </row>
    <row r="2176" spans="5:7" x14ac:dyDescent="0.3">
      <c r="E2176" s="23"/>
      <c r="G2176" s="23"/>
    </row>
    <row r="2177" spans="5:7" x14ac:dyDescent="0.3">
      <c r="E2177" s="23"/>
      <c r="G2177" s="23"/>
    </row>
    <row r="2178" spans="5:7" x14ac:dyDescent="0.3">
      <c r="E2178" s="23"/>
      <c r="G2178" s="23"/>
    </row>
    <row r="2179" spans="5:7" x14ac:dyDescent="0.3">
      <c r="E2179" s="23"/>
      <c r="G2179" s="23"/>
    </row>
    <row r="2180" spans="5:7" x14ac:dyDescent="0.3">
      <c r="E2180" s="23"/>
      <c r="G2180" s="23"/>
    </row>
    <row r="2181" spans="5:7" x14ac:dyDescent="0.3">
      <c r="E2181" s="23"/>
      <c r="G2181" s="23"/>
    </row>
    <row r="2182" spans="5:7" x14ac:dyDescent="0.3">
      <c r="E2182" s="23"/>
      <c r="G2182" s="23"/>
    </row>
    <row r="2183" spans="5:7" x14ac:dyDescent="0.3">
      <c r="E2183" s="23"/>
      <c r="G2183" s="23"/>
    </row>
    <row r="2184" spans="5:7" x14ac:dyDescent="0.3">
      <c r="E2184" s="23"/>
      <c r="G2184" s="23"/>
    </row>
    <row r="2185" spans="5:7" x14ac:dyDescent="0.3">
      <c r="E2185" s="23"/>
      <c r="G2185" s="23"/>
    </row>
    <row r="2186" spans="5:7" x14ac:dyDescent="0.3">
      <c r="E2186" s="23"/>
      <c r="G2186" s="23"/>
    </row>
    <row r="2187" spans="5:7" x14ac:dyDescent="0.3">
      <c r="E2187" s="23"/>
      <c r="G2187" s="23"/>
    </row>
    <row r="2188" spans="5:7" x14ac:dyDescent="0.3">
      <c r="E2188" s="23"/>
      <c r="G2188" s="23"/>
    </row>
    <row r="2189" spans="5:7" x14ac:dyDescent="0.3">
      <c r="E2189" s="23"/>
      <c r="G2189" s="23"/>
    </row>
    <row r="2190" spans="5:7" x14ac:dyDescent="0.3">
      <c r="E2190" s="23"/>
      <c r="G2190" s="23"/>
    </row>
    <row r="2191" spans="5:7" x14ac:dyDescent="0.3">
      <c r="E2191" s="23"/>
      <c r="G2191" s="23"/>
    </row>
    <row r="2192" spans="5:7" x14ac:dyDescent="0.3">
      <c r="E2192" s="23"/>
      <c r="G2192" s="23"/>
    </row>
    <row r="2193" spans="5:7" x14ac:dyDescent="0.3">
      <c r="E2193" s="23"/>
      <c r="G2193" s="23"/>
    </row>
    <row r="2194" spans="5:7" x14ac:dyDescent="0.3">
      <c r="E2194" s="23"/>
      <c r="G2194" s="23"/>
    </row>
    <row r="2195" spans="5:7" x14ac:dyDescent="0.3">
      <c r="E2195" s="23"/>
      <c r="G2195" s="23"/>
    </row>
    <row r="2196" spans="5:7" x14ac:dyDescent="0.3">
      <c r="E2196" s="23"/>
      <c r="G2196" s="23"/>
    </row>
    <row r="2197" spans="5:7" x14ac:dyDescent="0.3">
      <c r="E2197" s="23"/>
      <c r="G2197" s="23"/>
    </row>
    <row r="2198" spans="5:7" x14ac:dyDescent="0.3">
      <c r="E2198" s="23"/>
      <c r="G2198" s="23"/>
    </row>
    <row r="2199" spans="5:7" x14ac:dyDescent="0.3">
      <c r="E2199" s="23"/>
      <c r="G2199" s="23"/>
    </row>
    <row r="2200" spans="5:7" x14ac:dyDescent="0.3">
      <c r="E2200" s="23"/>
      <c r="G2200" s="23"/>
    </row>
    <row r="2201" spans="5:7" x14ac:dyDescent="0.3">
      <c r="E2201" s="23"/>
      <c r="G2201" s="23"/>
    </row>
    <row r="2202" spans="5:7" x14ac:dyDescent="0.3">
      <c r="E2202" s="23"/>
      <c r="G2202" s="23"/>
    </row>
    <row r="2203" spans="5:7" x14ac:dyDescent="0.3">
      <c r="E2203" s="23"/>
      <c r="G2203" s="23"/>
    </row>
    <row r="2204" spans="5:7" x14ac:dyDescent="0.3">
      <c r="E2204" s="23"/>
      <c r="G2204" s="23"/>
    </row>
    <row r="2205" spans="5:7" x14ac:dyDescent="0.3">
      <c r="E2205" s="23"/>
      <c r="G2205" s="23"/>
    </row>
    <row r="2206" spans="5:7" x14ac:dyDescent="0.3">
      <c r="E2206" s="23"/>
      <c r="G2206" s="23"/>
    </row>
    <row r="2207" spans="5:7" x14ac:dyDescent="0.3">
      <c r="E2207" s="23"/>
      <c r="G2207" s="23"/>
    </row>
    <row r="2208" spans="5:7" x14ac:dyDescent="0.3">
      <c r="E2208" s="23"/>
      <c r="G2208" s="23"/>
    </row>
    <row r="2209" spans="5:7" x14ac:dyDescent="0.3">
      <c r="E2209" s="23"/>
      <c r="G2209" s="23"/>
    </row>
    <row r="2210" spans="5:7" x14ac:dyDescent="0.3">
      <c r="E2210" s="23"/>
      <c r="G2210" s="23"/>
    </row>
    <row r="2211" spans="5:7" x14ac:dyDescent="0.3">
      <c r="E2211" s="23"/>
      <c r="G2211" s="23"/>
    </row>
    <row r="2212" spans="5:7" x14ac:dyDescent="0.3">
      <c r="E2212" s="23"/>
      <c r="G2212" s="23"/>
    </row>
    <row r="2213" spans="5:7" x14ac:dyDescent="0.3">
      <c r="E2213" s="23"/>
      <c r="G2213" s="23"/>
    </row>
    <row r="2214" spans="5:7" x14ac:dyDescent="0.3">
      <c r="E2214" s="23"/>
      <c r="G2214" s="23"/>
    </row>
    <row r="2215" spans="5:7" x14ac:dyDescent="0.3">
      <c r="E2215" s="23"/>
      <c r="G2215" s="23"/>
    </row>
    <row r="2216" spans="5:7" x14ac:dyDescent="0.3">
      <c r="E2216" s="23"/>
      <c r="G2216" s="23"/>
    </row>
    <row r="2217" spans="5:7" x14ac:dyDescent="0.3">
      <c r="E2217" s="23"/>
      <c r="G2217" s="23"/>
    </row>
    <row r="2218" spans="5:7" x14ac:dyDescent="0.3">
      <c r="E2218" s="23"/>
      <c r="G2218" s="23"/>
    </row>
    <row r="2219" spans="5:7" x14ac:dyDescent="0.3">
      <c r="E2219" s="23"/>
      <c r="G2219" s="23"/>
    </row>
    <row r="2220" spans="5:7" x14ac:dyDescent="0.3">
      <c r="E2220" s="23"/>
      <c r="G2220" s="23"/>
    </row>
    <row r="2221" spans="5:7" x14ac:dyDescent="0.3">
      <c r="E2221" s="23"/>
      <c r="G2221" s="23"/>
    </row>
    <row r="2222" spans="5:7" x14ac:dyDescent="0.3">
      <c r="E2222" s="23"/>
      <c r="G2222" s="23"/>
    </row>
    <row r="2223" spans="5:7" x14ac:dyDescent="0.3">
      <c r="E2223" s="23"/>
      <c r="G2223" s="23"/>
    </row>
    <row r="2224" spans="5:7" x14ac:dyDescent="0.3">
      <c r="E2224" s="23"/>
      <c r="G2224" s="23"/>
    </row>
    <row r="2225" spans="5:7" x14ac:dyDescent="0.3">
      <c r="E2225" s="23"/>
      <c r="G2225" s="23"/>
    </row>
    <row r="2226" spans="5:7" x14ac:dyDescent="0.3">
      <c r="E2226" s="23"/>
      <c r="G2226" s="23"/>
    </row>
    <row r="2227" spans="5:7" x14ac:dyDescent="0.3">
      <c r="E2227" s="23"/>
      <c r="G2227" s="23"/>
    </row>
    <row r="2228" spans="5:7" x14ac:dyDescent="0.3">
      <c r="E2228" s="23"/>
      <c r="G2228" s="23"/>
    </row>
    <row r="2229" spans="5:7" x14ac:dyDescent="0.3">
      <c r="E2229" s="23"/>
      <c r="G2229" s="23"/>
    </row>
    <row r="2230" spans="5:7" x14ac:dyDescent="0.3">
      <c r="E2230" s="23"/>
      <c r="G2230" s="23"/>
    </row>
    <row r="2231" spans="5:7" x14ac:dyDescent="0.3">
      <c r="E2231" s="23"/>
      <c r="G2231" s="23"/>
    </row>
    <row r="2232" spans="5:7" x14ac:dyDescent="0.3">
      <c r="E2232" s="23"/>
      <c r="G2232" s="23"/>
    </row>
    <row r="2233" spans="5:7" x14ac:dyDescent="0.3">
      <c r="E2233" s="23"/>
      <c r="G2233" s="23"/>
    </row>
    <row r="2234" spans="5:7" x14ac:dyDescent="0.3">
      <c r="E2234" s="23"/>
      <c r="G2234" s="23"/>
    </row>
    <row r="2235" spans="5:7" x14ac:dyDescent="0.3">
      <c r="E2235" s="23"/>
      <c r="G2235" s="23"/>
    </row>
    <row r="2236" spans="5:7" x14ac:dyDescent="0.3">
      <c r="E2236" s="23"/>
      <c r="G2236" s="23"/>
    </row>
    <row r="2237" spans="5:7" x14ac:dyDescent="0.3">
      <c r="E2237" s="23"/>
      <c r="G2237" s="23"/>
    </row>
    <row r="2238" spans="5:7" x14ac:dyDescent="0.3">
      <c r="E2238" s="23"/>
      <c r="G2238" s="23"/>
    </row>
    <row r="2239" spans="5:7" x14ac:dyDescent="0.3">
      <c r="E2239" s="23"/>
      <c r="G2239" s="23"/>
    </row>
    <row r="2240" spans="5:7" x14ac:dyDescent="0.3">
      <c r="E2240" s="23"/>
      <c r="G2240" s="23"/>
    </row>
    <row r="2241" spans="5:7" x14ac:dyDescent="0.3">
      <c r="E2241" s="23"/>
      <c r="G2241" s="23"/>
    </row>
    <row r="2242" spans="5:7" x14ac:dyDescent="0.3">
      <c r="E2242" s="23"/>
      <c r="G2242" s="23"/>
    </row>
    <row r="2243" spans="5:7" x14ac:dyDescent="0.3">
      <c r="E2243" s="23"/>
      <c r="G2243" s="23"/>
    </row>
    <row r="2244" spans="5:7" x14ac:dyDescent="0.3">
      <c r="E2244" s="23"/>
      <c r="G2244" s="23"/>
    </row>
    <row r="2245" spans="5:7" x14ac:dyDescent="0.3">
      <c r="E2245" s="23"/>
      <c r="G2245" s="23"/>
    </row>
    <row r="2246" spans="5:7" x14ac:dyDescent="0.3">
      <c r="E2246" s="23"/>
      <c r="G2246" s="23"/>
    </row>
    <row r="2247" spans="5:7" x14ac:dyDescent="0.3">
      <c r="E2247" s="23"/>
      <c r="G2247" s="23"/>
    </row>
    <row r="2248" spans="5:7" x14ac:dyDescent="0.3">
      <c r="E2248" s="23"/>
      <c r="G2248" s="23"/>
    </row>
    <row r="2249" spans="5:7" x14ac:dyDescent="0.3">
      <c r="E2249" s="23"/>
      <c r="G2249" s="23"/>
    </row>
    <row r="2250" spans="5:7" x14ac:dyDescent="0.3">
      <c r="E2250" s="23"/>
      <c r="G2250" s="23"/>
    </row>
    <row r="2251" spans="5:7" x14ac:dyDescent="0.3">
      <c r="E2251" s="23"/>
      <c r="G2251" s="23"/>
    </row>
    <row r="2252" spans="5:7" x14ac:dyDescent="0.3">
      <c r="E2252" s="23"/>
      <c r="G2252" s="23"/>
    </row>
    <row r="2253" spans="5:7" x14ac:dyDescent="0.3">
      <c r="E2253" s="23"/>
      <c r="G2253" s="23"/>
    </row>
    <row r="2254" spans="5:7" x14ac:dyDescent="0.3">
      <c r="E2254" s="23"/>
      <c r="G2254" s="23"/>
    </row>
    <row r="2255" spans="5:7" x14ac:dyDescent="0.3">
      <c r="E2255" s="23"/>
      <c r="G2255" s="23"/>
    </row>
    <row r="2256" spans="5:7" x14ac:dyDescent="0.3">
      <c r="E2256" s="23"/>
      <c r="G2256" s="23"/>
    </row>
    <row r="2257" spans="5:7" x14ac:dyDescent="0.3">
      <c r="E2257" s="23"/>
      <c r="G2257" s="23"/>
    </row>
    <row r="2258" spans="5:7" x14ac:dyDescent="0.3">
      <c r="E2258" s="23"/>
      <c r="G2258" s="23"/>
    </row>
    <row r="2259" spans="5:7" x14ac:dyDescent="0.3">
      <c r="E2259" s="23"/>
      <c r="G2259" s="23"/>
    </row>
    <row r="2260" spans="5:7" x14ac:dyDescent="0.3">
      <c r="E2260" s="23"/>
      <c r="G2260" s="23"/>
    </row>
    <row r="2261" spans="5:7" x14ac:dyDescent="0.3">
      <c r="E2261" s="23"/>
      <c r="G2261" s="23"/>
    </row>
    <row r="2262" spans="5:7" x14ac:dyDescent="0.3">
      <c r="E2262" s="23"/>
      <c r="G2262" s="23"/>
    </row>
    <row r="2263" spans="5:7" x14ac:dyDescent="0.3">
      <c r="E2263" s="23"/>
      <c r="G2263" s="23"/>
    </row>
    <row r="2264" spans="5:7" x14ac:dyDescent="0.3">
      <c r="E2264" s="23"/>
      <c r="G2264" s="23"/>
    </row>
    <row r="2265" spans="5:7" x14ac:dyDescent="0.3">
      <c r="E2265" s="23"/>
      <c r="G2265" s="23"/>
    </row>
    <row r="2266" spans="5:7" x14ac:dyDescent="0.3">
      <c r="E2266" s="23"/>
      <c r="G2266" s="23"/>
    </row>
    <row r="2267" spans="5:7" x14ac:dyDescent="0.3">
      <c r="E2267" s="23"/>
      <c r="G2267" s="23"/>
    </row>
    <row r="2268" spans="5:7" x14ac:dyDescent="0.3">
      <c r="E2268" s="23"/>
      <c r="G2268" s="23"/>
    </row>
    <row r="2269" spans="5:7" x14ac:dyDescent="0.3">
      <c r="E2269" s="23"/>
      <c r="G2269" s="23"/>
    </row>
    <row r="2270" spans="5:7" x14ac:dyDescent="0.3">
      <c r="E2270" s="23"/>
      <c r="G2270" s="23"/>
    </row>
    <row r="2271" spans="5:7" x14ac:dyDescent="0.3">
      <c r="E2271" s="23"/>
      <c r="G2271" s="23"/>
    </row>
    <row r="2272" spans="5:7" x14ac:dyDescent="0.3">
      <c r="E2272" s="23"/>
      <c r="G2272" s="23"/>
    </row>
    <row r="2273" spans="5:7" x14ac:dyDescent="0.3">
      <c r="E2273" s="23"/>
      <c r="G2273" s="23"/>
    </row>
    <row r="2274" spans="5:7" x14ac:dyDescent="0.3">
      <c r="E2274" s="23"/>
      <c r="G2274" s="23"/>
    </row>
    <row r="2275" spans="5:7" x14ac:dyDescent="0.3">
      <c r="E2275" s="23"/>
      <c r="G2275" s="23"/>
    </row>
    <row r="2276" spans="5:7" x14ac:dyDescent="0.3">
      <c r="E2276" s="23"/>
      <c r="G2276" s="23"/>
    </row>
    <row r="2277" spans="5:7" x14ac:dyDescent="0.3">
      <c r="E2277" s="23"/>
      <c r="G2277" s="23"/>
    </row>
    <row r="2278" spans="5:7" x14ac:dyDescent="0.3">
      <c r="E2278" s="23"/>
      <c r="G2278" s="23"/>
    </row>
    <row r="2279" spans="5:7" x14ac:dyDescent="0.3">
      <c r="E2279" s="23"/>
      <c r="G2279" s="23"/>
    </row>
    <row r="2280" spans="5:7" x14ac:dyDescent="0.3">
      <c r="E2280" s="23"/>
      <c r="G2280" s="23"/>
    </row>
    <row r="2281" spans="5:7" x14ac:dyDescent="0.3">
      <c r="E2281" s="23"/>
      <c r="G2281" s="23"/>
    </row>
    <row r="2282" spans="5:7" x14ac:dyDescent="0.3">
      <c r="E2282" s="23"/>
      <c r="G2282" s="23"/>
    </row>
    <row r="2283" spans="5:7" x14ac:dyDescent="0.3">
      <c r="E2283" s="23"/>
      <c r="G2283" s="23"/>
    </row>
    <row r="2284" spans="5:7" x14ac:dyDescent="0.3">
      <c r="E2284" s="23"/>
      <c r="G2284" s="23"/>
    </row>
    <row r="2285" spans="5:7" x14ac:dyDescent="0.3">
      <c r="E2285" s="23"/>
      <c r="G2285" s="23"/>
    </row>
    <row r="2286" spans="5:7" x14ac:dyDescent="0.3">
      <c r="E2286" s="23"/>
      <c r="G2286" s="23"/>
    </row>
    <row r="2287" spans="5:7" x14ac:dyDescent="0.3">
      <c r="E2287" s="23"/>
      <c r="G2287" s="23"/>
    </row>
    <row r="2288" spans="5:7" x14ac:dyDescent="0.3">
      <c r="E2288" s="23"/>
      <c r="G2288" s="23"/>
    </row>
    <row r="2289" spans="5:7" x14ac:dyDescent="0.3">
      <c r="E2289" s="23"/>
      <c r="G2289" s="23"/>
    </row>
    <row r="2290" spans="5:7" x14ac:dyDescent="0.3">
      <c r="E2290" s="23"/>
      <c r="G2290" s="23"/>
    </row>
    <row r="2291" spans="5:7" x14ac:dyDescent="0.3">
      <c r="E2291" s="23"/>
      <c r="G2291" s="23"/>
    </row>
    <row r="2292" spans="5:7" x14ac:dyDescent="0.3">
      <c r="E2292" s="23"/>
      <c r="G2292" s="23"/>
    </row>
    <row r="2293" spans="5:7" x14ac:dyDescent="0.3">
      <c r="E2293" s="23"/>
      <c r="G2293" s="23"/>
    </row>
    <row r="2294" spans="5:7" x14ac:dyDescent="0.3">
      <c r="E2294" s="23"/>
      <c r="G2294" s="23"/>
    </row>
    <row r="2295" spans="5:7" x14ac:dyDescent="0.3">
      <c r="E2295" s="23"/>
      <c r="G2295" s="23"/>
    </row>
    <row r="2296" spans="5:7" x14ac:dyDescent="0.3">
      <c r="E2296" s="23"/>
      <c r="G2296" s="23"/>
    </row>
    <row r="2297" spans="5:7" x14ac:dyDescent="0.3">
      <c r="E2297" s="23"/>
      <c r="G2297" s="23"/>
    </row>
    <row r="2298" spans="5:7" x14ac:dyDescent="0.3">
      <c r="E2298" s="23"/>
      <c r="G2298" s="23"/>
    </row>
    <row r="2299" spans="5:7" x14ac:dyDescent="0.3">
      <c r="E2299" s="23"/>
      <c r="G2299" s="23"/>
    </row>
    <row r="2300" spans="5:7" x14ac:dyDescent="0.3">
      <c r="E2300" s="23"/>
      <c r="G2300" s="23"/>
    </row>
    <row r="2301" spans="5:7" x14ac:dyDescent="0.3">
      <c r="E2301" s="23"/>
      <c r="G2301" s="23"/>
    </row>
    <row r="2302" spans="5:7" x14ac:dyDescent="0.3">
      <c r="E2302" s="23"/>
      <c r="G2302" s="23"/>
    </row>
    <row r="2303" spans="5:7" x14ac:dyDescent="0.3">
      <c r="E2303" s="23"/>
      <c r="G2303" s="23"/>
    </row>
    <row r="2304" spans="5:7" x14ac:dyDescent="0.3">
      <c r="E2304" s="23"/>
      <c r="G2304" s="23"/>
    </row>
    <row r="2305" spans="5:7" x14ac:dyDescent="0.3">
      <c r="E2305" s="23"/>
      <c r="G2305" s="23"/>
    </row>
    <row r="2306" spans="5:7" x14ac:dyDescent="0.3">
      <c r="E2306" s="23"/>
      <c r="G2306" s="23"/>
    </row>
    <row r="2307" spans="5:7" x14ac:dyDescent="0.3">
      <c r="E2307" s="23"/>
      <c r="G2307" s="23"/>
    </row>
    <row r="2308" spans="5:7" x14ac:dyDescent="0.3">
      <c r="E2308" s="23"/>
      <c r="G2308" s="23"/>
    </row>
    <row r="2309" spans="5:7" x14ac:dyDescent="0.3">
      <c r="E2309" s="23"/>
      <c r="G2309" s="23"/>
    </row>
    <row r="2310" spans="5:7" x14ac:dyDescent="0.3">
      <c r="E2310" s="23"/>
      <c r="G2310" s="23"/>
    </row>
    <row r="2311" spans="5:7" x14ac:dyDescent="0.3">
      <c r="E2311" s="23"/>
      <c r="G2311" s="23"/>
    </row>
    <row r="2312" spans="5:7" x14ac:dyDescent="0.3">
      <c r="E2312" s="23"/>
      <c r="G2312" s="23"/>
    </row>
    <row r="2313" spans="5:7" x14ac:dyDescent="0.3">
      <c r="E2313" s="23"/>
      <c r="G2313" s="23"/>
    </row>
    <row r="2314" spans="5:7" x14ac:dyDescent="0.3">
      <c r="E2314" s="23"/>
      <c r="G2314" s="23"/>
    </row>
    <row r="2315" spans="5:7" x14ac:dyDescent="0.3">
      <c r="E2315" s="23"/>
      <c r="G2315" s="23"/>
    </row>
    <row r="2316" spans="5:7" x14ac:dyDescent="0.3">
      <c r="E2316" s="23"/>
      <c r="G2316" s="23"/>
    </row>
    <row r="2317" spans="5:7" x14ac:dyDescent="0.3">
      <c r="E2317" s="23"/>
      <c r="G2317" s="23"/>
    </row>
    <row r="2318" spans="5:7" x14ac:dyDescent="0.3">
      <c r="E2318" s="23"/>
      <c r="G2318" s="23"/>
    </row>
    <row r="2319" spans="5:7" x14ac:dyDescent="0.3">
      <c r="E2319" s="23"/>
      <c r="G2319" s="23"/>
    </row>
    <row r="2320" spans="5:7" x14ac:dyDescent="0.3">
      <c r="E2320" s="23"/>
      <c r="G2320" s="23"/>
    </row>
    <row r="2321" spans="5:7" x14ac:dyDescent="0.3">
      <c r="E2321" s="23"/>
      <c r="G2321" s="23"/>
    </row>
    <row r="2322" spans="5:7" x14ac:dyDescent="0.3">
      <c r="E2322" s="23"/>
      <c r="G2322" s="23"/>
    </row>
    <row r="2323" spans="5:7" x14ac:dyDescent="0.3">
      <c r="E2323" s="23"/>
      <c r="G2323" s="23"/>
    </row>
    <row r="2324" spans="5:7" x14ac:dyDescent="0.3">
      <c r="E2324" s="23"/>
      <c r="G2324" s="23"/>
    </row>
    <row r="2325" spans="5:7" x14ac:dyDescent="0.3">
      <c r="E2325" s="23"/>
      <c r="G2325" s="23"/>
    </row>
    <row r="2326" spans="5:7" x14ac:dyDescent="0.3">
      <c r="E2326" s="23"/>
      <c r="G2326" s="23"/>
    </row>
    <row r="2327" spans="5:7" x14ac:dyDescent="0.3">
      <c r="E2327" s="23"/>
      <c r="G2327" s="23"/>
    </row>
    <row r="2328" spans="5:7" x14ac:dyDescent="0.3">
      <c r="E2328" s="23"/>
      <c r="G2328" s="23"/>
    </row>
    <row r="2329" spans="5:7" x14ac:dyDescent="0.3">
      <c r="E2329" s="23"/>
      <c r="G2329" s="23"/>
    </row>
    <row r="2330" spans="5:7" x14ac:dyDescent="0.3">
      <c r="E2330" s="23"/>
      <c r="G2330" s="23"/>
    </row>
    <row r="2331" spans="5:7" x14ac:dyDescent="0.3">
      <c r="E2331" s="23"/>
      <c r="G2331" s="23"/>
    </row>
    <row r="2332" spans="5:7" x14ac:dyDescent="0.3">
      <c r="E2332" s="23"/>
      <c r="G2332" s="23"/>
    </row>
    <row r="2333" spans="5:7" x14ac:dyDescent="0.3">
      <c r="E2333" s="23"/>
      <c r="G2333" s="23"/>
    </row>
    <row r="2334" spans="5:7" x14ac:dyDescent="0.3">
      <c r="E2334" s="23"/>
      <c r="G2334" s="23"/>
    </row>
    <row r="2335" spans="5:7" x14ac:dyDescent="0.3">
      <c r="E2335" s="23"/>
      <c r="G2335" s="23"/>
    </row>
    <row r="2336" spans="5:7" x14ac:dyDescent="0.3">
      <c r="E2336" s="23"/>
      <c r="G2336" s="23"/>
    </row>
    <row r="2337" spans="5:7" x14ac:dyDescent="0.3">
      <c r="E2337" s="23"/>
      <c r="G2337" s="23"/>
    </row>
    <row r="2338" spans="5:7" x14ac:dyDescent="0.3">
      <c r="E2338" s="23"/>
      <c r="G2338" s="23"/>
    </row>
    <row r="2339" spans="5:7" x14ac:dyDescent="0.3">
      <c r="E2339" s="23"/>
      <c r="G2339" s="23"/>
    </row>
    <row r="2340" spans="5:7" x14ac:dyDescent="0.3">
      <c r="E2340" s="23"/>
      <c r="G2340" s="23"/>
    </row>
    <row r="2341" spans="5:7" x14ac:dyDescent="0.3">
      <c r="E2341" s="23"/>
      <c r="G2341" s="23"/>
    </row>
    <row r="2342" spans="5:7" x14ac:dyDescent="0.3">
      <c r="E2342" s="23"/>
      <c r="G2342" s="23"/>
    </row>
    <row r="2343" spans="5:7" x14ac:dyDescent="0.3">
      <c r="E2343" s="23"/>
      <c r="G2343" s="23"/>
    </row>
    <row r="2344" spans="5:7" x14ac:dyDescent="0.3">
      <c r="E2344" s="23"/>
      <c r="G2344" s="23"/>
    </row>
    <row r="2345" spans="5:7" x14ac:dyDescent="0.3">
      <c r="E2345" s="23"/>
      <c r="G2345" s="23"/>
    </row>
    <row r="2346" spans="5:7" x14ac:dyDescent="0.3">
      <c r="E2346" s="23"/>
      <c r="G2346" s="23"/>
    </row>
    <row r="2347" spans="5:7" x14ac:dyDescent="0.3">
      <c r="E2347" s="23"/>
      <c r="G2347" s="23"/>
    </row>
    <row r="2348" spans="5:7" x14ac:dyDescent="0.3">
      <c r="E2348" s="23"/>
      <c r="G2348" s="23"/>
    </row>
    <row r="2349" spans="5:7" x14ac:dyDescent="0.3">
      <c r="E2349" s="23"/>
      <c r="G2349" s="23"/>
    </row>
    <row r="2350" spans="5:7" x14ac:dyDescent="0.3">
      <c r="E2350" s="23"/>
      <c r="G2350" s="23"/>
    </row>
    <row r="2351" spans="5:7" x14ac:dyDescent="0.3">
      <c r="E2351" s="23"/>
      <c r="G2351" s="23"/>
    </row>
    <row r="2352" spans="5:7" x14ac:dyDescent="0.3">
      <c r="E2352" s="23"/>
      <c r="G2352" s="23"/>
    </row>
    <row r="2353" spans="5:7" x14ac:dyDescent="0.3">
      <c r="E2353" s="23"/>
      <c r="G2353" s="23"/>
    </row>
    <row r="2354" spans="5:7" x14ac:dyDescent="0.3">
      <c r="E2354" s="23"/>
      <c r="G2354" s="23"/>
    </row>
    <row r="2355" spans="5:7" x14ac:dyDescent="0.3">
      <c r="E2355" s="23"/>
      <c r="G2355" s="23"/>
    </row>
    <row r="2356" spans="5:7" x14ac:dyDescent="0.3">
      <c r="E2356" s="23"/>
      <c r="G2356" s="23"/>
    </row>
    <row r="2357" spans="5:7" x14ac:dyDescent="0.3">
      <c r="E2357" s="23"/>
      <c r="G2357" s="23"/>
    </row>
    <row r="2358" spans="5:7" x14ac:dyDescent="0.3">
      <c r="E2358" s="23"/>
      <c r="G2358" s="23"/>
    </row>
    <row r="2359" spans="5:7" x14ac:dyDescent="0.3">
      <c r="E2359" s="23"/>
      <c r="G2359" s="23"/>
    </row>
    <row r="2360" spans="5:7" x14ac:dyDescent="0.3">
      <c r="E2360" s="23"/>
      <c r="G2360" s="23"/>
    </row>
    <row r="2361" spans="5:7" x14ac:dyDescent="0.3">
      <c r="E2361" s="23"/>
      <c r="G2361" s="23"/>
    </row>
    <row r="2362" spans="5:7" x14ac:dyDescent="0.3">
      <c r="E2362" s="23"/>
      <c r="G2362" s="23"/>
    </row>
    <row r="2363" spans="5:7" x14ac:dyDescent="0.3">
      <c r="E2363" s="23"/>
      <c r="G2363" s="23"/>
    </row>
    <row r="2364" spans="5:7" x14ac:dyDescent="0.3">
      <c r="E2364" s="23"/>
      <c r="G2364" s="23"/>
    </row>
    <row r="2365" spans="5:7" x14ac:dyDescent="0.3">
      <c r="E2365" s="23"/>
      <c r="G2365" s="23"/>
    </row>
    <row r="2366" spans="5:7" x14ac:dyDescent="0.3">
      <c r="E2366" s="23"/>
      <c r="G2366" s="23"/>
    </row>
    <row r="2367" spans="5:7" x14ac:dyDescent="0.3">
      <c r="E2367" s="23"/>
      <c r="G2367" s="23"/>
    </row>
    <row r="2368" spans="5:7" x14ac:dyDescent="0.3">
      <c r="E2368" s="23"/>
      <c r="G2368" s="23"/>
    </row>
    <row r="2369" spans="5:7" x14ac:dyDescent="0.3">
      <c r="E2369" s="23"/>
      <c r="G2369" s="23"/>
    </row>
    <row r="2370" spans="5:7" x14ac:dyDescent="0.3">
      <c r="E2370" s="23"/>
      <c r="G2370" s="23"/>
    </row>
    <row r="2371" spans="5:7" x14ac:dyDescent="0.3">
      <c r="E2371" s="23"/>
      <c r="G2371" s="23"/>
    </row>
    <row r="2372" spans="5:7" x14ac:dyDescent="0.3">
      <c r="E2372" s="23"/>
      <c r="G2372" s="23"/>
    </row>
    <row r="2373" spans="5:7" x14ac:dyDescent="0.3">
      <c r="E2373" s="23"/>
      <c r="G2373" s="23"/>
    </row>
    <row r="2374" spans="5:7" x14ac:dyDescent="0.3">
      <c r="E2374" s="23"/>
      <c r="G2374" s="23"/>
    </row>
    <row r="2375" spans="5:7" x14ac:dyDescent="0.3">
      <c r="E2375" s="23"/>
      <c r="G2375" s="23"/>
    </row>
    <row r="2376" spans="5:7" x14ac:dyDescent="0.3">
      <c r="E2376" s="23"/>
      <c r="G2376" s="23"/>
    </row>
    <row r="2377" spans="5:7" x14ac:dyDescent="0.3">
      <c r="E2377" s="23"/>
      <c r="G2377" s="23"/>
    </row>
    <row r="2378" spans="5:7" x14ac:dyDescent="0.3">
      <c r="E2378" s="23"/>
      <c r="G2378" s="23"/>
    </row>
    <row r="2379" spans="5:7" x14ac:dyDescent="0.3">
      <c r="E2379" s="23"/>
      <c r="G2379" s="23"/>
    </row>
    <row r="2380" spans="5:7" x14ac:dyDescent="0.3">
      <c r="E2380" s="23"/>
      <c r="G2380" s="23"/>
    </row>
    <row r="2381" spans="5:7" x14ac:dyDescent="0.3">
      <c r="E2381" s="23"/>
      <c r="G2381" s="23"/>
    </row>
    <row r="2382" spans="5:7" x14ac:dyDescent="0.3">
      <c r="E2382" s="23"/>
      <c r="G2382" s="23"/>
    </row>
    <row r="2383" spans="5:7" x14ac:dyDescent="0.3">
      <c r="E2383" s="23"/>
      <c r="G2383" s="23"/>
    </row>
    <row r="2384" spans="5:7" x14ac:dyDescent="0.3">
      <c r="E2384" s="23"/>
      <c r="G2384" s="23"/>
    </row>
    <row r="2385" spans="5:7" x14ac:dyDescent="0.3">
      <c r="E2385" s="23"/>
      <c r="G2385" s="23"/>
    </row>
    <row r="2386" spans="5:7" x14ac:dyDescent="0.3">
      <c r="E2386" s="23"/>
      <c r="G2386" s="23"/>
    </row>
    <row r="2387" spans="5:7" x14ac:dyDescent="0.3">
      <c r="E2387" s="23"/>
      <c r="G2387" s="23"/>
    </row>
    <row r="2388" spans="5:7" x14ac:dyDescent="0.3">
      <c r="E2388" s="23"/>
      <c r="G2388" s="23"/>
    </row>
    <row r="2389" spans="5:7" x14ac:dyDescent="0.3">
      <c r="E2389" s="23"/>
      <c r="G2389" s="23"/>
    </row>
    <row r="2390" spans="5:7" x14ac:dyDescent="0.3">
      <c r="E2390" s="23"/>
      <c r="G2390" s="23"/>
    </row>
    <row r="2391" spans="5:7" x14ac:dyDescent="0.3">
      <c r="E2391" s="23"/>
      <c r="G2391" s="23"/>
    </row>
    <row r="2392" spans="5:7" x14ac:dyDescent="0.3">
      <c r="E2392" s="23"/>
      <c r="G2392" s="23"/>
    </row>
    <row r="2393" spans="5:7" x14ac:dyDescent="0.3">
      <c r="E2393" s="23"/>
      <c r="G2393" s="23"/>
    </row>
    <row r="2394" spans="5:7" x14ac:dyDescent="0.3">
      <c r="E2394" s="23"/>
      <c r="G2394" s="23"/>
    </row>
    <row r="2395" spans="5:7" x14ac:dyDescent="0.3">
      <c r="E2395" s="23"/>
      <c r="G2395" s="23"/>
    </row>
    <row r="2396" spans="5:7" x14ac:dyDescent="0.3">
      <c r="E2396" s="23"/>
      <c r="G2396" s="23"/>
    </row>
    <row r="2397" spans="5:7" x14ac:dyDescent="0.3">
      <c r="E2397" s="23"/>
      <c r="G2397" s="23"/>
    </row>
    <row r="2398" spans="5:7" x14ac:dyDescent="0.3">
      <c r="E2398" s="23"/>
      <c r="G2398" s="23"/>
    </row>
    <row r="2399" spans="5:7" x14ac:dyDescent="0.3">
      <c r="E2399" s="23"/>
      <c r="G2399" s="23"/>
    </row>
    <row r="2400" spans="5:7" x14ac:dyDescent="0.3">
      <c r="E2400" s="23"/>
      <c r="G2400" s="23"/>
    </row>
    <row r="2401" spans="5:7" x14ac:dyDescent="0.3">
      <c r="E2401" s="23"/>
      <c r="G2401" s="23"/>
    </row>
    <row r="2402" spans="5:7" x14ac:dyDescent="0.3">
      <c r="E2402" s="23"/>
      <c r="G2402" s="23"/>
    </row>
    <row r="2403" spans="5:7" x14ac:dyDescent="0.3">
      <c r="E2403" s="23"/>
      <c r="G2403" s="23"/>
    </row>
    <row r="2404" spans="5:7" x14ac:dyDescent="0.3">
      <c r="E2404" s="23"/>
      <c r="G2404" s="23"/>
    </row>
    <row r="2405" spans="5:7" x14ac:dyDescent="0.3">
      <c r="E2405" s="23"/>
      <c r="G2405" s="23"/>
    </row>
    <row r="2406" spans="5:7" x14ac:dyDescent="0.3">
      <c r="E2406" s="23"/>
      <c r="G2406" s="23"/>
    </row>
    <row r="2407" spans="5:7" x14ac:dyDescent="0.3">
      <c r="E2407" s="23"/>
      <c r="G2407" s="23"/>
    </row>
    <row r="2408" spans="5:7" x14ac:dyDescent="0.3">
      <c r="E2408" s="23"/>
      <c r="G2408" s="23"/>
    </row>
    <row r="2409" spans="5:7" x14ac:dyDescent="0.3">
      <c r="E2409" s="23"/>
      <c r="G2409" s="23"/>
    </row>
    <row r="2410" spans="5:7" x14ac:dyDescent="0.3">
      <c r="E2410" s="23"/>
      <c r="G2410" s="23"/>
    </row>
    <row r="2411" spans="5:7" x14ac:dyDescent="0.3">
      <c r="E2411" s="23"/>
      <c r="G2411" s="23"/>
    </row>
    <row r="2412" spans="5:7" x14ac:dyDescent="0.3">
      <c r="E2412" s="23"/>
      <c r="G2412" s="23"/>
    </row>
    <row r="2413" spans="5:7" x14ac:dyDescent="0.3">
      <c r="E2413" s="23"/>
      <c r="G2413" s="23"/>
    </row>
    <row r="2414" spans="5:7" x14ac:dyDescent="0.3">
      <c r="E2414" s="23"/>
      <c r="G2414" s="23"/>
    </row>
    <row r="2415" spans="5:7" x14ac:dyDescent="0.3">
      <c r="E2415" s="23"/>
      <c r="G2415" s="23"/>
    </row>
    <row r="2416" spans="5:7" x14ac:dyDescent="0.3">
      <c r="E2416" s="23"/>
      <c r="G2416" s="23"/>
    </row>
    <row r="2417" spans="5:7" x14ac:dyDescent="0.3">
      <c r="E2417" s="23"/>
      <c r="G2417" s="23"/>
    </row>
    <row r="2418" spans="5:7" x14ac:dyDescent="0.3">
      <c r="E2418" s="23"/>
      <c r="G2418" s="23"/>
    </row>
    <row r="2419" spans="5:7" x14ac:dyDescent="0.3">
      <c r="E2419" s="23"/>
      <c r="G2419" s="23"/>
    </row>
    <row r="2420" spans="5:7" x14ac:dyDescent="0.3">
      <c r="E2420" s="23"/>
      <c r="G2420" s="23"/>
    </row>
    <row r="2421" spans="5:7" x14ac:dyDescent="0.3">
      <c r="E2421" s="23"/>
      <c r="G2421" s="23"/>
    </row>
    <row r="2422" spans="5:7" x14ac:dyDescent="0.3">
      <c r="E2422" s="23"/>
      <c r="G2422" s="23"/>
    </row>
    <row r="2423" spans="5:7" x14ac:dyDescent="0.3">
      <c r="E2423" s="23"/>
      <c r="G2423" s="23"/>
    </row>
    <row r="2424" spans="5:7" x14ac:dyDescent="0.3">
      <c r="E2424" s="23"/>
      <c r="G2424" s="23"/>
    </row>
    <row r="2425" spans="5:7" x14ac:dyDescent="0.3">
      <c r="E2425" s="23"/>
      <c r="G2425" s="23"/>
    </row>
    <row r="2426" spans="5:7" x14ac:dyDescent="0.3">
      <c r="E2426" s="23"/>
      <c r="G2426" s="23"/>
    </row>
    <row r="2427" spans="5:7" x14ac:dyDescent="0.3">
      <c r="E2427" s="23"/>
      <c r="G2427" s="23"/>
    </row>
    <row r="2428" spans="5:7" x14ac:dyDescent="0.3">
      <c r="E2428" s="23"/>
      <c r="G2428" s="23"/>
    </row>
    <row r="2429" spans="5:7" x14ac:dyDescent="0.3">
      <c r="E2429" s="23"/>
      <c r="G2429" s="23"/>
    </row>
    <row r="2430" spans="5:7" x14ac:dyDescent="0.3">
      <c r="E2430" s="23"/>
      <c r="G2430" s="23"/>
    </row>
    <row r="2431" spans="5:7" x14ac:dyDescent="0.3">
      <c r="E2431" s="23"/>
      <c r="G2431" s="23"/>
    </row>
    <row r="2432" spans="5:7" x14ac:dyDescent="0.3">
      <c r="E2432" s="23"/>
      <c r="G2432" s="23"/>
    </row>
    <row r="2433" spans="5:7" x14ac:dyDescent="0.3">
      <c r="E2433" s="23"/>
      <c r="G2433" s="23"/>
    </row>
    <row r="2434" spans="5:7" x14ac:dyDescent="0.3">
      <c r="E2434" s="23"/>
      <c r="G2434" s="23"/>
    </row>
    <row r="2435" spans="5:7" x14ac:dyDescent="0.3">
      <c r="E2435" s="23"/>
      <c r="G2435" s="23"/>
    </row>
    <row r="2436" spans="5:7" x14ac:dyDescent="0.3">
      <c r="E2436" s="23"/>
      <c r="G2436" s="23"/>
    </row>
    <row r="2437" spans="5:7" x14ac:dyDescent="0.3">
      <c r="E2437" s="23"/>
      <c r="G2437" s="23"/>
    </row>
    <row r="2438" spans="5:7" x14ac:dyDescent="0.3">
      <c r="E2438" s="23"/>
      <c r="G2438" s="23"/>
    </row>
    <row r="2439" spans="5:7" x14ac:dyDescent="0.3">
      <c r="E2439" s="23"/>
      <c r="G2439" s="23"/>
    </row>
    <row r="2440" spans="5:7" x14ac:dyDescent="0.3">
      <c r="E2440" s="23"/>
      <c r="G2440" s="23"/>
    </row>
    <row r="2441" spans="5:7" x14ac:dyDescent="0.3">
      <c r="E2441" s="23"/>
      <c r="G2441" s="23"/>
    </row>
    <row r="2442" spans="5:7" x14ac:dyDescent="0.3">
      <c r="E2442" s="23"/>
      <c r="G2442" s="23"/>
    </row>
    <row r="2443" spans="5:7" x14ac:dyDescent="0.3">
      <c r="E2443" s="23"/>
      <c r="G2443" s="23"/>
    </row>
    <row r="2444" spans="5:7" x14ac:dyDescent="0.3">
      <c r="E2444" s="23"/>
      <c r="G2444" s="23"/>
    </row>
    <row r="2445" spans="5:7" x14ac:dyDescent="0.3">
      <c r="E2445" s="23"/>
      <c r="G2445" s="23"/>
    </row>
    <row r="2446" spans="5:7" x14ac:dyDescent="0.3">
      <c r="E2446" s="23"/>
      <c r="G2446" s="23"/>
    </row>
    <row r="2447" spans="5:7" x14ac:dyDescent="0.3">
      <c r="E2447" s="23"/>
      <c r="G2447" s="23"/>
    </row>
    <row r="2448" spans="5:7" x14ac:dyDescent="0.3">
      <c r="E2448" s="23"/>
      <c r="G2448" s="23"/>
    </row>
    <row r="2449" spans="5:7" x14ac:dyDescent="0.3">
      <c r="E2449" s="23"/>
      <c r="G2449" s="23"/>
    </row>
    <row r="2450" spans="5:7" x14ac:dyDescent="0.3">
      <c r="E2450" s="23"/>
      <c r="G2450" s="23"/>
    </row>
    <row r="2451" spans="5:7" x14ac:dyDescent="0.3">
      <c r="E2451" s="23"/>
      <c r="G2451" s="23"/>
    </row>
    <row r="2452" spans="5:7" x14ac:dyDescent="0.3">
      <c r="E2452" s="23"/>
      <c r="G2452" s="23"/>
    </row>
    <row r="2453" spans="5:7" x14ac:dyDescent="0.3">
      <c r="E2453" s="23"/>
      <c r="G2453" s="23"/>
    </row>
    <row r="2454" spans="5:7" x14ac:dyDescent="0.3">
      <c r="E2454" s="23"/>
      <c r="G2454" s="23"/>
    </row>
    <row r="2455" spans="5:7" x14ac:dyDescent="0.3">
      <c r="E2455" s="23"/>
      <c r="G2455" s="23"/>
    </row>
    <row r="2456" spans="5:7" x14ac:dyDescent="0.3">
      <c r="E2456" s="23"/>
      <c r="G2456" s="23"/>
    </row>
    <row r="2457" spans="5:7" x14ac:dyDescent="0.3">
      <c r="E2457" s="23"/>
      <c r="G2457" s="23"/>
    </row>
    <row r="2458" spans="5:7" x14ac:dyDescent="0.3">
      <c r="E2458" s="23"/>
      <c r="G2458" s="23"/>
    </row>
    <row r="2459" spans="5:7" x14ac:dyDescent="0.3">
      <c r="E2459" s="23"/>
      <c r="G2459" s="23"/>
    </row>
    <row r="2460" spans="5:7" x14ac:dyDescent="0.3">
      <c r="E2460" s="23"/>
      <c r="G2460" s="23"/>
    </row>
    <row r="2461" spans="5:7" x14ac:dyDescent="0.3">
      <c r="E2461" s="23"/>
      <c r="G2461" s="23"/>
    </row>
    <row r="2462" spans="5:7" x14ac:dyDescent="0.3">
      <c r="E2462" s="23"/>
      <c r="G2462" s="23"/>
    </row>
    <row r="2463" spans="5:7" x14ac:dyDescent="0.3">
      <c r="E2463" s="23"/>
      <c r="G2463" s="23"/>
    </row>
    <row r="2464" spans="5:7" x14ac:dyDescent="0.3">
      <c r="E2464" s="23"/>
      <c r="G2464" s="23"/>
    </row>
    <row r="2465" spans="5:7" x14ac:dyDescent="0.3">
      <c r="E2465" s="23"/>
      <c r="G2465" s="23"/>
    </row>
    <row r="2466" spans="5:7" x14ac:dyDescent="0.3">
      <c r="E2466" s="23"/>
      <c r="G2466" s="23"/>
    </row>
    <row r="2467" spans="5:7" x14ac:dyDescent="0.3">
      <c r="E2467" s="23"/>
      <c r="G2467" s="23"/>
    </row>
    <row r="2468" spans="5:7" x14ac:dyDescent="0.3">
      <c r="E2468" s="23"/>
      <c r="G2468" s="23"/>
    </row>
    <row r="2469" spans="5:7" x14ac:dyDescent="0.3">
      <c r="E2469" s="23"/>
      <c r="G2469" s="23"/>
    </row>
    <row r="2470" spans="5:7" x14ac:dyDescent="0.3">
      <c r="E2470" s="23"/>
      <c r="G2470" s="23"/>
    </row>
    <row r="2471" spans="5:7" x14ac:dyDescent="0.3">
      <c r="E2471" s="23"/>
      <c r="G2471" s="23"/>
    </row>
    <row r="2472" spans="5:7" x14ac:dyDescent="0.3">
      <c r="E2472" s="23"/>
      <c r="G2472" s="23"/>
    </row>
    <row r="2473" spans="5:7" x14ac:dyDescent="0.3">
      <c r="E2473" s="23"/>
      <c r="G2473" s="23"/>
    </row>
    <row r="2474" spans="5:7" x14ac:dyDescent="0.3">
      <c r="E2474" s="23"/>
      <c r="G2474" s="23"/>
    </row>
    <row r="2475" spans="5:7" x14ac:dyDescent="0.3">
      <c r="E2475" s="23"/>
      <c r="G2475" s="23"/>
    </row>
    <row r="2476" spans="5:7" x14ac:dyDescent="0.3">
      <c r="E2476" s="23"/>
      <c r="G2476" s="23"/>
    </row>
    <row r="2477" spans="5:7" x14ac:dyDescent="0.3">
      <c r="E2477" s="23"/>
      <c r="G2477" s="23"/>
    </row>
    <row r="2478" spans="5:7" x14ac:dyDescent="0.3">
      <c r="E2478" s="23"/>
      <c r="G2478" s="23"/>
    </row>
    <row r="2479" spans="5:7" x14ac:dyDescent="0.3">
      <c r="E2479" s="23"/>
      <c r="G2479" s="23"/>
    </row>
    <row r="2480" spans="5:7" x14ac:dyDescent="0.3">
      <c r="E2480" s="23"/>
      <c r="G2480" s="23"/>
    </row>
    <row r="2481" spans="5:7" x14ac:dyDescent="0.3">
      <c r="E2481" s="23"/>
      <c r="G2481" s="23"/>
    </row>
    <row r="2482" spans="5:7" x14ac:dyDescent="0.3">
      <c r="E2482" s="23"/>
      <c r="G2482" s="23"/>
    </row>
    <row r="2483" spans="5:7" x14ac:dyDescent="0.3">
      <c r="E2483" s="23"/>
      <c r="G2483" s="23"/>
    </row>
    <row r="2484" spans="5:7" x14ac:dyDescent="0.3">
      <c r="E2484" s="23"/>
      <c r="G2484" s="23"/>
    </row>
    <row r="2485" spans="5:7" x14ac:dyDescent="0.3">
      <c r="E2485" s="23"/>
      <c r="G2485" s="23"/>
    </row>
    <row r="2486" spans="5:7" x14ac:dyDescent="0.3">
      <c r="E2486" s="23"/>
      <c r="G2486" s="23"/>
    </row>
    <row r="2487" spans="5:7" x14ac:dyDescent="0.3">
      <c r="E2487" s="23"/>
      <c r="G2487" s="23"/>
    </row>
    <row r="2488" spans="5:7" x14ac:dyDescent="0.3">
      <c r="E2488" s="23"/>
      <c r="G2488" s="23"/>
    </row>
    <row r="2489" spans="5:7" x14ac:dyDescent="0.3">
      <c r="E2489" s="23"/>
      <c r="G2489" s="23"/>
    </row>
    <row r="2490" spans="5:7" x14ac:dyDescent="0.3">
      <c r="E2490" s="23"/>
      <c r="G2490" s="23"/>
    </row>
    <row r="2491" spans="5:7" x14ac:dyDescent="0.3">
      <c r="E2491" s="23"/>
      <c r="G2491" s="23"/>
    </row>
    <row r="2492" spans="5:7" x14ac:dyDescent="0.3">
      <c r="E2492" s="23"/>
      <c r="G2492" s="23"/>
    </row>
    <row r="2493" spans="5:7" x14ac:dyDescent="0.3">
      <c r="E2493" s="23"/>
      <c r="G2493" s="23"/>
    </row>
    <row r="2494" spans="5:7" x14ac:dyDescent="0.3">
      <c r="E2494" s="23"/>
      <c r="G2494" s="23"/>
    </row>
    <row r="2495" spans="5:7" x14ac:dyDescent="0.3">
      <c r="E2495" s="23"/>
      <c r="G2495" s="23"/>
    </row>
    <row r="2496" spans="5:7" x14ac:dyDescent="0.3">
      <c r="E2496" s="23"/>
      <c r="G2496" s="23"/>
    </row>
    <row r="2497" spans="5:7" x14ac:dyDescent="0.3">
      <c r="E2497" s="23"/>
      <c r="G2497" s="23"/>
    </row>
    <row r="2498" spans="5:7" x14ac:dyDescent="0.3">
      <c r="E2498" s="23"/>
      <c r="G2498" s="23"/>
    </row>
    <row r="2499" spans="5:7" x14ac:dyDescent="0.3">
      <c r="E2499" s="23"/>
      <c r="G2499" s="23"/>
    </row>
    <row r="2500" spans="5:7" x14ac:dyDescent="0.3">
      <c r="E2500" s="23"/>
      <c r="G2500" s="23"/>
    </row>
    <row r="2501" spans="5:7" x14ac:dyDescent="0.3">
      <c r="E2501" s="23"/>
      <c r="G2501" s="23"/>
    </row>
    <row r="2502" spans="5:7" x14ac:dyDescent="0.3">
      <c r="E2502" s="23"/>
      <c r="G2502" s="23"/>
    </row>
    <row r="2503" spans="5:7" x14ac:dyDescent="0.3">
      <c r="E2503" s="23"/>
      <c r="G2503" s="23"/>
    </row>
    <row r="2504" spans="5:7" x14ac:dyDescent="0.3">
      <c r="E2504" s="23"/>
      <c r="G2504" s="23"/>
    </row>
    <row r="2505" spans="5:7" x14ac:dyDescent="0.3">
      <c r="E2505" s="23"/>
      <c r="G2505" s="23"/>
    </row>
    <row r="2506" spans="5:7" x14ac:dyDescent="0.3">
      <c r="E2506" s="23"/>
      <c r="G2506" s="23"/>
    </row>
    <row r="2507" spans="5:7" x14ac:dyDescent="0.3">
      <c r="E2507" s="23"/>
      <c r="G2507" s="23"/>
    </row>
    <row r="2508" spans="5:7" x14ac:dyDescent="0.3">
      <c r="E2508" s="23"/>
      <c r="G2508" s="23"/>
    </row>
    <row r="2509" spans="5:7" x14ac:dyDescent="0.3">
      <c r="E2509" s="23"/>
      <c r="G2509" s="23"/>
    </row>
    <row r="2510" spans="5:7" x14ac:dyDescent="0.3">
      <c r="E2510" s="23"/>
      <c r="G2510" s="23"/>
    </row>
    <row r="2511" spans="5:7" x14ac:dyDescent="0.3">
      <c r="E2511" s="23"/>
      <c r="G2511" s="23"/>
    </row>
    <row r="2512" spans="5:7" x14ac:dyDescent="0.3">
      <c r="E2512" s="23"/>
      <c r="G2512" s="23"/>
    </row>
    <row r="2513" spans="5:7" x14ac:dyDescent="0.3">
      <c r="E2513" s="23"/>
      <c r="G2513" s="23"/>
    </row>
    <row r="2514" spans="5:7" x14ac:dyDescent="0.3">
      <c r="E2514" s="23"/>
      <c r="G2514" s="23"/>
    </row>
    <row r="2515" spans="5:7" x14ac:dyDescent="0.3">
      <c r="E2515" s="23"/>
      <c r="G2515" s="23"/>
    </row>
    <row r="2516" spans="5:7" x14ac:dyDescent="0.3">
      <c r="E2516" s="23"/>
      <c r="G2516" s="23"/>
    </row>
    <row r="2517" spans="5:7" x14ac:dyDescent="0.3">
      <c r="E2517" s="23"/>
      <c r="G2517" s="23"/>
    </row>
    <row r="2518" spans="5:7" x14ac:dyDescent="0.3">
      <c r="E2518" s="23"/>
      <c r="G2518" s="23"/>
    </row>
    <row r="2519" spans="5:7" x14ac:dyDescent="0.3">
      <c r="E2519" s="23"/>
      <c r="G2519" s="23"/>
    </row>
    <row r="2520" spans="5:7" x14ac:dyDescent="0.3">
      <c r="E2520" s="23"/>
      <c r="G2520" s="23"/>
    </row>
    <row r="2521" spans="5:7" x14ac:dyDescent="0.3">
      <c r="E2521" s="23"/>
      <c r="G2521" s="23"/>
    </row>
    <row r="2522" spans="5:7" x14ac:dyDescent="0.3">
      <c r="E2522" s="23"/>
      <c r="G2522" s="23"/>
    </row>
    <row r="2523" spans="5:7" x14ac:dyDescent="0.3">
      <c r="E2523" s="23"/>
      <c r="G2523" s="23"/>
    </row>
    <row r="2524" spans="5:7" x14ac:dyDescent="0.3">
      <c r="E2524" s="23"/>
      <c r="G2524" s="23"/>
    </row>
    <row r="2525" spans="5:7" x14ac:dyDescent="0.3">
      <c r="E2525" s="23"/>
      <c r="G2525" s="23"/>
    </row>
    <row r="2526" spans="5:7" x14ac:dyDescent="0.3">
      <c r="E2526" s="23"/>
      <c r="G2526" s="23"/>
    </row>
    <row r="2527" spans="5:7" x14ac:dyDescent="0.3">
      <c r="E2527" s="23"/>
      <c r="G2527" s="23"/>
    </row>
    <row r="2528" spans="5:7" x14ac:dyDescent="0.3">
      <c r="E2528" s="23"/>
      <c r="G2528" s="23"/>
    </row>
    <row r="2529" spans="5:7" x14ac:dyDescent="0.3">
      <c r="E2529" s="23"/>
      <c r="G2529" s="23"/>
    </row>
    <row r="2530" spans="5:7" x14ac:dyDescent="0.3">
      <c r="E2530" s="23"/>
      <c r="G2530" s="23"/>
    </row>
    <row r="2531" spans="5:7" x14ac:dyDescent="0.3">
      <c r="E2531" s="23"/>
      <c r="G2531" s="23"/>
    </row>
    <row r="2532" spans="5:7" x14ac:dyDescent="0.3">
      <c r="E2532" s="23"/>
      <c r="G2532" s="23"/>
    </row>
    <row r="2533" spans="5:7" x14ac:dyDescent="0.3">
      <c r="E2533" s="23"/>
      <c r="G2533" s="23"/>
    </row>
    <row r="2534" spans="5:7" x14ac:dyDescent="0.3">
      <c r="E2534" s="23"/>
      <c r="G2534" s="23"/>
    </row>
    <row r="2535" spans="5:7" x14ac:dyDescent="0.3">
      <c r="E2535" s="23"/>
      <c r="G2535" s="23"/>
    </row>
    <row r="2536" spans="5:7" x14ac:dyDescent="0.3">
      <c r="E2536" s="23"/>
      <c r="G2536" s="23"/>
    </row>
    <row r="2537" spans="5:7" x14ac:dyDescent="0.3">
      <c r="E2537" s="23"/>
      <c r="G2537" s="23"/>
    </row>
    <row r="2538" spans="5:7" x14ac:dyDescent="0.3">
      <c r="E2538" s="23"/>
      <c r="G2538" s="23"/>
    </row>
    <row r="2539" spans="5:7" x14ac:dyDescent="0.3">
      <c r="E2539" s="23"/>
      <c r="G2539" s="23"/>
    </row>
    <row r="2540" spans="5:7" x14ac:dyDescent="0.3">
      <c r="E2540" s="23"/>
      <c r="G2540" s="23"/>
    </row>
    <row r="2541" spans="5:7" x14ac:dyDescent="0.3">
      <c r="E2541" s="23"/>
      <c r="G2541" s="23"/>
    </row>
    <row r="2542" spans="5:7" x14ac:dyDescent="0.3">
      <c r="E2542" s="23"/>
      <c r="G2542" s="23"/>
    </row>
    <row r="2543" spans="5:7" x14ac:dyDescent="0.3">
      <c r="E2543" s="23"/>
      <c r="G2543" s="23"/>
    </row>
    <row r="2544" spans="5:7" x14ac:dyDescent="0.3">
      <c r="E2544" s="23"/>
      <c r="G2544" s="23"/>
    </row>
    <row r="2545" spans="5:7" x14ac:dyDescent="0.3">
      <c r="E2545" s="23"/>
      <c r="G2545" s="23"/>
    </row>
    <row r="2546" spans="5:7" x14ac:dyDescent="0.3">
      <c r="E2546" s="23"/>
      <c r="G2546" s="23"/>
    </row>
    <row r="2547" spans="5:7" x14ac:dyDescent="0.3">
      <c r="E2547" s="23"/>
      <c r="G2547" s="23"/>
    </row>
    <row r="2548" spans="5:7" x14ac:dyDescent="0.3">
      <c r="E2548" s="23"/>
      <c r="G2548" s="23"/>
    </row>
    <row r="2549" spans="5:7" x14ac:dyDescent="0.3">
      <c r="E2549" s="23"/>
      <c r="G2549" s="23"/>
    </row>
    <row r="2550" spans="5:7" x14ac:dyDescent="0.3">
      <c r="E2550" s="23"/>
      <c r="G2550" s="23"/>
    </row>
    <row r="2551" spans="5:7" x14ac:dyDescent="0.3">
      <c r="E2551" s="23"/>
      <c r="G2551" s="23"/>
    </row>
    <row r="2552" spans="5:7" x14ac:dyDescent="0.3">
      <c r="E2552" s="23"/>
      <c r="G2552" s="23"/>
    </row>
    <row r="2553" spans="5:7" x14ac:dyDescent="0.3">
      <c r="E2553" s="23"/>
      <c r="G2553" s="23"/>
    </row>
    <row r="2554" spans="5:7" x14ac:dyDescent="0.3">
      <c r="E2554" s="23"/>
      <c r="G2554" s="23"/>
    </row>
    <row r="2555" spans="5:7" x14ac:dyDescent="0.3">
      <c r="E2555" s="23"/>
      <c r="G2555" s="23"/>
    </row>
    <row r="2556" spans="5:7" x14ac:dyDescent="0.3">
      <c r="E2556" s="23"/>
      <c r="G2556" s="23"/>
    </row>
    <row r="2557" spans="5:7" x14ac:dyDescent="0.3">
      <c r="E2557" s="23"/>
      <c r="G2557" s="23"/>
    </row>
    <row r="2558" spans="5:7" x14ac:dyDescent="0.3">
      <c r="E2558" s="23"/>
      <c r="G2558" s="23"/>
    </row>
    <row r="2559" spans="5:7" x14ac:dyDescent="0.3">
      <c r="E2559" s="23"/>
      <c r="G2559" s="23"/>
    </row>
    <row r="2560" spans="5:7" x14ac:dyDescent="0.3">
      <c r="E2560" s="23"/>
      <c r="G2560" s="23"/>
    </row>
    <row r="2561" spans="5:7" x14ac:dyDescent="0.3">
      <c r="E2561" s="23"/>
      <c r="G2561" s="23"/>
    </row>
    <row r="2562" spans="5:7" x14ac:dyDescent="0.3">
      <c r="E2562" s="23"/>
      <c r="G2562" s="23"/>
    </row>
    <row r="2563" spans="5:7" x14ac:dyDescent="0.3">
      <c r="E2563" s="23"/>
      <c r="G2563" s="23"/>
    </row>
    <row r="2564" spans="5:7" x14ac:dyDescent="0.3">
      <c r="E2564" s="23"/>
      <c r="G2564" s="23"/>
    </row>
    <row r="2565" spans="5:7" x14ac:dyDescent="0.3">
      <c r="E2565" s="23"/>
      <c r="G2565" s="23"/>
    </row>
    <row r="2566" spans="5:7" x14ac:dyDescent="0.3">
      <c r="E2566" s="23"/>
      <c r="G2566" s="23"/>
    </row>
    <row r="2567" spans="5:7" x14ac:dyDescent="0.3">
      <c r="E2567" s="23"/>
      <c r="G2567" s="23"/>
    </row>
    <row r="2568" spans="5:7" x14ac:dyDescent="0.3">
      <c r="E2568" s="23"/>
      <c r="G2568" s="23"/>
    </row>
    <row r="2569" spans="5:7" x14ac:dyDescent="0.3">
      <c r="E2569" s="23"/>
      <c r="G2569" s="23"/>
    </row>
    <row r="2570" spans="5:7" x14ac:dyDescent="0.3">
      <c r="E2570" s="23"/>
      <c r="G2570" s="23"/>
    </row>
    <row r="2571" spans="5:7" x14ac:dyDescent="0.3">
      <c r="E2571" s="23"/>
      <c r="G2571" s="23"/>
    </row>
    <row r="2572" spans="5:7" x14ac:dyDescent="0.3">
      <c r="E2572" s="23"/>
      <c r="G2572" s="23"/>
    </row>
    <row r="2573" spans="5:7" x14ac:dyDescent="0.3">
      <c r="E2573" s="23"/>
      <c r="G2573" s="23"/>
    </row>
    <row r="2574" spans="5:7" x14ac:dyDescent="0.3">
      <c r="E2574" s="23"/>
      <c r="G2574" s="23"/>
    </row>
    <row r="2575" spans="5:7" x14ac:dyDescent="0.3">
      <c r="E2575" s="23"/>
      <c r="G2575" s="23"/>
    </row>
    <row r="2576" spans="5:7" x14ac:dyDescent="0.3">
      <c r="E2576" s="23"/>
      <c r="G2576" s="23"/>
    </row>
    <row r="2577" spans="5:7" x14ac:dyDescent="0.3">
      <c r="E2577" s="23"/>
      <c r="G2577" s="23"/>
    </row>
    <row r="2578" spans="5:7" x14ac:dyDescent="0.3">
      <c r="E2578" s="23"/>
      <c r="G2578" s="23"/>
    </row>
    <row r="2579" spans="5:7" x14ac:dyDescent="0.3">
      <c r="E2579" s="23"/>
      <c r="G2579" s="23"/>
    </row>
    <row r="2580" spans="5:7" x14ac:dyDescent="0.3">
      <c r="E2580" s="23"/>
      <c r="G2580" s="23"/>
    </row>
    <row r="2581" spans="5:7" x14ac:dyDescent="0.3">
      <c r="E2581" s="23"/>
      <c r="G2581" s="23"/>
    </row>
    <row r="2582" spans="5:7" x14ac:dyDescent="0.3">
      <c r="E2582" s="23"/>
      <c r="G2582" s="23"/>
    </row>
    <row r="2583" spans="5:7" x14ac:dyDescent="0.3">
      <c r="E2583" s="23"/>
      <c r="G2583" s="23"/>
    </row>
    <row r="2584" spans="5:7" x14ac:dyDescent="0.3">
      <c r="E2584" s="23"/>
      <c r="G2584" s="23"/>
    </row>
    <row r="2585" spans="5:7" x14ac:dyDescent="0.3">
      <c r="E2585" s="23"/>
      <c r="G2585" s="23"/>
    </row>
    <row r="2586" spans="5:7" x14ac:dyDescent="0.3">
      <c r="E2586" s="23"/>
      <c r="G2586" s="23"/>
    </row>
    <row r="2587" spans="5:7" x14ac:dyDescent="0.3">
      <c r="E2587" s="23"/>
      <c r="G2587" s="23"/>
    </row>
    <row r="2588" spans="5:7" x14ac:dyDescent="0.3">
      <c r="E2588" s="23"/>
      <c r="G2588" s="23"/>
    </row>
    <row r="2589" spans="5:7" x14ac:dyDescent="0.3">
      <c r="E2589" s="23"/>
      <c r="G2589" s="23"/>
    </row>
    <row r="2590" spans="5:7" x14ac:dyDescent="0.3">
      <c r="E2590" s="23"/>
      <c r="G2590" s="23"/>
    </row>
    <row r="2591" spans="5:7" x14ac:dyDescent="0.3">
      <c r="E2591" s="23"/>
      <c r="G2591" s="23"/>
    </row>
    <row r="2592" spans="5:7" x14ac:dyDescent="0.3">
      <c r="E2592" s="23"/>
      <c r="G2592" s="23"/>
    </row>
    <row r="2593" spans="5:7" x14ac:dyDescent="0.3">
      <c r="E2593" s="23"/>
      <c r="G2593" s="23"/>
    </row>
    <row r="2594" spans="5:7" x14ac:dyDescent="0.3">
      <c r="E2594" s="23"/>
      <c r="G2594" s="23"/>
    </row>
    <row r="2595" spans="5:7" x14ac:dyDescent="0.3">
      <c r="E2595" s="23"/>
      <c r="G2595" s="23"/>
    </row>
    <row r="2596" spans="5:7" x14ac:dyDescent="0.3">
      <c r="E2596" s="23"/>
      <c r="G2596" s="23"/>
    </row>
    <row r="2597" spans="5:7" x14ac:dyDescent="0.3">
      <c r="E2597" s="23"/>
      <c r="G2597" s="23"/>
    </row>
    <row r="2598" spans="5:7" x14ac:dyDescent="0.3">
      <c r="E2598" s="23"/>
      <c r="G2598" s="23"/>
    </row>
    <row r="2599" spans="5:7" x14ac:dyDescent="0.3">
      <c r="E2599" s="23"/>
      <c r="G2599" s="23"/>
    </row>
    <row r="2600" spans="5:7" x14ac:dyDescent="0.3">
      <c r="E2600" s="23"/>
      <c r="G2600" s="23"/>
    </row>
    <row r="2601" spans="5:7" x14ac:dyDescent="0.3">
      <c r="E2601" s="23"/>
      <c r="G2601" s="23"/>
    </row>
    <row r="2602" spans="5:7" x14ac:dyDescent="0.3">
      <c r="E2602" s="23"/>
      <c r="G2602" s="23"/>
    </row>
    <row r="2603" spans="5:7" x14ac:dyDescent="0.3">
      <c r="E2603" s="23"/>
      <c r="G2603" s="23"/>
    </row>
    <row r="2604" spans="5:7" x14ac:dyDescent="0.3">
      <c r="E2604" s="23"/>
      <c r="G2604" s="23"/>
    </row>
    <row r="2605" spans="5:7" x14ac:dyDescent="0.3">
      <c r="E2605" s="23"/>
      <c r="G2605" s="23"/>
    </row>
    <row r="2606" spans="5:7" x14ac:dyDescent="0.3">
      <c r="E2606" s="23"/>
      <c r="G2606" s="23"/>
    </row>
    <row r="2607" spans="5:7" x14ac:dyDescent="0.3">
      <c r="E2607" s="23"/>
      <c r="G2607" s="23"/>
    </row>
    <row r="2608" spans="5:7" x14ac:dyDescent="0.3">
      <c r="E2608" s="23"/>
      <c r="G2608" s="23"/>
    </row>
    <row r="2609" spans="5:7" x14ac:dyDescent="0.3">
      <c r="E2609" s="23"/>
      <c r="G2609" s="23"/>
    </row>
    <row r="2610" spans="5:7" x14ac:dyDescent="0.3">
      <c r="E2610" s="23"/>
      <c r="G2610" s="23"/>
    </row>
    <row r="2611" spans="5:7" x14ac:dyDescent="0.3">
      <c r="E2611" s="23"/>
      <c r="G2611" s="23"/>
    </row>
    <row r="2612" spans="5:7" x14ac:dyDescent="0.3">
      <c r="E2612" s="23"/>
      <c r="G2612" s="23"/>
    </row>
    <row r="2613" spans="5:7" x14ac:dyDescent="0.3">
      <c r="E2613" s="23"/>
      <c r="G2613" s="23"/>
    </row>
    <row r="2614" spans="5:7" x14ac:dyDescent="0.3">
      <c r="E2614" s="23"/>
      <c r="G2614" s="23"/>
    </row>
    <row r="2615" spans="5:7" x14ac:dyDescent="0.3">
      <c r="E2615" s="23"/>
      <c r="G2615" s="23"/>
    </row>
    <row r="2616" spans="5:7" x14ac:dyDescent="0.3">
      <c r="E2616" s="23"/>
      <c r="G2616" s="23"/>
    </row>
    <row r="2617" spans="5:7" x14ac:dyDescent="0.3">
      <c r="E2617" s="23"/>
      <c r="G2617" s="23"/>
    </row>
    <row r="2618" spans="5:7" x14ac:dyDescent="0.3">
      <c r="E2618" s="23"/>
      <c r="G2618" s="23"/>
    </row>
    <row r="2619" spans="5:7" x14ac:dyDescent="0.3">
      <c r="E2619" s="23"/>
      <c r="G2619" s="23"/>
    </row>
    <row r="2620" spans="5:7" x14ac:dyDescent="0.3">
      <c r="E2620" s="23"/>
      <c r="G2620" s="23"/>
    </row>
    <row r="2621" spans="5:7" x14ac:dyDescent="0.3">
      <c r="E2621" s="23"/>
      <c r="G2621" s="23"/>
    </row>
    <row r="2622" spans="5:7" x14ac:dyDescent="0.3">
      <c r="E2622" s="23"/>
      <c r="G2622" s="23"/>
    </row>
    <row r="2623" spans="5:7" x14ac:dyDescent="0.3">
      <c r="E2623" s="23"/>
      <c r="G2623" s="23"/>
    </row>
    <row r="2624" spans="5:7" x14ac:dyDescent="0.3">
      <c r="E2624" s="23"/>
      <c r="G2624" s="23"/>
    </row>
    <row r="2625" spans="5:7" x14ac:dyDescent="0.3">
      <c r="E2625" s="23"/>
      <c r="G2625" s="23"/>
    </row>
    <row r="2626" spans="5:7" x14ac:dyDescent="0.3">
      <c r="E2626" s="23"/>
      <c r="G2626" s="23"/>
    </row>
    <row r="2627" spans="5:7" x14ac:dyDescent="0.3">
      <c r="E2627" s="23"/>
      <c r="G2627" s="23"/>
    </row>
    <row r="2628" spans="5:7" x14ac:dyDescent="0.3">
      <c r="E2628" s="23"/>
      <c r="G2628" s="23"/>
    </row>
    <row r="2629" spans="5:7" x14ac:dyDescent="0.3">
      <c r="E2629" s="23"/>
      <c r="G2629" s="23"/>
    </row>
    <row r="2630" spans="5:7" x14ac:dyDescent="0.3">
      <c r="E2630" s="23"/>
      <c r="G2630" s="23"/>
    </row>
    <row r="2631" spans="5:7" x14ac:dyDescent="0.3">
      <c r="E2631" s="23"/>
      <c r="G2631" s="23"/>
    </row>
    <row r="2632" spans="5:7" x14ac:dyDescent="0.3">
      <c r="E2632" s="23"/>
      <c r="G2632" s="23"/>
    </row>
    <row r="2633" spans="5:7" x14ac:dyDescent="0.3">
      <c r="E2633" s="23"/>
      <c r="G2633" s="23"/>
    </row>
    <row r="2634" spans="5:7" x14ac:dyDescent="0.3">
      <c r="E2634" s="23"/>
      <c r="G2634" s="23"/>
    </row>
    <row r="2635" spans="5:7" x14ac:dyDescent="0.3">
      <c r="E2635" s="23"/>
      <c r="G2635" s="23"/>
    </row>
    <row r="2636" spans="5:7" x14ac:dyDescent="0.3">
      <c r="E2636" s="23"/>
      <c r="G2636" s="23"/>
    </row>
    <row r="2637" spans="5:7" x14ac:dyDescent="0.3">
      <c r="E2637" s="23"/>
      <c r="G2637" s="23"/>
    </row>
    <row r="2638" spans="5:7" x14ac:dyDescent="0.3">
      <c r="E2638" s="23"/>
      <c r="G2638" s="23"/>
    </row>
    <row r="2639" spans="5:7" x14ac:dyDescent="0.3">
      <c r="E2639" s="23"/>
      <c r="G2639" s="23"/>
    </row>
    <row r="2640" spans="5:7" x14ac:dyDescent="0.3">
      <c r="E2640" s="23"/>
      <c r="G2640" s="23"/>
    </row>
    <row r="2641" spans="5:7" x14ac:dyDescent="0.3">
      <c r="E2641" s="23"/>
      <c r="G2641" s="23"/>
    </row>
    <row r="2642" spans="5:7" x14ac:dyDescent="0.3">
      <c r="E2642" s="23"/>
      <c r="G2642" s="23"/>
    </row>
    <row r="2643" spans="5:7" x14ac:dyDescent="0.3">
      <c r="E2643" s="23"/>
      <c r="G2643" s="23"/>
    </row>
    <row r="2644" spans="5:7" x14ac:dyDescent="0.3">
      <c r="E2644" s="23"/>
      <c r="G2644" s="23"/>
    </row>
    <row r="2645" spans="5:7" x14ac:dyDescent="0.3">
      <c r="E2645" s="23"/>
      <c r="G2645" s="23"/>
    </row>
    <row r="2646" spans="5:7" x14ac:dyDescent="0.3">
      <c r="E2646" s="23"/>
      <c r="G2646" s="23"/>
    </row>
    <row r="2647" spans="5:7" x14ac:dyDescent="0.3">
      <c r="E2647" s="23"/>
      <c r="G2647" s="23"/>
    </row>
    <row r="2648" spans="5:7" x14ac:dyDescent="0.3">
      <c r="E2648" s="23"/>
      <c r="G2648" s="23"/>
    </row>
    <row r="2649" spans="5:7" x14ac:dyDescent="0.3">
      <c r="E2649" s="23"/>
      <c r="G2649" s="23"/>
    </row>
    <row r="2650" spans="5:7" x14ac:dyDescent="0.3">
      <c r="E2650" s="23"/>
      <c r="G2650" s="23"/>
    </row>
    <row r="2651" spans="5:7" x14ac:dyDescent="0.3">
      <c r="E2651" s="23"/>
      <c r="G2651" s="23"/>
    </row>
    <row r="2652" spans="5:7" x14ac:dyDescent="0.3">
      <c r="E2652" s="23"/>
      <c r="G2652" s="23"/>
    </row>
    <row r="2653" spans="5:7" x14ac:dyDescent="0.3">
      <c r="E2653" s="23"/>
      <c r="G2653" s="23"/>
    </row>
    <row r="2654" spans="5:7" x14ac:dyDescent="0.3">
      <c r="E2654" s="23"/>
      <c r="G2654" s="23"/>
    </row>
    <row r="2655" spans="5:7" x14ac:dyDescent="0.3">
      <c r="E2655" s="23"/>
      <c r="G2655" s="23"/>
    </row>
    <row r="2656" spans="5:7" x14ac:dyDescent="0.3">
      <c r="E2656" s="23"/>
      <c r="G2656" s="23"/>
    </row>
    <row r="2657" spans="5:7" x14ac:dyDescent="0.3">
      <c r="E2657" s="23"/>
      <c r="G2657" s="23"/>
    </row>
    <row r="2658" spans="5:7" x14ac:dyDescent="0.3">
      <c r="E2658" s="23"/>
      <c r="G2658" s="23"/>
    </row>
    <row r="2659" spans="5:7" x14ac:dyDescent="0.3">
      <c r="E2659" s="23"/>
      <c r="G2659" s="23"/>
    </row>
    <row r="2660" spans="5:7" x14ac:dyDescent="0.3">
      <c r="E2660" s="23"/>
      <c r="G2660" s="23"/>
    </row>
    <row r="2661" spans="5:7" x14ac:dyDescent="0.3">
      <c r="E2661" s="23"/>
      <c r="G2661" s="23"/>
    </row>
    <row r="2662" spans="5:7" x14ac:dyDescent="0.3">
      <c r="E2662" s="23"/>
      <c r="G2662" s="23"/>
    </row>
    <row r="2663" spans="5:7" x14ac:dyDescent="0.3">
      <c r="E2663" s="23"/>
      <c r="G2663" s="23"/>
    </row>
    <row r="2664" spans="5:7" x14ac:dyDescent="0.3">
      <c r="E2664" s="23"/>
      <c r="G2664" s="23"/>
    </row>
    <row r="2665" spans="5:7" x14ac:dyDescent="0.3">
      <c r="E2665" s="23"/>
      <c r="G2665" s="23"/>
    </row>
    <row r="2666" spans="5:7" x14ac:dyDescent="0.3">
      <c r="E2666" s="23"/>
      <c r="G2666" s="23"/>
    </row>
    <row r="2667" spans="5:7" x14ac:dyDescent="0.3">
      <c r="E2667" s="23"/>
      <c r="G2667" s="23"/>
    </row>
    <row r="2668" spans="5:7" x14ac:dyDescent="0.3">
      <c r="E2668" s="23"/>
      <c r="G2668" s="23"/>
    </row>
    <row r="2669" spans="5:7" x14ac:dyDescent="0.3">
      <c r="E2669" s="23"/>
      <c r="G2669" s="23"/>
    </row>
    <row r="2670" spans="5:7" x14ac:dyDescent="0.3">
      <c r="E2670" s="23"/>
      <c r="G2670" s="23"/>
    </row>
    <row r="2671" spans="5:7" x14ac:dyDescent="0.3">
      <c r="E2671" s="23"/>
      <c r="G2671" s="23"/>
    </row>
    <row r="2672" spans="5:7" x14ac:dyDescent="0.3">
      <c r="E2672" s="23"/>
      <c r="G2672" s="23"/>
    </row>
    <row r="2673" spans="5:7" x14ac:dyDescent="0.3">
      <c r="E2673" s="23"/>
      <c r="G2673" s="23"/>
    </row>
    <row r="2674" spans="5:7" x14ac:dyDescent="0.3">
      <c r="E2674" s="23"/>
      <c r="G2674" s="23"/>
    </row>
    <row r="2675" spans="5:7" x14ac:dyDescent="0.3">
      <c r="E2675" s="23"/>
      <c r="G2675" s="23"/>
    </row>
    <row r="2676" spans="5:7" x14ac:dyDescent="0.3">
      <c r="E2676" s="23"/>
      <c r="G2676" s="23"/>
    </row>
    <row r="2677" spans="5:7" x14ac:dyDescent="0.3">
      <c r="E2677" s="23"/>
      <c r="G2677" s="23"/>
    </row>
    <row r="2678" spans="5:7" x14ac:dyDescent="0.3">
      <c r="E2678" s="23"/>
      <c r="G2678" s="23"/>
    </row>
    <row r="2679" spans="5:7" x14ac:dyDescent="0.3">
      <c r="E2679" s="23"/>
      <c r="G2679" s="23"/>
    </row>
    <row r="2680" spans="5:7" x14ac:dyDescent="0.3">
      <c r="E2680" s="23"/>
      <c r="G2680" s="23"/>
    </row>
    <row r="2681" spans="5:7" x14ac:dyDescent="0.3">
      <c r="E2681" s="23"/>
      <c r="G2681" s="23"/>
    </row>
    <row r="2682" spans="5:7" x14ac:dyDescent="0.3">
      <c r="E2682" s="23"/>
      <c r="G2682" s="23"/>
    </row>
    <row r="2683" spans="5:7" x14ac:dyDescent="0.3">
      <c r="E2683" s="23"/>
      <c r="G2683" s="23"/>
    </row>
    <row r="2684" spans="5:7" x14ac:dyDescent="0.3">
      <c r="E2684" s="23"/>
      <c r="G2684" s="23"/>
    </row>
    <row r="2685" spans="5:7" x14ac:dyDescent="0.3">
      <c r="E2685" s="23"/>
      <c r="G2685" s="23"/>
    </row>
    <row r="2686" spans="5:7" x14ac:dyDescent="0.3">
      <c r="E2686" s="23"/>
      <c r="G2686" s="23"/>
    </row>
    <row r="2687" spans="5:7" x14ac:dyDescent="0.3">
      <c r="E2687" s="23"/>
      <c r="G2687" s="23"/>
    </row>
    <row r="2688" spans="5:7" x14ac:dyDescent="0.3">
      <c r="E2688" s="23"/>
      <c r="G2688" s="23"/>
    </row>
    <row r="2689" spans="5:7" x14ac:dyDescent="0.3">
      <c r="E2689" s="23"/>
      <c r="G2689" s="23"/>
    </row>
    <row r="2690" spans="5:7" x14ac:dyDescent="0.3">
      <c r="E2690" s="23"/>
      <c r="G2690" s="23"/>
    </row>
    <row r="2691" spans="5:7" x14ac:dyDescent="0.3">
      <c r="E2691" s="23"/>
      <c r="G2691" s="23"/>
    </row>
    <row r="2692" spans="5:7" x14ac:dyDescent="0.3">
      <c r="E2692" s="23"/>
      <c r="G2692" s="23"/>
    </row>
    <row r="2693" spans="5:7" x14ac:dyDescent="0.3">
      <c r="E2693" s="23"/>
      <c r="G2693" s="23"/>
    </row>
    <row r="2694" spans="5:7" x14ac:dyDescent="0.3">
      <c r="E2694" s="23"/>
      <c r="G2694" s="23"/>
    </row>
    <row r="2695" spans="5:7" x14ac:dyDescent="0.3">
      <c r="E2695" s="23"/>
      <c r="G2695" s="23"/>
    </row>
    <row r="2696" spans="5:7" x14ac:dyDescent="0.3">
      <c r="E2696" s="23"/>
      <c r="G2696" s="23"/>
    </row>
    <row r="2697" spans="5:7" x14ac:dyDescent="0.3">
      <c r="E2697" s="23"/>
      <c r="G2697" s="23"/>
    </row>
    <row r="2698" spans="5:7" x14ac:dyDescent="0.3">
      <c r="E2698" s="23"/>
      <c r="G2698" s="23"/>
    </row>
    <row r="2699" spans="5:7" x14ac:dyDescent="0.3">
      <c r="E2699" s="23"/>
      <c r="G2699" s="23"/>
    </row>
    <row r="2700" spans="5:7" x14ac:dyDescent="0.3">
      <c r="E2700" s="23"/>
      <c r="G2700" s="23"/>
    </row>
    <row r="2701" spans="5:7" x14ac:dyDescent="0.3">
      <c r="E2701" s="23"/>
      <c r="G2701" s="23"/>
    </row>
    <row r="2702" spans="5:7" x14ac:dyDescent="0.3">
      <c r="E2702" s="23"/>
      <c r="G2702" s="23"/>
    </row>
    <row r="2703" spans="5:7" x14ac:dyDescent="0.3">
      <c r="E2703" s="23"/>
      <c r="G2703" s="23"/>
    </row>
    <row r="2704" spans="5:7" x14ac:dyDescent="0.3">
      <c r="E2704" s="23"/>
      <c r="G2704" s="23"/>
    </row>
    <row r="2705" spans="5:7" x14ac:dyDescent="0.3">
      <c r="E2705" s="23"/>
      <c r="G2705" s="23"/>
    </row>
    <row r="2706" spans="5:7" x14ac:dyDescent="0.3">
      <c r="E2706" s="23"/>
      <c r="G2706" s="23"/>
    </row>
    <row r="2707" spans="5:7" x14ac:dyDescent="0.3">
      <c r="E2707" s="23"/>
      <c r="G2707" s="23"/>
    </row>
    <row r="2708" spans="5:7" x14ac:dyDescent="0.3">
      <c r="E2708" s="23"/>
      <c r="G2708" s="23"/>
    </row>
    <row r="2709" spans="5:7" x14ac:dyDescent="0.3">
      <c r="E2709" s="23"/>
      <c r="G2709" s="23"/>
    </row>
    <row r="2710" spans="5:7" x14ac:dyDescent="0.3">
      <c r="E2710" s="23"/>
      <c r="G2710" s="23"/>
    </row>
    <row r="2711" spans="5:7" x14ac:dyDescent="0.3">
      <c r="E2711" s="23"/>
      <c r="G2711" s="23"/>
    </row>
    <row r="2712" spans="5:7" x14ac:dyDescent="0.3">
      <c r="E2712" s="23"/>
      <c r="G2712" s="23"/>
    </row>
    <row r="2713" spans="5:7" x14ac:dyDescent="0.3">
      <c r="E2713" s="23"/>
      <c r="G2713" s="23"/>
    </row>
    <row r="2714" spans="5:7" x14ac:dyDescent="0.3">
      <c r="E2714" s="23"/>
      <c r="G2714" s="23"/>
    </row>
    <row r="2715" spans="5:7" x14ac:dyDescent="0.3">
      <c r="E2715" s="23"/>
      <c r="G2715" s="23"/>
    </row>
    <row r="2716" spans="5:7" x14ac:dyDescent="0.3">
      <c r="E2716" s="23"/>
      <c r="G2716" s="23"/>
    </row>
    <row r="2717" spans="5:7" x14ac:dyDescent="0.3">
      <c r="E2717" s="23"/>
      <c r="G2717" s="23"/>
    </row>
    <row r="2718" spans="5:7" x14ac:dyDescent="0.3">
      <c r="E2718" s="23"/>
      <c r="G2718" s="23"/>
    </row>
    <row r="2719" spans="5:7" x14ac:dyDescent="0.3">
      <c r="E2719" s="23"/>
      <c r="G2719" s="23"/>
    </row>
    <row r="2720" spans="5:7" x14ac:dyDescent="0.3">
      <c r="E2720" s="23"/>
      <c r="G2720" s="23"/>
    </row>
    <row r="2721" spans="5:7" x14ac:dyDescent="0.3">
      <c r="E2721" s="23"/>
      <c r="G2721" s="23"/>
    </row>
    <row r="2722" spans="5:7" x14ac:dyDescent="0.3">
      <c r="E2722" s="23"/>
      <c r="G2722" s="23"/>
    </row>
    <row r="2723" spans="5:7" x14ac:dyDescent="0.3">
      <c r="E2723" s="23"/>
      <c r="G2723" s="23"/>
    </row>
    <row r="2724" spans="5:7" x14ac:dyDescent="0.3">
      <c r="E2724" s="23"/>
      <c r="G2724" s="23"/>
    </row>
    <row r="2725" spans="5:7" x14ac:dyDescent="0.3">
      <c r="E2725" s="23"/>
      <c r="G2725" s="23"/>
    </row>
    <row r="2726" spans="5:7" x14ac:dyDescent="0.3">
      <c r="E2726" s="23"/>
      <c r="G2726" s="23"/>
    </row>
    <row r="2727" spans="5:7" x14ac:dyDescent="0.3">
      <c r="E2727" s="23"/>
      <c r="G2727" s="23"/>
    </row>
    <row r="2728" spans="5:7" x14ac:dyDescent="0.3">
      <c r="E2728" s="23"/>
      <c r="G2728" s="23"/>
    </row>
    <row r="2729" spans="5:7" x14ac:dyDescent="0.3">
      <c r="E2729" s="23"/>
      <c r="G2729" s="23"/>
    </row>
    <row r="2730" spans="5:7" x14ac:dyDescent="0.3">
      <c r="E2730" s="23"/>
      <c r="G2730" s="23"/>
    </row>
    <row r="2731" spans="5:7" x14ac:dyDescent="0.3">
      <c r="E2731" s="23"/>
      <c r="G2731" s="23"/>
    </row>
    <row r="2732" spans="5:7" x14ac:dyDescent="0.3">
      <c r="E2732" s="23"/>
      <c r="G2732" s="23"/>
    </row>
    <row r="2733" spans="5:7" x14ac:dyDescent="0.3">
      <c r="E2733" s="23"/>
      <c r="G2733" s="23"/>
    </row>
    <row r="2734" spans="5:7" x14ac:dyDescent="0.3">
      <c r="E2734" s="23"/>
      <c r="G2734" s="23"/>
    </row>
    <row r="2735" spans="5:7" x14ac:dyDescent="0.3">
      <c r="E2735" s="23"/>
      <c r="G2735" s="23"/>
    </row>
    <row r="2736" spans="5:7" x14ac:dyDescent="0.3">
      <c r="E2736" s="23"/>
      <c r="G2736" s="23"/>
    </row>
    <row r="2737" spans="5:7" x14ac:dyDescent="0.3">
      <c r="E2737" s="23"/>
      <c r="G2737" s="23"/>
    </row>
    <row r="2738" spans="5:7" x14ac:dyDescent="0.3">
      <c r="E2738" s="23"/>
      <c r="G2738" s="23"/>
    </row>
    <row r="2739" spans="5:7" x14ac:dyDescent="0.3">
      <c r="E2739" s="23"/>
      <c r="G2739" s="23"/>
    </row>
    <row r="2740" spans="5:7" x14ac:dyDescent="0.3">
      <c r="E2740" s="23"/>
      <c r="G2740" s="23"/>
    </row>
    <row r="2741" spans="5:7" x14ac:dyDescent="0.3">
      <c r="E2741" s="23"/>
      <c r="G2741" s="23"/>
    </row>
    <row r="2742" spans="5:7" x14ac:dyDescent="0.3">
      <c r="E2742" s="23"/>
      <c r="G2742" s="23"/>
    </row>
    <row r="2743" spans="5:7" x14ac:dyDescent="0.3">
      <c r="E2743" s="23"/>
      <c r="G2743" s="23"/>
    </row>
    <row r="2744" spans="5:7" x14ac:dyDescent="0.3">
      <c r="E2744" s="23"/>
      <c r="G2744" s="23"/>
    </row>
    <row r="2745" spans="5:7" x14ac:dyDescent="0.3">
      <c r="E2745" s="23"/>
      <c r="G2745" s="23"/>
    </row>
    <row r="2746" spans="5:7" x14ac:dyDescent="0.3">
      <c r="E2746" s="23"/>
      <c r="G2746" s="23"/>
    </row>
    <row r="2747" spans="5:7" x14ac:dyDescent="0.3">
      <c r="E2747" s="23"/>
      <c r="G2747" s="23"/>
    </row>
    <row r="2748" spans="5:7" x14ac:dyDescent="0.3">
      <c r="E2748" s="23"/>
      <c r="G2748" s="23"/>
    </row>
    <row r="2749" spans="5:7" x14ac:dyDescent="0.3">
      <c r="E2749" s="23"/>
      <c r="G2749" s="23"/>
    </row>
    <row r="2750" spans="5:7" x14ac:dyDescent="0.3">
      <c r="E2750" s="23"/>
      <c r="G2750" s="23"/>
    </row>
    <row r="2751" spans="5:7" x14ac:dyDescent="0.3">
      <c r="E2751" s="23"/>
      <c r="G2751" s="23"/>
    </row>
    <row r="2752" spans="5:7" x14ac:dyDescent="0.3">
      <c r="E2752" s="23"/>
      <c r="G2752" s="23"/>
    </row>
    <row r="2753" spans="5:7" x14ac:dyDescent="0.3">
      <c r="E2753" s="23"/>
      <c r="G2753" s="23"/>
    </row>
    <row r="2754" spans="5:7" x14ac:dyDescent="0.3">
      <c r="E2754" s="23"/>
      <c r="G2754" s="23"/>
    </row>
    <row r="2755" spans="5:7" x14ac:dyDescent="0.3">
      <c r="E2755" s="23"/>
      <c r="G2755" s="23"/>
    </row>
    <row r="2756" spans="5:7" x14ac:dyDescent="0.3">
      <c r="E2756" s="23"/>
      <c r="G2756" s="23"/>
    </row>
    <row r="2757" spans="5:7" x14ac:dyDescent="0.3">
      <c r="E2757" s="23"/>
      <c r="G2757" s="23"/>
    </row>
    <row r="2758" spans="5:7" x14ac:dyDescent="0.3">
      <c r="E2758" s="23"/>
      <c r="G2758" s="23"/>
    </row>
    <row r="2759" spans="5:7" x14ac:dyDescent="0.3">
      <c r="E2759" s="23"/>
      <c r="G2759" s="23"/>
    </row>
    <row r="2760" spans="5:7" x14ac:dyDescent="0.3">
      <c r="E2760" s="23"/>
      <c r="G2760" s="23"/>
    </row>
    <row r="2761" spans="5:7" x14ac:dyDescent="0.3">
      <c r="E2761" s="23"/>
      <c r="G2761" s="23"/>
    </row>
    <row r="2762" spans="5:7" x14ac:dyDescent="0.3">
      <c r="E2762" s="23"/>
      <c r="G2762" s="23"/>
    </row>
    <row r="2763" spans="5:7" x14ac:dyDescent="0.3">
      <c r="E2763" s="23"/>
      <c r="G2763" s="23"/>
    </row>
    <row r="2764" spans="5:7" x14ac:dyDescent="0.3">
      <c r="E2764" s="23"/>
      <c r="G2764" s="23"/>
    </row>
    <row r="2765" spans="5:7" x14ac:dyDescent="0.3">
      <c r="E2765" s="23"/>
      <c r="G2765" s="23"/>
    </row>
    <row r="2766" spans="5:7" x14ac:dyDescent="0.3">
      <c r="E2766" s="23"/>
      <c r="G2766" s="23"/>
    </row>
    <row r="2767" spans="5:7" x14ac:dyDescent="0.3">
      <c r="E2767" s="23"/>
      <c r="G2767" s="23"/>
    </row>
    <row r="2768" spans="5:7" x14ac:dyDescent="0.3">
      <c r="E2768" s="23"/>
      <c r="G2768" s="23"/>
    </row>
    <row r="2769" spans="5:7" x14ac:dyDescent="0.3">
      <c r="E2769" s="23"/>
      <c r="G2769" s="23"/>
    </row>
    <row r="2770" spans="5:7" x14ac:dyDescent="0.3">
      <c r="E2770" s="23"/>
      <c r="G2770" s="23"/>
    </row>
    <row r="2771" spans="5:7" x14ac:dyDescent="0.3">
      <c r="E2771" s="23"/>
      <c r="G2771" s="23"/>
    </row>
    <row r="2772" spans="5:7" x14ac:dyDescent="0.3">
      <c r="E2772" s="23"/>
      <c r="G2772" s="23"/>
    </row>
    <row r="2773" spans="5:7" x14ac:dyDescent="0.3">
      <c r="E2773" s="23"/>
      <c r="G2773" s="23"/>
    </row>
    <row r="2774" spans="5:7" x14ac:dyDescent="0.3">
      <c r="E2774" s="23"/>
      <c r="G2774" s="23"/>
    </row>
    <row r="2775" spans="5:7" x14ac:dyDescent="0.3">
      <c r="E2775" s="23"/>
      <c r="G2775" s="23"/>
    </row>
    <row r="2776" spans="5:7" x14ac:dyDescent="0.3">
      <c r="E2776" s="23"/>
      <c r="G2776" s="23"/>
    </row>
    <row r="2777" spans="5:7" x14ac:dyDescent="0.3">
      <c r="E2777" s="23"/>
      <c r="G2777" s="23"/>
    </row>
    <row r="2778" spans="5:7" x14ac:dyDescent="0.3">
      <c r="E2778" s="23"/>
      <c r="G2778" s="23"/>
    </row>
    <row r="2779" spans="5:7" x14ac:dyDescent="0.3">
      <c r="E2779" s="23"/>
      <c r="G2779" s="23"/>
    </row>
    <row r="2780" spans="5:7" x14ac:dyDescent="0.3">
      <c r="E2780" s="23"/>
      <c r="G2780" s="23"/>
    </row>
    <row r="2781" spans="5:7" x14ac:dyDescent="0.3">
      <c r="E2781" s="23"/>
      <c r="G2781" s="23"/>
    </row>
    <row r="2782" spans="5:7" x14ac:dyDescent="0.3">
      <c r="E2782" s="23"/>
      <c r="G2782" s="23"/>
    </row>
    <row r="2783" spans="5:7" x14ac:dyDescent="0.3">
      <c r="E2783" s="23"/>
      <c r="G2783" s="23"/>
    </row>
    <row r="2784" spans="5:7" x14ac:dyDescent="0.3">
      <c r="E2784" s="23"/>
      <c r="G2784" s="23"/>
    </row>
    <row r="2785" spans="5:7" x14ac:dyDescent="0.3">
      <c r="E2785" s="23"/>
      <c r="G2785" s="23"/>
    </row>
    <row r="2786" spans="5:7" x14ac:dyDescent="0.3">
      <c r="E2786" s="23"/>
      <c r="G2786" s="23"/>
    </row>
    <row r="2787" spans="5:7" x14ac:dyDescent="0.3">
      <c r="E2787" s="23"/>
      <c r="G2787" s="23"/>
    </row>
    <row r="2788" spans="5:7" x14ac:dyDescent="0.3">
      <c r="E2788" s="23"/>
      <c r="G2788" s="23"/>
    </row>
    <row r="2789" spans="5:7" x14ac:dyDescent="0.3">
      <c r="E2789" s="23"/>
      <c r="G2789" s="23"/>
    </row>
    <row r="2790" spans="5:7" x14ac:dyDescent="0.3">
      <c r="E2790" s="23"/>
      <c r="G2790" s="23"/>
    </row>
    <row r="2791" spans="5:7" x14ac:dyDescent="0.3">
      <c r="E2791" s="23"/>
      <c r="G2791" s="23"/>
    </row>
    <row r="2792" spans="5:7" x14ac:dyDescent="0.3">
      <c r="E2792" s="23"/>
      <c r="G2792" s="23"/>
    </row>
    <row r="2793" spans="5:7" x14ac:dyDescent="0.3">
      <c r="E2793" s="23"/>
      <c r="G2793" s="23"/>
    </row>
    <row r="2794" spans="5:7" x14ac:dyDescent="0.3">
      <c r="E2794" s="23"/>
      <c r="G2794" s="23"/>
    </row>
    <row r="2795" spans="5:7" x14ac:dyDescent="0.3">
      <c r="E2795" s="23"/>
      <c r="G2795" s="23"/>
    </row>
    <row r="2796" spans="5:7" x14ac:dyDescent="0.3">
      <c r="E2796" s="23"/>
      <c r="G2796" s="23"/>
    </row>
    <row r="2797" spans="5:7" x14ac:dyDescent="0.3">
      <c r="E2797" s="23"/>
      <c r="G2797" s="23"/>
    </row>
    <row r="2798" spans="5:7" x14ac:dyDescent="0.3">
      <c r="E2798" s="23"/>
      <c r="G2798" s="23"/>
    </row>
    <row r="2799" spans="5:7" x14ac:dyDescent="0.3">
      <c r="E2799" s="23"/>
      <c r="G2799" s="23"/>
    </row>
    <row r="2800" spans="5:7" x14ac:dyDescent="0.3">
      <c r="E2800" s="23"/>
      <c r="G2800" s="23"/>
    </row>
    <row r="2801" spans="5:7" x14ac:dyDescent="0.3">
      <c r="E2801" s="23"/>
      <c r="G2801" s="23"/>
    </row>
    <row r="2802" spans="5:7" x14ac:dyDescent="0.3">
      <c r="E2802" s="23"/>
      <c r="G2802" s="23"/>
    </row>
    <row r="2803" spans="5:7" x14ac:dyDescent="0.3">
      <c r="E2803" s="23"/>
      <c r="G2803" s="23"/>
    </row>
    <row r="2804" spans="5:7" x14ac:dyDescent="0.3">
      <c r="E2804" s="23"/>
      <c r="G2804" s="23"/>
    </row>
    <row r="2805" spans="5:7" x14ac:dyDescent="0.3">
      <c r="E2805" s="23"/>
      <c r="G2805" s="23"/>
    </row>
    <row r="2806" spans="5:7" x14ac:dyDescent="0.3">
      <c r="E2806" s="23"/>
      <c r="G2806" s="23"/>
    </row>
    <row r="2807" spans="5:7" x14ac:dyDescent="0.3">
      <c r="E2807" s="23"/>
      <c r="G2807" s="23"/>
    </row>
    <row r="2808" spans="5:7" x14ac:dyDescent="0.3">
      <c r="E2808" s="23"/>
      <c r="G2808" s="23"/>
    </row>
    <row r="2809" spans="5:7" x14ac:dyDescent="0.3">
      <c r="E2809" s="23"/>
      <c r="G2809" s="23"/>
    </row>
    <row r="2810" spans="5:7" x14ac:dyDescent="0.3">
      <c r="E2810" s="23"/>
      <c r="G2810" s="23"/>
    </row>
    <row r="2811" spans="5:7" x14ac:dyDescent="0.3">
      <c r="E2811" s="23"/>
      <c r="G2811" s="23"/>
    </row>
    <row r="2812" spans="5:7" x14ac:dyDescent="0.3">
      <c r="E2812" s="23"/>
      <c r="G2812" s="23"/>
    </row>
    <row r="2813" spans="5:7" x14ac:dyDescent="0.3">
      <c r="E2813" s="23"/>
      <c r="G2813" s="23"/>
    </row>
    <row r="2814" spans="5:7" x14ac:dyDescent="0.3">
      <c r="E2814" s="23"/>
      <c r="G2814" s="23"/>
    </row>
    <row r="2815" spans="5:7" x14ac:dyDescent="0.3">
      <c r="E2815" s="23"/>
      <c r="G2815" s="23"/>
    </row>
    <row r="2816" spans="5:7" x14ac:dyDescent="0.3">
      <c r="E2816" s="23"/>
      <c r="G2816" s="23"/>
    </row>
    <row r="2817" spans="5:7" x14ac:dyDescent="0.3">
      <c r="E2817" s="23"/>
      <c r="G2817" s="23"/>
    </row>
    <row r="2818" spans="5:7" x14ac:dyDescent="0.3">
      <c r="E2818" s="23"/>
      <c r="G2818" s="23"/>
    </row>
    <row r="2819" spans="5:7" x14ac:dyDescent="0.3">
      <c r="E2819" s="23"/>
      <c r="G2819" s="23"/>
    </row>
    <row r="2820" spans="5:7" x14ac:dyDescent="0.3">
      <c r="E2820" s="23"/>
      <c r="G2820" s="23"/>
    </row>
    <row r="2821" spans="5:7" x14ac:dyDescent="0.3">
      <c r="E2821" s="23"/>
      <c r="G2821" s="23"/>
    </row>
    <row r="2822" spans="5:7" x14ac:dyDescent="0.3">
      <c r="E2822" s="23"/>
      <c r="G2822" s="23"/>
    </row>
    <row r="2823" spans="5:7" x14ac:dyDescent="0.3">
      <c r="E2823" s="23"/>
      <c r="G2823" s="23"/>
    </row>
    <row r="2824" spans="5:7" x14ac:dyDescent="0.3">
      <c r="E2824" s="23"/>
      <c r="G2824" s="23"/>
    </row>
    <row r="2825" spans="5:7" x14ac:dyDescent="0.3">
      <c r="E2825" s="23"/>
      <c r="G2825" s="23"/>
    </row>
    <row r="2826" spans="5:7" x14ac:dyDescent="0.3">
      <c r="E2826" s="23"/>
      <c r="G2826" s="23"/>
    </row>
    <row r="2827" spans="5:7" x14ac:dyDescent="0.3">
      <c r="E2827" s="23"/>
      <c r="G2827" s="23"/>
    </row>
    <row r="2828" spans="5:7" x14ac:dyDescent="0.3">
      <c r="E2828" s="23"/>
      <c r="G2828" s="23"/>
    </row>
    <row r="2829" spans="5:7" x14ac:dyDescent="0.3">
      <c r="E2829" s="23"/>
      <c r="G2829" s="23"/>
    </row>
    <row r="2830" spans="5:7" x14ac:dyDescent="0.3">
      <c r="E2830" s="23"/>
      <c r="G2830" s="23"/>
    </row>
    <row r="2831" spans="5:7" x14ac:dyDescent="0.3">
      <c r="E2831" s="23"/>
      <c r="G2831" s="23"/>
    </row>
    <row r="2832" spans="5:7" x14ac:dyDescent="0.3">
      <c r="E2832" s="23"/>
      <c r="G2832" s="23"/>
    </row>
    <row r="2833" spans="5:7" x14ac:dyDescent="0.3">
      <c r="E2833" s="23"/>
      <c r="G2833" s="23"/>
    </row>
    <row r="2834" spans="5:7" x14ac:dyDescent="0.3">
      <c r="E2834" s="23"/>
      <c r="G2834" s="23"/>
    </row>
    <row r="2835" spans="5:7" x14ac:dyDescent="0.3">
      <c r="E2835" s="23"/>
      <c r="G2835" s="23"/>
    </row>
    <row r="2836" spans="5:7" x14ac:dyDescent="0.3">
      <c r="E2836" s="23"/>
      <c r="G2836" s="23"/>
    </row>
    <row r="2837" spans="5:7" x14ac:dyDescent="0.3">
      <c r="E2837" s="23"/>
      <c r="G2837" s="23"/>
    </row>
    <row r="2838" spans="5:7" x14ac:dyDescent="0.3">
      <c r="E2838" s="23"/>
      <c r="G2838" s="23"/>
    </row>
    <row r="2839" spans="5:7" x14ac:dyDescent="0.3">
      <c r="E2839" s="23"/>
      <c r="G2839" s="23"/>
    </row>
    <row r="2840" spans="5:7" x14ac:dyDescent="0.3">
      <c r="E2840" s="23"/>
      <c r="G2840" s="23"/>
    </row>
    <row r="2841" spans="5:7" x14ac:dyDescent="0.3">
      <c r="E2841" s="23"/>
      <c r="G2841" s="23"/>
    </row>
    <row r="2842" spans="5:7" x14ac:dyDescent="0.3">
      <c r="E2842" s="23"/>
      <c r="G2842" s="23"/>
    </row>
    <row r="2843" spans="5:7" x14ac:dyDescent="0.3">
      <c r="E2843" s="23"/>
      <c r="G2843" s="23"/>
    </row>
    <row r="2844" spans="5:7" x14ac:dyDescent="0.3">
      <c r="E2844" s="23"/>
      <c r="G2844" s="23"/>
    </row>
    <row r="2845" spans="5:7" x14ac:dyDescent="0.3">
      <c r="E2845" s="23"/>
      <c r="G2845" s="23"/>
    </row>
    <row r="2846" spans="5:7" x14ac:dyDescent="0.3">
      <c r="E2846" s="23"/>
      <c r="G2846" s="23"/>
    </row>
    <row r="2847" spans="5:7" x14ac:dyDescent="0.3">
      <c r="E2847" s="23"/>
      <c r="G2847" s="23"/>
    </row>
    <row r="2848" spans="5:7" x14ac:dyDescent="0.3">
      <c r="E2848" s="23"/>
      <c r="G2848" s="23"/>
    </row>
    <row r="2849" spans="5:7" x14ac:dyDescent="0.3">
      <c r="E2849" s="23"/>
      <c r="G2849" s="23"/>
    </row>
    <row r="2850" spans="5:7" x14ac:dyDescent="0.3">
      <c r="E2850" s="23"/>
      <c r="G2850" s="23"/>
    </row>
    <row r="2851" spans="5:7" x14ac:dyDescent="0.3">
      <c r="E2851" s="23"/>
      <c r="G2851" s="23"/>
    </row>
    <row r="2852" spans="5:7" x14ac:dyDescent="0.3">
      <c r="E2852" s="23"/>
      <c r="G2852" s="23"/>
    </row>
    <row r="2853" spans="5:7" x14ac:dyDescent="0.3">
      <c r="E2853" s="23"/>
      <c r="G2853" s="23"/>
    </row>
    <row r="2854" spans="5:7" x14ac:dyDescent="0.3">
      <c r="E2854" s="23"/>
      <c r="G2854" s="23"/>
    </row>
    <row r="2855" spans="5:7" x14ac:dyDescent="0.3">
      <c r="E2855" s="23"/>
      <c r="G2855" s="23"/>
    </row>
    <row r="2856" spans="5:7" x14ac:dyDescent="0.3">
      <c r="E2856" s="23"/>
      <c r="G2856" s="23"/>
    </row>
    <row r="2857" spans="5:7" x14ac:dyDescent="0.3">
      <c r="E2857" s="23"/>
      <c r="G2857" s="23"/>
    </row>
    <row r="2858" spans="5:7" x14ac:dyDescent="0.3">
      <c r="E2858" s="23"/>
      <c r="G2858" s="23"/>
    </row>
    <row r="2859" spans="5:7" x14ac:dyDescent="0.3">
      <c r="E2859" s="23"/>
      <c r="G2859" s="23"/>
    </row>
    <row r="2860" spans="5:7" x14ac:dyDescent="0.3">
      <c r="E2860" s="23"/>
      <c r="G2860" s="23"/>
    </row>
    <row r="2861" spans="5:7" x14ac:dyDescent="0.3">
      <c r="E2861" s="23"/>
      <c r="G2861" s="23"/>
    </row>
    <row r="2862" spans="5:7" x14ac:dyDescent="0.3">
      <c r="E2862" s="23"/>
      <c r="G2862" s="23"/>
    </row>
    <row r="2863" spans="5:7" x14ac:dyDescent="0.3">
      <c r="E2863" s="23"/>
      <c r="G2863" s="23"/>
    </row>
    <row r="2864" spans="5:7" x14ac:dyDescent="0.3">
      <c r="E2864" s="23"/>
      <c r="G2864" s="23"/>
    </row>
    <row r="2865" spans="5:7" x14ac:dyDescent="0.3">
      <c r="E2865" s="23"/>
      <c r="G2865" s="23"/>
    </row>
    <row r="2866" spans="5:7" x14ac:dyDescent="0.3">
      <c r="E2866" s="23"/>
      <c r="G2866" s="23"/>
    </row>
    <row r="2867" spans="5:7" x14ac:dyDescent="0.3">
      <c r="E2867" s="23"/>
      <c r="G2867" s="23"/>
    </row>
    <row r="2868" spans="5:7" x14ac:dyDescent="0.3">
      <c r="E2868" s="23"/>
      <c r="G2868" s="23"/>
    </row>
    <row r="2869" spans="5:7" x14ac:dyDescent="0.3">
      <c r="E2869" s="23"/>
      <c r="G2869" s="23"/>
    </row>
    <row r="2870" spans="5:7" x14ac:dyDescent="0.3">
      <c r="E2870" s="23"/>
      <c r="G2870" s="23"/>
    </row>
    <row r="2871" spans="5:7" x14ac:dyDescent="0.3">
      <c r="E2871" s="23"/>
      <c r="G2871" s="23"/>
    </row>
    <row r="2872" spans="5:7" x14ac:dyDescent="0.3">
      <c r="E2872" s="23"/>
      <c r="G2872" s="23"/>
    </row>
    <row r="2873" spans="5:7" x14ac:dyDescent="0.3">
      <c r="E2873" s="23"/>
      <c r="G2873" s="23"/>
    </row>
    <row r="2874" spans="5:7" x14ac:dyDescent="0.3">
      <c r="E2874" s="23"/>
      <c r="G2874" s="23"/>
    </row>
    <row r="2875" spans="5:7" x14ac:dyDescent="0.3">
      <c r="E2875" s="23"/>
      <c r="G2875" s="23"/>
    </row>
    <row r="2876" spans="5:7" x14ac:dyDescent="0.3">
      <c r="E2876" s="23"/>
      <c r="G2876" s="23"/>
    </row>
    <row r="2877" spans="5:7" x14ac:dyDescent="0.3">
      <c r="E2877" s="23"/>
      <c r="G2877" s="23"/>
    </row>
    <row r="2878" spans="5:7" x14ac:dyDescent="0.3">
      <c r="E2878" s="23"/>
      <c r="G2878" s="23"/>
    </row>
    <row r="2879" spans="5:7" x14ac:dyDescent="0.3">
      <c r="E2879" s="23"/>
      <c r="G2879" s="23"/>
    </row>
    <row r="2880" spans="5:7" x14ac:dyDescent="0.3">
      <c r="E2880" s="23"/>
      <c r="G2880" s="23"/>
    </row>
    <row r="2881" spans="5:7" x14ac:dyDescent="0.3">
      <c r="E2881" s="23"/>
      <c r="G2881" s="23"/>
    </row>
    <row r="2882" spans="5:7" x14ac:dyDescent="0.3">
      <c r="E2882" s="23"/>
      <c r="G2882" s="23"/>
    </row>
    <row r="2883" spans="5:7" x14ac:dyDescent="0.3">
      <c r="E2883" s="23"/>
      <c r="G2883" s="23"/>
    </row>
    <row r="2884" spans="5:7" x14ac:dyDescent="0.3">
      <c r="E2884" s="23"/>
      <c r="G2884" s="23"/>
    </row>
    <row r="2885" spans="5:7" x14ac:dyDescent="0.3">
      <c r="E2885" s="23"/>
      <c r="G2885" s="23"/>
    </row>
    <row r="2886" spans="5:7" x14ac:dyDescent="0.3">
      <c r="E2886" s="23"/>
      <c r="G2886" s="23"/>
    </row>
    <row r="2887" spans="5:7" x14ac:dyDescent="0.3">
      <c r="E2887" s="23"/>
      <c r="G2887" s="23"/>
    </row>
    <row r="2888" spans="5:7" x14ac:dyDescent="0.3">
      <c r="E2888" s="23"/>
      <c r="G2888" s="23"/>
    </row>
    <row r="2889" spans="5:7" x14ac:dyDescent="0.3">
      <c r="E2889" s="23"/>
      <c r="G2889" s="23"/>
    </row>
    <row r="2890" spans="5:7" x14ac:dyDescent="0.3">
      <c r="E2890" s="23"/>
      <c r="G2890" s="23"/>
    </row>
    <row r="2891" spans="5:7" x14ac:dyDescent="0.3">
      <c r="E2891" s="23"/>
      <c r="G2891" s="23"/>
    </row>
    <row r="2892" spans="5:7" x14ac:dyDescent="0.3">
      <c r="E2892" s="23"/>
      <c r="G2892" s="23"/>
    </row>
    <row r="2893" spans="5:7" x14ac:dyDescent="0.3">
      <c r="E2893" s="23"/>
      <c r="G2893" s="23"/>
    </row>
    <row r="2894" spans="5:7" x14ac:dyDescent="0.3">
      <c r="E2894" s="23"/>
      <c r="G2894" s="23"/>
    </row>
    <row r="2895" spans="5:7" x14ac:dyDescent="0.3">
      <c r="E2895" s="23"/>
      <c r="G2895" s="23"/>
    </row>
    <row r="2896" spans="5:7" x14ac:dyDescent="0.3">
      <c r="E2896" s="23"/>
      <c r="G2896" s="23"/>
    </row>
    <row r="2897" spans="5:7" x14ac:dyDescent="0.3">
      <c r="E2897" s="23"/>
      <c r="G2897" s="23"/>
    </row>
    <row r="2898" spans="5:7" x14ac:dyDescent="0.3">
      <c r="E2898" s="23"/>
      <c r="G2898" s="23"/>
    </row>
    <row r="2899" spans="5:7" x14ac:dyDescent="0.3">
      <c r="E2899" s="23"/>
      <c r="G2899" s="23"/>
    </row>
    <row r="2900" spans="5:7" x14ac:dyDescent="0.3">
      <c r="E2900" s="23"/>
      <c r="G2900" s="23"/>
    </row>
    <row r="2901" spans="5:7" x14ac:dyDescent="0.3">
      <c r="E2901" s="23"/>
      <c r="G2901" s="23"/>
    </row>
    <row r="2902" spans="5:7" x14ac:dyDescent="0.3">
      <c r="E2902" s="23"/>
      <c r="G2902" s="23"/>
    </row>
    <row r="2903" spans="5:7" x14ac:dyDescent="0.3">
      <c r="E2903" s="23"/>
      <c r="G2903" s="23"/>
    </row>
    <row r="2904" spans="5:7" x14ac:dyDescent="0.3">
      <c r="E2904" s="23"/>
      <c r="G2904" s="23"/>
    </row>
    <row r="2905" spans="5:7" x14ac:dyDescent="0.3">
      <c r="E2905" s="23"/>
      <c r="G2905" s="23"/>
    </row>
    <row r="2906" spans="5:7" x14ac:dyDescent="0.3">
      <c r="E2906" s="23"/>
      <c r="G2906" s="23"/>
    </row>
    <row r="2907" spans="5:7" x14ac:dyDescent="0.3">
      <c r="E2907" s="23"/>
      <c r="G2907" s="23"/>
    </row>
    <row r="2908" spans="5:7" x14ac:dyDescent="0.3">
      <c r="E2908" s="23"/>
      <c r="G2908" s="23"/>
    </row>
    <row r="2909" spans="5:7" x14ac:dyDescent="0.3">
      <c r="E2909" s="23"/>
      <c r="G2909" s="23"/>
    </row>
    <row r="2910" spans="5:7" x14ac:dyDescent="0.3">
      <c r="E2910" s="23"/>
      <c r="G2910" s="23"/>
    </row>
    <row r="2911" spans="5:7" x14ac:dyDescent="0.3">
      <c r="E2911" s="23"/>
      <c r="G2911" s="23"/>
    </row>
    <row r="2912" spans="5:7" x14ac:dyDescent="0.3">
      <c r="E2912" s="23"/>
      <c r="G2912" s="23"/>
    </row>
    <row r="2913" spans="5:7" x14ac:dyDescent="0.3">
      <c r="E2913" s="23"/>
      <c r="G2913" s="23"/>
    </row>
    <row r="2914" spans="5:7" x14ac:dyDescent="0.3">
      <c r="E2914" s="23"/>
      <c r="G2914" s="23"/>
    </row>
    <row r="2915" spans="5:7" x14ac:dyDescent="0.3">
      <c r="E2915" s="23"/>
      <c r="G2915" s="23"/>
    </row>
    <row r="2916" spans="5:7" x14ac:dyDescent="0.3">
      <c r="E2916" s="23"/>
      <c r="G2916" s="23"/>
    </row>
    <row r="2917" spans="5:7" x14ac:dyDescent="0.3">
      <c r="E2917" s="23"/>
      <c r="G2917" s="23"/>
    </row>
    <row r="2918" spans="5:7" x14ac:dyDescent="0.3">
      <c r="E2918" s="23"/>
      <c r="G2918" s="23"/>
    </row>
    <row r="2919" spans="5:7" x14ac:dyDescent="0.3">
      <c r="E2919" s="23"/>
      <c r="G2919" s="23"/>
    </row>
    <row r="2920" spans="5:7" x14ac:dyDescent="0.3">
      <c r="E2920" s="23"/>
      <c r="G2920" s="23"/>
    </row>
    <row r="2921" spans="5:7" x14ac:dyDescent="0.3">
      <c r="E2921" s="23"/>
      <c r="G2921" s="23"/>
    </row>
    <row r="2922" spans="5:7" x14ac:dyDescent="0.3">
      <c r="E2922" s="23"/>
      <c r="G2922" s="23"/>
    </row>
    <row r="2923" spans="5:7" x14ac:dyDescent="0.3">
      <c r="E2923" s="23"/>
      <c r="G2923" s="23"/>
    </row>
    <row r="2924" spans="5:7" x14ac:dyDescent="0.3">
      <c r="E2924" s="23"/>
      <c r="G2924" s="23"/>
    </row>
    <row r="2925" spans="5:7" x14ac:dyDescent="0.3">
      <c r="E2925" s="23"/>
      <c r="G2925" s="23"/>
    </row>
    <row r="2926" spans="5:7" x14ac:dyDescent="0.3">
      <c r="E2926" s="23"/>
      <c r="G2926" s="23"/>
    </row>
    <row r="2927" spans="5:7" x14ac:dyDescent="0.3">
      <c r="E2927" s="23"/>
      <c r="G2927" s="23"/>
    </row>
    <row r="2928" spans="5:7" x14ac:dyDescent="0.3">
      <c r="E2928" s="23"/>
      <c r="G2928" s="23"/>
    </row>
    <row r="2929" spans="5:7" x14ac:dyDescent="0.3">
      <c r="E2929" s="23"/>
      <c r="G2929" s="23"/>
    </row>
    <row r="2930" spans="5:7" x14ac:dyDescent="0.3">
      <c r="E2930" s="23"/>
      <c r="G2930" s="23"/>
    </row>
    <row r="2931" spans="5:7" x14ac:dyDescent="0.3">
      <c r="E2931" s="23"/>
      <c r="G2931" s="23"/>
    </row>
    <row r="2932" spans="5:7" x14ac:dyDescent="0.3">
      <c r="E2932" s="23"/>
      <c r="G2932" s="23"/>
    </row>
    <row r="2933" spans="5:7" x14ac:dyDescent="0.3">
      <c r="E2933" s="23"/>
      <c r="G2933" s="23"/>
    </row>
    <row r="2934" spans="5:7" x14ac:dyDescent="0.3">
      <c r="E2934" s="23"/>
      <c r="G2934" s="23"/>
    </row>
    <row r="2935" spans="5:7" x14ac:dyDescent="0.3">
      <c r="E2935" s="23"/>
      <c r="G2935" s="23"/>
    </row>
    <row r="2936" spans="5:7" x14ac:dyDescent="0.3">
      <c r="E2936" s="23"/>
      <c r="G2936" s="23"/>
    </row>
    <row r="2937" spans="5:7" x14ac:dyDescent="0.3">
      <c r="E2937" s="23"/>
      <c r="G2937" s="23"/>
    </row>
    <row r="2938" spans="5:7" x14ac:dyDescent="0.3">
      <c r="E2938" s="23"/>
      <c r="G2938" s="23"/>
    </row>
    <row r="2939" spans="5:7" x14ac:dyDescent="0.3">
      <c r="E2939" s="23"/>
      <c r="G2939" s="23"/>
    </row>
    <row r="2940" spans="5:7" x14ac:dyDescent="0.3">
      <c r="E2940" s="23"/>
      <c r="G2940" s="23"/>
    </row>
    <row r="2941" spans="5:7" x14ac:dyDescent="0.3">
      <c r="E2941" s="23"/>
      <c r="G2941" s="23"/>
    </row>
    <row r="2942" spans="5:7" x14ac:dyDescent="0.3">
      <c r="E2942" s="23"/>
      <c r="G2942" s="23"/>
    </row>
    <row r="2943" spans="5:7" x14ac:dyDescent="0.3">
      <c r="E2943" s="23"/>
      <c r="G2943" s="23"/>
    </row>
    <row r="2944" spans="5:7" x14ac:dyDescent="0.3">
      <c r="E2944" s="23"/>
      <c r="G2944" s="23"/>
    </row>
    <row r="2945" spans="5:7" x14ac:dyDescent="0.3">
      <c r="E2945" s="23"/>
      <c r="G2945" s="23"/>
    </row>
    <row r="2946" spans="5:7" x14ac:dyDescent="0.3">
      <c r="E2946" s="23"/>
      <c r="G2946" s="23"/>
    </row>
    <row r="2947" spans="5:7" x14ac:dyDescent="0.3">
      <c r="E2947" s="23"/>
      <c r="G2947" s="23"/>
    </row>
    <row r="2948" spans="5:7" x14ac:dyDescent="0.3">
      <c r="E2948" s="23"/>
      <c r="G2948" s="23"/>
    </row>
    <row r="2949" spans="5:7" x14ac:dyDescent="0.3">
      <c r="E2949" s="23"/>
      <c r="G2949" s="23"/>
    </row>
    <row r="2950" spans="5:7" x14ac:dyDescent="0.3">
      <c r="E2950" s="23"/>
      <c r="G2950" s="23"/>
    </row>
    <row r="2951" spans="5:7" x14ac:dyDescent="0.3">
      <c r="E2951" s="23"/>
      <c r="G2951" s="23"/>
    </row>
    <row r="2952" spans="5:7" x14ac:dyDescent="0.3">
      <c r="E2952" s="23"/>
      <c r="G2952" s="23"/>
    </row>
    <row r="2953" spans="5:7" x14ac:dyDescent="0.3">
      <c r="E2953" s="23"/>
      <c r="G2953" s="23"/>
    </row>
    <row r="2954" spans="5:7" x14ac:dyDescent="0.3">
      <c r="E2954" s="23"/>
      <c r="G2954" s="23"/>
    </row>
    <row r="2955" spans="5:7" x14ac:dyDescent="0.3">
      <c r="E2955" s="23"/>
      <c r="G2955" s="23"/>
    </row>
    <row r="2956" spans="5:7" x14ac:dyDescent="0.3">
      <c r="E2956" s="23"/>
      <c r="G2956" s="23"/>
    </row>
    <row r="2957" spans="5:7" x14ac:dyDescent="0.3">
      <c r="E2957" s="23"/>
      <c r="G2957" s="23"/>
    </row>
    <row r="2958" spans="5:7" x14ac:dyDescent="0.3">
      <c r="E2958" s="23"/>
      <c r="G2958" s="23"/>
    </row>
    <row r="2959" spans="5:7" x14ac:dyDescent="0.3">
      <c r="E2959" s="23"/>
      <c r="G2959" s="23"/>
    </row>
    <row r="2960" spans="5:7" x14ac:dyDescent="0.3">
      <c r="E2960" s="23"/>
      <c r="G2960" s="23"/>
    </row>
    <row r="2961" spans="5:7" x14ac:dyDescent="0.3">
      <c r="E2961" s="23"/>
      <c r="G2961" s="23"/>
    </row>
    <row r="2962" spans="5:7" x14ac:dyDescent="0.3">
      <c r="E2962" s="23"/>
      <c r="G2962" s="23"/>
    </row>
    <row r="2963" spans="5:7" x14ac:dyDescent="0.3">
      <c r="E2963" s="23"/>
      <c r="G2963" s="23"/>
    </row>
    <row r="2964" spans="5:7" x14ac:dyDescent="0.3">
      <c r="E2964" s="23"/>
      <c r="G2964" s="23"/>
    </row>
    <row r="2965" spans="5:7" x14ac:dyDescent="0.3">
      <c r="E2965" s="23"/>
      <c r="G2965" s="23"/>
    </row>
    <row r="2966" spans="5:7" x14ac:dyDescent="0.3">
      <c r="E2966" s="23"/>
      <c r="G2966" s="23"/>
    </row>
    <row r="2967" spans="5:7" x14ac:dyDescent="0.3">
      <c r="E2967" s="23"/>
      <c r="G2967" s="23"/>
    </row>
    <row r="2968" spans="5:7" x14ac:dyDescent="0.3">
      <c r="E2968" s="23"/>
      <c r="G2968" s="23"/>
    </row>
    <row r="2969" spans="5:7" x14ac:dyDescent="0.3">
      <c r="E2969" s="23"/>
      <c r="G2969" s="23"/>
    </row>
    <row r="2970" spans="5:7" x14ac:dyDescent="0.3">
      <c r="E2970" s="23"/>
      <c r="G2970" s="23"/>
    </row>
    <row r="2971" spans="5:7" x14ac:dyDescent="0.3">
      <c r="E2971" s="23"/>
      <c r="G2971" s="23"/>
    </row>
    <row r="2972" spans="5:7" x14ac:dyDescent="0.3">
      <c r="E2972" s="23"/>
      <c r="G2972" s="23"/>
    </row>
    <row r="2973" spans="5:7" x14ac:dyDescent="0.3">
      <c r="E2973" s="23"/>
      <c r="G2973" s="23"/>
    </row>
    <row r="2974" spans="5:7" x14ac:dyDescent="0.3">
      <c r="E2974" s="23"/>
      <c r="G2974" s="23"/>
    </row>
    <row r="2975" spans="5:7" x14ac:dyDescent="0.3">
      <c r="E2975" s="23"/>
      <c r="G2975" s="23"/>
    </row>
    <row r="2976" spans="5:7" x14ac:dyDescent="0.3">
      <c r="E2976" s="23"/>
      <c r="G2976" s="23"/>
    </row>
    <row r="2977" spans="5:7" x14ac:dyDescent="0.3">
      <c r="E2977" s="23"/>
      <c r="G2977" s="23"/>
    </row>
    <row r="2978" spans="5:7" x14ac:dyDescent="0.3">
      <c r="E2978" s="23"/>
      <c r="G2978" s="23"/>
    </row>
    <row r="2979" spans="5:7" x14ac:dyDescent="0.3">
      <c r="E2979" s="23"/>
      <c r="G2979" s="23"/>
    </row>
    <row r="2980" spans="5:7" x14ac:dyDescent="0.3">
      <c r="E2980" s="23"/>
      <c r="G2980" s="23"/>
    </row>
    <row r="2981" spans="5:7" x14ac:dyDescent="0.3">
      <c r="E2981" s="23"/>
      <c r="G2981" s="23"/>
    </row>
    <row r="2982" spans="5:7" x14ac:dyDescent="0.3">
      <c r="E2982" s="23"/>
      <c r="G2982" s="23"/>
    </row>
    <row r="2983" spans="5:7" x14ac:dyDescent="0.3">
      <c r="E2983" s="23"/>
      <c r="G2983" s="23"/>
    </row>
    <row r="2984" spans="5:7" x14ac:dyDescent="0.3">
      <c r="E2984" s="23"/>
      <c r="G2984" s="23"/>
    </row>
    <row r="2985" spans="5:7" x14ac:dyDescent="0.3">
      <c r="E2985" s="23"/>
      <c r="G2985" s="23"/>
    </row>
    <row r="2986" spans="5:7" x14ac:dyDescent="0.3">
      <c r="E2986" s="23"/>
      <c r="G2986" s="23"/>
    </row>
    <row r="2987" spans="5:7" x14ac:dyDescent="0.3">
      <c r="E2987" s="23"/>
      <c r="G2987" s="23"/>
    </row>
    <row r="2988" spans="5:7" x14ac:dyDescent="0.3">
      <c r="E2988" s="23"/>
      <c r="G2988" s="23"/>
    </row>
    <row r="2989" spans="5:7" x14ac:dyDescent="0.3">
      <c r="E2989" s="23"/>
      <c r="G2989" s="23"/>
    </row>
    <row r="2990" spans="5:7" x14ac:dyDescent="0.3">
      <c r="E2990" s="23"/>
      <c r="G2990" s="23"/>
    </row>
    <row r="2991" spans="5:7" x14ac:dyDescent="0.3">
      <c r="E2991" s="23"/>
      <c r="G2991" s="23"/>
    </row>
    <row r="2992" spans="5:7" x14ac:dyDescent="0.3">
      <c r="E2992" s="23"/>
      <c r="G2992" s="23"/>
    </row>
    <row r="2993" spans="5:7" x14ac:dyDescent="0.3">
      <c r="E2993" s="23"/>
      <c r="G2993" s="23"/>
    </row>
    <row r="2994" spans="5:7" x14ac:dyDescent="0.3">
      <c r="E2994" s="23"/>
      <c r="G2994" s="23"/>
    </row>
    <row r="2995" spans="5:7" x14ac:dyDescent="0.3">
      <c r="E2995" s="23"/>
      <c r="G2995" s="23"/>
    </row>
    <row r="2996" spans="5:7" x14ac:dyDescent="0.3">
      <c r="E2996" s="23"/>
      <c r="G2996" s="23"/>
    </row>
    <row r="2997" spans="5:7" x14ac:dyDescent="0.3">
      <c r="E2997" s="23"/>
      <c r="G2997" s="23"/>
    </row>
    <row r="2998" spans="5:7" x14ac:dyDescent="0.3">
      <c r="E2998" s="23"/>
      <c r="G2998" s="23"/>
    </row>
    <row r="2999" spans="5:7" x14ac:dyDescent="0.3">
      <c r="E2999" s="23"/>
      <c r="G2999" s="23"/>
    </row>
    <row r="3000" spans="5:7" x14ac:dyDescent="0.3">
      <c r="E3000" s="23"/>
      <c r="G3000" s="23"/>
    </row>
    <row r="3001" spans="5:7" x14ac:dyDescent="0.3">
      <c r="E3001" s="23"/>
      <c r="G3001" s="23"/>
    </row>
    <row r="3002" spans="5:7" x14ac:dyDescent="0.3">
      <c r="E3002" s="23"/>
      <c r="G3002" s="23"/>
    </row>
    <row r="3003" spans="5:7" x14ac:dyDescent="0.3">
      <c r="E3003" s="23"/>
      <c r="G3003" s="23"/>
    </row>
    <row r="3004" spans="5:7" x14ac:dyDescent="0.3">
      <c r="E3004" s="23"/>
      <c r="G3004" s="23"/>
    </row>
    <row r="3005" spans="5:7" x14ac:dyDescent="0.3">
      <c r="E3005" s="23"/>
      <c r="G3005" s="23"/>
    </row>
    <row r="3006" spans="5:7" x14ac:dyDescent="0.3">
      <c r="E3006" s="23"/>
      <c r="G3006" s="23"/>
    </row>
    <row r="3007" spans="5:7" x14ac:dyDescent="0.3">
      <c r="E3007" s="23"/>
      <c r="G3007" s="23"/>
    </row>
    <row r="3008" spans="5:7" x14ac:dyDescent="0.3">
      <c r="E3008" s="23"/>
      <c r="G3008" s="23"/>
    </row>
    <row r="3009" spans="5:7" x14ac:dyDescent="0.3">
      <c r="E3009" s="23"/>
      <c r="G3009" s="23"/>
    </row>
    <row r="3010" spans="5:7" x14ac:dyDescent="0.3">
      <c r="E3010" s="23"/>
      <c r="G3010" s="23"/>
    </row>
    <row r="3011" spans="5:7" x14ac:dyDescent="0.3">
      <c r="E3011" s="23"/>
      <c r="G3011" s="23"/>
    </row>
    <row r="3012" spans="5:7" x14ac:dyDescent="0.3">
      <c r="E3012" s="23"/>
      <c r="G3012" s="23"/>
    </row>
    <row r="3013" spans="5:7" x14ac:dyDescent="0.3">
      <c r="E3013" s="23"/>
      <c r="G3013" s="23"/>
    </row>
    <row r="3014" spans="5:7" x14ac:dyDescent="0.3">
      <c r="E3014" s="23"/>
      <c r="G3014" s="23"/>
    </row>
    <row r="3015" spans="5:7" x14ac:dyDescent="0.3">
      <c r="E3015" s="23"/>
      <c r="G3015" s="23"/>
    </row>
    <row r="3016" spans="5:7" x14ac:dyDescent="0.3">
      <c r="E3016" s="23"/>
      <c r="G3016" s="23"/>
    </row>
    <row r="3017" spans="5:7" x14ac:dyDescent="0.3">
      <c r="E3017" s="23"/>
      <c r="G3017" s="23"/>
    </row>
    <row r="3018" spans="5:7" x14ac:dyDescent="0.3">
      <c r="E3018" s="23"/>
      <c r="G3018" s="23"/>
    </row>
    <row r="3019" spans="5:7" x14ac:dyDescent="0.3">
      <c r="E3019" s="23"/>
      <c r="G3019" s="23"/>
    </row>
    <row r="3020" spans="5:7" x14ac:dyDescent="0.3">
      <c r="E3020" s="23"/>
      <c r="G3020" s="23"/>
    </row>
    <row r="3021" spans="5:7" x14ac:dyDescent="0.3">
      <c r="E3021" s="23"/>
      <c r="G3021" s="23"/>
    </row>
    <row r="3022" spans="5:7" x14ac:dyDescent="0.3">
      <c r="E3022" s="23"/>
      <c r="G3022" s="23"/>
    </row>
    <row r="3023" spans="5:7" x14ac:dyDescent="0.3">
      <c r="E3023" s="23"/>
      <c r="G3023" s="23"/>
    </row>
    <row r="3024" spans="5:7" x14ac:dyDescent="0.3">
      <c r="E3024" s="23"/>
      <c r="G3024" s="23"/>
    </row>
    <row r="3025" spans="5:7" x14ac:dyDescent="0.3">
      <c r="E3025" s="23"/>
      <c r="G3025" s="23"/>
    </row>
    <row r="3026" spans="5:7" x14ac:dyDescent="0.3">
      <c r="E3026" s="23"/>
      <c r="G3026" s="23"/>
    </row>
    <row r="3027" spans="5:7" x14ac:dyDescent="0.3">
      <c r="E3027" s="23"/>
      <c r="G3027" s="23"/>
    </row>
    <row r="3028" spans="5:7" x14ac:dyDescent="0.3">
      <c r="E3028" s="23"/>
      <c r="G3028" s="23"/>
    </row>
    <row r="3029" spans="5:7" x14ac:dyDescent="0.3">
      <c r="E3029" s="23"/>
      <c r="G3029" s="23"/>
    </row>
    <row r="3030" spans="5:7" x14ac:dyDescent="0.3">
      <c r="E3030" s="23"/>
      <c r="G3030" s="23"/>
    </row>
    <row r="3031" spans="5:7" x14ac:dyDescent="0.3">
      <c r="E3031" s="23"/>
      <c r="G3031" s="23"/>
    </row>
    <row r="3032" spans="5:7" x14ac:dyDescent="0.3">
      <c r="E3032" s="23"/>
      <c r="G3032" s="23"/>
    </row>
    <row r="3033" spans="5:7" x14ac:dyDescent="0.3">
      <c r="E3033" s="23"/>
      <c r="G3033" s="23"/>
    </row>
    <row r="3034" spans="5:7" x14ac:dyDescent="0.3">
      <c r="E3034" s="23"/>
      <c r="G3034" s="23"/>
    </row>
    <row r="3035" spans="5:7" x14ac:dyDescent="0.3">
      <c r="E3035" s="23"/>
      <c r="G3035" s="23"/>
    </row>
    <row r="3036" spans="5:7" x14ac:dyDescent="0.3">
      <c r="E3036" s="23"/>
      <c r="G3036" s="23"/>
    </row>
    <row r="3037" spans="5:7" x14ac:dyDescent="0.3">
      <c r="E3037" s="23"/>
      <c r="G3037" s="23"/>
    </row>
    <row r="3038" spans="5:7" x14ac:dyDescent="0.3">
      <c r="E3038" s="23"/>
      <c r="G3038" s="23"/>
    </row>
    <row r="3039" spans="5:7" x14ac:dyDescent="0.3">
      <c r="E3039" s="23"/>
      <c r="G3039" s="23"/>
    </row>
    <row r="3040" spans="5:7" x14ac:dyDescent="0.3">
      <c r="E3040" s="23"/>
      <c r="G3040" s="23"/>
    </row>
    <row r="3041" spans="5:7" x14ac:dyDescent="0.3">
      <c r="E3041" s="23"/>
      <c r="G3041" s="23"/>
    </row>
    <row r="3042" spans="5:7" x14ac:dyDescent="0.3">
      <c r="E3042" s="23"/>
      <c r="G3042" s="23"/>
    </row>
    <row r="3043" spans="5:7" x14ac:dyDescent="0.3">
      <c r="E3043" s="23"/>
      <c r="G3043" s="23"/>
    </row>
    <row r="3044" spans="5:7" x14ac:dyDescent="0.3">
      <c r="E3044" s="23"/>
      <c r="G3044" s="23"/>
    </row>
    <row r="3045" spans="5:7" x14ac:dyDescent="0.3">
      <c r="E3045" s="23"/>
      <c r="G3045" s="23"/>
    </row>
    <row r="3046" spans="5:7" x14ac:dyDescent="0.3">
      <c r="E3046" s="23"/>
      <c r="G3046" s="23"/>
    </row>
    <row r="3047" spans="5:7" x14ac:dyDescent="0.3">
      <c r="E3047" s="23"/>
      <c r="G3047" s="23"/>
    </row>
    <row r="3048" spans="5:7" x14ac:dyDescent="0.3">
      <c r="E3048" s="23"/>
      <c r="G3048" s="23"/>
    </row>
    <row r="3049" spans="5:7" x14ac:dyDescent="0.3">
      <c r="E3049" s="23"/>
      <c r="G3049" s="23"/>
    </row>
    <row r="3050" spans="5:7" x14ac:dyDescent="0.3">
      <c r="E3050" s="23"/>
      <c r="G3050" s="23"/>
    </row>
    <row r="3051" spans="5:7" x14ac:dyDescent="0.3">
      <c r="E3051" s="23"/>
      <c r="G3051" s="23"/>
    </row>
    <row r="3052" spans="5:7" x14ac:dyDescent="0.3">
      <c r="E3052" s="23"/>
      <c r="G3052" s="23"/>
    </row>
    <row r="3053" spans="5:7" x14ac:dyDescent="0.3">
      <c r="E3053" s="23"/>
      <c r="G3053" s="23"/>
    </row>
    <row r="3054" spans="5:7" x14ac:dyDescent="0.3">
      <c r="E3054" s="23"/>
      <c r="G3054" s="23"/>
    </row>
    <row r="3055" spans="5:7" x14ac:dyDescent="0.3">
      <c r="E3055" s="23"/>
      <c r="G3055" s="23"/>
    </row>
    <row r="3056" spans="5:7" x14ac:dyDescent="0.3">
      <c r="E3056" s="23"/>
      <c r="G3056" s="23"/>
    </row>
    <row r="3057" spans="5:7" x14ac:dyDescent="0.3">
      <c r="E3057" s="23"/>
      <c r="G3057" s="23"/>
    </row>
    <row r="3058" spans="5:7" x14ac:dyDescent="0.3">
      <c r="E3058" s="23"/>
      <c r="G3058" s="23"/>
    </row>
    <row r="3059" spans="5:7" x14ac:dyDescent="0.3">
      <c r="E3059" s="23"/>
      <c r="G3059" s="23"/>
    </row>
    <row r="3060" spans="5:7" x14ac:dyDescent="0.3">
      <c r="E3060" s="23"/>
      <c r="G3060" s="23"/>
    </row>
    <row r="3061" spans="5:7" x14ac:dyDescent="0.3">
      <c r="E3061" s="23"/>
      <c r="G3061" s="23"/>
    </row>
    <row r="3062" spans="5:7" x14ac:dyDescent="0.3">
      <c r="E3062" s="23"/>
      <c r="G3062" s="23"/>
    </row>
    <row r="3063" spans="5:7" x14ac:dyDescent="0.3">
      <c r="E3063" s="23"/>
      <c r="G3063" s="23"/>
    </row>
    <row r="3064" spans="5:7" x14ac:dyDescent="0.3">
      <c r="E3064" s="23"/>
      <c r="G3064" s="23"/>
    </row>
    <row r="3065" spans="5:7" x14ac:dyDescent="0.3">
      <c r="E3065" s="23"/>
      <c r="G3065" s="23"/>
    </row>
    <row r="3066" spans="5:7" x14ac:dyDescent="0.3">
      <c r="E3066" s="23"/>
      <c r="G3066" s="23"/>
    </row>
    <row r="3067" spans="5:7" x14ac:dyDescent="0.3">
      <c r="E3067" s="23"/>
      <c r="G3067" s="23"/>
    </row>
    <row r="3068" spans="5:7" x14ac:dyDescent="0.3">
      <c r="E3068" s="23"/>
      <c r="G3068" s="23"/>
    </row>
    <row r="3069" spans="5:7" x14ac:dyDescent="0.3">
      <c r="E3069" s="23"/>
      <c r="G3069" s="23"/>
    </row>
    <row r="3070" spans="5:7" x14ac:dyDescent="0.3">
      <c r="E3070" s="23"/>
      <c r="G3070" s="23"/>
    </row>
    <row r="3071" spans="5:7" x14ac:dyDescent="0.3">
      <c r="E3071" s="23"/>
      <c r="G3071" s="23"/>
    </row>
    <row r="3072" spans="5:7" x14ac:dyDescent="0.3">
      <c r="E3072" s="23"/>
      <c r="G3072" s="23"/>
    </row>
    <row r="3073" spans="5:7" x14ac:dyDescent="0.3">
      <c r="E3073" s="23"/>
      <c r="G3073" s="23"/>
    </row>
    <row r="3074" spans="5:7" x14ac:dyDescent="0.3">
      <c r="E3074" s="23"/>
      <c r="G3074" s="23"/>
    </row>
    <row r="3075" spans="5:7" x14ac:dyDescent="0.3">
      <c r="E3075" s="23"/>
      <c r="G3075" s="23"/>
    </row>
    <row r="3076" spans="5:7" x14ac:dyDescent="0.3">
      <c r="E3076" s="23"/>
      <c r="G3076" s="23"/>
    </row>
    <row r="3077" spans="5:7" x14ac:dyDescent="0.3">
      <c r="E3077" s="23"/>
      <c r="G3077" s="23"/>
    </row>
    <row r="3078" spans="5:7" x14ac:dyDescent="0.3">
      <c r="E3078" s="23"/>
      <c r="G3078" s="23"/>
    </row>
    <row r="3079" spans="5:7" x14ac:dyDescent="0.3">
      <c r="E3079" s="23"/>
      <c r="G3079" s="23"/>
    </row>
    <row r="3080" spans="5:7" x14ac:dyDescent="0.3">
      <c r="E3080" s="23"/>
      <c r="G3080" s="23"/>
    </row>
    <row r="3081" spans="5:7" x14ac:dyDescent="0.3">
      <c r="E3081" s="23"/>
      <c r="G3081" s="23"/>
    </row>
    <row r="3082" spans="5:7" x14ac:dyDescent="0.3">
      <c r="E3082" s="23"/>
      <c r="G3082" s="23"/>
    </row>
    <row r="3083" spans="5:7" x14ac:dyDescent="0.3">
      <c r="E3083" s="23"/>
      <c r="G3083" s="23"/>
    </row>
    <row r="3084" spans="5:7" x14ac:dyDescent="0.3">
      <c r="E3084" s="23"/>
      <c r="G3084" s="23"/>
    </row>
    <row r="3085" spans="5:7" x14ac:dyDescent="0.3">
      <c r="E3085" s="23"/>
      <c r="G3085" s="23"/>
    </row>
    <row r="3086" spans="5:7" x14ac:dyDescent="0.3">
      <c r="E3086" s="23"/>
      <c r="G3086" s="23"/>
    </row>
    <row r="3087" spans="5:7" x14ac:dyDescent="0.3">
      <c r="E3087" s="23"/>
      <c r="G3087" s="23"/>
    </row>
    <row r="3088" spans="5:7" x14ac:dyDescent="0.3">
      <c r="E3088" s="23"/>
      <c r="G3088" s="23"/>
    </row>
    <row r="3089" spans="5:7" x14ac:dyDescent="0.3">
      <c r="E3089" s="23"/>
      <c r="G3089" s="23"/>
    </row>
    <row r="3090" spans="5:7" x14ac:dyDescent="0.3">
      <c r="E3090" s="23"/>
      <c r="G3090" s="23"/>
    </row>
    <row r="3091" spans="5:7" x14ac:dyDescent="0.3">
      <c r="E3091" s="23"/>
      <c r="G3091" s="23"/>
    </row>
    <row r="3092" spans="5:7" x14ac:dyDescent="0.3">
      <c r="E3092" s="23"/>
      <c r="G3092" s="23"/>
    </row>
    <row r="3093" spans="5:7" x14ac:dyDescent="0.3">
      <c r="E3093" s="23"/>
      <c r="G3093" s="23"/>
    </row>
    <row r="3094" spans="5:7" x14ac:dyDescent="0.3">
      <c r="E3094" s="23"/>
      <c r="G3094" s="23"/>
    </row>
    <row r="3095" spans="5:7" x14ac:dyDescent="0.3">
      <c r="E3095" s="23"/>
      <c r="G3095" s="23"/>
    </row>
    <row r="3096" spans="5:7" x14ac:dyDescent="0.3">
      <c r="E3096" s="23"/>
      <c r="G3096" s="23"/>
    </row>
    <row r="3097" spans="5:7" x14ac:dyDescent="0.3">
      <c r="E3097" s="23"/>
      <c r="G3097" s="23"/>
    </row>
    <row r="3098" spans="5:7" x14ac:dyDescent="0.3">
      <c r="E3098" s="23"/>
      <c r="G3098" s="23"/>
    </row>
    <row r="3099" spans="5:7" x14ac:dyDescent="0.3">
      <c r="E3099" s="23"/>
      <c r="G3099" s="23"/>
    </row>
    <row r="3100" spans="5:7" x14ac:dyDescent="0.3">
      <c r="E3100" s="23"/>
      <c r="G3100" s="23"/>
    </row>
    <row r="3101" spans="5:7" x14ac:dyDescent="0.3">
      <c r="E3101" s="23"/>
      <c r="G3101" s="23"/>
    </row>
    <row r="3102" spans="5:7" x14ac:dyDescent="0.3">
      <c r="E3102" s="23"/>
      <c r="G3102" s="23"/>
    </row>
    <row r="3103" spans="5:7" x14ac:dyDescent="0.3">
      <c r="E3103" s="23"/>
      <c r="G3103" s="23"/>
    </row>
    <row r="3104" spans="5:7" x14ac:dyDescent="0.3">
      <c r="E3104" s="23"/>
      <c r="G3104" s="23"/>
    </row>
    <row r="3105" spans="5:7" x14ac:dyDescent="0.3">
      <c r="E3105" s="23"/>
      <c r="G3105" s="23"/>
    </row>
    <row r="3106" spans="5:7" x14ac:dyDescent="0.3">
      <c r="E3106" s="23"/>
      <c r="G3106" s="23"/>
    </row>
    <row r="3107" spans="5:7" x14ac:dyDescent="0.3">
      <c r="E3107" s="23"/>
      <c r="G3107" s="23"/>
    </row>
    <row r="3108" spans="5:7" x14ac:dyDescent="0.3">
      <c r="E3108" s="23"/>
      <c r="G3108" s="23"/>
    </row>
    <row r="3109" spans="5:7" x14ac:dyDescent="0.3">
      <c r="E3109" s="23"/>
      <c r="G3109" s="23"/>
    </row>
    <row r="3110" spans="5:7" x14ac:dyDescent="0.3">
      <c r="E3110" s="23"/>
      <c r="G3110" s="23"/>
    </row>
    <row r="3111" spans="5:7" x14ac:dyDescent="0.3">
      <c r="E3111" s="23"/>
      <c r="G3111" s="23"/>
    </row>
    <row r="3112" spans="5:7" x14ac:dyDescent="0.3">
      <c r="E3112" s="23"/>
      <c r="G3112" s="23"/>
    </row>
    <row r="3113" spans="5:7" x14ac:dyDescent="0.3">
      <c r="E3113" s="23"/>
      <c r="G3113" s="23"/>
    </row>
    <row r="3114" spans="5:7" x14ac:dyDescent="0.3">
      <c r="E3114" s="23"/>
      <c r="G3114" s="23"/>
    </row>
    <row r="3115" spans="5:7" x14ac:dyDescent="0.3">
      <c r="E3115" s="23"/>
      <c r="G3115" s="23"/>
    </row>
    <row r="3116" spans="5:7" x14ac:dyDescent="0.3">
      <c r="E3116" s="23"/>
      <c r="G3116" s="23"/>
    </row>
    <row r="3117" spans="5:7" x14ac:dyDescent="0.3">
      <c r="E3117" s="23"/>
      <c r="G3117" s="23"/>
    </row>
    <row r="3118" spans="5:7" x14ac:dyDescent="0.3">
      <c r="E3118" s="23"/>
      <c r="G3118" s="23"/>
    </row>
    <row r="3119" spans="5:7" x14ac:dyDescent="0.3">
      <c r="E3119" s="23"/>
      <c r="G3119" s="23"/>
    </row>
    <row r="3120" spans="5:7" x14ac:dyDescent="0.3">
      <c r="E3120" s="23"/>
      <c r="G3120" s="23"/>
    </row>
    <row r="3121" spans="5:7" x14ac:dyDescent="0.3">
      <c r="E3121" s="23"/>
      <c r="G3121" s="23"/>
    </row>
    <row r="3122" spans="5:7" x14ac:dyDescent="0.3">
      <c r="E3122" s="23"/>
      <c r="G3122" s="23"/>
    </row>
    <row r="3123" spans="5:7" x14ac:dyDescent="0.3">
      <c r="E3123" s="23"/>
      <c r="G3123" s="23"/>
    </row>
    <row r="3124" spans="5:7" x14ac:dyDescent="0.3">
      <c r="E3124" s="23"/>
      <c r="G3124" s="23"/>
    </row>
    <row r="3125" spans="5:7" x14ac:dyDescent="0.3">
      <c r="E3125" s="23"/>
      <c r="G3125" s="23"/>
    </row>
    <row r="3126" spans="5:7" x14ac:dyDescent="0.3">
      <c r="E3126" s="23"/>
      <c r="G3126" s="23"/>
    </row>
    <row r="3127" spans="5:7" x14ac:dyDescent="0.3">
      <c r="E3127" s="23"/>
      <c r="G3127" s="23"/>
    </row>
    <row r="3128" spans="5:7" x14ac:dyDescent="0.3">
      <c r="E3128" s="23"/>
      <c r="G3128" s="23"/>
    </row>
    <row r="3129" spans="5:7" x14ac:dyDescent="0.3">
      <c r="E3129" s="23"/>
      <c r="G3129" s="23"/>
    </row>
    <row r="3130" spans="5:7" x14ac:dyDescent="0.3">
      <c r="E3130" s="23"/>
      <c r="G3130" s="23"/>
    </row>
    <row r="3131" spans="5:7" x14ac:dyDescent="0.3">
      <c r="E3131" s="23"/>
      <c r="G3131" s="23"/>
    </row>
    <row r="3132" spans="5:7" x14ac:dyDescent="0.3">
      <c r="E3132" s="23"/>
      <c r="G3132" s="23"/>
    </row>
    <row r="3133" spans="5:7" x14ac:dyDescent="0.3">
      <c r="E3133" s="23"/>
      <c r="G3133" s="23"/>
    </row>
    <row r="3134" spans="5:7" x14ac:dyDescent="0.3">
      <c r="E3134" s="23"/>
      <c r="G3134" s="23"/>
    </row>
    <row r="3135" spans="5:7" x14ac:dyDescent="0.3">
      <c r="E3135" s="23"/>
      <c r="G3135" s="23"/>
    </row>
    <row r="3136" spans="5:7" x14ac:dyDescent="0.3">
      <c r="E3136" s="23"/>
      <c r="G3136" s="23"/>
    </row>
    <row r="3137" spans="5:7" x14ac:dyDescent="0.3">
      <c r="E3137" s="23"/>
      <c r="G3137" s="23"/>
    </row>
    <row r="3138" spans="5:7" x14ac:dyDescent="0.3">
      <c r="E3138" s="23"/>
      <c r="G3138" s="23"/>
    </row>
    <row r="3139" spans="5:7" x14ac:dyDescent="0.3">
      <c r="E3139" s="23"/>
      <c r="G3139" s="23"/>
    </row>
    <row r="3140" spans="5:7" x14ac:dyDescent="0.3">
      <c r="E3140" s="23"/>
      <c r="G3140" s="23"/>
    </row>
    <row r="3141" spans="5:7" x14ac:dyDescent="0.3">
      <c r="E3141" s="23"/>
      <c r="G3141" s="23"/>
    </row>
    <row r="3142" spans="5:7" x14ac:dyDescent="0.3">
      <c r="E3142" s="23"/>
      <c r="G3142" s="23"/>
    </row>
    <row r="3143" spans="5:7" x14ac:dyDescent="0.3">
      <c r="E3143" s="23"/>
      <c r="G3143" s="23"/>
    </row>
    <row r="3144" spans="5:7" x14ac:dyDescent="0.3">
      <c r="E3144" s="23"/>
      <c r="G3144" s="23"/>
    </row>
    <row r="3145" spans="5:7" x14ac:dyDescent="0.3">
      <c r="E3145" s="23"/>
      <c r="G3145" s="23"/>
    </row>
    <row r="3146" spans="5:7" x14ac:dyDescent="0.3">
      <c r="E3146" s="23"/>
      <c r="G3146" s="23"/>
    </row>
    <row r="3147" spans="5:7" x14ac:dyDescent="0.3">
      <c r="E3147" s="23"/>
      <c r="G3147" s="23"/>
    </row>
    <row r="3148" spans="5:7" x14ac:dyDescent="0.3">
      <c r="E3148" s="23"/>
      <c r="G3148" s="23"/>
    </row>
    <row r="3149" spans="5:7" x14ac:dyDescent="0.3">
      <c r="E3149" s="23"/>
      <c r="G3149" s="23"/>
    </row>
    <row r="3150" spans="5:7" x14ac:dyDescent="0.3">
      <c r="E3150" s="23"/>
      <c r="G3150" s="23"/>
    </row>
    <row r="3151" spans="5:7" x14ac:dyDescent="0.3">
      <c r="E3151" s="23"/>
      <c r="G3151" s="23"/>
    </row>
    <row r="3152" spans="5:7" x14ac:dyDescent="0.3">
      <c r="E3152" s="23"/>
      <c r="G3152" s="23"/>
    </row>
    <row r="3153" spans="5:7" x14ac:dyDescent="0.3">
      <c r="E3153" s="23"/>
      <c r="G3153" s="23"/>
    </row>
    <row r="3154" spans="5:7" x14ac:dyDescent="0.3">
      <c r="E3154" s="23"/>
      <c r="G3154" s="23"/>
    </row>
    <row r="3155" spans="5:7" x14ac:dyDescent="0.3">
      <c r="E3155" s="23"/>
      <c r="G3155" s="23"/>
    </row>
    <row r="3156" spans="5:7" x14ac:dyDescent="0.3">
      <c r="E3156" s="23"/>
      <c r="G3156" s="23"/>
    </row>
    <row r="3157" spans="5:7" x14ac:dyDescent="0.3">
      <c r="E3157" s="23"/>
      <c r="G3157" s="23"/>
    </row>
    <row r="3158" spans="5:7" x14ac:dyDescent="0.3">
      <c r="E3158" s="23"/>
      <c r="G3158" s="23"/>
    </row>
    <row r="3159" spans="5:7" x14ac:dyDescent="0.3">
      <c r="E3159" s="23"/>
      <c r="G3159" s="23"/>
    </row>
    <row r="3160" spans="5:7" x14ac:dyDescent="0.3">
      <c r="E3160" s="23"/>
      <c r="G3160" s="23"/>
    </row>
    <row r="3161" spans="5:7" x14ac:dyDescent="0.3">
      <c r="E3161" s="23"/>
      <c r="G3161" s="23"/>
    </row>
    <row r="3162" spans="5:7" x14ac:dyDescent="0.3">
      <c r="E3162" s="23"/>
      <c r="G3162" s="23"/>
    </row>
    <row r="3163" spans="5:7" x14ac:dyDescent="0.3">
      <c r="E3163" s="23"/>
      <c r="G3163" s="23"/>
    </row>
    <row r="3164" spans="5:7" x14ac:dyDescent="0.3">
      <c r="E3164" s="23"/>
      <c r="G3164" s="23"/>
    </row>
    <row r="3165" spans="5:7" x14ac:dyDescent="0.3">
      <c r="E3165" s="23"/>
      <c r="G3165" s="23"/>
    </row>
    <row r="3166" spans="5:7" x14ac:dyDescent="0.3">
      <c r="E3166" s="23"/>
      <c r="G3166" s="23"/>
    </row>
    <row r="3167" spans="5:7" x14ac:dyDescent="0.3">
      <c r="E3167" s="23"/>
      <c r="G3167" s="23"/>
    </row>
    <row r="3168" spans="5:7" x14ac:dyDescent="0.3">
      <c r="E3168" s="23"/>
      <c r="G3168" s="23"/>
    </row>
    <row r="3169" spans="5:7" x14ac:dyDescent="0.3">
      <c r="E3169" s="23"/>
      <c r="G3169" s="23"/>
    </row>
    <row r="3170" spans="5:7" x14ac:dyDescent="0.3">
      <c r="E3170" s="23"/>
      <c r="G3170" s="23"/>
    </row>
    <row r="3171" spans="5:7" x14ac:dyDescent="0.3">
      <c r="E3171" s="23"/>
      <c r="G3171" s="23"/>
    </row>
    <row r="3172" spans="5:7" x14ac:dyDescent="0.3">
      <c r="E3172" s="23"/>
      <c r="G3172" s="23"/>
    </row>
    <row r="3173" spans="5:7" x14ac:dyDescent="0.3">
      <c r="E3173" s="23"/>
      <c r="G3173" s="23"/>
    </row>
    <row r="3174" spans="5:7" x14ac:dyDescent="0.3">
      <c r="E3174" s="23"/>
      <c r="G3174" s="23"/>
    </row>
    <row r="3175" spans="5:7" x14ac:dyDescent="0.3">
      <c r="E3175" s="23"/>
      <c r="G3175" s="23"/>
    </row>
    <row r="3176" spans="5:7" x14ac:dyDescent="0.3">
      <c r="E3176" s="23"/>
      <c r="G3176" s="23"/>
    </row>
    <row r="3177" spans="5:7" x14ac:dyDescent="0.3">
      <c r="E3177" s="23"/>
      <c r="G3177" s="23"/>
    </row>
    <row r="3178" spans="5:7" x14ac:dyDescent="0.3">
      <c r="E3178" s="23"/>
      <c r="G3178" s="23"/>
    </row>
    <row r="3179" spans="5:7" x14ac:dyDescent="0.3">
      <c r="E3179" s="23"/>
      <c r="G3179" s="23"/>
    </row>
    <row r="3180" spans="5:7" x14ac:dyDescent="0.3">
      <c r="E3180" s="23"/>
      <c r="G3180" s="23"/>
    </row>
    <row r="3181" spans="5:7" x14ac:dyDescent="0.3">
      <c r="E3181" s="23"/>
      <c r="G3181" s="23"/>
    </row>
    <row r="3182" spans="5:7" x14ac:dyDescent="0.3">
      <c r="E3182" s="23"/>
      <c r="G3182" s="23"/>
    </row>
    <row r="3183" spans="5:7" x14ac:dyDescent="0.3">
      <c r="E3183" s="23"/>
      <c r="G3183" s="23"/>
    </row>
    <row r="3184" spans="5:7" x14ac:dyDescent="0.3">
      <c r="E3184" s="23"/>
      <c r="G3184" s="23"/>
    </row>
    <row r="3185" spans="5:7" x14ac:dyDescent="0.3">
      <c r="E3185" s="23"/>
      <c r="G3185" s="23"/>
    </row>
    <row r="3186" spans="5:7" x14ac:dyDescent="0.3">
      <c r="E3186" s="23"/>
      <c r="G3186" s="23"/>
    </row>
    <row r="3187" spans="5:7" x14ac:dyDescent="0.3">
      <c r="E3187" s="23"/>
      <c r="G3187" s="23"/>
    </row>
    <row r="3188" spans="5:7" x14ac:dyDescent="0.3">
      <c r="E3188" s="23"/>
      <c r="G3188" s="23"/>
    </row>
    <row r="3189" spans="5:7" x14ac:dyDescent="0.3">
      <c r="E3189" s="23"/>
      <c r="G3189" s="23"/>
    </row>
    <row r="3190" spans="5:7" x14ac:dyDescent="0.3">
      <c r="E3190" s="23"/>
      <c r="G3190" s="23"/>
    </row>
    <row r="3191" spans="5:7" x14ac:dyDescent="0.3">
      <c r="E3191" s="23"/>
      <c r="G3191" s="23"/>
    </row>
    <row r="3192" spans="5:7" x14ac:dyDescent="0.3">
      <c r="E3192" s="23"/>
      <c r="G3192" s="23"/>
    </row>
    <row r="3193" spans="5:7" x14ac:dyDescent="0.3">
      <c r="E3193" s="23"/>
      <c r="G3193" s="23"/>
    </row>
    <row r="3194" spans="5:7" x14ac:dyDescent="0.3">
      <c r="E3194" s="23"/>
      <c r="G3194" s="23"/>
    </row>
    <row r="3195" spans="5:7" x14ac:dyDescent="0.3">
      <c r="E3195" s="23"/>
      <c r="G3195" s="23"/>
    </row>
    <row r="3196" spans="5:7" x14ac:dyDescent="0.3">
      <c r="E3196" s="23"/>
      <c r="G3196" s="23"/>
    </row>
    <row r="3197" spans="5:7" x14ac:dyDescent="0.3">
      <c r="E3197" s="23"/>
      <c r="G3197" s="23"/>
    </row>
    <row r="3198" spans="5:7" x14ac:dyDescent="0.3">
      <c r="E3198" s="23"/>
      <c r="G3198" s="23"/>
    </row>
    <row r="3199" spans="5:7" x14ac:dyDescent="0.3">
      <c r="E3199" s="23"/>
      <c r="G3199" s="23"/>
    </row>
    <row r="3200" spans="5:7" x14ac:dyDescent="0.3">
      <c r="E3200" s="23"/>
      <c r="G3200" s="23"/>
    </row>
    <row r="3201" spans="5:7" x14ac:dyDescent="0.3">
      <c r="E3201" s="23"/>
      <c r="G3201" s="23"/>
    </row>
    <row r="3202" spans="5:7" x14ac:dyDescent="0.3">
      <c r="E3202" s="23"/>
      <c r="G3202" s="23"/>
    </row>
    <row r="3203" spans="5:7" x14ac:dyDescent="0.3">
      <c r="E3203" s="23"/>
      <c r="G3203" s="23"/>
    </row>
    <row r="3204" spans="5:7" x14ac:dyDescent="0.3">
      <c r="E3204" s="23"/>
      <c r="G3204" s="23"/>
    </row>
    <row r="3205" spans="5:7" x14ac:dyDescent="0.3">
      <c r="E3205" s="23"/>
      <c r="G3205" s="23"/>
    </row>
    <row r="3206" spans="5:7" x14ac:dyDescent="0.3">
      <c r="E3206" s="23"/>
      <c r="G3206" s="23"/>
    </row>
    <row r="3207" spans="5:7" x14ac:dyDescent="0.3">
      <c r="E3207" s="23"/>
      <c r="G3207" s="23"/>
    </row>
    <row r="3208" spans="5:7" x14ac:dyDescent="0.3">
      <c r="E3208" s="23"/>
      <c r="G3208" s="23"/>
    </row>
    <row r="3209" spans="5:7" x14ac:dyDescent="0.3">
      <c r="E3209" s="23"/>
      <c r="G3209" s="23"/>
    </row>
    <row r="3210" spans="5:7" x14ac:dyDescent="0.3">
      <c r="E3210" s="23"/>
      <c r="G3210" s="23"/>
    </row>
    <row r="3211" spans="5:7" x14ac:dyDescent="0.3">
      <c r="E3211" s="23"/>
      <c r="G3211" s="23"/>
    </row>
    <row r="3212" spans="5:7" x14ac:dyDescent="0.3">
      <c r="E3212" s="23"/>
      <c r="G3212" s="23"/>
    </row>
    <row r="3213" spans="5:7" x14ac:dyDescent="0.3">
      <c r="E3213" s="23"/>
      <c r="G3213" s="23"/>
    </row>
    <row r="3214" spans="5:7" x14ac:dyDescent="0.3">
      <c r="E3214" s="23"/>
      <c r="G3214" s="23"/>
    </row>
    <row r="3215" spans="5:7" x14ac:dyDescent="0.3">
      <c r="E3215" s="23"/>
      <c r="G3215" s="23"/>
    </row>
    <row r="3216" spans="5:7" x14ac:dyDescent="0.3">
      <c r="E3216" s="23"/>
      <c r="G3216" s="23"/>
    </row>
    <row r="3217" spans="5:7" x14ac:dyDescent="0.3">
      <c r="E3217" s="23"/>
      <c r="G3217" s="23"/>
    </row>
    <row r="3218" spans="5:7" x14ac:dyDescent="0.3">
      <c r="E3218" s="23"/>
      <c r="G3218" s="23"/>
    </row>
    <row r="3219" spans="5:7" x14ac:dyDescent="0.3">
      <c r="E3219" s="23"/>
      <c r="G3219" s="23"/>
    </row>
    <row r="3220" spans="5:7" x14ac:dyDescent="0.3">
      <c r="E3220" s="23"/>
      <c r="G3220" s="23"/>
    </row>
    <row r="3221" spans="5:7" x14ac:dyDescent="0.3">
      <c r="E3221" s="23"/>
      <c r="G3221" s="23"/>
    </row>
    <row r="3222" spans="5:7" x14ac:dyDescent="0.3">
      <c r="E3222" s="23"/>
      <c r="G3222" s="23"/>
    </row>
    <row r="3223" spans="5:7" x14ac:dyDescent="0.3">
      <c r="E3223" s="23"/>
      <c r="G3223" s="23"/>
    </row>
    <row r="3224" spans="5:7" x14ac:dyDescent="0.3">
      <c r="E3224" s="23"/>
      <c r="G3224" s="23"/>
    </row>
    <row r="3225" spans="5:7" x14ac:dyDescent="0.3">
      <c r="E3225" s="23"/>
      <c r="G3225" s="23"/>
    </row>
    <row r="3226" spans="5:7" x14ac:dyDescent="0.3">
      <c r="E3226" s="23"/>
      <c r="G3226" s="23"/>
    </row>
    <row r="3227" spans="5:7" x14ac:dyDescent="0.3">
      <c r="E3227" s="23"/>
      <c r="G3227" s="23"/>
    </row>
    <row r="3228" spans="5:7" x14ac:dyDescent="0.3">
      <c r="E3228" s="23"/>
      <c r="G3228" s="23"/>
    </row>
    <row r="3229" spans="5:7" x14ac:dyDescent="0.3">
      <c r="E3229" s="23"/>
      <c r="G3229" s="23"/>
    </row>
    <row r="3230" spans="5:7" x14ac:dyDescent="0.3">
      <c r="E3230" s="23"/>
      <c r="G3230" s="23"/>
    </row>
    <row r="3231" spans="5:7" x14ac:dyDescent="0.3">
      <c r="E3231" s="23"/>
      <c r="G3231" s="23"/>
    </row>
    <row r="3232" spans="5:7" x14ac:dyDescent="0.3">
      <c r="E3232" s="23"/>
      <c r="G3232" s="23"/>
    </row>
    <row r="3233" spans="5:7" x14ac:dyDescent="0.3">
      <c r="E3233" s="23"/>
      <c r="G3233" s="23"/>
    </row>
    <row r="3234" spans="5:7" x14ac:dyDescent="0.3">
      <c r="E3234" s="23"/>
      <c r="G3234" s="23"/>
    </row>
    <row r="3235" spans="5:7" x14ac:dyDescent="0.3">
      <c r="E3235" s="23"/>
      <c r="G3235" s="23"/>
    </row>
    <row r="3236" spans="5:7" x14ac:dyDescent="0.3">
      <c r="E3236" s="23"/>
      <c r="G3236" s="23"/>
    </row>
    <row r="3237" spans="5:7" x14ac:dyDescent="0.3">
      <c r="E3237" s="23"/>
      <c r="G3237" s="23"/>
    </row>
    <row r="3238" spans="5:7" x14ac:dyDescent="0.3">
      <c r="E3238" s="23"/>
      <c r="G3238" s="23"/>
    </row>
    <row r="3239" spans="5:7" x14ac:dyDescent="0.3">
      <c r="E3239" s="23"/>
      <c r="G3239" s="23"/>
    </row>
    <row r="3240" spans="5:7" x14ac:dyDescent="0.3">
      <c r="E3240" s="23"/>
      <c r="G3240" s="23"/>
    </row>
    <row r="3241" spans="5:7" x14ac:dyDescent="0.3">
      <c r="E3241" s="23"/>
      <c r="G3241" s="23"/>
    </row>
    <row r="3242" spans="5:7" x14ac:dyDescent="0.3">
      <c r="E3242" s="23"/>
      <c r="G3242" s="23"/>
    </row>
    <row r="3243" spans="5:7" x14ac:dyDescent="0.3">
      <c r="E3243" s="23"/>
      <c r="G3243" s="23"/>
    </row>
    <row r="3244" spans="5:7" x14ac:dyDescent="0.3">
      <c r="E3244" s="23"/>
      <c r="G3244" s="23"/>
    </row>
    <row r="3245" spans="5:7" x14ac:dyDescent="0.3">
      <c r="E3245" s="23"/>
      <c r="G3245" s="23"/>
    </row>
    <row r="3246" spans="5:7" x14ac:dyDescent="0.3">
      <c r="E3246" s="23"/>
      <c r="G3246" s="23"/>
    </row>
    <row r="3247" spans="5:7" x14ac:dyDescent="0.3">
      <c r="E3247" s="23"/>
      <c r="G3247" s="23"/>
    </row>
    <row r="3248" spans="5:7" x14ac:dyDescent="0.3">
      <c r="E3248" s="23"/>
      <c r="G3248" s="23"/>
    </row>
    <row r="3249" spans="5:7" x14ac:dyDescent="0.3">
      <c r="E3249" s="23"/>
      <c r="G3249" s="23"/>
    </row>
    <row r="3250" spans="5:7" x14ac:dyDescent="0.3">
      <c r="E3250" s="23"/>
      <c r="G3250" s="23"/>
    </row>
    <row r="3251" spans="5:7" x14ac:dyDescent="0.3">
      <c r="E3251" s="23"/>
      <c r="G3251" s="23"/>
    </row>
    <row r="3252" spans="5:7" x14ac:dyDescent="0.3">
      <c r="E3252" s="23"/>
      <c r="G3252" s="23"/>
    </row>
    <row r="3253" spans="5:7" x14ac:dyDescent="0.3">
      <c r="E3253" s="23"/>
      <c r="G3253" s="23"/>
    </row>
    <row r="3254" spans="5:7" x14ac:dyDescent="0.3">
      <c r="E3254" s="23"/>
      <c r="G3254" s="23"/>
    </row>
    <row r="3255" spans="5:7" x14ac:dyDescent="0.3">
      <c r="E3255" s="23"/>
      <c r="G3255" s="23"/>
    </row>
    <row r="3256" spans="5:7" x14ac:dyDescent="0.3">
      <c r="E3256" s="23"/>
      <c r="G3256" s="23"/>
    </row>
    <row r="3257" spans="5:7" x14ac:dyDescent="0.3">
      <c r="E3257" s="23"/>
      <c r="G3257" s="23"/>
    </row>
    <row r="3258" spans="5:7" x14ac:dyDescent="0.3">
      <c r="E3258" s="23"/>
      <c r="G3258" s="23"/>
    </row>
    <row r="3259" spans="5:7" x14ac:dyDescent="0.3">
      <c r="E3259" s="23"/>
      <c r="G3259" s="23"/>
    </row>
    <row r="3260" spans="5:7" x14ac:dyDescent="0.3">
      <c r="E3260" s="23"/>
      <c r="G3260" s="23"/>
    </row>
    <row r="3261" spans="5:7" x14ac:dyDescent="0.3">
      <c r="E3261" s="23"/>
      <c r="G3261" s="23"/>
    </row>
    <row r="3262" spans="5:7" x14ac:dyDescent="0.3">
      <c r="E3262" s="23"/>
      <c r="G3262" s="23"/>
    </row>
    <row r="3263" spans="5:7" x14ac:dyDescent="0.3">
      <c r="E3263" s="23"/>
      <c r="G3263" s="23"/>
    </row>
    <row r="3264" spans="5:7" x14ac:dyDescent="0.3">
      <c r="E3264" s="23"/>
      <c r="G3264" s="23"/>
    </row>
    <row r="3265" spans="5:7" x14ac:dyDescent="0.3">
      <c r="E3265" s="23"/>
      <c r="G3265" s="23"/>
    </row>
    <row r="3266" spans="5:7" x14ac:dyDescent="0.3">
      <c r="E3266" s="23"/>
      <c r="G3266" s="23"/>
    </row>
    <row r="3267" spans="5:7" x14ac:dyDescent="0.3">
      <c r="E3267" s="23"/>
      <c r="G3267" s="23"/>
    </row>
    <row r="3268" spans="5:7" x14ac:dyDescent="0.3">
      <c r="E3268" s="23"/>
      <c r="G3268" s="23"/>
    </row>
    <row r="3269" spans="5:7" x14ac:dyDescent="0.3">
      <c r="E3269" s="23"/>
      <c r="G3269" s="23"/>
    </row>
    <row r="3270" spans="5:7" x14ac:dyDescent="0.3">
      <c r="E3270" s="23"/>
      <c r="G3270" s="23"/>
    </row>
    <row r="3271" spans="5:7" x14ac:dyDescent="0.3">
      <c r="E3271" s="23"/>
      <c r="G3271" s="23"/>
    </row>
    <row r="3272" spans="5:7" x14ac:dyDescent="0.3">
      <c r="E3272" s="23"/>
      <c r="G3272" s="23"/>
    </row>
    <row r="3273" spans="5:7" x14ac:dyDescent="0.3">
      <c r="E3273" s="23"/>
      <c r="G3273" s="23"/>
    </row>
    <row r="3274" spans="5:7" x14ac:dyDescent="0.3">
      <c r="E3274" s="23"/>
      <c r="G3274" s="23"/>
    </row>
    <row r="3275" spans="5:7" x14ac:dyDescent="0.3">
      <c r="E3275" s="23"/>
      <c r="G3275" s="23"/>
    </row>
    <row r="3276" spans="5:7" x14ac:dyDescent="0.3">
      <c r="E3276" s="23"/>
      <c r="G3276" s="23"/>
    </row>
    <row r="3277" spans="5:7" x14ac:dyDescent="0.3">
      <c r="E3277" s="23"/>
      <c r="G3277" s="23"/>
    </row>
    <row r="3278" spans="5:7" x14ac:dyDescent="0.3">
      <c r="E3278" s="23"/>
      <c r="G3278" s="23"/>
    </row>
    <row r="3279" spans="5:7" x14ac:dyDescent="0.3">
      <c r="E3279" s="23"/>
      <c r="G3279" s="23"/>
    </row>
    <row r="3280" spans="5:7" x14ac:dyDescent="0.3">
      <c r="E3280" s="23"/>
      <c r="G3280" s="23"/>
    </row>
    <row r="3281" spans="5:7" x14ac:dyDescent="0.3">
      <c r="E3281" s="23"/>
      <c r="G3281" s="23"/>
    </row>
    <row r="3282" spans="5:7" x14ac:dyDescent="0.3">
      <c r="E3282" s="23"/>
      <c r="G3282" s="23"/>
    </row>
    <row r="3283" spans="5:7" x14ac:dyDescent="0.3">
      <c r="E3283" s="23"/>
      <c r="G3283" s="23"/>
    </row>
    <row r="3284" spans="5:7" x14ac:dyDescent="0.3">
      <c r="E3284" s="23"/>
      <c r="G3284" s="23"/>
    </row>
    <row r="3285" spans="5:7" x14ac:dyDescent="0.3">
      <c r="E3285" s="23"/>
      <c r="G3285" s="23"/>
    </row>
    <row r="3286" spans="5:7" x14ac:dyDescent="0.3">
      <c r="E3286" s="23"/>
      <c r="G3286" s="23"/>
    </row>
    <row r="3287" spans="5:7" x14ac:dyDescent="0.3">
      <c r="E3287" s="23"/>
      <c r="G3287" s="23"/>
    </row>
    <row r="3288" spans="5:7" x14ac:dyDescent="0.3">
      <c r="E3288" s="23"/>
      <c r="G3288" s="23"/>
    </row>
    <row r="3289" spans="5:7" x14ac:dyDescent="0.3">
      <c r="E3289" s="23"/>
      <c r="G3289" s="23"/>
    </row>
    <row r="3290" spans="5:7" x14ac:dyDescent="0.3">
      <c r="E3290" s="23"/>
      <c r="G3290" s="23"/>
    </row>
    <row r="3291" spans="5:7" x14ac:dyDescent="0.3">
      <c r="E3291" s="23"/>
      <c r="G3291" s="23"/>
    </row>
    <row r="3292" spans="5:7" x14ac:dyDescent="0.3">
      <c r="E3292" s="23"/>
      <c r="G3292" s="23"/>
    </row>
    <row r="3293" spans="5:7" x14ac:dyDescent="0.3">
      <c r="E3293" s="23"/>
      <c r="G3293" s="23"/>
    </row>
    <row r="3294" spans="5:7" x14ac:dyDescent="0.3">
      <c r="E3294" s="23"/>
      <c r="G3294" s="23"/>
    </row>
    <row r="3295" spans="5:7" x14ac:dyDescent="0.3">
      <c r="E3295" s="23"/>
      <c r="G3295" s="23"/>
    </row>
    <row r="3296" spans="5:7" x14ac:dyDescent="0.3">
      <c r="E3296" s="23"/>
      <c r="G3296" s="23"/>
    </row>
    <row r="3297" spans="5:7" x14ac:dyDescent="0.3">
      <c r="E3297" s="23"/>
      <c r="G3297" s="23"/>
    </row>
    <row r="3298" spans="5:7" x14ac:dyDescent="0.3">
      <c r="E3298" s="23"/>
      <c r="G3298" s="23"/>
    </row>
    <row r="3299" spans="5:7" x14ac:dyDescent="0.3">
      <c r="E3299" s="23"/>
      <c r="G3299" s="23"/>
    </row>
    <row r="3300" spans="5:7" x14ac:dyDescent="0.3">
      <c r="E3300" s="23"/>
      <c r="G3300" s="23"/>
    </row>
    <row r="3301" spans="5:7" x14ac:dyDescent="0.3">
      <c r="E3301" s="23"/>
      <c r="G3301" s="23"/>
    </row>
    <row r="3302" spans="5:7" x14ac:dyDescent="0.3">
      <c r="E3302" s="23"/>
      <c r="G3302" s="23"/>
    </row>
    <row r="3303" spans="5:7" x14ac:dyDescent="0.3">
      <c r="E3303" s="23"/>
      <c r="G3303" s="23"/>
    </row>
    <row r="3304" spans="5:7" x14ac:dyDescent="0.3">
      <c r="E3304" s="23"/>
      <c r="G3304" s="23"/>
    </row>
    <row r="3305" spans="5:7" x14ac:dyDescent="0.3">
      <c r="E3305" s="23"/>
      <c r="G3305" s="23"/>
    </row>
    <row r="3306" spans="5:7" x14ac:dyDescent="0.3">
      <c r="E3306" s="23"/>
      <c r="G3306" s="23"/>
    </row>
    <row r="3307" spans="5:7" x14ac:dyDescent="0.3">
      <c r="E3307" s="23"/>
      <c r="G3307" s="23"/>
    </row>
    <row r="3308" spans="5:7" x14ac:dyDescent="0.3">
      <c r="E3308" s="23"/>
      <c r="G3308" s="23"/>
    </row>
    <row r="3309" spans="5:7" x14ac:dyDescent="0.3">
      <c r="E3309" s="23"/>
      <c r="G3309" s="23"/>
    </row>
    <row r="3310" spans="5:7" x14ac:dyDescent="0.3">
      <c r="E3310" s="23"/>
      <c r="G3310" s="23"/>
    </row>
    <row r="3311" spans="5:7" x14ac:dyDescent="0.3">
      <c r="E3311" s="23"/>
      <c r="G3311" s="23"/>
    </row>
    <row r="3312" spans="5:7" x14ac:dyDescent="0.3">
      <c r="E3312" s="23"/>
      <c r="G3312" s="23"/>
    </row>
    <row r="3313" spans="5:7" x14ac:dyDescent="0.3">
      <c r="E3313" s="23"/>
      <c r="G3313" s="23"/>
    </row>
    <row r="3314" spans="5:7" x14ac:dyDescent="0.3">
      <c r="E3314" s="23"/>
      <c r="G3314" s="23"/>
    </row>
    <row r="3315" spans="5:7" x14ac:dyDescent="0.3">
      <c r="E3315" s="23"/>
      <c r="G3315" s="23"/>
    </row>
    <row r="3316" spans="5:7" x14ac:dyDescent="0.3">
      <c r="E3316" s="23"/>
      <c r="G3316" s="23"/>
    </row>
    <row r="3317" spans="5:7" x14ac:dyDescent="0.3">
      <c r="E3317" s="23"/>
      <c r="G3317" s="23"/>
    </row>
    <row r="3318" spans="5:7" x14ac:dyDescent="0.3">
      <c r="E3318" s="23"/>
      <c r="G3318" s="23"/>
    </row>
    <row r="3319" spans="5:7" x14ac:dyDescent="0.3">
      <c r="E3319" s="23"/>
      <c r="G3319" s="23"/>
    </row>
    <row r="3320" spans="5:7" x14ac:dyDescent="0.3">
      <c r="E3320" s="23"/>
      <c r="G3320" s="23"/>
    </row>
    <row r="3321" spans="5:7" x14ac:dyDescent="0.3">
      <c r="E3321" s="23"/>
      <c r="G3321" s="23"/>
    </row>
    <row r="3322" spans="5:7" x14ac:dyDescent="0.3">
      <c r="E3322" s="23"/>
      <c r="G3322" s="23"/>
    </row>
    <row r="3323" spans="5:7" x14ac:dyDescent="0.3">
      <c r="E3323" s="23"/>
      <c r="G3323" s="23"/>
    </row>
    <row r="3324" spans="5:7" x14ac:dyDescent="0.3">
      <c r="E3324" s="23"/>
      <c r="G3324" s="23"/>
    </row>
    <row r="3325" spans="5:7" x14ac:dyDescent="0.3">
      <c r="E3325" s="23"/>
      <c r="G3325" s="23"/>
    </row>
    <row r="3326" spans="5:7" x14ac:dyDescent="0.3">
      <c r="E3326" s="23"/>
      <c r="G3326" s="23"/>
    </row>
    <row r="3327" spans="5:7" x14ac:dyDescent="0.3">
      <c r="E3327" s="23"/>
      <c r="G3327" s="23"/>
    </row>
    <row r="3328" spans="5:7" x14ac:dyDescent="0.3">
      <c r="E3328" s="23"/>
      <c r="G3328" s="23"/>
    </row>
    <row r="3329" spans="5:7" x14ac:dyDescent="0.3">
      <c r="E3329" s="23"/>
      <c r="G3329" s="23"/>
    </row>
    <row r="3330" spans="5:7" x14ac:dyDescent="0.3">
      <c r="E3330" s="23"/>
      <c r="G3330" s="23"/>
    </row>
    <row r="3331" spans="5:7" x14ac:dyDescent="0.3">
      <c r="E3331" s="23"/>
      <c r="G3331" s="23"/>
    </row>
    <row r="3332" spans="5:7" x14ac:dyDescent="0.3">
      <c r="E3332" s="23"/>
      <c r="G3332" s="23"/>
    </row>
    <row r="3333" spans="5:7" x14ac:dyDescent="0.3">
      <c r="E3333" s="23"/>
      <c r="G3333" s="23"/>
    </row>
    <row r="3334" spans="5:7" x14ac:dyDescent="0.3">
      <c r="E3334" s="23"/>
      <c r="G3334" s="23"/>
    </row>
    <row r="3335" spans="5:7" x14ac:dyDescent="0.3">
      <c r="E3335" s="23"/>
      <c r="G3335" s="23"/>
    </row>
    <row r="3336" spans="5:7" x14ac:dyDescent="0.3">
      <c r="E3336" s="23"/>
      <c r="G3336" s="23"/>
    </row>
    <row r="3337" spans="5:7" x14ac:dyDescent="0.3">
      <c r="E3337" s="23"/>
      <c r="G3337" s="23"/>
    </row>
    <row r="3338" spans="5:7" x14ac:dyDescent="0.3">
      <c r="E3338" s="23"/>
      <c r="G3338" s="23"/>
    </row>
    <row r="3339" spans="5:7" x14ac:dyDescent="0.3">
      <c r="E3339" s="23"/>
      <c r="G3339" s="23"/>
    </row>
    <row r="3340" spans="5:7" x14ac:dyDescent="0.3">
      <c r="E3340" s="23"/>
      <c r="G3340" s="23"/>
    </row>
    <row r="3341" spans="5:7" x14ac:dyDescent="0.3">
      <c r="E3341" s="23"/>
      <c r="G3341" s="23"/>
    </row>
    <row r="3342" spans="5:7" x14ac:dyDescent="0.3">
      <c r="E3342" s="23"/>
      <c r="G3342" s="23"/>
    </row>
    <row r="3343" spans="5:7" x14ac:dyDescent="0.3">
      <c r="E3343" s="23"/>
      <c r="G3343" s="23"/>
    </row>
    <row r="3344" spans="5:7" x14ac:dyDescent="0.3">
      <c r="E3344" s="23"/>
      <c r="G3344" s="23"/>
    </row>
    <row r="3345" spans="5:7" x14ac:dyDescent="0.3">
      <c r="E3345" s="23"/>
      <c r="G3345" s="23"/>
    </row>
    <row r="3346" spans="5:7" x14ac:dyDescent="0.3">
      <c r="E3346" s="23"/>
      <c r="G3346" s="23"/>
    </row>
    <row r="3347" spans="5:7" x14ac:dyDescent="0.3">
      <c r="E3347" s="23"/>
      <c r="G3347" s="23"/>
    </row>
    <row r="3348" spans="5:7" x14ac:dyDescent="0.3">
      <c r="E3348" s="23"/>
      <c r="G3348" s="23"/>
    </row>
    <row r="3349" spans="5:7" x14ac:dyDescent="0.3">
      <c r="E3349" s="23"/>
      <c r="G3349" s="23"/>
    </row>
    <row r="3350" spans="5:7" x14ac:dyDescent="0.3">
      <c r="E3350" s="23"/>
      <c r="G3350" s="23"/>
    </row>
    <row r="3351" spans="5:7" x14ac:dyDescent="0.3">
      <c r="E3351" s="23"/>
      <c r="G3351" s="23"/>
    </row>
    <row r="3352" spans="5:7" x14ac:dyDescent="0.3">
      <c r="E3352" s="23"/>
      <c r="G3352" s="23"/>
    </row>
    <row r="3353" spans="5:7" x14ac:dyDescent="0.3">
      <c r="E3353" s="23"/>
      <c r="G3353" s="23"/>
    </row>
    <row r="3354" spans="5:7" x14ac:dyDescent="0.3">
      <c r="E3354" s="23"/>
      <c r="G3354" s="23"/>
    </row>
    <row r="3355" spans="5:7" x14ac:dyDescent="0.3">
      <c r="E3355" s="23"/>
      <c r="G3355" s="23"/>
    </row>
    <row r="3356" spans="5:7" x14ac:dyDescent="0.3">
      <c r="E3356" s="23"/>
      <c r="G3356" s="23"/>
    </row>
    <row r="3357" spans="5:7" x14ac:dyDescent="0.3">
      <c r="E3357" s="23"/>
      <c r="G3357" s="23"/>
    </row>
    <row r="3358" spans="5:7" x14ac:dyDescent="0.3">
      <c r="E3358" s="23"/>
      <c r="G3358" s="23"/>
    </row>
    <row r="3359" spans="5:7" x14ac:dyDescent="0.3">
      <c r="E3359" s="23"/>
      <c r="G3359" s="23"/>
    </row>
    <row r="3360" spans="5:7" x14ac:dyDescent="0.3">
      <c r="E3360" s="23"/>
      <c r="G3360" s="23"/>
    </row>
    <row r="3361" spans="5:7" x14ac:dyDescent="0.3">
      <c r="E3361" s="23"/>
      <c r="G3361" s="23"/>
    </row>
    <row r="3362" spans="5:7" x14ac:dyDescent="0.3">
      <c r="E3362" s="23"/>
      <c r="G3362" s="23"/>
    </row>
    <row r="3363" spans="5:7" x14ac:dyDescent="0.3">
      <c r="E3363" s="23"/>
      <c r="G3363" s="23"/>
    </row>
    <row r="3364" spans="5:7" x14ac:dyDescent="0.3">
      <c r="E3364" s="23"/>
      <c r="G3364" s="23"/>
    </row>
    <row r="3365" spans="5:7" x14ac:dyDescent="0.3">
      <c r="E3365" s="23"/>
      <c r="G3365" s="23"/>
    </row>
    <row r="3366" spans="5:7" x14ac:dyDescent="0.3">
      <c r="E3366" s="23"/>
      <c r="G3366" s="23"/>
    </row>
    <row r="3367" spans="5:7" x14ac:dyDescent="0.3">
      <c r="E3367" s="23"/>
      <c r="G3367" s="23"/>
    </row>
    <row r="3368" spans="5:7" x14ac:dyDescent="0.3">
      <c r="E3368" s="23"/>
      <c r="G3368" s="23"/>
    </row>
    <row r="3369" spans="5:7" x14ac:dyDescent="0.3">
      <c r="E3369" s="23"/>
      <c r="G3369" s="23"/>
    </row>
    <row r="3370" spans="5:7" x14ac:dyDescent="0.3">
      <c r="E3370" s="23"/>
      <c r="G3370" s="23"/>
    </row>
    <row r="3371" spans="5:7" x14ac:dyDescent="0.3">
      <c r="E3371" s="23"/>
      <c r="G3371" s="23"/>
    </row>
    <row r="3372" spans="5:7" x14ac:dyDescent="0.3">
      <c r="E3372" s="23"/>
      <c r="G3372" s="23"/>
    </row>
    <row r="3373" spans="5:7" x14ac:dyDescent="0.3">
      <c r="E3373" s="23"/>
      <c r="G3373" s="23"/>
    </row>
    <row r="3374" spans="5:7" x14ac:dyDescent="0.3">
      <c r="E3374" s="23"/>
      <c r="G3374" s="23"/>
    </row>
    <row r="3375" spans="5:7" x14ac:dyDescent="0.3">
      <c r="E3375" s="23"/>
      <c r="G3375" s="23"/>
    </row>
    <row r="3376" spans="5:7" x14ac:dyDescent="0.3">
      <c r="E3376" s="23"/>
      <c r="G3376" s="23"/>
    </row>
    <row r="3377" spans="5:7" x14ac:dyDescent="0.3">
      <c r="E3377" s="23"/>
      <c r="G3377" s="23"/>
    </row>
    <row r="3378" spans="5:7" x14ac:dyDescent="0.3">
      <c r="E3378" s="23"/>
      <c r="G3378" s="23"/>
    </row>
    <row r="3379" spans="5:7" x14ac:dyDescent="0.3">
      <c r="E3379" s="23"/>
      <c r="G3379" s="23"/>
    </row>
    <row r="3380" spans="5:7" x14ac:dyDescent="0.3">
      <c r="E3380" s="23"/>
      <c r="G3380" s="23"/>
    </row>
    <row r="3381" spans="5:7" x14ac:dyDescent="0.3">
      <c r="E3381" s="23"/>
      <c r="G3381" s="23"/>
    </row>
    <row r="3382" spans="5:7" x14ac:dyDescent="0.3">
      <c r="E3382" s="23"/>
      <c r="G3382" s="23"/>
    </row>
    <row r="3383" spans="5:7" x14ac:dyDescent="0.3">
      <c r="E3383" s="23"/>
      <c r="G3383" s="23"/>
    </row>
    <row r="3384" spans="5:7" x14ac:dyDescent="0.3">
      <c r="E3384" s="23"/>
      <c r="G3384" s="23"/>
    </row>
    <row r="3385" spans="5:7" x14ac:dyDescent="0.3">
      <c r="E3385" s="23"/>
      <c r="G3385" s="23"/>
    </row>
    <row r="3386" spans="5:7" x14ac:dyDescent="0.3">
      <c r="E3386" s="23"/>
      <c r="G3386" s="23"/>
    </row>
    <row r="3387" spans="5:7" x14ac:dyDescent="0.3">
      <c r="E3387" s="23"/>
      <c r="G3387" s="23"/>
    </row>
    <row r="3388" spans="5:7" x14ac:dyDescent="0.3">
      <c r="E3388" s="23"/>
      <c r="G3388" s="23"/>
    </row>
    <row r="3389" spans="5:7" x14ac:dyDescent="0.3">
      <c r="E3389" s="23"/>
      <c r="G3389" s="23"/>
    </row>
    <row r="3390" spans="5:7" x14ac:dyDescent="0.3">
      <c r="E3390" s="23"/>
      <c r="G3390" s="23"/>
    </row>
    <row r="3391" spans="5:7" x14ac:dyDescent="0.3">
      <c r="E3391" s="23"/>
      <c r="G3391" s="23"/>
    </row>
    <row r="3392" spans="5:7" x14ac:dyDescent="0.3">
      <c r="E3392" s="23"/>
      <c r="G3392" s="23"/>
    </row>
    <row r="3393" spans="5:7" x14ac:dyDescent="0.3">
      <c r="E3393" s="23"/>
      <c r="G3393" s="23"/>
    </row>
    <row r="3394" spans="5:7" x14ac:dyDescent="0.3">
      <c r="E3394" s="23"/>
      <c r="G3394" s="23"/>
    </row>
    <row r="3395" spans="5:7" x14ac:dyDescent="0.3">
      <c r="E3395" s="23"/>
      <c r="G3395" s="23"/>
    </row>
    <row r="3396" spans="5:7" x14ac:dyDescent="0.3">
      <c r="E3396" s="23"/>
      <c r="G3396" s="23"/>
    </row>
    <row r="3397" spans="5:7" x14ac:dyDescent="0.3">
      <c r="E3397" s="23"/>
      <c r="G3397" s="23"/>
    </row>
    <row r="3398" spans="5:7" x14ac:dyDescent="0.3">
      <c r="E3398" s="23"/>
      <c r="G3398" s="23"/>
    </row>
    <row r="3399" spans="5:7" x14ac:dyDescent="0.3">
      <c r="E3399" s="23"/>
      <c r="G3399" s="23"/>
    </row>
    <row r="3400" spans="5:7" x14ac:dyDescent="0.3">
      <c r="E3400" s="23"/>
      <c r="G3400" s="23"/>
    </row>
    <row r="3401" spans="5:7" x14ac:dyDescent="0.3">
      <c r="E3401" s="23"/>
      <c r="G3401" s="23"/>
    </row>
    <row r="3402" spans="5:7" x14ac:dyDescent="0.3">
      <c r="E3402" s="23"/>
      <c r="G3402" s="23"/>
    </row>
    <row r="3403" spans="5:7" x14ac:dyDescent="0.3">
      <c r="E3403" s="23"/>
      <c r="G3403" s="23"/>
    </row>
    <row r="3404" spans="5:7" x14ac:dyDescent="0.3">
      <c r="E3404" s="23"/>
      <c r="G3404" s="23"/>
    </row>
    <row r="3405" spans="5:7" x14ac:dyDescent="0.3">
      <c r="E3405" s="23"/>
      <c r="G3405" s="23"/>
    </row>
    <row r="3406" spans="5:7" x14ac:dyDescent="0.3">
      <c r="E3406" s="23"/>
      <c r="G3406" s="23"/>
    </row>
    <row r="3407" spans="5:7" x14ac:dyDescent="0.3">
      <c r="E3407" s="23"/>
      <c r="G3407" s="23"/>
    </row>
    <row r="3408" spans="5:7" x14ac:dyDescent="0.3">
      <c r="E3408" s="23"/>
      <c r="G3408" s="23"/>
    </row>
    <row r="3409" spans="5:7" x14ac:dyDescent="0.3">
      <c r="E3409" s="23"/>
      <c r="G3409" s="23"/>
    </row>
    <row r="3410" spans="5:7" x14ac:dyDescent="0.3">
      <c r="E3410" s="23"/>
      <c r="G3410" s="23"/>
    </row>
    <row r="3411" spans="5:7" x14ac:dyDescent="0.3">
      <c r="E3411" s="23"/>
      <c r="G3411" s="23"/>
    </row>
    <row r="3412" spans="5:7" x14ac:dyDescent="0.3">
      <c r="E3412" s="23"/>
      <c r="G3412" s="23"/>
    </row>
    <row r="3413" spans="5:7" x14ac:dyDescent="0.3">
      <c r="E3413" s="23"/>
      <c r="G3413" s="23"/>
    </row>
    <row r="3414" spans="5:7" x14ac:dyDescent="0.3">
      <c r="E3414" s="23"/>
      <c r="G3414" s="23"/>
    </row>
    <row r="3415" spans="5:7" x14ac:dyDescent="0.3">
      <c r="E3415" s="23"/>
      <c r="G3415" s="23"/>
    </row>
    <row r="3416" spans="5:7" x14ac:dyDescent="0.3">
      <c r="E3416" s="23"/>
      <c r="G3416" s="23"/>
    </row>
    <row r="3417" spans="5:7" x14ac:dyDescent="0.3">
      <c r="E3417" s="23"/>
      <c r="G3417" s="23"/>
    </row>
    <row r="3418" spans="5:7" x14ac:dyDescent="0.3">
      <c r="E3418" s="23"/>
      <c r="G3418" s="23"/>
    </row>
    <row r="3419" spans="5:7" x14ac:dyDescent="0.3">
      <c r="E3419" s="23"/>
      <c r="G3419" s="23"/>
    </row>
    <row r="3420" spans="5:7" x14ac:dyDescent="0.3">
      <c r="E3420" s="23"/>
      <c r="G3420" s="23"/>
    </row>
    <row r="3421" spans="5:7" x14ac:dyDescent="0.3">
      <c r="E3421" s="23"/>
      <c r="G3421" s="23"/>
    </row>
    <row r="3422" spans="5:7" x14ac:dyDescent="0.3">
      <c r="E3422" s="23"/>
      <c r="G3422" s="23"/>
    </row>
    <row r="3423" spans="5:7" x14ac:dyDescent="0.3">
      <c r="E3423" s="23"/>
      <c r="G3423" s="23"/>
    </row>
    <row r="3424" spans="5:7" x14ac:dyDescent="0.3">
      <c r="E3424" s="23"/>
      <c r="G3424" s="23"/>
    </row>
    <row r="3425" spans="5:7" x14ac:dyDescent="0.3">
      <c r="E3425" s="23"/>
      <c r="G3425" s="23"/>
    </row>
    <row r="3426" spans="5:7" x14ac:dyDescent="0.3">
      <c r="E3426" s="23"/>
      <c r="G3426" s="23"/>
    </row>
    <row r="3427" spans="5:7" x14ac:dyDescent="0.3">
      <c r="E3427" s="23"/>
      <c r="G3427" s="23"/>
    </row>
    <row r="3428" spans="5:7" x14ac:dyDescent="0.3">
      <c r="E3428" s="23"/>
      <c r="G3428" s="23"/>
    </row>
    <row r="3429" spans="5:7" x14ac:dyDescent="0.3">
      <c r="E3429" s="23"/>
      <c r="G3429" s="23"/>
    </row>
    <row r="3430" spans="5:7" x14ac:dyDescent="0.3">
      <c r="E3430" s="23"/>
      <c r="G3430" s="23"/>
    </row>
    <row r="3431" spans="5:7" x14ac:dyDescent="0.3">
      <c r="E3431" s="23"/>
      <c r="G3431" s="23"/>
    </row>
    <row r="3432" spans="5:7" x14ac:dyDescent="0.3">
      <c r="E3432" s="23"/>
      <c r="G3432" s="23"/>
    </row>
    <row r="3433" spans="5:7" x14ac:dyDescent="0.3">
      <c r="E3433" s="23"/>
      <c r="G3433" s="23"/>
    </row>
    <row r="3434" spans="5:7" x14ac:dyDescent="0.3">
      <c r="E3434" s="23"/>
      <c r="G3434" s="23"/>
    </row>
    <row r="3435" spans="5:7" x14ac:dyDescent="0.3">
      <c r="E3435" s="23"/>
      <c r="G3435" s="23"/>
    </row>
    <row r="3436" spans="5:7" x14ac:dyDescent="0.3">
      <c r="E3436" s="23"/>
      <c r="G3436" s="23"/>
    </row>
    <row r="3437" spans="5:7" x14ac:dyDescent="0.3">
      <c r="E3437" s="23"/>
      <c r="G3437" s="23"/>
    </row>
    <row r="3438" spans="5:7" x14ac:dyDescent="0.3">
      <c r="E3438" s="23"/>
      <c r="G3438" s="23"/>
    </row>
    <row r="3439" spans="5:7" x14ac:dyDescent="0.3">
      <c r="E3439" s="23"/>
      <c r="G3439" s="23"/>
    </row>
    <row r="3440" spans="5:7" x14ac:dyDescent="0.3">
      <c r="E3440" s="23"/>
      <c r="G3440" s="23"/>
    </row>
    <row r="3441" spans="5:7" x14ac:dyDescent="0.3">
      <c r="E3441" s="23"/>
      <c r="G3441" s="23"/>
    </row>
    <row r="3442" spans="5:7" x14ac:dyDescent="0.3">
      <c r="E3442" s="23"/>
      <c r="G3442" s="23"/>
    </row>
    <row r="3443" spans="5:7" x14ac:dyDescent="0.3">
      <c r="E3443" s="23"/>
      <c r="G3443" s="23"/>
    </row>
    <row r="3444" spans="5:7" x14ac:dyDescent="0.3">
      <c r="E3444" s="23"/>
      <c r="G3444" s="23"/>
    </row>
    <row r="3445" spans="5:7" x14ac:dyDescent="0.3">
      <c r="E3445" s="23"/>
      <c r="G3445" s="23"/>
    </row>
    <row r="3446" spans="5:7" x14ac:dyDescent="0.3">
      <c r="E3446" s="23"/>
      <c r="G3446" s="23"/>
    </row>
    <row r="3447" spans="5:7" x14ac:dyDescent="0.3">
      <c r="E3447" s="23"/>
      <c r="G3447" s="23"/>
    </row>
    <row r="3448" spans="5:7" x14ac:dyDescent="0.3">
      <c r="E3448" s="23"/>
      <c r="G3448" s="23"/>
    </row>
    <row r="3449" spans="5:7" x14ac:dyDescent="0.3">
      <c r="E3449" s="23"/>
      <c r="G3449" s="23"/>
    </row>
    <row r="3450" spans="5:7" x14ac:dyDescent="0.3">
      <c r="E3450" s="23"/>
      <c r="G3450" s="23"/>
    </row>
    <row r="3451" spans="5:7" x14ac:dyDescent="0.3">
      <c r="E3451" s="23"/>
      <c r="G3451" s="23"/>
    </row>
    <row r="3452" spans="5:7" x14ac:dyDescent="0.3">
      <c r="E3452" s="23"/>
      <c r="G3452" s="23"/>
    </row>
    <row r="3453" spans="5:7" x14ac:dyDescent="0.3">
      <c r="E3453" s="23"/>
      <c r="G3453" s="23"/>
    </row>
    <row r="3454" spans="5:7" x14ac:dyDescent="0.3">
      <c r="E3454" s="23"/>
      <c r="G3454" s="23"/>
    </row>
    <row r="3455" spans="5:7" x14ac:dyDescent="0.3">
      <c r="E3455" s="23"/>
      <c r="G3455" s="23"/>
    </row>
    <row r="3456" spans="5:7" x14ac:dyDescent="0.3">
      <c r="E3456" s="23"/>
      <c r="G3456" s="23"/>
    </row>
    <row r="3457" spans="5:7" x14ac:dyDescent="0.3">
      <c r="E3457" s="23"/>
      <c r="G3457" s="23"/>
    </row>
    <row r="3458" spans="5:7" x14ac:dyDescent="0.3">
      <c r="E3458" s="23"/>
      <c r="G3458" s="23"/>
    </row>
    <row r="3459" spans="5:7" x14ac:dyDescent="0.3">
      <c r="E3459" s="23"/>
      <c r="G3459" s="23"/>
    </row>
    <row r="3460" spans="5:7" x14ac:dyDescent="0.3">
      <c r="E3460" s="23"/>
      <c r="G3460" s="23"/>
    </row>
    <row r="3461" spans="5:7" x14ac:dyDescent="0.3">
      <c r="E3461" s="23"/>
      <c r="G3461" s="23"/>
    </row>
    <row r="3462" spans="5:7" x14ac:dyDescent="0.3">
      <c r="E3462" s="23"/>
      <c r="G3462" s="23"/>
    </row>
    <row r="3463" spans="5:7" x14ac:dyDescent="0.3">
      <c r="E3463" s="23"/>
      <c r="G3463" s="23"/>
    </row>
    <row r="3464" spans="5:7" x14ac:dyDescent="0.3">
      <c r="E3464" s="23"/>
      <c r="G3464" s="23"/>
    </row>
    <row r="3465" spans="5:7" x14ac:dyDescent="0.3">
      <c r="E3465" s="23"/>
      <c r="G3465" s="23"/>
    </row>
    <row r="3466" spans="5:7" x14ac:dyDescent="0.3">
      <c r="E3466" s="23"/>
      <c r="G3466" s="23"/>
    </row>
    <row r="3467" spans="5:7" x14ac:dyDescent="0.3">
      <c r="E3467" s="23"/>
      <c r="G3467" s="23"/>
    </row>
    <row r="3468" spans="5:7" x14ac:dyDescent="0.3">
      <c r="E3468" s="23"/>
      <c r="G3468" s="23"/>
    </row>
    <row r="3469" spans="5:7" x14ac:dyDescent="0.3">
      <c r="E3469" s="23"/>
      <c r="G3469" s="23"/>
    </row>
    <row r="3470" spans="5:7" x14ac:dyDescent="0.3">
      <c r="E3470" s="23"/>
      <c r="G3470" s="23"/>
    </row>
    <row r="3471" spans="5:7" x14ac:dyDescent="0.3">
      <c r="E3471" s="23"/>
      <c r="G3471" s="23"/>
    </row>
    <row r="3472" spans="5:7" x14ac:dyDescent="0.3">
      <c r="E3472" s="23"/>
      <c r="G3472" s="23"/>
    </row>
    <row r="3473" spans="5:7" x14ac:dyDescent="0.3">
      <c r="E3473" s="23"/>
      <c r="G3473" s="23"/>
    </row>
    <row r="3474" spans="5:7" x14ac:dyDescent="0.3">
      <c r="E3474" s="23"/>
      <c r="G3474" s="23"/>
    </row>
    <row r="3475" spans="5:7" x14ac:dyDescent="0.3">
      <c r="E3475" s="23"/>
      <c r="G3475" s="23"/>
    </row>
    <row r="3476" spans="5:7" x14ac:dyDescent="0.3">
      <c r="E3476" s="23"/>
      <c r="G3476" s="23"/>
    </row>
    <row r="3477" spans="5:7" x14ac:dyDescent="0.3">
      <c r="E3477" s="23"/>
      <c r="G3477" s="23"/>
    </row>
    <row r="3478" spans="5:7" x14ac:dyDescent="0.3">
      <c r="E3478" s="23"/>
      <c r="G3478" s="23"/>
    </row>
    <row r="3479" spans="5:7" x14ac:dyDescent="0.3">
      <c r="E3479" s="23"/>
      <c r="G3479" s="23"/>
    </row>
    <row r="3480" spans="5:7" x14ac:dyDescent="0.3">
      <c r="E3480" s="23"/>
      <c r="G3480" s="23"/>
    </row>
    <row r="3481" spans="5:7" x14ac:dyDescent="0.3">
      <c r="E3481" s="23"/>
      <c r="G3481" s="23"/>
    </row>
    <row r="3482" spans="5:7" x14ac:dyDescent="0.3">
      <c r="E3482" s="23"/>
      <c r="G3482" s="23"/>
    </row>
    <row r="3483" spans="5:7" x14ac:dyDescent="0.3">
      <c r="E3483" s="23"/>
      <c r="G3483" s="23"/>
    </row>
    <row r="3484" spans="5:7" x14ac:dyDescent="0.3">
      <c r="E3484" s="23"/>
      <c r="G3484" s="23"/>
    </row>
    <row r="3485" spans="5:7" x14ac:dyDescent="0.3">
      <c r="E3485" s="23"/>
      <c r="G3485" s="23"/>
    </row>
    <row r="3486" spans="5:7" x14ac:dyDescent="0.3">
      <c r="E3486" s="23"/>
      <c r="G3486" s="23"/>
    </row>
    <row r="3487" spans="5:7" x14ac:dyDescent="0.3">
      <c r="E3487" s="23"/>
      <c r="G3487" s="23"/>
    </row>
    <row r="3488" spans="5:7" x14ac:dyDescent="0.3">
      <c r="E3488" s="23"/>
      <c r="G3488" s="23"/>
    </row>
    <row r="3489" spans="5:7" x14ac:dyDescent="0.3">
      <c r="E3489" s="23"/>
      <c r="G3489" s="23"/>
    </row>
    <row r="3490" spans="5:7" x14ac:dyDescent="0.3">
      <c r="E3490" s="23"/>
      <c r="G3490" s="23"/>
    </row>
    <row r="3491" spans="5:7" x14ac:dyDescent="0.3">
      <c r="E3491" s="23"/>
      <c r="G3491" s="23"/>
    </row>
    <row r="3492" spans="5:7" x14ac:dyDescent="0.3">
      <c r="E3492" s="23"/>
      <c r="G3492" s="23"/>
    </row>
    <row r="3493" spans="5:7" x14ac:dyDescent="0.3">
      <c r="E3493" s="23"/>
      <c r="G3493" s="23"/>
    </row>
    <row r="3494" spans="5:7" x14ac:dyDescent="0.3">
      <c r="E3494" s="23"/>
      <c r="G3494" s="23"/>
    </row>
    <row r="3495" spans="5:7" x14ac:dyDescent="0.3">
      <c r="E3495" s="23"/>
      <c r="G3495" s="23"/>
    </row>
    <row r="3496" spans="5:7" x14ac:dyDescent="0.3">
      <c r="E3496" s="23"/>
      <c r="G3496" s="23"/>
    </row>
    <row r="3497" spans="5:7" x14ac:dyDescent="0.3">
      <c r="E3497" s="23"/>
      <c r="G3497" s="23"/>
    </row>
    <row r="3498" spans="5:7" x14ac:dyDescent="0.3">
      <c r="E3498" s="23"/>
      <c r="G3498" s="23"/>
    </row>
    <row r="3499" spans="5:7" x14ac:dyDescent="0.3">
      <c r="E3499" s="23"/>
      <c r="G3499" s="23"/>
    </row>
    <row r="3500" spans="5:7" x14ac:dyDescent="0.3">
      <c r="E3500" s="23"/>
      <c r="G3500" s="23"/>
    </row>
    <row r="3501" spans="5:7" x14ac:dyDescent="0.3">
      <c r="E3501" s="23"/>
      <c r="G3501" s="23"/>
    </row>
    <row r="3502" spans="5:7" x14ac:dyDescent="0.3">
      <c r="E3502" s="23"/>
      <c r="G3502" s="23"/>
    </row>
    <row r="3503" spans="5:7" x14ac:dyDescent="0.3">
      <c r="E3503" s="23"/>
      <c r="G3503" s="23"/>
    </row>
    <row r="3504" spans="5:7" x14ac:dyDescent="0.3">
      <c r="E3504" s="23"/>
      <c r="G3504" s="23"/>
    </row>
    <row r="3505" spans="5:7" x14ac:dyDescent="0.3">
      <c r="E3505" s="23"/>
      <c r="G3505" s="23"/>
    </row>
    <row r="3506" spans="5:7" x14ac:dyDescent="0.3">
      <c r="E3506" s="23"/>
      <c r="G3506" s="23"/>
    </row>
    <row r="3507" spans="5:7" x14ac:dyDescent="0.3">
      <c r="E3507" s="23"/>
      <c r="G3507" s="23"/>
    </row>
    <row r="3508" spans="5:7" x14ac:dyDescent="0.3">
      <c r="E3508" s="23"/>
      <c r="G3508" s="23"/>
    </row>
    <row r="3509" spans="5:7" x14ac:dyDescent="0.3">
      <c r="E3509" s="23"/>
      <c r="G3509" s="23"/>
    </row>
    <row r="3510" spans="5:7" x14ac:dyDescent="0.3">
      <c r="E3510" s="23"/>
      <c r="G3510" s="23"/>
    </row>
    <row r="3511" spans="5:7" x14ac:dyDescent="0.3">
      <c r="E3511" s="23"/>
      <c r="G3511" s="23"/>
    </row>
    <row r="3512" spans="5:7" x14ac:dyDescent="0.3">
      <c r="E3512" s="23"/>
      <c r="G3512" s="23"/>
    </row>
    <row r="3513" spans="5:7" x14ac:dyDescent="0.3">
      <c r="E3513" s="23"/>
      <c r="G3513" s="23"/>
    </row>
    <row r="3514" spans="5:7" x14ac:dyDescent="0.3">
      <c r="E3514" s="23"/>
      <c r="G3514" s="23"/>
    </row>
    <row r="3515" spans="5:7" x14ac:dyDescent="0.3">
      <c r="E3515" s="23"/>
      <c r="G3515" s="23"/>
    </row>
    <row r="3516" spans="5:7" x14ac:dyDescent="0.3">
      <c r="E3516" s="23"/>
      <c r="G3516" s="23"/>
    </row>
    <row r="3517" spans="5:7" x14ac:dyDescent="0.3">
      <c r="E3517" s="23"/>
      <c r="G3517" s="23"/>
    </row>
    <row r="3518" spans="5:7" x14ac:dyDescent="0.3">
      <c r="E3518" s="23"/>
      <c r="G3518" s="23"/>
    </row>
    <row r="3519" spans="5:7" x14ac:dyDescent="0.3">
      <c r="E3519" s="23"/>
      <c r="G3519" s="23"/>
    </row>
    <row r="3520" spans="5:7" x14ac:dyDescent="0.3">
      <c r="E3520" s="23"/>
      <c r="G3520" s="23"/>
    </row>
    <row r="3521" spans="5:7" x14ac:dyDescent="0.3">
      <c r="E3521" s="23"/>
      <c r="G3521" s="23"/>
    </row>
    <row r="3522" spans="5:7" x14ac:dyDescent="0.3">
      <c r="E3522" s="23"/>
      <c r="G3522" s="23"/>
    </row>
    <row r="3523" spans="5:7" x14ac:dyDescent="0.3">
      <c r="E3523" s="23"/>
      <c r="G3523" s="23"/>
    </row>
    <row r="3524" spans="5:7" x14ac:dyDescent="0.3">
      <c r="E3524" s="23"/>
      <c r="G3524" s="23"/>
    </row>
    <row r="3525" spans="5:7" x14ac:dyDescent="0.3">
      <c r="E3525" s="23"/>
      <c r="G3525" s="23"/>
    </row>
    <row r="3526" spans="5:7" x14ac:dyDescent="0.3">
      <c r="E3526" s="23"/>
      <c r="G3526" s="23"/>
    </row>
    <row r="3527" spans="5:7" x14ac:dyDescent="0.3">
      <c r="E3527" s="23"/>
      <c r="G3527" s="23"/>
    </row>
    <row r="3528" spans="5:7" x14ac:dyDescent="0.3">
      <c r="E3528" s="23"/>
      <c r="G3528" s="23"/>
    </row>
    <row r="3529" spans="5:7" x14ac:dyDescent="0.3">
      <c r="E3529" s="23"/>
      <c r="G3529" s="23"/>
    </row>
    <row r="3530" spans="5:7" x14ac:dyDescent="0.3">
      <c r="E3530" s="23"/>
      <c r="G3530" s="23"/>
    </row>
    <row r="3531" spans="5:7" x14ac:dyDescent="0.3">
      <c r="E3531" s="23"/>
      <c r="G3531" s="23"/>
    </row>
    <row r="3532" spans="5:7" x14ac:dyDescent="0.3">
      <c r="E3532" s="23"/>
      <c r="G3532" s="23"/>
    </row>
    <row r="3533" spans="5:7" x14ac:dyDescent="0.3">
      <c r="E3533" s="23"/>
      <c r="G3533" s="23"/>
    </row>
    <row r="3534" spans="5:7" x14ac:dyDescent="0.3">
      <c r="E3534" s="23"/>
      <c r="G3534" s="23"/>
    </row>
    <row r="3535" spans="5:7" x14ac:dyDescent="0.3">
      <c r="E3535" s="23"/>
      <c r="G3535" s="23"/>
    </row>
    <row r="3536" spans="5:7" x14ac:dyDescent="0.3">
      <c r="E3536" s="23"/>
      <c r="G3536" s="23"/>
    </row>
    <row r="3537" spans="5:7" x14ac:dyDescent="0.3">
      <c r="E3537" s="23"/>
      <c r="G3537" s="23"/>
    </row>
    <row r="3538" spans="5:7" x14ac:dyDescent="0.3">
      <c r="E3538" s="23"/>
      <c r="G3538" s="23"/>
    </row>
    <row r="3539" spans="5:7" x14ac:dyDescent="0.3">
      <c r="E3539" s="23"/>
      <c r="G3539" s="23"/>
    </row>
    <row r="3540" spans="5:7" x14ac:dyDescent="0.3">
      <c r="E3540" s="23"/>
      <c r="G3540" s="23"/>
    </row>
    <row r="3541" spans="5:7" x14ac:dyDescent="0.3">
      <c r="E3541" s="23"/>
      <c r="G3541" s="23"/>
    </row>
    <row r="3542" spans="5:7" x14ac:dyDescent="0.3">
      <c r="E3542" s="23"/>
      <c r="G3542" s="23"/>
    </row>
    <row r="3543" spans="5:7" x14ac:dyDescent="0.3">
      <c r="E3543" s="23"/>
      <c r="G3543" s="23"/>
    </row>
    <row r="3544" spans="5:7" x14ac:dyDescent="0.3">
      <c r="E3544" s="23"/>
      <c r="G3544" s="23"/>
    </row>
    <row r="3545" spans="5:7" x14ac:dyDescent="0.3">
      <c r="E3545" s="23"/>
      <c r="G3545" s="23"/>
    </row>
    <row r="3546" spans="5:7" x14ac:dyDescent="0.3">
      <c r="E3546" s="23"/>
      <c r="G3546" s="23"/>
    </row>
    <row r="3547" spans="5:7" x14ac:dyDescent="0.3">
      <c r="E3547" s="23"/>
      <c r="G3547" s="23"/>
    </row>
    <row r="3548" spans="5:7" x14ac:dyDescent="0.3">
      <c r="E3548" s="23"/>
      <c r="G3548" s="23"/>
    </row>
    <row r="3549" spans="5:7" x14ac:dyDescent="0.3">
      <c r="E3549" s="23"/>
      <c r="G3549" s="23"/>
    </row>
    <row r="3550" spans="5:7" x14ac:dyDescent="0.3">
      <c r="E3550" s="23"/>
      <c r="G3550" s="23"/>
    </row>
    <row r="3551" spans="5:7" x14ac:dyDescent="0.3">
      <c r="E3551" s="23"/>
      <c r="G3551" s="23"/>
    </row>
    <row r="3552" spans="5:7" x14ac:dyDescent="0.3">
      <c r="E3552" s="23"/>
      <c r="G3552" s="23"/>
    </row>
    <row r="3553" spans="5:7" x14ac:dyDescent="0.3">
      <c r="E3553" s="23"/>
      <c r="G3553" s="23"/>
    </row>
    <row r="3554" spans="5:7" x14ac:dyDescent="0.3">
      <c r="E3554" s="23"/>
      <c r="G3554" s="23"/>
    </row>
    <row r="3555" spans="5:7" x14ac:dyDescent="0.3">
      <c r="E3555" s="23"/>
      <c r="G3555" s="23"/>
    </row>
    <row r="3556" spans="5:7" x14ac:dyDescent="0.3">
      <c r="E3556" s="23"/>
      <c r="G3556" s="23"/>
    </row>
    <row r="3557" spans="5:7" x14ac:dyDescent="0.3">
      <c r="E3557" s="23"/>
      <c r="G3557" s="23"/>
    </row>
    <row r="3558" spans="5:7" x14ac:dyDescent="0.3">
      <c r="E3558" s="23"/>
      <c r="G3558" s="23"/>
    </row>
    <row r="3559" spans="5:7" x14ac:dyDescent="0.3">
      <c r="E3559" s="23"/>
      <c r="G3559" s="23"/>
    </row>
    <row r="3560" spans="5:7" x14ac:dyDescent="0.3">
      <c r="E3560" s="23"/>
      <c r="G3560" s="23"/>
    </row>
    <row r="3561" spans="5:7" x14ac:dyDescent="0.3">
      <c r="E3561" s="23"/>
      <c r="G3561" s="23"/>
    </row>
    <row r="3562" spans="5:7" x14ac:dyDescent="0.3">
      <c r="E3562" s="23"/>
      <c r="G3562" s="23"/>
    </row>
    <row r="3563" spans="5:7" x14ac:dyDescent="0.3">
      <c r="E3563" s="23"/>
      <c r="G3563" s="23"/>
    </row>
    <row r="3564" spans="5:7" x14ac:dyDescent="0.3">
      <c r="E3564" s="23"/>
      <c r="G3564" s="23"/>
    </row>
    <row r="3565" spans="5:7" x14ac:dyDescent="0.3">
      <c r="E3565" s="23"/>
      <c r="G3565" s="23"/>
    </row>
    <row r="3566" spans="5:7" x14ac:dyDescent="0.3">
      <c r="E3566" s="23"/>
      <c r="G3566" s="23"/>
    </row>
    <row r="3567" spans="5:7" x14ac:dyDescent="0.3">
      <c r="E3567" s="23"/>
      <c r="G3567" s="23"/>
    </row>
    <row r="3568" spans="5:7" x14ac:dyDescent="0.3">
      <c r="E3568" s="23"/>
      <c r="G3568" s="23"/>
    </row>
    <row r="3569" spans="5:7" x14ac:dyDescent="0.3">
      <c r="E3569" s="23"/>
      <c r="G3569" s="23"/>
    </row>
    <row r="3570" spans="5:7" x14ac:dyDescent="0.3">
      <c r="E3570" s="23"/>
      <c r="G3570" s="23"/>
    </row>
    <row r="3571" spans="5:7" x14ac:dyDescent="0.3">
      <c r="E3571" s="23"/>
      <c r="G3571" s="23"/>
    </row>
    <row r="3572" spans="5:7" x14ac:dyDescent="0.3">
      <c r="E3572" s="23"/>
      <c r="G3572" s="23"/>
    </row>
    <row r="3573" spans="5:7" x14ac:dyDescent="0.3">
      <c r="E3573" s="23"/>
      <c r="G3573" s="23"/>
    </row>
    <row r="3574" spans="5:7" x14ac:dyDescent="0.3">
      <c r="E3574" s="23"/>
      <c r="G3574" s="23"/>
    </row>
    <row r="3575" spans="5:7" x14ac:dyDescent="0.3">
      <c r="E3575" s="23"/>
      <c r="G3575" s="23"/>
    </row>
    <row r="3576" spans="5:7" x14ac:dyDescent="0.3">
      <c r="E3576" s="23"/>
      <c r="G3576" s="23"/>
    </row>
    <row r="3577" spans="5:7" x14ac:dyDescent="0.3">
      <c r="E3577" s="23"/>
      <c r="G3577" s="23"/>
    </row>
    <row r="3578" spans="5:7" x14ac:dyDescent="0.3">
      <c r="E3578" s="23"/>
      <c r="G3578" s="23"/>
    </row>
    <row r="3579" spans="5:7" x14ac:dyDescent="0.3">
      <c r="E3579" s="23"/>
      <c r="G3579" s="23"/>
    </row>
    <row r="3580" spans="5:7" x14ac:dyDescent="0.3">
      <c r="E3580" s="23"/>
      <c r="G3580" s="23"/>
    </row>
    <row r="3581" spans="5:7" x14ac:dyDescent="0.3">
      <c r="E3581" s="23"/>
      <c r="G3581" s="23"/>
    </row>
    <row r="3582" spans="5:7" x14ac:dyDescent="0.3">
      <c r="E3582" s="23"/>
      <c r="G3582" s="23"/>
    </row>
    <row r="3583" spans="5:7" x14ac:dyDescent="0.3">
      <c r="E3583" s="23"/>
      <c r="G3583" s="23"/>
    </row>
    <row r="3584" spans="5:7" x14ac:dyDescent="0.3">
      <c r="E3584" s="23"/>
      <c r="G3584" s="23"/>
    </row>
    <row r="3585" spans="5:7" x14ac:dyDescent="0.3">
      <c r="E3585" s="23"/>
      <c r="G3585" s="23"/>
    </row>
    <row r="3586" spans="5:7" x14ac:dyDescent="0.3">
      <c r="E3586" s="23"/>
      <c r="G3586" s="23"/>
    </row>
    <row r="3587" spans="5:7" x14ac:dyDescent="0.3">
      <c r="E3587" s="23"/>
      <c r="G3587" s="23"/>
    </row>
    <row r="3588" spans="5:7" x14ac:dyDescent="0.3">
      <c r="E3588" s="23"/>
      <c r="G3588" s="23"/>
    </row>
    <row r="3589" spans="5:7" x14ac:dyDescent="0.3">
      <c r="E3589" s="23"/>
      <c r="G3589" s="23"/>
    </row>
    <row r="3590" spans="5:7" x14ac:dyDescent="0.3">
      <c r="E3590" s="23"/>
      <c r="G3590" s="23"/>
    </row>
    <row r="3591" spans="5:7" x14ac:dyDescent="0.3">
      <c r="E3591" s="23"/>
      <c r="G3591" s="23"/>
    </row>
    <row r="3592" spans="5:7" x14ac:dyDescent="0.3">
      <c r="E3592" s="23"/>
      <c r="G3592" s="23"/>
    </row>
    <row r="3593" spans="5:7" x14ac:dyDescent="0.3">
      <c r="E3593" s="23"/>
      <c r="G3593" s="23"/>
    </row>
    <row r="3594" spans="5:7" x14ac:dyDescent="0.3">
      <c r="E3594" s="23"/>
      <c r="G3594" s="23"/>
    </row>
    <row r="3595" spans="5:7" x14ac:dyDescent="0.3">
      <c r="E3595" s="23"/>
      <c r="G3595" s="23"/>
    </row>
    <row r="3596" spans="5:7" x14ac:dyDescent="0.3">
      <c r="E3596" s="23"/>
      <c r="G3596" s="23"/>
    </row>
    <row r="3597" spans="5:7" x14ac:dyDescent="0.3">
      <c r="E3597" s="23"/>
      <c r="G3597" s="23"/>
    </row>
    <row r="3598" spans="5:7" x14ac:dyDescent="0.3">
      <c r="E3598" s="23"/>
      <c r="G3598" s="23"/>
    </row>
    <row r="3599" spans="5:7" x14ac:dyDescent="0.3">
      <c r="E3599" s="23"/>
      <c r="G3599" s="23"/>
    </row>
    <row r="3600" spans="5:7" x14ac:dyDescent="0.3">
      <c r="E3600" s="23"/>
      <c r="G3600" s="23"/>
    </row>
    <row r="3601" spans="5:7" x14ac:dyDescent="0.3">
      <c r="E3601" s="23"/>
      <c r="G3601" s="23"/>
    </row>
    <row r="3602" spans="5:7" x14ac:dyDescent="0.3">
      <c r="E3602" s="23"/>
      <c r="G3602" s="23"/>
    </row>
    <row r="3603" spans="5:7" x14ac:dyDescent="0.3">
      <c r="E3603" s="23"/>
      <c r="G3603" s="23"/>
    </row>
    <row r="3604" spans="5:7" x14ac:dyDescent="0.3">
      <c r="E3604" s="23"/>
      <c r="G3604" s="23"/>
    </row>
    <row r="3605" spans="5:7" x14ac:dyDescent="0.3">
      <c r="E3605" s="23"/>
      <c r="G3605" s="23"/>
    </row>
    <row r="3606" spans="5:7" x14ac:dyDescent="0.3">
      <c r="E3606" s="23"/>
      <c r="G3606" s="23"/>
    </row>
    <row r="3607" spans="5:7" x14ac:dyDescent="0.3">
      <c r="E3607" s="23"/>
      <c r="G3607" s="23"/>
    </row>
    <row r="3608" spans="5:7" x14ac:dyDescent="0.3">
      <c r="E3608" s="23"/>
      <c r="G3608" s="23"/>
    </row>
    <row r="3609" spans="5:7" x14ac:dyDescent="0.3">
      <c r="E3609" s="23"/>
      <c r="G3609" s="23"/>
    </row>
    <row r="3610" spans="5:7" x14ac:dyDescent="0.3">
      <c r="E3610" s="23"/>
      <c r="G3610" s="23"/>
    </row>
    <row r="3611" spans="5:7" x14ac:dyDescent="0.3">
      <c r="E3611" s="23"/>
      <c r="G3611" s="23"/>
    </row>
    <row r="3612" spans="5:7" x14ac:dyDescent="0.3">
      <c r="E3612" s="23"/>
      <c r="G3612" s="23"/>
    </row>
    <row r="3613" spans="5:7" x14ac:dyDescent="0.3">
      <c r="E3613" s="23"/>
      <c r="G3613" s="23"/>
    </row>
    <row r="3614" spans="5:7" x14ac:dyDescent="0.3">
      <c r="E3614" s="23"/>
      <c r="G3614" s="23"/>
    </row>
    <row r="3615" spans="5:7" x14ac:dyDescent="0.3">
      <c r="E3615" s="23"/>
      <c r="G3615" s="23"/>
    </row>
    <row r="3616" spans="5:7" x14ac:dyDescent="0.3">
      <c r="E3616" s="23"/>
      <c r="G3616" s="23"/>
    </row>
    <row r="3617" spans="5:7" x14ac:dyDescent="0.3">
      <c r="E3617" s="23"/>
      <c r="G3617" s="23"/>
    </row>
    <row r="3618" spans="5:7" x14ac:dyDescent="0.3">
      <c r="E3618" s="23"/>
      <c r="G3618" s="23"/>
    </row>
    <row r="3619" spans="5:7" x14ac:dyDescent="0.3">
      <c r="E3619" s="23"/>
      <c r="G3619" s="23"/>
    </row>
    <row r="3620" spans="5:7" x14ac:dyDescent="0.3">
      <c r="E3620" s="23"/>
      <c r="G3620" s="23"/>
    </row>
    <row r="3621" spans="5:7" x14ac:dyDescent="0.3">
      <c r="E3621" s="23"/>
      <c r="G3621" s="23"/>
    </row>
    <row r="3622" spans="5:7" x14ac:dyDescent="0.3">
      <c r="E3622" s="23"/>
      <c r="G3622" s="23"/>
    </row>
    <row r="3623" spans="5:7" x14ac:dyDescent="0.3">
      <c r="E3623" s="23"/>
      <c r="G3623" s="23"/>
    </row>
    <row r="3624" spans="5:7" x14ac:dyDescent="0.3">
      <c r="E3624" s="23"/>
      <c r="G3624" s="23"/>
    </row>
    <row r="3625" spans="5:7" x14ac:dyDescent="0.3">
      <c r="E3625" s="23"/>
      <c r="G3625" s="23"/>
    </row>
    <row r="3626" spans="5:7" x14ac:dyDescent="0.3">
      <c r="E3626" s="23"/>
      <c r="G3626" s="23"/>
    </row>
    <row r="3627" spans="5:7" x14ac:dyDescent="0.3">
      <c r="E3627" s="23"/>
      <c r="G3627" s="23"/>
    </row>
    <row r="3628" spans="5:7" x14ac:dyDescent="0.3">
      <c r="E3628" s="23"/>
      <c r="G3628" s="23"/>
    </row>
    <row r="3629" spans="5:7" x14ac:dyDescent="0.3">
      <c r="E3629" s="23"/>
      <c r="G3629" s="23"/>
    </row>
    <row r="3630" spans="5:7" x14ac:dyDescent="0.3">
      <c r="E3630" s="23"/>
      <c r="G3630" s="23"/>
    </row>
    <row r="3631" spans="5:7" x14ac:dyDescent="0.3">
      <c r="E3631" s="23"/>
      <c r="G3631" s="23"/>
    </row>
    <row r="3632" spans="5:7" x14ac:dyDescent="0.3">
      <c r="E3632" s="23"/>
      <c r="G3632" s="23"/>
    </row>
    <row r="3633" spans="5:7" x14ac:dyDescent="0.3">
      <c r="E3633" s="23"/>
      <c r="G3633" s="23"/>
    </row>
    <row r="3634" spans="5:7" x14ac:dyDescent="0.3">
      <c r="E3634" s="23"/>
      <c r="G3634" s="23"/>
    </row>
    <row r="3635" spans="5:7" x14ac:dyDescent="0.3">
      <c r="E3635" s="23"/>
      <c r="G3635" s="23"/>
    </row>
    <row r="3636" spans="5:7" x14ac:dyDescent="0.3">
      <c r="E3636" s="23"/>
      <c r="G3636" s="23"/>
    </row>
    <row r="3637" spans="5:7" x14ac:dyDescent="0.3">
      <c r="E3637" s="23"/>
      <c r="G3637" s="23"/>
    </row>
    <row r="3638" spans="5:7" x14ac:dyDescent="0.3">
      <c r="E3638" s="23"/>
      <c r="G3638" s="23"/>
    </row>
    <row r="3639" spans="5:7" x14ac:dyDescent="0.3">
      <c r="E3639" s="23"/>
      <c r="G3639" s="23"/>
    </row>
    <row r="3640" spans="5:7" x14ac:dyDescent="0.3">
      <c r="E3640" s="23"/>
      <c r="G3640" s="23"/>
    </row>
    <row r="3641" spans="5:7" x14ac:dyDescent="0.3">
      <c r="E3641" s="23"/>
      <c r="G3641" s="23"/>
    </row>
    <row r="3642" spans="5:7" x14ac:dyDescent="0.3">
      <c r="E3642" s="23"/>
      <c r="G3642" s="23"/>
    </row>
    <row r="3643" spans="5:7" x14ac:dyDescent="0.3">
      <c r="E3643" s="23"/>
      <c r="G3643" s="23"/>
    </row>
    <row r="3644" spans="5:7" x14ac:dyDescent="0.3">
      <c r="E3644" s="23"/>
      <c r="G3644" s="23"/>
    </row>
    <row r="3645" spans="5:7" x14ac:dyDescent="0.3">
      <c r="E3645" s="23"/>
      <c r="G3645" s="23"/>
    </row>
    <row r="3646" spans="5:7" x14ac:dyDescent="0.3">
      <c r="E3646" s="23"/>
      <c r="G3646" s="23"/>
    </row>
    <row r="3647" spans="5:7" x14ac:dyDescent="0.3">
      <c r="E3647" s="23"/>
      <c r="G3647" s="23"/>
    </row>
    <row r="3648" spans="5:7" x14ac:dyDescent="0.3">
      <c r="E3648" s="23"/>
      <c r="G3648" s="23"/>
    </row>
    <row r="3649" spans="5:7" x14ac:dyDescent="0.3">
      <c r="E3649" s="23"/>
      <c r="G3649" s="23"/>
    </row>
    <row r="3650" spans="5:7" x14ac:dyDescent="0.3">
      <c r="E3650" s="23"/>
      <c r="G3650" s="23"/>
    </row>
    <row r="3651" spans="5:7" x14ac:dyDescent="0.3">
      <c r="E3651" s="23"/>
      <c r="G3651" s="23"/>
    </row>
    <row r="3652" spans="5:7" x14ac:dyDescent="0.3">
      <c r="E3652" s="23"/>
      <c r="G3652" s="23"/>
    </row>
    <row r="3653" spans="5:7" x14ac:dyDescent="0.3">
      <c r="E3653" s="23"/>
      <c r="G3653" s="23"/>
    </row>
    <row r="3654" spans="5:7" x14ac:dyDescent="0.3">
      <c r="E3654" s="23"/>
      <c r="G3654" s="23"/>
    </row>
    <row r="3655" spans="5:7" x14ac:dyDescent="0.3">
      <c r="E3655" s="23"/>
      <c r="G3655" s="23"/>
    </row>
    <row r="3656" spans="5:7" x14ac:dyDescent="0.3">
      <c r="E3656" s="23"/>
      <c r="G3656" s="23"/>
    </row>
    <row r="3657" spans="5:7" x14ac:dyDescent="0.3">
      <c r="E3657" s="23"/>
      <c r="G3657" s="23"/>
    </row>
    <row r="3658" spans="5:7" x14ac:dyDescent="0.3">
      <c r="E3658" s="23"/>
      <c r="G3658" s="23"/>
    </row>
    <row r="3659" spans="5:7" x14ac:dyDescent="0.3">
      <c r="E3659" s="23"/>
      <c r="G3659" s="23"/>
    </row>
    <row r="3660" spans="5:7" x14ac:dyDescent="0.3">
      <c r="E3660" s="23"/>
      <c r="G3660" s="23"/>
    </row>
    <row r="3661" spans="5:7" x14ac:dyDescent="0.3">
      <c r="E3661" s="23"/>
      <c r="G3661" s="23"/>
    </row>
    <row r="3662" spans="5:7" x14ac:dyDescent="0.3">
      <c r="E3662" s="23"/>
      <c r="G3662" s="23"/>
    </row>
    <row r="3663" spans="5:7" x14ac:dyDescent="0.3">
      <c r="E3663" s="23"/>
      <c r="G3663" s="23"/>
    </row>
    <row r="3664" spans="5:7" x14ac:dyDescent="0.3">
      <c r="E3664" s="23"/>
      <c r="G3664" s="23"/>
    </row>
    <row r="3665" spans="5:7" x14ac:dyDescent="0.3">
      <c r="E3665" s="23"/>
      <c r="G3665" s="23"/>
    </row>
    <row r="3666" spans="5:7" x14ac:dyDescent="0.3">
      <c r="E3666" s="23"/>
      <c r="G3666" s="23"/>
    </row>
    <row r="3667" spans="5:7" x14ac:dyDescent="0.3">
      <c r="E3667" s="23"/>
      <c r="G3667" s="23"/>
    </row>
    <row r="3668" spans="5:7" x14ac:dyDescent="0.3">
      <c r="E3668" s="23"/>
      <c r="G3668" s="23"/>
    </row>
    <row r="3669" spans="5:7" x14ac:dyDescent="0.3">
      <c r="E3669" s="23"/>
      <c r="G3669" s="23"/>
    </row>
    <row r="3670" spans="5:7" x14ac:dyDescent="0.3">
      <c r="E3670" s="23"/>
      <c r="G3670" s="23"/>
    </row>
    <row r="3671" spans="5:7" x14ac:dyDescent="0.3">
      <c r="E3671" s="23"/>
      <c r="G3671" s="23"/>
    </row>
    <row r="3672" spans="5:7" x14ac:dyDescent="0.3">
      <c r="E3672" s="23"/>
      <c r="G3672" s="23"/>
    </row>
    <row r="3673" spans="5:7" x14ac:dyDescent="0.3">
      <c r="E3673" s="23"/>
      <c r="G3673" s="23"/>
    </row>
    <row r="3674" spans="5:7" x14ac:dyDescent="0.3">
      <c r="E3674" s="23"/>
      <c r="G3674" s="23"/>
    </row>
    <row r="3675" spans="5:7" x14ac:dyDescent="0.3">
      <c r="E3675" s="23"/>
      <c r="G3675" s="23"/>
    </row>
    <row r="3676" spans="5:7" x14ac:dyDescent="0.3">
      <c r="E3676" s="23"/>
      <c r="G3676" s="23"/>
    </row>
    <row r="3677" spans="5:7" x14ac:dyDescent="0.3">
      <c r="E3677" s="23"/>
      <c r="G3677" s="23"/>
    </row>
    <row r="3678" spans="5:7" x14ac:dyDescent="0.3">
      <c r="E3678" s="23"/>
      <c r="G3678" s="23"/>
    </row>
    <row r="3679" spans="5:7" x14ac:dyDescent="0.3">
      <c r="E3679" s="23"/>
      <c r="G3679" s="23"/>
    </row>
    <row r="3680" spans="5:7" x14ac:dyDescent="0.3">
      <c r="E3680" s="23"/>
      <c r="G3680" s="23"/>
    </row>
    <row r="3681" spans="5:7" x14ac:dyDescent="0.3">
      <c r="E3681" s="23"/>
      <c r="G3681" s="23"/>
    </row>
    <row r="3682" spans="5:7" x14ac:dyDescent="0.3">
      <c r="E3682" s="23"/>
      <c r="G3682" s="23"/>
    </row>
    <row r="3683" spans="5:7" x14ac:dyDescent="0.3">
      <c r="E3683" s="23"/>
      <c r="G3683" s="23"/>
    </row>
    <row r="3684" spans="5:7" x14ac:dyDescent="0.3">
      <c r="E3684" s="23"/>
      <c r="G3684" s="23"/>
    </row>
    <row r="3685" spans="5:7" x14ac:dyDescent="0.3">
      <c r="E3685" s="23"/>
      <c r="G3685" s="23"/>
    </row>
    <row r="3686" spans="5:7" x14ac:dyDescent="0.3">
      <c r="E3686" s="23"/>
      <c r="G3686" s="23"/>
    </row>
    <row r="3687" spans="5:7" x14ac:dyDescent="0.3">
      <c r="E3687" s="23"/>
      <c r="G3687" s="23"/>
    </row>
    <row r="3688" spans="5:7" x14ac:dyDescent="0.3">
      <c r="E3688" s="23"/>
      <c r="G3688" s="23"/>
    </row>
    <row r="3689" spans="5:7" x14ac:dyDescent="0.3">
      <c r="E3689" s="23"/>
      <c r="G3689" s="23"/>
    </row>
    <row r="3690" spans="5:7" x14ac:dyDescent="0.3">
      <c r="E3690" s="23"/>
      <c r="G3690" s="23"/>
    </row>
    <row r="3691" spans="5:7" x14ac:dyDescent="0.3">
      <c r="E3691" s="23"/>
      <c r="G3691" s="23"/>
    </row>
    <row r="3692" spans="5:7" x14ac:dyDescent="0.3">
      <c r="E3692" s="23"/>
      <c r="G3692" s="23"/>
    </row>
    <row r="3693" spans="5:7" x14ac:dyDescent="0.3">
      <c r="E3693" s="23"/>
      <c r="G3693" s="23"/>
    </row>
    <row r="3694" spans="5:7" x14ac:dyDescent="0.3">
      <c r="E3694" s="23"/>
      <c r="G3694" s="23"/>
    </row>
    <row r="3695" spans="5:7" x14ac:dyDescent="0.3">
      <c r="E3695" s="23"/>
      <c r="G3695" s="23"/>
    </row>
    <row r="3696" spans="5:7" x14ac:dyDescent="0.3">
      <c r="E3696" s="23"/>
      <c r="G3696" s="23"/>
    </row>
    <row r="3697" spans="5:7" x14ac:dyDescent="0.3">
      <c r="E3697" s="23"/>
      <c r="G3697" s="23"/>
    </row>
    <row r="3698" spans="5:7" x14ac:dyDescent="0.3">
      <c r="E3698" s="23"/>
      <c r="G3698" s="23"/>
    </row>
    <row r="3699" spans="5:7" x14ac:dyDescent="0.3">
      <c r="E3699" s="23"/>
      <c r="G3699" s="23"/>
    </row>
    <row r="3700" spans="5:7" x14ac:dyDescent="0.3">
      <c r="E3700" s="23"/>
      <c r="G3700" s="23"/>
    </row>
    <row r="3701" spans="5:7" x14ac:dyDescent="0.3">
      <c r="E3701" s="23"/>
      <c r="G3701" s="23"/>
    </row>
    <row r="3702" spans="5:7" x14ac:dyDescent="0.3">
      <c r="E3702" s="23"/>
      <c r="G3702" s="23"/>
    </row>
    <row r="3703" spans="5:7" x14ac:dyDescent="0.3">
      <c r="E3703" s="23"/>
      <c r="G3703" s="23"/>
    </row>
    <row r="3704" spans="5:7" x14ac:dyDescent="0.3">
      <c r="E3704" s="23"/>
      <c r="G3704" s="23"/>
    </row>
    <row r="3705" spans="5:7" x14ac:dyDescent="0.3">
      <c r="E3705" s="23"/>
      <c r="G3705" s="23"/>
    </row>
    <row r="3706" spans="5:7" x14ac:dyDescent="0.3">
      <c r="E3706" s="23"/>
      <c r="G3706" s="23"/>
    </row>
    <row r="3707" spans="5:7" x14ac:dyDescent="0.3">
      <c r="E3707" s="23"/>
      <c r="G3707" s="23"/>
    </row>
    <row r="3708" spans="5:7" x14ac:dyDescent="0.3">
      <c r="E3708" s="23"/>
      <c r="G3708" s="23"/>
    </row>
    <row r="3709" spans="5:7" x14ac:dyDescent="0.3">
      <c r="E3709" s="23"/>
      <c r="G3709" s="23"/>
    </row>
    <row r="3710" spans="5:7" x14ac:dyDescent="0.3">
      <c r="E3710" s="23"/>
      <c r="G3710" s="23"/>
    </row>
    <row r="3711" spans="5:7" x14ac:dyDescent="0.3">
      <c r="E3711" s="23"/>
      <c r="G3711" s="23"/>
    </row>
    <row r="3712" spans="5:7" x14ac:dyDescent="0.3">
      <c r="E3712" s="23"/>
      <c r="G3712" s="23"/>
    </row>
    <row r="3713" spans="5:7" x14ac:dyDescent="0.3">
      <c r="E3713" s="23"/>
      <c r="G3713" s="23"/>
    </row>
    <row r="3714" spans="5:7" x14ac:dyDescent="0.3">
      <c r="E3714" s="23"/>
      <c r="G3714" s="23"/>
    </row>
    <row r="3715" spans="5:7" x14ac:dyDescent="0.3">
      <c r="E3715" s="23"/>
      <c r="G3715" s="23"/>
    </row>
    <row r="3716" spans="5:7" x14ac:dyDescent="0.3">
      <c r="E3716" s="23"/>
      <c r="G3716" s="23"/>
    </row>
    <row r="3717" spans="5:7" x14ac:dyDescent="0.3">
      <c r="E3717" s="23"/>
      <c r="G3717" s="23"/>
    </row>
    <row r="3718" spans="5:7" x14ac:dyDescent="0.3">
      <c r="E3718" s="23"/>
      <c r="G3718" s="23"/>
    </row>
    <row r="3719" spans="5:7" x14ac:dyDescent="0.3">
      <c r="E3719" s="23"/>
      <c r="G3719" s="23"/>
    </row>
    <row r="3720" spans="5:7" x14ac:dyDescent="0.3">
      <c r="E3720" s="23"/>
      <c r="G3720" s="23"/>
    </row>
    <row r="3721" spans="5:7" x14ac:dyDescent="0.3">
      <c r="E3721" s="23"/>
      <c r="G3721" s="23"/>
    </row>
    <row r="3722" spans="5:7" x14ac:dyDescent="0.3">
      <c r="E3722" s="23"/>
      <c r="G3722" s="23"/>
    </row>
    <row r="3723" spans="5:7" x14ac:dyDescent="0.3">
      <c r="E3723" s="23"/>
      <c r="G3723" s="23"/>
    </row>
    <row r="3724" spans="5:7" x14ac:dyDescent="0.3">
      <c r="E3724" s="23"/>
      <c r="G3724" s="23"/>
    </row>
    <row r="3725" spans="5:7" x14ac:dyDescent="0.3">
      <c r="E3725" s="23"/>
      <c r="G3725" s="23"/>
    </row>
    <row r="3726" spans="5:7" x14ac:dyDescent="0.3">
      <c r="E3726" s="23"/>
      <c r="G3726" s="23"/>
    </row>
    <row r="3727" spans="5:7" x14ac:dyDescent="0.3">
      <c r="E3727" s="23"/>
      <c r="G3727" s="23"/>
    </row>
    <row r="3728" spans="5:7" x14ac:dyDescent="0.3">
      <c r="E3728" s="23"/>
      <c r="G3728" s="23"/>
    </row>
    <row r="3729" spans="5:7" x14ac:dyDescent="0.3">
      <c r="E3729" s="23"/>
      <c r="G3729" s="23"/>
    </row>
    <row r="3730" spans="5:7" x14ac:dyDescent="0.3">
      <c r="E3730" s="23"/>
      <c r="G3730" s="23"/>
    </row>
    <row r="3731" spans="5:7" x14ac:dyDescent="0.3">
      <c r="E3731" s="23"/>
      <c r="G3731" s="23"/>
    </row>
    <row r="3732" spans="5:7" x14ac:dyDescent="0.3">
      <c r="E3732" s="23"/>
      <c r="G3732" s="23"/>
    </row>
    <row r="3733" spans="5:7" x14ac:dyDescent="0.3">
      <c r="E3733" s="23"/>
      <c r="G3733" s="23"/>
    </row>
    <row r="3734" spans="5:7" x14ac:dyDescent="0.3">
      <c r="E3734" s="23"/>
      <c r="G3734" s="23"/>
    </row>
    <row r="3735" spans="5:7" x14ac:dyDescent="0.3">
      <c r="E3735" s="23"/>
      <c r="G3735" s="23"/>
    </row>
    <row r="3736" spans="5:7" x14ac:dyDescent="0.3">
      <c r="E3736" s="23"/>
      <c r="G3736" s="23"/>
    </row>
    <row r="3737" spans="5:7" x14ac:dyDescent="0.3">
      <c r="E3737" s="23"/>
      <c r="G3737" s="23"/>
    </row>
    <row r="3738" spans="5:7" x14ac:dyDescent="0.3">
      <c r="E3738" s="23"/>
      <c r="G3738" s="23"/>
    </row>
    <row r="3739" spans="5:7" x14ac:dyDescent="0.3">
      <c r="E3739" s="23"/>
      <c r="G3739" s="23"/>
    </row>
    <row r="3740" spans="5:7" x14ac:dyDescent="0.3">
      <c r="E3740" s="23"/>
      <c r="G3740" s="23"/>
    </row>
    <row r="3741" spans="5:7" x14ac:dyDescent="0.3">
      <c r="E3741" s="23"/>
      <c r="G3741" s="23"/>
    </row>
    <row r="3742" spans="5:7" x14ac:dyDescent="0.3">
      <c r="E3742" s="23"/>
      <c r="G3742" s="23"/>
    </row>
    <row r="3743" spans="5:7" x14ac:dyDescent="0.3">
      <c r="E3743" s="23"/>
      <c r="G3743" s="23"/>
    </row>
    <row r="3744" spans="5:7" x14ac:dyDescent="0.3">
      <c r="E3744" s="23"/>
      <c r="G3744" s="23"/>
    </row>
    <row r="3745" spans="5:7" x14ac:dyDescent="0.3">
      <c r="E3745" s="23"/>
      <c r="G3745" s="23"/>
    </row>
    <row r="3746" spans="5:7" x14ac:dyDescent="0.3">
      <c r="E3746" s="23"/>
      <c r="G3746" s="23"/>
    </row>
    <row r="3747" spans="5:7" x14ac:dyDescent="0.3">
      <c r="E3747" s="23"/>
      <c r="G3747" s="23"/>
    </row>
    <row r="3748" spans="5:7" x14ac:dyDescent="0.3">
      <c r="E3748" s="23"/>
      <c r="G3748" s="23"/>
    </row>
    <row r="3749" spans="5:7" x14ac:dyDescent="0.3">
      <c r="E3749" s="23"/>
      <c r="G3749" s="23"/>
    </row>
    <row r="3750" spans="5:7" x14ac:dyDescent="0.3">
      <c r="E3750" s="23"/>
      <c r="G3750" s="23"/>
    </row>
    <row r="3751" spans="5:7" x14ac:dyDescent="0.3">
      <c r="E3751" s="23"/>
      <c r="G3751" s="23"/>
    </row>
    <row r="3752" spans="5:7" x14ac:dyDescent="0.3">
      <c r="E3752" s="23"/>
      <c r="G3752" s="23"/>
    </row>
    <row r="3753" spans="5:7" x14ac:dyDescent="0.3">
      <c r="E3753" s="23"/>
      <c r="G3753" s="23"/>
    </row>
    <row r="3754" spans="5:7" x14ac:dyDescent="0.3">
      <c r="E3754" s="23"/>
      <c r="G3754" s="23"/>
    </row>
    <row r="3755" spans="5:7" x14ac:dyDescent="0.3">
      <c r="E3755" s="23"/>
      <c r="G3755" s="23"/>
    </row>
    <row r="3756" spans="5:7" x14ac:dyDescent="0.3">
      <c r="E3756" s="23"/>
      <c r="G3756" s="23"/>
    </row>
    <row r="3757" spans="5:7" x14ac:dyDescent="0.3">
      <c r="E3757" s="23"/>
      <c r="G3757" s="23"/>
    </row>
    <row r="3758" spans="5:7" x14ac:dyDescent="0.3">
      <c r="E3758" s="23"/>
      <c r="G3758" s="23"/>
    </row>
    <row r="3759" spans="5:7" x14ac:dyDescent="0.3">
      <c r="E3759" s="23"/>
      <c r="G3759" s="23"/>
    </row>
    <row r="3760" spans="5:7" x14ac:dyDescent="0.3">
      <c r="E3760" s="23"/>
      <c r="G3760" s="23"/>
    </row>
    <row r="3761" spans="5:7" x14ac:dyDescent="0.3">
      <c r="E3761" s="23"/>
      <c r="G3761" s="23"/>
    </row>
    <row r="3762" spans="5:7" x14ac:dyDescent="0.3">
      <c r="E3762" s="23"/>
      <c r="G3762" s="23"/>
    </row>
    <row r="3763" spans="5:7" x14ac:dyDescent="0.3">
      <c r="E3763" s="23"/>
      <c r="G3763" s="23"/>
    </row>
    <row r="3764" spans="5:7" x14ac:dyDescent="0.3">
      <c r="E3764" s="23"/>
      <c r="G3764" s="23"/>
    </row>
    <row r="3765" spans="5:7" x14ac:dyDescent="0.3">
      <c r="E3765" s="23"/>
      <c r="G3765" s="23"/>
    </row>
    <row r="3766" spans="5:7" x14ac:dyDescent="0.3">
      <c r="E3766" s="23"/>
      <c r="G3766" s="23"/>
    </row>
    <row r="3767" spans="5:7" x14ac:dyDescent="0.3">
      <c r="E3767" s="23"/>
      <c r="G3767" s="23"/>
    </row>
    <row r="3768" spans="5:7" x14ac:dyDescent="0.3">
      <c r="E3768" s="23"/>
      <c r="G3768" s="23"/>
    </row>
    <row r="3769" spans="5:7" x14ac:dyDescent="0.3">
      <c r="E3769" s="23"/>
      <c r="G3769" s="23"/>
    </row>
    <row r="3770" spans="5:7" x14ac:dyDescent="0.3">
      <c r="E3770" s="23"/>
      <c r="G3770" s="23"/>
    </row>
    <row r="3771" spans="5:7" x14ac:dyDescent="0.3">
      <c r="E3771" s="23"/>
      <c r="G3771" s="23"/>
    </row>
    <row r="3772" spans="5:7" x14ac:dyDescent="0.3">
      <c r="E3772" s="23"/>
      <c r="G3772" s="23"/>
    </row>
    <row r="3773" spans="5:7" x14ac:dyDescent="0.3">
      <c r="E3773" s="23"/>
      <c r="G3773" s="23"/>
    </row>
    <row r="3774" spans="5:7" x14ac:dyDescent="0.3">
      <c r="E3774" s="23"/>
      <c r="G3774" s="23"/>
    </row>
    <row r="3775" spans="5:7" x14ac:dyDescent="0.3">
      <c r="E3775" s="23"/>
      <c r="G3775" s="23"/>
    </row>
    <row r="3776" spans="5:7" x14ac:dyDescent="0.3">
      <c r="E3776" s="23"/>
      <c r="G3776" s="23"/>
    </row>
    <row r="3777" spans="5:7" x14ac:dyDescent="0.3">
      <c r="E3777" s="23"/>
      <c r="G3777" s="23"/>
    </row>
    <row r="3778" spans="5:7" x14ac:dyDescent="0.3">
      <c r="E3778" s="23"/>
      <c r="G3778" s="23"/>
    </row>
    <row r="3779" spans="5:7" x14ac:dyDescent="0.3">
      <c r="E3779" s="23"/>
      <c r="G3779" s="23"/>
    </row>
    <row r="3780" spans="5:7" x14ac:dyDescent="0.3">
      <c r="E3780" s="23"/>
      <c r="G3780" s="23"/>
    </row>
    <row r="3781" spans="5:7" x14ac:dyDescent="0.3">
      <c r="E3781" s="23"/>
      <c r="G3781" s="23"/>
    </row>
    <row r="3782" spans="5:7" x14ac:dyDescent="0.3">
      <c r="E3782" s="23"/>
      <c r="G3782" s="23"/>
    </row>
    <row r="3783" spans="5:7" x14ac:dyDescent="0.3">
      <c r="E3783" s="23"/>
      <c r="G3783" s="23"/>
    </row>
    <row r="3784" spans="5:7" x14ac:dyDescent="0.3">
      <c r="E3784" s="23"/>
      <c r="G3784" s="23"/>
    </row>
    <row r="3785" spans="5:7" x14ac:dyDescent="0.3">
      <c r="E3785" s="23"/>
      <c r="G3785" s="23"/>
    </row>
    <row r="3786" spans="5:7" x14ac:dyDescent="0.3">
      <c r="E3786" s="23"/>
      <c r="G3786" s="23"/>
    </row>
    <row r="3787" spans="5:7" x14ac:dyDescent="0.3">
      <c r="E3787" s="23"/>
      <c r="G3787" s="23"/>
    </row>
    <row r="3788" spans="5:7" x14ac:dyDescent="0.3">
      <c r="E3788" s="23"/>
      <c r="G3788" s="23"/>
    </row>
    <row r="3789" spans="5:7" x14ac:dyDescent="0.3">
      <c r="E3789" s="23"/>
      <c r="G3789" s="23"/>
    </row>
    <row r="3790" spans="5:7" x14ac:dyDescent="0.3">
      <c r="E3790" s="23"/>
      <c r="G3790" s="23"/>
    </row>
    <row r="3791" spans="5:7" x14ac:dyDescent="0.3">
      <c r="E3791" s="23"/>
      <c r="G3791" s="23"/>
    </row>
    <row r="3792" spans="5:7" x14ac:dyDescent="0.3">
      <c r="E3792" s="23"/>
      <c r="G3792" s="23"/>
    </row>
    <row r="3793" spans="5:7" x14ac:dyDescent="0.3">
      <c r="E3793" s="23"/>
      <c r="G3793" s="23"/>
    </row>
    <row r="3794" spans="5:7" x14ac:dyDescent="0.3">
      <c r="E3794" s="23"/>
      <c r="G3794" s="23"/>
    </row>
    <row r="3795" spans="5:7" x14ac:dyDescent="0.3">
      <c r="E3795" s="23"/>
      <c r="G3795" s="23"/>
    </row>
    <row r="3796" spans="5:7" x14ac:dyDescent="0.3">
      <c r="E3796" s="23"/>
      <c r="G3796" s="23"/>
    </row>
    <row r="3797" spans="5:7" x14ac:dyDescent="0.3">
      <c r="E3797" s="23"/>
      <c r="G3797" s="23"/>
    </row>
    <row r="3798" spans="5:7" x14ac:dyDescent="0.3">
      <c r="E3798" s="23"/>
      <c r="G3798" s="23"/>
    </row>
    <row r="3799" spans="5:7" x14ac:dyDescent="0.3">
      <c r="E3799" s="23"/>
      <c r="G3799" s="23"/>
    </row>
    <row r="3800" spans="5:7" x14ac:dyDescent="0.3">
      <c r="E3800" s="23"/>
      <c r="G3800" s="23"/>
    </row>
    <row r="3801" spans="5:7" x14ac:dyDescent="0.3">
      <c r="E3801" s="23"/>
      <c r="G3801" s="23"/>
    </row>
    <row r="3802" spans="5:7" x14ac:dyDescent="0.3">
      <c r="E3802" s="23"/>
      <c r="G3802" s="23"/>
    </row>
    <row r="3803" spans="5:7" x14ac:dyDescent="0.3">
      <c r="E3803" s="23"/>
      <c r="G3803" s="23"/>
    </row>
    <row r="3804" spans="5:7" x14ac:dyDescent="0.3">
      <c r="E3804" s="23"/>
      <c r="G3804" s="23"/>
    </row>
    <row r="3805" spans="5:7" x14ac:dyDescent="0.3">
      <c r="E3805" s="23"/>
      <c r="G3805" s="23"/>
    </row>
    <row r="3806" spans="5:7" x14ac:dyDescent="0.3">
      <c r="E3806" s="23"/>
      <c r="G3806" s="23"/>
    </row>
    <row r="3807" spans="5:7" x14ac:dyDescent="0.3">
      <c r="E3807" s="23"/>
      <c r="G3807" s="23"/>
    </row>
    <row r="3808" spans="5:7" x14ac:dyDescent="0.3">
      <c r="E3808" s="23"/>
      <c r="G3808" s="23"/>
    </row>
    <row r="3809" spans="5:7" x14ac:dyDescent="0.3">
      <c r="E3809" s="23"/>
      <c r="G3809" s="23"/>
    </row>
    <row r="3810" spans="5:7" x14ac:dyDescent="0.3">
      <c r="E3810" s="23"/>
      <c r="G3810" s="23"/>
    </row>
    <row r="3811" spans="5:7" x14ac:dyDescent="0.3">
      <c r="E3811" s="23"/>
      <c r="G3811" s="23"/>
    </row>
    <row r="3812" spans="5:7" x14ac:dyDescent="0.3">
      <c r="E3812" s="23"/>
      <c r="G3812" s="23"/>
    </row>
    <row r="3813" spans="5:7" x14ac:dyDescent="0.3">
      <c r="E3813" s="23"/>
      <c r="G3813" s="23"/>
    </row>
    <row r="3814" spans="5:7" x14ac:dyDescent="0.3">
      <c r="E3814" s="23"/>
      <c r="G3814" s="23"/>
    </row>
    <row r="3815" spans="5:7" x14ac:dyDescent="0.3">
      <c r="E3815" s="23"/>
      <c r="G3815" s="23"/>
    </row>
    <row r="3816" spans="5:7" x14ac:dyDescent="0.3">
      <c r="E3816" s="23"/>
      <c r="G3816" s="23"/>
    </row>
    <row r="3817" spans="5:7" x14ac:dyDescent="0.3">
      <c r="E3817" s="23"/>
      <c r="G3817" s="23"/>
    </row>
    <row r="3818" spans="5:7" x14ac:dyDescent="0.3">
      <c r="E3818" s="23"/>
      <c r="G3818" s="23"/>
    </row>
    <row r="3819" spans="5:7" x14ac:dyDescent="0.3">
      <c r="E3819" s="23"/>
      <c r="G3819" s="23"/>
    </row>
    <row r="3820" spans="5:7" x14ac:dyDescent="0.3">
      <c r="E3820" s="23"/>
      <c r="G3820" s="23"/>
    </row>
    <row r="3821" spans="5:7" x14ac:dyDescent="0.3">
      <c r="E3821" s="23"/>
      <c r="G3821" s="23"/>
    </row>
    <row r="3822" spans="5:7" x14ac:dyDescent="0.3">
      <c r="E3822" s="23"/>
      <c r="G3822" s="23"/>
    </row>
    <row r="3823" spans="5:7" x14ac:dyDescent="0.3">
      <c r="E3823" s="23"/>
      <c r="G3823" s="23"/>
    </row>
    <row r="3824" spans="5:7" x14ac:dyDescent="0.3">
      <c r="E3824" s="23"/>
      <c r="G3824" s="23"/>
    </row>
    <row r="3825" spans="5:7" x14ac:dyDescent="0.3">
      <c r="E3825" s="23"/>
      <c r="G3825" s="23"/>
    </row>
    <row r="3826" spans="5:7" x14ac:dyDescent="0.3">
      <c r="E3826" s="23"/>
      <c r="G3826" s="23"/>
    </row>
    <row r="3827" spans="5:7" x14ac:dyDescent="0.3">
      <c r="E3827" s="23"/>
      <c r="G3827" s="23"/>
    </row>
    <row r="3828" spans="5:7" x14ac:dyDescent="0.3">
      <c r="E3828" s="23"/>
      <c r="G3828" s="23"/>
    </row>
    <row r="3829" spans="5:7" x14ac:dyDescent="0.3">
      <c r="E3829" s="23"/>
      <c r="G3829" s="23"/>
    </row>
    <row r="3830" spans="5:7" x14ac:dyDescent="0.3">
      <c r="E3830" s="23"/>
      <c r="G3830" s="23"/>
    </row>
    <row r="3831" spans="5:7" x14ac:dyDescent="0.3">
      <c r="E3831" s="23"/>
      <c r="G3831" s="23"/>
    </row>
    <row r="3832" spans="5:7" x14ac:dyDescent="0.3">
      <c r="E3832" s="23"/>
      <c r="G3832" s="23"/>
    </row>
    <row r="3833" spans="5:7" x14ac:dyDescent="0.3">
      <c r="E3833" s="23"/>
      <c r="G3833" s="23"/>
    </row>
    <row r="3834" spans="5:7" x14ac:dyDescent="0.3">
      <c r="E3834" s="23"/>
      <c r="G3834" s="23"/>
    </row>
    <row r="3835" spans="5:7" x14ac:dyDescent="0.3">
      <c r="E3835" s="23"/>
      <c r="G3835" s="23"/>
    </row>
    <row r="3836" spans="5:7" x14ac:dyDescent="0.3">
      <c r="E3836" s="23"/>
      <c r="G3836" s="23"/>
    </row>
    <row r="3837" spans="5:7" x14ac:dyDescent="0.3">
      <c r="E3837" s="23"/>
      <c r="G3837" s="23"/>
    </row>
    <row r="3838" spans="5:7" x14ac:dyDescent="0.3">
      <c r="E3838" s="23"/>
      <c r="G3838" s="23"/>
    </row>
    <row r="3839" spans="5:7" x14ac:dyDescent="0.3">
      <c r="E3839" s="23"/>
      <c r="G3839" s="23"/>
    </row>
    <row r="3840" spans="5:7" x14ac:dyDescent="0.3">
      <c r="E3840" s="23"/>
      <c r="G3840" s="23"/>
    </row>
    <row r="3841" spans="5:7" x14ac:dyDescent="0.3">
      <c r="E3841" s="23"/>
      <c r="G3841" s="23"/>
    </row>
    <row r="3842" spans="5:7" x14ac:dyDescent="0.3">
      <c r="E3842" s="23"/>
      <c r="G3842" s="23"/>
    </row>
    <row r="3843" spans="5:7" x14ac:dyDescent="0.3">
      <c r="E3843" s="23"/>
      <c r="G3843" s="23"/>
    </row>
    <row r="3844" spans="5:7" x14ac:dyDescent="0.3">
      <c r="E3844" s="23"/>
      <c r="G3844" s="23"/>
    </row>
    <row r="3845" spans="5:7" x14ac:dyDescent="0.3">
      <c r="E3845" s="23"/>
      <c r="G3845" s="23"/>
    </row>
    <row r="3846" spans="5:7" x14ac:dyDescent="0.3">
      <c r="E3846" s="23"/>
      <c r="G3846" s="23"/>
    </row>
    <row r="3847" spans="5:7" x14ac:dyDescent="0.3">
      <c r="E3847" s="23"/>
      <c r="G3847" s="23"/>
    </row>
    <row r="3848" spans="5:7" x14ac:dyDescent="0.3">
      <c r="E3848" s="23"/>
      <c r="G3848" s="23"/>
    </row>
    <row r="3849" spans="5:7" x14ac:dyDescent="0.3">
      <c r="E3849" s="23"/>
      <c r="G3849" s="23"/>
    </row>
    <row r="3850" spans="5:7" x14ac:dyDescent="0.3">
      <c r="E3850" s="23"/>
      <c r="G3850" s="23"/>
    </row>
    <row r="3851" spans="5:7" x14ac:dyDescent="0.3">
      <c r="E3851" s="23"/>
      <c r="G3851" s="23"/>
    </row>
    <row r="3852" spans="5:7" x14ac:dyDescent="0.3">
      <c r="E3852" s="23"/>
      <c r="G3852" s="23"/>
    </row>
    <row r="3853" spans="5:7" x14ac:dyDescent="0.3">
      <c r="E3853" s="23"/>
      <c r="G3853" s="23"/>
    </row>
    <row r="3854" spans="5:7" x14ac:dyDescent="0.3">
      <c r="E3854" s="23"/>
      <c r="G3854" s="23"/>
    </row>
    <row r="3855" spans="5:7" x14ac:dyDescent="0.3">
      <c r="E3855" s="23"/>
      <c r="G3855" s="23"/>
    </row>
    <row r="3856" spans="5:7" x14ac:dyDescent="0.3">
      <c r="E3856" s="23"/>
      <c r="G3856" s="23"/>
    </row>
    <row r="3857" spans="5:7" x14ac:dyDescent="0.3">
      <c r="E3857" s="23"/>
      <c r="G3857" s="23"/>
    </row>
    <row r="3858" spans="5:7" x14ac:dyDescent="0.3">
      <c r="E3858" s="23"/>
      <c r="G3858" s="23"/>
    </row>
    <row r="3859" spans="5:7" x14ac:dyDescent="0.3">
      <c r="E3859" s="23"/>
      <c r="G3859" s="23"/>
    </row>
    <row r="3860" spans="5:7" x14ac:dyDescent="0.3">
      <c r="E3860" s="23"/>
      <c r="G3860" s="23"/>
    </row>
    <row r="3861" spans="5:7" x14ac:dyDescent="0.3">
      <c r="E3861" s="23"/>
      <c r="G3861" s="23"/>
    </row>
    <row r="3862" spans="5:7" x14ac:dyDescent="0.3">
      <c r="E3862" s="23"/>
      <c r="G3862" s="23"/>
    </row>
    <row r="3863" spans="5:7" x14ac:dyDescent="0.3">
      <c r="E3863" s="23"/>
      <c r="G3863" s="23"/>
    </row>
    <row r="3864" spans="5:7" x14ac:dyDescent="0.3">
      <c r="E3864" s="23"/>
      <c r="G3864" s="23"/>
    </row>
    <row r="3865" spans="5:7" x14ac:dyDescent="0.3">
      <c r="E3865" s="23"/>
      <c r="G3865" s="23"/>
    </row>
    <row r="3866" spans="5:7" x14ac:dyDescent="0.3">
      <c r="E3866" s="23"/>
      <c r="G3866" s="23"/>
    </row>
    <row r="3867" spans="5:7" x14ac:dyDescent="0.3">
      <c r="E3867" s="23"/>
      <c r="G3867" s="23"/>
    </row>
    <row r="3868" spans="5:7" x14ac:dyDescent="0.3">
      <c r="E3868" s="23"/>
      <c r="G3868" s="23"/>
    </row>
    <row r="3869" spans="5:7" x14ac:dyDescent="0.3">
      <c r="E3869" s="23"/>
      <c r="G3869" s="23"/>
    </row>
    <row r="3870" spans="5:7" x14ac:dyDescent="0.3">
      <c r="E3870" s="23"/>
      <c r="G3870" s="23"/>
    </row>
    <row r="3871" spans="5:7" x14ac:dyDescent="0.3">
      <c r="E3871" s="23"/>
      <c r="G3871" s="23"/>
    </row>
    <row r="3872" spans="5:7" x14ac:dyDescent="0.3">
      <c r="E3872" s="23"/>
      <c r="G3872" s="23"/>
    </row>
    <row r="3873" spans="5:7" x14ac:dyDescent="0.3">
      <c r="E3873" s="23"/>
      <c r="G3873" s="23"/>
    </row>
    <row r="3874" spans="5:7" x14ac:dyDescent="0.3">
      <c r="E3874" s="23"/>
      <c r="G3874" s="23"/>
    </row>
    <row r="3875" spans="5:7" x14ac:dyDescent="0.3">
      <c r="E3875" s="23"/>
      <c r="G3875" s="23"/>
    </row>
    <row r="3876" spans="5:7" x14ac:dyDescent="0.3">
      <c r="E3876" s="23"/>
      <c r="G3876" s="23"/>
    </row>
    <row r="3877" spans="5:7" x14ac:dyDescent="0.3">
      <c r="E3877" s="23"/>
      <c r="G3877" s="23"/>
    </row>
    <row r="3878" spans="5:7" x14ac:dyDescent="0.3">
      <c r="E3878" s="23"/>
      <c r="G3878" s="23"/>
    </row>
    <row r="3879" spans="5:7" x14ac:dyDescent="0.3">
      <c r="E3879" s="23"/>
      <c r="G3879" s="23"/>
    </row>
    <row r="3880" spans="5:7" x14ac:dyDescent="0.3">
      <c r="E3880" s="23"/>
      <c r="G3880" s="23"/>
    </row>
    <row r="3881" spans="5:7" x14ac:dyDescent="0.3">
      <c r="E3881" s="23"/>
      <c r="G3881" s="23"/>
    </row>
    <row r="3882" spans="5:7" x14ac:dyDescent="0.3">
      <c r="E3882" s="23"/>
      <c r="G3882" s="23"/>
    </row>
    <row r="3883" spans="5:7" x14ac:dyDescent="0.3">
      <c r="E3883" s="23"/>
      <c r="G3883" s="23"/>
    </row>
    <row r="3884" spans="5:7" x14ac:dyDescent="0.3">
      <c r="E3884" s="23"/>
      <c r="G3884" s="23"/>
    </row>
    <row r="3885" spans="5:7" x14ac:dyDescent="0.3">
      <c r="E3885" s="23"/>
      <c r="G3885" s="23"/>
    </row>
    <row r="3886" spans="5:7" x14ac:dyDescent="0.3">
      <c r="E3886" s="23"/>
      <c r="G3886" s="23"/>
    </row>
    <row r="3887" spans="5:7" x14ac:dyDescent="0.3">
      <c r="E3887" s="23"/>
      <c r="G3887" s="23"/>
    </row>
    <row r="3888" spans="5:7" x14ac:dyDescent="0.3">
      <c r="E3888" s="23"/>
      <c r="G3888" s="23"/>
    </row>
    <row r="3889" spans="5:7" x14ac:dyDescent="0.3">
      <c r="E3889" s="23"/>
      <c r="G3889" s="23"/>
    </row>
    <row r="3890" spans="5:7" x14ac:dyDescent="0.3">
      <c r="E3890" s="23"/>
      <c r="G3890" s="23"/>
    </row>
    <row r="3891" spans="5:7" x14ac:dyDescent="0.3">
      <c r="E3891" s="23"/>
      <c r="G3891" s="23"/>
    </row>
    <row r="3892" spans="5:7" x14ac:dyDescent="0.3">
      <c r="E3892" s="23"/>
      <c r="G3892" s="23"/>
    </row>
    <row r="3893" spans="5:7" x14ac:dyDescent="0.3">
      <c r="E3893" s="23"/>
      <c r="G3893" s="23"/>
    </row>
    <row r="3894" spans="5:7" x14ac:dyDescent="0.3">
      <c r="E3894" s="23"/>
      <c r="G3894" s="23"/>
    </row>
    <row r="3895" spans="5:7" x14ac:dyDescent="0.3">
      <c r="E3895" s="23"/>
      <c r="G3895" s="23"/>
    </row>
    <row r="3896" spans="5:7" x14ac:dyDescent="0.3">
      <c r="E3896" s="23"/>
      <c r="G3896" s="23"/>
    </row>
    <row r="3897" spans="5:7" x14ac:dyDescent="0.3">
      <c r="E3897" s="23"/>
      <c r="G3897" s="23"/>
    </row>
    <row r="3898" spans="5:7" x14ac:dyDescent="0.3">
      <c r="E3898" s="23"/>
      <c r="G3898" s="23"/>
    </row>
    <row r="3899" spans="5:7" x14ac:dyDescent="0.3">
      <c r="E3899" s="23"/>
      <c r="G3899" s="23"/>
    </row>
    <row r="3900" spans="5:7" x14ac:dyDescent="0.3">
      <c r="E3900" s="23"/>
      <c r="G3900" s="23"/>
    </row>
    <row r="3901" spans="5:7" x14ac:dyDescent="0.3">
      <c r="E3901" s="23"/>
      <c r="G3901" s="23"/>
    </row>
    <row r="3902" spans="5:7" x14ac:dyDescent="0.3">
      <c r="E3902" s="23"/>
      <c r="G3902" s="23"/>
    </row>
    <row r="3903" spans="5:7" x14ac:dyDescent="0.3">
      <c r="E3903" s="23"/>
      <c r="G3903" s="23"/>
    </row>
    <row r="3904" spans="5:7" x14ac:dyDescent="0.3">
      <c r="E3904" s="23"/>
      <c r="G3904" s="23"/>
    </row>
    <row r="3905" spans="5:7" x14ac:dyDescent="0.3">
      <c r="E3905" s="23"/>
      <c r="G3905" s="23"/>
    </row>
    <row r="3906" spans="5:7" x14ac:dyDescent="0.3">
      <c r="E3906" s="23"/>
      <c r="G3906" s="23"/>
    </row>
    <row r="3907" spans="5:7" x14ac:dyDescent="0.3">
      <c r="E3907" s="23"/>
      <c r="G3907" s="23"/>
    </row>
    <row r="3908" spans="5:7" x14ac:dyDescent="0.3">
      <c r="E3908" s="23"/>
      <c r="G3908" s="23"/>
    </row>
    <row r="3909" spans="5:7" x14ac:dyDescent="0.3">
      <c r="E3909" s="23"/>
      <c r="G3909" s="23"/>
    </row>
    <row r="3910" spans="5:7" x14ac:dyDescent="0.3">
      <c r="E3910" s="23"/>
      <c r="G3910" s="23"/>
    </row>
    <row r="3911" spans="5:7" x14ac:dyDescent="0.3">
      <c r="E3911" s="23"/>
      <c r="G3911" s="23"/>
    </row>
    <row r="3912" spans="5:7" x14ac:dyDescent="0.3">
      <c r="E3912" s="23"/>
      <c r="G3912" s="23"/>
    </row>
    <row r="3913" spans="5:7" x14ac:dyDescent="0.3">
      <c r="E3913" s="23"/>
      <c r="G3913" s="23"/>
    </row>
    <row r="3914" spans="5:7" x14ac:dyDescent="0.3">
      <c r="E3914" s="23"/>
      <c r="G3914" s="23"/>
    </row>
    <row r="3915" spans="5:7" x14ac:dyDescent="0.3">
      <c r="E3915" s="23"/>
      <c r="G3915" s="23"/>
    </row>
    <row r="3916" spans="5:7" x14ac:dyDescent="0.3">
      <c r="E3916" s="23"/>
      <c r="G3916" s="23"/>
    </row>
    <row r="3917" spans="5:7" x14ac:dyDescent="0.3">
      <c r="E3917" s="23"/>
      <c r="G3917" s="23"/>
    </row>
    <row r="3918" spans="5:7" x14ac:dyDescent="0.3">
      <c r="E3918" s="23"/>
      <c r="G3918" s="23"/>
    </row>
    <row r="3919" spans="5:7" x14ac:dyDescent="0.3">
      <c r="E3919" s="23"/>
      <c r="G3919" s="23"/>
    </row>
    <row r="3920" spans="5:7" x14ac:dyDescent="0.3">
      <c r="E3920" s="23"/>
      <c r="G3920" s="23"/>
    </row>
    <row r="3921" spans="5:7" x14ac:dyDescent="0.3">
      <c r="E3921" s="23"/>
      <c r="G3921" s="23"/>
    </row>
    <row r="3922" spans="5:7" x14ac:dyDescent="0.3">
      <c r="E3922" s="23"/>
      <c r="G3922" s="23"/>
    </row>
    <row r="3923" spans="5:7" x14ac:dyDescent="0.3">
      <c r="E3923" s="23"/>
      <c r="G3923" s="23"/>
    </row>
    <row r="3924" spans="5:7" x14ac:dyDescent="0.3">
      <c r="E3924" s="23"/>
      <c r="G3924" s="23"/>
    </row>
    <row r="3925" spans="5:7" x14ac:dyDescent="0.3">
      <c r="E3925" s="23"/>
      <c r="G3925" s="23"/>
    </row>
    <row r="3926" spans="5:7" x14ac:dyDescent="0.3">
      <c r="E3926" s="23"/>
      <c r="G3926" s="23"/>
    </row>
    <row r="3927" spans="5:7" x14ac:dyDescent="0.3">
      <c r="E3927" s="23"/>
      <c r="G3927" s="23"/>
    </row>
    <row r="3928" spans="5:7" x14ac:dyDescent="0.3">
      <c r="E3928" s="23"/>
      <c r="G3928" s="23"/>
    </row>
    <row r="3929" spans="5:7" x14ac:dyDescent="0.3">
      <c r="E3929" s="23"/>
      <c r="G3929" s="23"/>
    </row>
    <row r="3930" spans="5:7" x14ac:dyDescent="0.3">
      <c r="E3930" s="23"/>
      <c r="G3930" s="23"/>
    </row>
    <row r="3931" spans="5:7" x14ac:dyDescent="0.3">
      <c r="E3931" s="23"/>
      <c r="G3931" s="23"/>
    </row>
    <row r="3932" spans="5:7" x14ac:dyDescent="0.3">
      <c r="E3932" s="23"/>
      <c r="G3932" s="23"/>
    </row>
    <row r="3933" spans="5:7" x14ac:dyDescent="0.3">
      <c r="E3933" s="23"/>
      <c r="G3933" s="23"/>
    </row>
    <row r="3934" spans="5:7" x14ac:dyDescent="0.3">
      <c r="E3934" s="23"/>
      <c r="G3934" s="23"/>
    </row>
    <row r="3935" spans="5:7" x14ac:dyDescent="0.3">
      <c r="E3935" s="23"/>
      <c r="G3935" s="23"/>
    </row>
    <row r="3936" spans="5:7" x14ac:dyDescent="0.3">
      <c r="E3936" s="23"/>
      <c r="G3936" s="23"/>
    </row>
    <row r="3937" spans="5:7" x14ac:dyDescent="0.3">
      <c r="E3937" s="23"/>
      <c r="G3937" s="23"/>
    </row>
    <row r="3938" spans="5:7" x14ac:dyDescent="0.3">
      <c r="E3938" s="23"/>
      <c r="G3938" s="23"/>
    </row>
    <row r="3939" spans="5:7" x14ac:dyDescent="0.3">
      <c r="E3939" s="23"/>
      <c r="G3939" s="23"/>
    </row>
    <row r="3940" spans="5:7" x14ac:dyDescent="0.3">
      <c r="E3940" s="23"/>
      <c r="G3940" s="23"/>
    </row>
    <row r="3941" spans="5:7" x14ac:dyDescent="0.3">
      <c r="E3941" s="23"/>
      <c r="G3941" s="23"/>
    </row>
    <row r="3942" spans="5:7" x14ac:dyDescent="0.3">
      <c r="E3942" s="23"/>
      <c r="G3942" s="23"/>
    </row>
    <row r="3943" spans="5:7" x14ac:dyDescent="0.3">
      <c r="E3943" s="23"/>
      <c r="G3943" s="23"/>
    </row>
    <row r="3944" spans="5:7" x14ac:dyDescent="0.3">
      <c r="E3944" s="23"/>
      <c r="G3944" s="23"/>
    </row>
    <row r="3945" spans="5:7" x14ac:dyDescent="0.3">
      <c r="E3945" s="23"/>
      <c r="G3945" s="23"/>
    </row>
    <row r="3946" spans="5:7" x14ac:dyDescent="0.3">
      <c r="E3946" s="23"/>
      <c r="G3946" s="23"/>
    </row>
    <row r="3947" spans="5:7" x14ac:dyDescent="0.3">
      <c r="E3947" s="23"/>
      <c r="G3947" s="23"/>
    </row>
    <row r="3948" spans="5:7" x14ac:dyDescent="0.3">
      <c r="E3948" s="23"/>
      <c r="G3948" s="23"/>
    </row>
    <row r="3949" spans="5:7" x14ac:dyDescent="0.3">
      <c r="E3949" s="23"/>
      <c r="G3949" s="23"/>
    </row>
    <row r="3950" spans="5:7" x14ac:dyDescent="0.3">
      <c r="E3950" s="23"/>
      <c r="G3950" s="23"/>
    </row>
    <row r="3951" spans="5:7" x14ac:dyDescent="0.3">
      <c r="E3951" s="23"/>
      <c r="G3951" s="23"/>
    </row>
    <row r="3952" spans="5:7" x14ac:dyDescent="0.3">
      <c r="E3952" s="23"/>
      <c r="G3952" s="23"/>
    </row>
    <row r="3953" spans="5:7" x14ac:dyDescent="0.3">
      <c r="E3953" s="23"/>
      <c r="G3953" s="23"/>
    </row>
    <row r="3954" spans="5:7" x14ac:dyDescent="0.3">
      <c r="E3954" s="23"/>
      <c r="G3954" s="23"/>
    </row>
    <row r="3955" spans="5:7" x14ac:dyDescent="0.3">
      <c r="E3955" s="23"/>
      <c r="G3955" s="23"/>
    </row>
    <row r="3956" spans="5:7" x14ac:dyDescent="0.3">
      <c r="E3956" s="23"/>
      <c r="G3956" s="23"/>
    </row>
    <row r="3957" spans="5:7" x14ac:dyDescent="0.3">
      <c r="E3957" s="23"/>
      <c r="G3957" s="23"/>
    </row>
    <row r="3958" spans="5:7" x14ac:dyDescent="0.3">
      <c r="E3958" s="23"/>
      <c r="G3958" s="23"/>
    </row>
    <row r="3959" spans="5:7" x14ac:dyDescent="0.3">
      <c r="E3959" s="23"/>
      <c r="G3959" s="23"/>
    </row>
    <row r="3960" spans="5:7" x14ac:dyDescent="0.3">
      <c r="E3960" s="23"/>
      <c r="G3960" s="23"/>
    </row>
    <row r="3961" spans="5:7" x14ac:dyDescent="0.3">
      <c r="E3961" s="23"/>
      <c r="G3961" s="23"/>
    </row>
    <row r="3962" spans="5:7" x14ac:dyDescent="0.3">
      <c r="E3962" s="23"/>
      <c r="G3962" s="23"/>
    </row>
    <row r="3963" spans="5:7" x14ac:dyDescent="0.3">
      <c r="E3963" s="23"/>
      <c r="G3963" s="23"/>
    </row>
    <row r="3964" spans="5:7" x14ac:dyDescent="0.3">
      <c r="E3964" s="23"/>
      <c r="G3964" s="23"/>
    </row>
    <row r="3965" spans="5:7" x14ac:dyDescent="0.3">
      <c r="E3965" s="23"/>
      <c r="G3965" s="23"/>
    </row>
    <row r="3966" spans="5:7" x14ac:dyDescent="0.3">
      <c r="E3966" s="23"/>
      <c r="G3966" s="23"/>
    </row>
    <row r="3967" spans="5:7" x14ac:dyDescent="0.3">
      <c r="E3967" s="23"/>
      <c r="G3967" s="23"/>
    </row>
    <row r="3968" spans="5:7" x14ac:dyDescent="0.3">
      <c r="E3968" s="23"/>
      <c r="G3968" s="23"/>
    </row>
    <row r="3969" spans="5:7" x14ac:dyDescent="0.3">
      <c r="E3969" s="23"/>
      <c r="G3969" s="23"/>
    </row>
    <row r="3970" spans="5:7" x14ac:dyDescent="0.3">
      <c r="E3970" s="23"/>
      <c r="G3970" s="23"/>
    </row>
    <row r="3971" spans="5:7" x14ac:dyDescent="0.3">
      <c r="E3971" s="23"/>
      <c r="G3971" s="23"/>
    </row>
    <row r="3972" spans="5:7" x14ac:dyDescent="0.3">
      <c r="E3972" s="23"/>
      <c r="G3972" s="23"/>
    </row>
    <row r="3973" spans="5:7" x14ac:dyDescent="0.3">
      <c r="E3973" s="23"/>
      <c r="G3973" s="23"/>
    </row>
    <row r="3974" spans="5:7" x14ac:dyDescent="0.3">
      <c r="E3974" s="23"/>
      <c r="G3974" s="23"/>
    </row>
    <row r="3975" spans="5:7" x14ac:dyDescent="0.3">
      <c r="E3975" s="23"/>
      <c r="G3975" s="23"/>
    </row>
    <row r="3976" spans="5:7" x14ac:dyDescent="0.3">
      <c r="E3976" s="23"/>
      <c r="G3976" s="23"/>
    </row>
    <row r="3977" spans="5:7" x14ac:dyDescent="0.3">
      <c r="E3977" s="23"/>
      <c r="G3977" s="23"/>
    </row>
    <row r="3978" spans="5:7" x14ac:dyDescent="0.3">
      <c r="E3978" s="23"/>
      <c r="G3978" s="23"/>
    </row>
    <row r="3979" spans="5:7" x14ac:dyDescent="0.3">
      <c r="E3979" s="23"/>
      <c r="G3979" s="23"/>
    </row>
    <row r="3980" spans="5:7" x14ac:dyDescent="0.3">
      <c r="E3980" s="23"/>
      <c r="G3980" s="23"/>
    </row>
    <row r="3981" spans="5:7" x14ac:dyDescent="0.3">
      <c r="E3981" s="23"/>
      <c r="G3981" s="23"/>
    </row>
    <row r="3982" spans="5:7" x14ac:dyDescent="0.3">
      <c r="E3982" s="23"/>
      <c r="G3982" s="23"/>
    </row>
    <row r="3983" spans="5:7" x14ac:dyDescent="0.3">
      <c r="E3983" s="23"/>
      <c r="G3983" s="23"/>
    </row>
    <row r="3984" spans="5:7" x14ac:dyDescent="0.3">
      <c r="E3984" s="23"/>
      <c r="G3984" s="23"/>
    </row>
    <row r="3985" spans="5:7" x14ac:dyDescent="0.3">
      <c r="E3985" s="23"/>
      <c r="G3985" s="23"/>
    </row>
    <row r="3986" spans="5:7" x14ac:dyDescent="0.3">
      <c r="E3986" s="23"/>
      <c r="G3986" s="23"/>
    </row>
    <row r="3987" spans="5:7" x14ac:dyDescent="0.3">
      <c r="E3987" s="23"/>
      <c r="G3987" s="23"/>
    </row>
    <row r="3988" spans="5:7" x14ac:dyDescent="0.3">
      <c r="E3988" s="23"/>
      <c r="G3988" s="23"/>
    </row>
    <row r="3989" spans="5:7" x14ac:dyDescent="0.3">
      <c r="E3989" s="23"/>
      <c r="G3989" s="23"/>
    </row>
    <row r="3990" spans="5:7" x14ac:dyDescent="0.3">
      <c r="E3990" s="23"/>
      <c r="G3990" s="23"/>
    </row>
    <row r="3991" spans="5:7" x14ac:dyDescent="0.3">
      <c r="E3991" s="23"/>
      <c r="G3991" s="23"/>
    </row>
    <row r="3992" spans="5:7" x14ac:dyDescent="0.3">
      <c r="E3992" s="23"/>
      <c r="G3992" s="23"/>
    </row>
    <row r="3993" spans="5:7" x14ac:dyDescent="0.3">
      <c r="E3993" s="23"/>
      <c r="G3993" s="23"/>
    </row>
    <row r="3994" spans="5:7" x14ac:dyDescent="0.3">
      <c r="E3994" s="23"/>
      <c r="G3994" s="23"/>
    </row>
    <row r="3995" spans="5:7" x14ac:dyDescent="0.3">
      <c r="E3995" s="23"/>
      <c r="G3995" s="23"/>
    </row>
    <row r="3996" spans="5:7" x14ac:dyDescent="0.3">
      <c r="E3996" s="23"/>
      <c r="G3996" s="23"/>
    </row>
    <row r="3997" spans="5:7" x14ac:dyDescent="0.3">
      <c r="E3997" s="23"/>
      <c r="G3997" s="23"/>
    </row>
    <row r="3998" spans="5:7" x14ac:dyDescent="0.3">
      <c r="E3998" s="23"/>
      <c r="G3998" s="23"/>
    </row>
    <row r="3999" spans="5:7" x14ac:dyDescent="0.3">
      <c r="E3999" s="23"/>
      <c r="G3999" s="23"/>
    </row>
    <row r="4000" spans="5:7" x14ac:dyDescent="0.3">
      <c r="E4000" s="23"/>
      <c r="G4000" s="23"/>
    </row>
    <row r="4001" spans="5:7" x14ac:dyDescent="0.3">
      <c r="E4001" s="23"/>
      <c r="G4001" s="23"/>
    </row>
    <row r="4002" spans="5:7" x14ac:dyDescent="0.3">
      <c r="E4002" s="23"/>
      <c r="G4002" s="23"/>
    </row>
    <row r="4003" spans="5:7" x14ac:dyDescent="0.3">
      <c r="E4003" s="23"/>
      <c r="G4003" s="23"/>
    </row>
    <row r="4004" spans="5:7" x14ac:dyDescent="0.3">
      <c r="E4004" s="23"/>
      <c r="G4004" s="23"/>
    </row>
    <row r="4005" spans="5:7" x14ac:dyDescent="0.3">
      <c r="E4005" s="23"/>
      <c r="G4005" s="23"/>
    </row>
    <row r="4006" spans="5:7" x14ac:dyDescent="0.3">
      <c r="E4006" s="23"/>
      <c r="G4006" s="23"/>
    </row>
    <row r="4007" spans="5:7" x14ac:dyDescent="0.3">
      <c r="E4007" s="23"/>
      <c r="G4007" s="23"/>
    </row>
    <row r="4008" spans="5:7" x14ac:dyDescent="0.3">
      <c r="E4008" s="23"/>
      <c r="G4008" s="23"/>
    </row>
    <row r="4009" spans="5:7" x14ac:dyDescent="0.3">
      <c r="E4009" s="23"/>
      <c r="G4009" s="23"/>
    </row>
    <row r="4010" spans="5:7" x14ac:dyDescent="0.3">
      <c r="E4010" s="23"/>
      <c r="G4010" s="23"/>
    </row>
    <row r="4011" spans="5:7" x14ac:dyDescent="0.3">
      <c r="E4011" s="23"/>
      <c r="G4011" s="23"/>
    </row>
    <row r="4012" spans="5:7" x14ac:dyDescent="0.3">
      <c r="E4012" s="23"/>
      <c r="G4012" s="23"/>
    </row>
    <row r="4013" spans="5:7" x14ac:dyDescent="0.3">
      <c r="E4013" s="23"/>
      <c r="G4013" s="23"/>
    </row>
    <row r="4014" spans="5:7" x14ac:dyDescent="0.3">
      <c r="E4014" s="23"/>
      <c r="G4014" s="23"/>
    </row>
    <row r="4015" spans="5:7" x14ac:dyDescent="0.3">
      <c r="E4015" s="23"/>
      <c r="G4015" s="23"/>
    </row>
    <row r="4016" spans="5:7" x14ac:dyDescent="0.3">
      <c r="E4016" s="23"/>
      <c r="G4016" s="23"/>
    </row>
    <row r="4017" spans="5:7" x14ac:dyDescent="0.3">
      <c r="E4017" s="23"/>
      <c r="G4017" s="23"/>
    </row>
    <row r="4018" spans="5:7" x14ac:dyDescent="0.3">
      <c r="E4018" s="23"/>
      <c r="G4018" s="23"/>
    </row>
    <row r="4019" spans="5:7" x14ac:dyDescent="0.3">
      <c r="E4019" s="23"/>
      <c r="G4019" s="23"/>
    </row>
    <row r="4020" spans="5:7" x14ac:dyDescent="0.3">
      <c r="E4020" s="23"/>
      <c r="G4020" s="23"/>
    </row>
    <row r="4021" spans="5:7" x14ac:dyDescent="0.3">
      <c r="E4021" s="23"/>
      <c r="G4021" s="23"/>
    </row>
    <row r="4022" spans="5:7" x14ac:dyDescent="0.3">
      <c r="E4022" s="23"/>
      <c r="G4022" s="23"/>
    </row>
    <row r="4023" spans="5:7" x14ac:dyDescent="0.3">
      <c r="E4023" s="23"/>
      <c r="G4023" s="23"/>
    </row>
    <row r="4024" spans="5:7" x14ac:dyDescent="0.3">
      <c r="E4024" s="23"/>
      <c r="G4024" s="23"/>
    </row>
    <row r="4025" spans="5:7" x14ac:dyDescent="0.3">
      <c r="E4025" s="23"/>
      <c r="G4025" s="23"/>
    </row>
    <row r="4026" spans="5:7" x14ac:dyDescent="0.3">
      <c r="E4026" s="23"/>
      <c r="G4026" s="23"/>
    </row>
    <row r="4027" spans="5:7" x14ac:dyDescent="0.3">
      <c r="E4027" s="23"/>
      <c r="G4027" s="23"/>
    </row>
    <row r="4028" spans="5:7" x14ac:dyDescent="0.3">
      <c r="E4028" s="23"/>
      <c r="G4028" s="23"/>
    </row>
    <row r="4029" spans="5:7" x14ac:dyDescent="0.3">
      <c r="E4029" s="23"/>
      <c r="G4029" s="23"/>
    </row>
    <row r="4030" spans="5:7" x14ac:dyDescent="0.3">
      <c r="E4030" s="23"/>
      <c r="G4030" s="23"/>
    </row>
    <row r="4031" spans="5:7" x14ac:dyDescent="0.3">
      <c r="E4031" s="23"/>
      <c r="G4031" s="23"/>
    </row>
    <row r="4032" spans="5:7" x14ac:dyDescent="0.3">
      <c r="E4032" s="23"/>
      <c r="G4032" s="23"/>
    </row>
    <row r="4033" spans="5:7" x14ac:dyDescent="0.3">
      <c r="E4033" s="23"/>
      <c r="G4033" s="23"/>
    </row>
    <row r="4034" spans="5:7" x14ac:dyDescent="0.3">
      <c r="E4034" s="23"/>
      <c r="G4034" s="23"/>
    </row>
    <row r="4035" spans="5:7" x14ac:dyDescent="0.3">
      <c r="E4035" s="23"/>
      <c r="G4035" s="23"/>
    </row>
    <row r="4036" spans="5:7" x14ac:dyDescent="0.3">
      <c r="E4036" s="23"/>
      <c r="G4036" s="23"/>
    </row>
    <row r="4037" spans="5:7" x14ac:dyDescent="0.3">
      <c r="E4037" s="23"/>
      <c r="G4037" s="23"/>
    </row>
    <row r="4038" spans="5:7" x14ac:dyDescent="0.3">
      <c r="E4038" s="23"/>
      <c r="G4038" s="23"/>
    </row>
    <row r="4039" spans="5:7" x14ac:dyDescent="0.3">
      <c r="E4039" s="23"/>
      <c r="G4039" s="23"/>
    </row>
    <row r="4040" spans="5:7" x14ac:dyDescent="0.3">
      <c r="E4040" s="23"/>
      <c r="G4040" s="23"/>
    </row>
    <row r="4041" spans="5:7" x14ac:dyDescent="0.3">
      <c r="E4041" s="23"/>
      <c r="G4041" s="23"/>
    </row>
    <row r="4042" spans="5:7" x14ac:dyDescent="0.3">
      <c r="E4042" s="23"/>
      <c r="G4042" s="23"/>
    </row>
    <row r="4043" spans="5:7" x14ac:dyDescent="0.3">
      <c r="E4043" s="23"/>
      <c r="G4043" s="23"/>
    </row>
    <row r="4044" spans="5:7" x14ac:dyDescent="0.3">
      <c r="E4044" s="23"/>
      <c r="G4044" s="23"/>
    </row>
    <row r="4045" spans="5:7" x14ac:dyDescent="0.3">
      <c r="E4045" s="23"/>
      <c r="G4045" s="23"/>
    </row>
    <row r="4046" spans="5:7" x14ac:dyDescent="0.3">
      <c r="E4046" s="23"/>
      <c r="G4046" s="23"/>
    </row>
    <row r="4047" spans="5:7" x14ac:dyDescent="0.3">
      <c r="E4047" s="23"/>
      <c r="G4047" s="23"/>
    </row>
    <row r="4048" spans="5:7" x14ac:dyDescent="0.3">
      <c r="E4048" s="23"/>
      <c r="G4048" s="23"/>
    </row>
    <row r="4049" spans="5:7" x14ac:dyDescent="0.3">
      <c r="E4049" s="23"/>
      <c r="G4049" s="23"/>
    </row>
    <row r="4050" spans="5:7" x14ac:dyDescent="0.3">
      <c r="E4050" s="23"/>
      <c r="G4050" s="23"/>
    </row>
    <row r="4051" spans="5:7" x14ac:dyDescent="0.3">
      <c r="E4051" s="23"/>
      <c r="G4051" s="23"/>
    </row>
    <row r="4052" spans="5:7" x14ac:dyDescent="0.3">
      <c r="E4052" s="23"/>
      <c r="G4052" s="23"/>
    </row>
    <row r="4053" spans="5:7" x14ac:dyDescent="0.3">
      <c r="E4053" s="23"/>
      <c r="G4053" s="23"/>
    </row>
    <row r="4054" spans="5:7" x14ac:dyDescent="0.3">
      <c r="E4054" s="23"/>
      <c r="G4054" s="23"/>
    </row>
    <row r="4055" spans="5:7" x14ac:dyDescent="0.3">
      <c r="E4055" s="23"/>
      <c r="G4055" s="23"/>
    </row>
    <row r="4056" spans="5:7" x14ac:dyDescent="0.3">
      <c r="E4056" s="23"/>
      <c r="G4056" s="23"/>
    </row>
    <row r="4057" spans="5:7" x14ac:dyDescent="0.3">
      <c r="E4057" s="23"/>
      <c r="G4057" s="23"/>
    </row>
    <row r="4058" spans="5:7" x14ac:dyDescent="0.3">
      <c r="E4058" s="23"/>
      <c r="G4058" s="23"/>
    </row>
    <row r="4059" spans="5:7" x14ac:dyDescent="0.3">
      <c r="E4059" s="23"/>
      <c r="G4059" s="23"/>
    </row>
    <row r="4060" spans="5:7" x14ac:dyDescent="0.3">
      <c r="E4060" s="23"/>
      <c r="G4060" s="23"/>
    </row>
    <row r="4061" spans="5:7" x14ac:dyDescent="0.3">
      <c r="E4061" s="23"/>
      <c r="G4061" s="23"/>
    </row>
    <row r="4062" spans="5:7" x14ac:dyDescent="0.3">
      <c r="E4062" s="23"/>
      <c r="G4062" s="23"/>
    </row>
    <row r="4063" spans="5:7" x14ac:dyDescent="0.3">
      <c r="E4063" s="23"/>
      <c r="G4063" s="23"/>
    </row>
    <row r="4064" spans="5:7" x14ac:dyDescent="0.3">
      <c r="E4064" s="23"/>
      <c r="G4064" s="23"/>
    </row>
    <row r="4065" spans="5:7" x14ac:dyDescent="0.3">
      <c r="E4065" s="23"/>
      <c r="G4065" s="23"/>
    </row>
    <row r="4066" spans="5:7" x14ac:dyDescent="0.3">
      <c r="E4066" s="23"/>
      <c r="G4066" s="23"/>
    </row>
    <row r="4067" spans="5:7" x14ac:dyDescent="0.3">
      <c r="E4067" s="23"/>
      <c r="G4067" s="23"/>
    </row>
    <row r="4068" spans="5:7" x14ac:dyDescent="0.3">
      <c r="E4068" s="23"/>
      <c r="G4068" s="23"/>
    </row>
    <row r="4069" spans="5:7" x14ac:dyDescent="0.3">
      <c r="E4069" s="23"/>
      <c r="G4069" s="23"/>
    </row>
    <row r="4070" spans="5:7" x14ac:dyDescent="0.3">
      <c r="E4070" s="23"/>
      <c r="G4070" s="23"/>
    </row>
    <row r="4071" spans="5:7" x14ac:dyDescent="0.3">
      <c r="E4071" s="23"/>
      <c r="G4071" s="23"/>
    </row>
    <row r="4072" spans="5:7" x14ac:dyDescent="0.3">
      <c r="E4072" s="23"/>
      <c r="G4072" s="23"/>
    </row>
    <row r="4073" spans="5:7" x14ac:dyDescent="0.3">
      <c r="E4073" s="23"/>
      <c r="G4073" s="23"/>
    </row>
    <row r="4074" spans="5:7" x14ac:dyDescent="0.3">
      <c r="E4074" s="23"/>
      <c r="G4074" s="23"/>
    </row>
    <row r="4075" spans="5:7" x14ac:dyDescent="0.3">
      <c r="E4075" s="23"/>
      <c r="G4075" s="23"/>
    </row>
    <row r="4076" spans="5:7" x14ac:dyDescent="0.3">
      <c r="E4076" s="23"/>
      <c r="G4076" s="23"/>
    </row>
    <row r="4077" spans="5:7" x14ac:dyDescent="0.3">
      <c r="E4077" s="23"/>
      <c r="G4077" s="23"/>
    </row>
    <row r="4078" spans="5:7" x14ac:dyDescent="0.3">
      <c r="E4078" s="23"/>
      <c r="G4078" s="23"/>
    </row>
    <row r="4079" spans="5:7" x14ac:dyDescent="0.3">
      <c r="E4079" s="23"/>
      <c r="G4079" s="23"/>
    </row>
    <row r="4080" spans="5:7" x14ac:dyDescent="0.3">
      <c r="E4080" s="23"/>
      <c r="G4080" s="23"/>
    </row>
    <row r="4081" spans="5:7" x14ac:dyDescent="0.3">
      <c r="E4081" s="23"/>
      <c r="G4081" s="23"/>
    </row>
    <row r="4082" spans="5:7" x14ac:dyDescent="0.3">
      <c r="E4082" s="23"/>
      <c r="G4082" s="23"/>
    </row>
    <row r="4083" spans="5:7" x14ac:dyDescent="0.3">
      <c r="E4083" s="23"/>
      <c r="G4083" s="23"/>
    </row>
    <row r="4084" spans="5:7" x14ac:dyDescent="0.3">
      <c r="E4084" s="23"/>
      <c r="G4084" s="23"/>
    </row>
    <row r="4085" spans="5:7" x14ac:dyDescent="0.3">
      <c r="E4085" s="23"/>
      <c r="G4085" s="23"/>
    </row>
    <row r="4086" spans="5:7" x14ac:dyDescent="0.3">
      <c r="E4086" s="23"/>
      <c r="G4086" s="23"/>
    </row>
    <row r="4087" spans="5:7" x14ac:dyDescent="0.3">
      <c r="E4087" s="23"/>
      <c r="G4087" s="23"/>
    </row>
    <row r="4088" spans="5:7" x14ac:dyDescent="0.3">
      <c r="E4088" s="23"/>
      <c r="G4088" s="23"/>
    </row>
    <row r="4089" spans="5:7" x14ac:dyDescent="0.3">
      <c r="E4089" s="23"/>
      <c r="G4089" s="23"/>
    </row>
    <row r="4090" spans="5:7" x14ac:dyDescent="0.3">
      <c r="E4090" s="23"/>
      <c r="G4090" s="23"/>
    </row>
    <row r="4091" spans="5:7" x14ac:dyDescent="0.3">
      <c r="E4091" s="23"/>
      <c r="G4091" s="23"/>
    </row>
    <row r="4092" spans="5:7" x14ac:dyDescent="0.3">
      <c r="E4092" s="23"/>
      <c r="G4092" s="23"/>
    </row>
    <row r="4093" spans="5:7" x14ac:dyDescent="0.3">
      <c r="E4093" s="23"/>
      <c r="G4093" s="23"/>
    </row>
    <row r="4094" spans="5:7" x14ac:dyDescent="0.3">
      <c r="E4094" s="23"/>
      <c r="G4094" s="23"/>
    </row>
    <row r="4095" spans="5:7" x14ac:dyDescent="0.3">
      <c r="E4095" s="23"/>
      <c r="G4095" s="23"/>
    </row>
    <row r="4096" spans="5:7" x14ac:dyDescent="0.3">
      <c r="E4096" s="23"/>
      <c r="G4096" s="23"/>
    </row>
    <row r="4097" spans="5:7" x14ac:dyDescent="0.3">
      <c r="E4097" s="23"/>
      <c r="G4097" s="23"/>
    </row>
    <row r="4098" spans="5:7" x14ac:dyDescent="0.3">
      <c r="E4098" s="23"/>
      <c r="G4098" s="23"/>
    </row>
    <row r="4099" spans="5:7" x14ac:dyDescent="0.3">
      <c r="E4099" s="23"/>
      <c r="G4099" s="23"/>
    </row>
    <row r="4100" spans="5:7" x14ac:dyDescent="0.3">
      <c r="E4100" s="23"/>
      <c r="G4100" s="23"/>
    </row>
    <row r="4101" spans="5:7" x14ac:dyDescent="0.3">
      <c r="E4101" s="23"/>
      <c r="G4101" s="23"/>
    </row>
    <row r="4102" spans="5:7" x14ac:dyDescent="0.3">
      <c r="E4102" s="23"/>
      <c r="G4102" s="23"/>
    </row>
    <row r="4103" spans="5:7" x14ac:dyDescent="0.3">
      <c r="E4103" s="23"/>
      <c r="G4103" s="23"/>
    </row>
    <row r="4104" spans="5:7" x14ac:dyDescent="0.3">
      <c r="E4104" s="23"/>
      <c r="G4104" s="23"/>
    </row>
    <row r="4105" spans="5:7" x14ac:dyDescent="0.3">
      <c r="E4105" s="23"/>
      <c r="G4105" s="23"/>
    </row>
    <row r="4106" spans="5:7" x14ac:dyDescent="0.3">
      <c r="E4106" s="23"/>
      <c r="G4106" s="23"/>
    </row>
    <row r="4107" spans="5:7" x14ac:dyDescent="0.3">
      <c r="E4107" s="23"/>
      <c r="G4107" s="23"/>
    </row>
    <row r="4108" spans="5:7" x14ac:dyDescent="0.3">
      <c r="E4108" s="23"/>
      <c r="G4108" s="23"/>
    </row>
    <row r="4109" spans="5:7" x14ac:dyDescent="0.3">
      <c r="E4109" s="23"/>
      <c r="G4109" s="23"/>
    </row>
    <row r="4110" spans="5:7" x14ac:dyDescent="0.3">
      <c r="E4110" s="23"/>
      <c r="G4110" s="23"/>
    </row>
    <row r="4111" spans="5:7" x14ac:dyDescent="0.3">
      <c r="E4111" s="23"/>
      <c r="G4111" s="23"/>
    </row>
    <row r="4112" spans="5:7" x14ac:dyDescent="0.3">
      <c r="E4112" s="23"/>
      <c r="G4112" s="23"/>
    </row>
    <row r="4113" spans="5:7" x14ac:dyDescent="0.3">
      <c r="E4113" s="23"/>
      <c r="G4113" s="23"/>
    </row>
    <row r="4114" spans="5:7" x14ac:dyDescent="0.3">
      <c r="E4114" s="23"/>
      <c r="G4114" s="23"/>
    </row>
    <row r="4115" spans="5:7" x14ac:dyDescent="0.3">
      <c r="E4115" s="23"/>
      <c r="G4115" s="23"/>
    </row>
    <row r="4116" spans="5:7" x14ac:dyDescent="0.3">
      <c r="E4116" s="23"/>
      <c r="G4116" s="23"/>
    </row>
    <row r="4117" spans="5:7" x14ac:dyDescent="0.3">
      <c r="E4117" s="23"/>
      <c r="G4117" s="23"/>
    </row>
    <row r="4118" spans="5:7" x14ac:dyDescent="0.3">
      <c r="E4118" s="23"/>
      <c r="G4118" s="23"/>
    </row>
    <row r="4119" spans="5:7" x14ac:dyDescent="0.3">
      <c r="E4119" s="23"/>
      <c r="G4119" s="23"/>
    </row>
    <row r="4120" spans="5:7" x14ac:dyDescent="0.3">
      <c r="E4120" s="23"/>
      <c r="G4120" s="23"/>
    </row>
    <row r="4121" spans="5:7" x14ac:dyDescent="0.3">
      <c r="E4121" s="23"/>
      <c r="G4121" s="23"/>
    </row>
    <row r="4122" spans="5:7" x14ac:dyDescent="0.3">
      <c r="E4122" s="23"/>
      <c r="G4122" s="23"/>
    </row>
    <row r="4123" spans="5:7" x14ac:dyDescent="0.3">
      <c r="E4123" s="23"/>
      <c r="G4123" s="23"/>
    </row>
    <row r="4124" spans="5:7" x14ac:dyDescent="0.3">
      <c r="E4124" s="23"/>
      <c r="G4124" s="23"/>
    </row>
    <row r="4125" spans="5:7" x14ac:dyDescent="0.3">
      <c r="E4125" s="23"/>
      <c r="G4125" s="23"/>
    </row>
    <row r="4126" spans="5:7" x14ac:dyDescent="0.3">
      <c r="E4126" s="23"/>
      <c r="G4126" s="23"/>
    </row>
    <row r="4127" spans="5:7" x14ac:dyDescent="0.3">
      <c r="E4127" s="23"/>
      <c r="G4127" s="23"/>
    </row>
    <row r="4128" spans="5:7" x14ac:dyDescent="0.3">
      <c r="E4128" s="23"/>
      <c r="G4128" s="23"/>
    </row>
    <row r="4129" spans="5:7" x14ac:dyDescent="0.3">
      <c r="E4129" s="23"/>
      <c r="G4129" s="23"/>
    </row>
    <row r="4130" spans="5:7" x14ac:dyDescent="0.3">
      <c r="E4130" s="23"/>
      <c r="G4130" s="23"/>
    </row>
    <row r="4131" spans="5:7" x14ac:dyDescent="0.3">
      <c r="E4131" s="23"/>
      <c r="G4131" s="23"/>
    </row>
    <row r="4132" spans="5:7" x14ac:dyDescent="0.3">
      <c r="E4132" s="23"/>
      <c r="G4132" s="23"/>
    </row>
    <row r="4133" spans="5:7" x14ac:dyDescent="0.3">
      <c r="E4133" s="23"/>
      <c r="G4133" s="23"/>
    </row>
    <row r="4134" spans="5:7" x14ac:dyDescent="0.3">
      <c r="E4134" s="23"/>
      <c r="G4134" s="23"/>
    </row>
    <row r="4135" spans="5:7" x14ac:dyDescent="0.3">
      <c r="E4135" s="23"/>
      <c r="G4135" s="23"/>
    </row>
    <row r="4136" spans="5:7" x14ac:dyDescent="0.3">
      <c r="E4136" s="23"/>
      <c r="G4136" s="23"/>
    </row>
    <row r="4137" spans="5:7" x14ac:dyDescent="0.3">
      <c r="E4137" s="23"/>
      <c r="G4137" s="23"/>
    </row>
    <row r="4138" spans="5:7" x14ac:dyDescent="0.3">
      <c r="E4138" s="23"/>
      <c r="G4138" s="23"/>
    </row>
    <row r="4139" spans="5:7" x14ac:dyDescent="0.3">
      <c r="E4139" s="23"/>
      <c r="G4139" s="23"/>
    </row>
    <row r="4140" spans="5:7" x14ac:dyDescent="0.3">
      <c r="E4140" s="23"/>
      <c r="G4140" s="23"/>
    </row>
    <row r="4141" spans="5:7" x14ac:dyDescent="0.3">
      <c r="E4141" s="23"/>
      <c r="G4141" s="23"/>
    </row>
    <row r="4142" spans="5:7" x14ac:dyDescent="0.3">
      <c r="E4142" s="23"/>
      <c r="G4142" s="23"/>
    </row>
    <row r="4143" spans="5:7" x14ac:dyDescent="0.3">
      <c r="E4143" s="23"/>
      <c r="G4143" s="23"/>
    </row>
    <row r="4144" spans="5:7" x14ac:dyDescent="0.3">
      <c r="E4144" s="23"/>
      <c r="G4144" s="23"/>
    </row>
    <row r="4145" spans="5:7" x14ac:dyDescent="0.3">
      <c r="E4145" s="23"/>
      <c r="G4145" s="23"/>
    </row>
    <row r="4146" spans="5:7" x14ac:dyDescent="0.3">
      <c r="E4146" s="23"/>
      <c r="G4146" s="23"/>
    </row>
    <row r="4147" spans="5:7" x14ac:dyDescent="0.3">
      <c r="E4147" s="23"/>
      <c r="G4147" s="23"/>
    </row>
    <row r="4148" spans="5:7" x14ac:dyDescent="0.3">
      <c r="E4148" s="23"/>
      <c r="G4148" s="23"/>
    </row>
    <row r="4149" spans="5:7" x14ac:dyDescent="0.3">
      <c r="E4149" s="23"/>
      <c r="G4149" s="23"/>
    </row>
    <row r="4150" spans="5:7" x14ac:dyDescent="0.3">
      <c r="E4150" s="23"/>
      <c r="G4150" s="23"/>
    </row>
    <row r="4151" spans="5:7" x14ac:dyDescent="0.3">
      <c r="E4151" s="23"/>
      <c r="G4151" s="23"/>
    </row>
    <row r="4152" spans="5:7" x14ac:dyDescent="0.3">
      <c r="E4152" s="23"/>
      <c r="G4152" s="23"/>
    </row>
    <row r="4153" spans="5:7" x14ac:dyDescent="0.3">
      <c r="E4153" s="23"/>
      <c r="G4153" s="23"/>
    </row>
    <row r="4154" spans="5:7" x14ac:dyDescent="0.3">
      <c r="E4154" s="23"/>
      <c r="G4154" s="23"/>
    </row>
    <row r="4155" spans="5:7" x14ac:dyDescent="0.3">
      <c r="E4155" s="23"/>
      <c r="G4155" s="23"/>
    </row>
    <row r="4156" spans="5:7" x14ac:dyDescent="0.3">
      <c r="E4156" s="23"/>
      <c r="G4156" s="23"/>
    </row>
    <row r="4157" spans="5:7" x14ac:dyDescent="0.3">
      <c r="E4157" s="23"/>
      <c r="G4157" s="23"/>
    </row>
    <row r="4158" spans="5:7" x14ac:dyDescent="0.3">
      <c r="E4158" s="23"/>
      <c r="G4158" s="23"/>
    </row>
    <row r="4159" spans="5:7" x14ac:dyDescent="0.3">
      <c r="E4159" s="23"/>
      <c r="G4159" s="23"/>
    </row>
    <row r="4160" spans="5:7" x14ac:dyDescent="0.3">
      <c r="E4160" s="23"/>
      <c r="G4160" s="23"/>
    </row>
    <row r="4161" spans="5:7" x14ac:dyDescent="0.3">
      <c r="E4161" s="23"/>
      <c r="G4161" s="23"/>
    </row>
    <row r="4162" spans="5:7" x14ac:dyDescent="0.3">
      <c r="E4162" s="23"/>
      <c r="G4162" s="23"/>
    </row>
    <row r="4163" spans="5:7" x14ac:dyDescent="0.3">
      <c r="E4163" s="23"/>
      <c r="G4163" s="23"/>
    </row>
    <row r="4164" spans="5:7" x14ac:dyDescent="0.3">
      <c r="E4164" s="23"/>
      <c r="G4164" s="23"/>
    </row>
    <row r="4165" spans="5:7" x14ac:dyDescent="0.3">
      <c r="E4165" s="23"/>
      <c r="G4165" s="23"/>
    </row>
    <row r="4166" spans="5:7" x14ac:dyDescent="0.3">
      <c r="E4166" s="23"/>
      <c r="G4166" s="23"/>
    </row>
    <row r="4167" spans="5:7" x14ac:dyDescent="0.3">
      <c r="E4167" s="23"/>
      <c r="G4167" s="23"/>
    </row>
    <row r="4168" spans="5:7" x14ac:dyDescent="0.3">
      <c r="E4168" s="23"/>
      <c r="G4168" s="23"/>
    </row>
    <row r="4169" spans="5:7" x14ac:dyDescent="0.3">
      <c r="E4169" s="23"/>
      <c r="G4169" s="23"/>
    </row>
    <row r="4170" spans="5:7" x14ac:dyDescent="0.3">
      <c r="E4170" s="23"/>
      <c r="G4170" s="23"/>
    </row>
    <row r="4171" spans="5:7" x14ac:dyDescent="0.3">
      <c r="E4171" s="23"/>
      <c r="G4171" s="23"/>
    </row>
    <row r="4172" spans="5:7" x14ac:dyDescent="0.3">
      <c r="E4172" s="23"/>
      <c r="G4172" s="23"/>
    </row>
    <row r="4173" spans="5:7" x14ac:dyDescent="0.3">
      <c r="E4173" s="23"/>
      <c r="G4173" s="23"/>
    </row>
    <row r="4174" spans="5:7" x14ac:dyDescent="0.3">
      <c r="E4174" s="23"/>
      <c r="G4174" s="23"/>
    </row>
    <row r="4175" spans="5:7" x14ac:dyDescent="0.3">
      <c r="E4175" s="23"/>
      <c r="G4175" s="23"/>
    </row>
    <row r="4176" spans="5:7" x14ac:dyDescent="0.3">
      <c r="E4176" s="23"/>
      <c r="G4176" s="23"/>
    </row>
    <row r="4177" spans="5:7" x14ac:dyDescent="0.3">
      <c r="E4177" s="23"/>
      <c r="G4177" s="23"/>
    </row>
    <row r="4178" spans="5:7" x14ac:dyDescent="0.3">
      <c r="E4178" s="23"/>
      <c r="G4178" s="23"/>
    </row>
    <row r="4179" spans="5:7" x14ac:dyDescent="0.3">
      <c r="E4179" s="23"/>
      <c r="G4179" s="23"/>
    </row>
    <row r="4180" spans="5:7" x14ac:dyDescent="0.3">
      <c r="E4180" s="23"/>
      <c r="G4180" s="23"/>
    </row>
    <row r="4181" spans="5:7" x14ac:dyDescent="0.3">
      <c r="E4181" s="23"/>
      <c r="G4181" s="23"/>
    </row>
    <row r="4182" spans="5:7" x14ac:dyDescent="0.3">
      <c r="E4182" s="23"/>
      <c r="G4182" s="23"/>
    </row>
    <row r="4183" spans="5:7" x14ac:dyDescent="0.3">
      <c r="E4183" s="23"/>
      <c r="G4183" s="23"/>
    </row>
    <row r="4184" spans="5:7" x14ac:dyDescent="0.3">
      <c r="E4184" s="23"/>
      <c r="G4184" s="23"/>
    </row>
    <row r="4185" spans="5:7" x14ac:dyDescent="0.3">
      <c r="E4185" s="23"/>
      <c r="G4185" s="23"/>
    </row>
    <row r="4186" spans="5:7" x14ac:dyDescent="0.3">
      <c r="E4186" s="23"/>
      <c r="G4186" s="23"/>
    </row>
    <row r="4187" spans="5:7" x14ac:dyDescent="0.3">
      <c r="E4187" s="23"/>
      <c r="G4187" s="23"/>
    </row>
    <row r="4188" spans="5:7" x14ac:dyDescent="0.3">
      <c r="E4188" s="23"/>
      <c r="G4188" s="23"/>
    </row>
    <row r="4189" spans="5:7" x14ac:dyDescent="0.3">
      <c r="E4189" s="23"/>
      <c r="G4189" s="23"/>
    </row>
    <row r="4190" spans="5:7" x14ac:dyDescent="0.3">
      <c r="E4190" s="23"/>
      <c r="G4190" s="23"/>
    </row>
    <row r="4191" spans="5:7" x14ac:dyDescent="0.3">
      <c r="E4191" s="23"/>
      <c r="G4191" s="23"/>
    </row>
    <row r="4192" spans="5:7" x14ac:dyDescent="0.3">
      <c r="E4192" s="23"/>
      <c r="G4192" s="23"/>
    </row>
    <row r="4193" spans="5:7" x14ac:dyDescent="0.3">
      <c r="E4193" s="23"/>
      <c r="G4193" s="23"/>
    </row>
    <row r="4194" spans="5:7" x14ac:dyDescent="0.3">
      <c r="E4194" s="23"/>
      <c r="G4194" s="23"/>
    </row>
    <row r="4195" spans="5:7" x14ac:dyDescent="0.3">
      <c r="E4195" s="23"/>
      <c r="G4195" s="23"/>
    </row>
    <row r="4196" spans="5:7" x14ac:dyDescent="0.3">
      <c r="E4196" s="23"/>
      <c r="G4196" s="23"/>
    </row>
    <row r="4197" spans="5:7" x14ac:dyDescent="0.3">
      <c r="E4197" s="23"/>
      <c r="G4197" s="23"/>
    </row>
    <row r="4198" spans="5:7" x14ac:dyDescent="0.3">
      <c r="E4198" s="23"/>
      <c r="G4198" s="23"/>
    </row>
    <row r="4199" spans="5:7" x14ac:dyDescent="0.3">
      <c r="E4199" s="23"/>
      <c r="G4199" s="23"/>
    </row>
    <row r="4200" spans="5:7" x14ac:dyDescent="0.3">
      <c r="E4200" s="23"/>
      <c r="G4200" s="23"/>
    </row>
    <row r="4201" spans="5:7" x14ac:dyDescent="0.3">
      <c r="E4201" s="23"/>
      <c r="G4201" s="23"/>
    </row>
    <row r="4202" spans="5:7" x14ac:dyDescent="0.3">
      <c r="E4202" s="23"/>
      <c r="G4202" s="23"/>
    </row>
    <row r="4203" spans="5:7" x14ac:dyDescent="0.3">
      <c r="E4203" s="23"/>
      <c r="G4203" s="23"/>
    </row>
    <row r="4204" spans="5:7" x14ac:dyDescent="0.3">
      <c r="E4204" s="23"/>
      <c r="G4204" s="23"/>
    </row>
    <row r="4205" spans="5:7" x14ac:dyDescent="0.3">
      <c r="E4205" s="23"/>
      <c r="G4205" s="23"/>
    </row>
    <row r="4206" spans="5:7" x14ac:dyDescent="0.3">
      <c r="E4206" s="23"/>
      <c r="G4206" s="23"/>
    </row>
    <row r="4207" spans="5:7" x14ac:dyDescent="0.3">
      <c r="E4207" s="23"/>
      <c r="G4207" s="23"/>
    </row>
    <row r="4208" spans="5:7" x14ac:dyDescent="0.3">
      <c r="E4208" s="23"/>
      <c r="G4208" s="23"/>
    </row>
    <row r="4209" spans="5:7" x14ac:dyDescent="0.3">
      <c r="E4209" s="23"/>
      <c r="G4209" s="23"/>
    </row>
    <row r="4210" spans="5:7" x14ac:dyDescent="0.3">
      <c r="E4210" s="23"/>
      <c r="G4210" s="23"/>
    </row>
    <row r="4211" spans="5:7" x14ac:dyDescent="0.3">
      <c r="E4211" s="23"/>
      <c r="G4211" s="23"/>
    </row>
    <row r="4212" spans="5:7" x14ac:dyDescent="0.3">
      <c r="E4212" s="23"/>
      <c r="G4212" s="23"/>
    </row>
    <row r="4213" spans="5:7" x14ac:dyDescent="0.3">
      <c r="E4213" s="23"/>
      <c r="G4213" s="23"/>
    </row>
    <row r="4214" spans="5:7" x14ac:dyDescent="0.3">
      <c r="E4214" s="23"/>
      <c r="G4214" s="23"/>
    </row>
    <row r="4215" spans="5:7" x14ac:dyDescent="0.3">
      <c r="E4215" s="23"/>
      <c r="G4215" s="23"/>
    </row>
    <row r="4216" spans="5:7" x14ac:dyDescent="0.3">
      <c r="E4216" s="23"/>
      <c r="G4216" s="23"/>
    </row>
    <row r="4217" spans="5:7" x14ac:dyDescent="0.3">
      <c r="E4217" s="23"/>
      <c r="G4217" s="23"/>
    </row>
    <row r="4218" spans="5:7" x14ac:dyDescent="0.3">
      <c r="E4218" s="23"/>
      <c r="G4218" s="23"/>
    </row>
    <row r="4219" spans="5:7" x14ac:dyDescent="0.3">
      <c r="E4219" s="23"/>
      <c r="G4219" s="23"/>
    </row>
    <row r="4220" spans="5:7" x14ac:dyDescent="0.3">
      <c r="E4220" s="23"/>
      <c r="G4220" s="23"/>
    </row>
    <row r="4221" spans="5:7" x14ac:dyDescent="0.3">
      <c r="E4221" s="23"/>
      <c r="G4221" s="23"/>
    </row>
    <row r="4222" spans="5:7" x14ac:dyDescent="0.3">
      <c r="E4222" s="23"/>
      <c r="G4222" s="23"/>
    </row>
    <row r="4223" spans="5:7" x14ac:dyDescent="0.3">
      <c r="E4223" s="23"/>
      <c r="G4223" s="23"/>
    </row>
    <row r="4224" spans="5:7" x14ac:dyDescent="0.3">
      <c r="E4224" s="23"/>
      <c r="G4224" s="23"/>
    </row>
    <row r="4225" spans="5:7" x14ac:dyDescent="0.3">
      <c r="E4225" s="23"/>
      <c r="G4225" s="23"/>
    </row>
    <row r="4226" spans="5:7" x14ac:dyDescent="0.3">
      <c r="E4226" s="23"/>
      <c r="G4226" s="23"/>
    </row>
    <row r="4227" spans="5:7" x14ac:dyDescent="0.3">
      <c r="E4227" s="23"/>
      <c r="G4227" s="23"/>
    </row>
    <row r="4228" spans="5:7" x14ac:dyDescent="0.3">
      <c r="E4228" s="23"/>
      <c r="G4228" s="23"/>
    </row>
    <row r="4229" spans="5:7" x14ac:dyDescent="0.3">
      <c r="E4229" s="23"/>
      <c r="G4229" s="23"/>
    </row>
    <row r="4230" spans="5:7" x14ac:dyDescent="0.3">
      <c r="E4230" s="23"/>
      <c r="G4230" s="23"/>
    </row>
    <row r="4231" spans="5:7" x14ac:dyDescent="0.3">
      <c r="E4231" s="23"/>
      <c r="G4231" s="23"/>
    </row>
    <row r="4232" spans="5:7" x14ac:dyDescent="0.3">
      <c r="E4232" s="23"/>
      <c r="G4232" s="23"/>
    </row>
    <row r="4233" spans="5:7" x14ac:dyDescent="0.3">
      <c r="E4233" s="23"/>
      <c r="G4233" s="23"/>
    </row>
    <row r="4234" spans="5:7" x14ac:dyDescent="0.3">
      <c r="E4234" s="23"/>
      <c r="G4234" s="23"/>
    </row>
    <row r="4235" spans="5:7" x14ac:dyDescent="0.3">
      <c r="E4235" s="23"/>
      <c r="G4235" s="23"/>
    </row>
    <row r="4236" spans="5:7" x14ac:dyDescent="0.3">
      <c r="E4236" s="23"/>
      <c r="G4236" s="23"/>
    </row>
    <row r="4237" spans="5:7" x14ac:dyDescent="0.3">
      <c r="E4237" s="23"/>
      <c r="G4237" s="23"/>
    </row>
    <row r="4238" spans="5:7" x14ac:dyDescent="0.3">
      <c r="E4238" s="23"/>
      <c r="G4238" s="23"/>
    </row>
    <row r="4239" spans="5:7" x14ac:dyDescent="0.3">
      <c r="E4239" s="23"/>
      <c r="G4239" s="23"/>
    </row>
    <row r="4240" spans="5:7" x14ac:dyDescent="0.3">
      <c r="E4240" s="23"/>
      <c r="G4240" s="23"/>
    </row>
    <row r="4241" spans="5:7" x14ac:dyDescent="0.3">
      <c r="E4241" s="23"/>
      <c r="G4241" s="23"/>
    </row>
    <row r="4242" spans="5:7" x14ac:dyDescent="0.3">
      <c r="E4242" s="23"/>
      <c r="G4242" s="23"/>
    </row>
    <row r="4243" spans="5:7" x14ac:dyDescent="0.3">
      <c r="E4243" s="23"/>
      <c r="G4243" s="23"/>
    </row>
    <row r="4244" spans="5:7" x14ac:dyDescent="0.3">
      <c r="E4244" s="23"/>
      <c r="G4244" s="23"/>
    </row>
    <row r="4245" spans="5:7" x14ac:dyDescent="0.3">
      <c r="E4245" s="23"/>
      <c r="G4245" s="23"/>
    </row>
    <row r="4246" spans="5:7" x14ac:dyDescent="0.3">
      <c r="E4246" s="23"/>
      <c r="G4246" s="23"/>
    </row>
    <row r="4247" spans="5:7" x14ac:dyDescent="0.3">
      <c r="E4247" s="23"/>
      <c r="G4247" s="23"/>
    </row>
    <row r="4248" spans="5:7" x14ac:dyDescent="0.3">
      <c r="E4248" s="23"/>
      <c r="G4248" s="23"/>
    </row>
    <row r="4249" spans="5:7" x14ac:dyDescent="0.3">
      <c r="E4249" s="23"/>
      <c r="G4249" s="23"/>
    </row>
    <row r="4250" spans="5:7" x14ac:dyDescent="0.3">
      <c r="E4250" s="23"/>
      <c r="G4250" s="23"/>
    </row>
    <row r="4251" spans="5:7" x14ac:dyDescent="0.3">
      <c r="E4251" s="23"/>
      <c r="G4251" s="23"/>
    </row>
    <row r="4252" spans="5:7" x14ac:dyDescent="0.3">
      <c r="E4252" s="23"/>
      <c r="G4252" s="23"/>
    </row>
    <row r="4253" spans="5:7" x14ac:dyDescent="0.3">
      <c r="E4253" s="23"/>
      <c r="G4253" s="23"/>
    </row>
    <row r="4254" spans="5:7" x14ac:dyDescent="0.3">
      <c r="E4254" s="23"/>
      <c r="G4254" s="23"/>
    </row>
    <row r="4255" spans="5:7" x14ac:dyDescent="0.3">
      <c r="E4255" s="23"/>
      <c r="G4255" s="23"/>
    </row>
    <row r="4256" spans="5:7" x14ac:dyDescent="0.3">
      <c r="E4256" s="23"/>
      <c r="G4256" s="23"/>
    </row>
    <row r="4257" spans="5:7" x14ac:dyDescent="0.3">
      <c r="E4257" s="23"/>
      <c r="G4257" s="23"/>
    </row>
    <row r="4258" spans="5:7" x14ac:dyDescent="0.3">
      <c r="E4258" s="23"/>
      <c r="G4258" s="23"/>
    </row>
    <row r="4259" spans="5:7" x14ac:dyDescent="0.3">
      <c r="E4259" s="23"/>
      <c r="G4259" s="23"/>
    </row>
    <row r="4260" spans="5:7" x14ac:dyDescent="0.3">
      <c r="E4260" s="23"/>
      <c r="G4260" s="23"/>
    </row>
    <row r="4261" spans="5:7" x14ac:dyDescent="0.3">
      <c r="E4261" s="23"/>
      <c r="G4261" s="23"/>
    </row>
    <row r="4262" spans="5:7" x14ac:dyDescent="0.3">
      <c r="E4262" s="23"/>
      <c r="G4262" s="23"/>
    </row>
    <row r="4263" spans="5:7" x14ac:dyDescent="0.3">
      <c r="E4263" s="23"/>
      <c r="G4263" s="23"/>
    </row>
    <row r="4264" spans="5:7" x14ac:dyDescent="0.3">
      <c r="E4264" s="23"/>
      <c r="G4264" s="23"/>
    </row>
    <row r="4265" spans="5:7" x14ac:dyDescent="0.3">
      <c r="E4265" s="23"/>
      <c r="G4265" s="23"/>
    </row>
    <row r="4266" spans="5:7" x14ac:dyDescent="0.3">
      <c r="E4266" s="23"/>
      <c r="G4266" s="23"/>
    </row>
    <row r="4267" spans="5:7" x14ac:dyDescent="0.3">
      <c r="E4267" s="23"/>
      <c r="G4267" s="23"/>
    </row>
    <row r="4268" spans="5:7" x14ac:dyDescent="0.3">
      <c r="E4268" s="23"/>
      <c r="G4268" s="23"/>
    </row>
    <row r="4269" spans="5:7" x14ac:dyDescent="0.3">
      <c r="E4269" s="23"/>
      <c r="G4269" s="23"/>
    </row>
    <row r="4270" spans="5:7" x14ac:dyDescent="0.3">
      <c r="E4270" s="23"/>
      <c r="G4270" s="23"/>
    </row>
    <row r="4271" spans="5:7" x14ac:dyDescent="0.3">
      <c r="E4271" s="23"/>
      <c r="G4271" s="23"/>
    </row>
    <row r="4272" spans="5:7" x14ac:dyDescent="0.3">
      <c r="E4272" s="23"/>
      <c r="G4272" s="23"/>
    </row>
    <row r="4273" spans="5:7" x14ac:dyDescent="0.3">
      <c r="E4273" s="23"/>
      <c r="G4273" s="23"/>
    </row>
    <row r="4274" spans="5:7" x14ac:dyDescent="0.3">
      <c r="E4274" s="23"/>
      <c r="G4274" s="23"/>
    </row>
    <row r="4275" spans="5:7" x14ac:dyDescent="0.3">
      <c r="E4275" s="23"/>
      <c r="G4275" s="23"/>
    </row>
    <row r="4276" spans="5:7" x14ac:dyDescent="0.3">
      <c r="E4276" s="23"/>
      <c r="G4276" s="23"/>
    </row>
    <row r="4277" spans="5:7" x14ac:dyDescent="0.3">
      <c r="E4277" s="23"/>
      <c r="G4277" s="23"/>
    </row>
    <row r="4278" spans="5:7" x14ac:dyDescent="0.3">
      <c r="E4278" s="23"/>
      <c r="G4278" s="23"/>
    </row>
    <row r="4279" spans="5:7" x14ac:dyDescent="0.3">
      <c r="E4279" s="23"/>
      <c r="G4279" s="23"/>
    </row>
    <row r="4280" spans="5:7" x14ac:dyDescent="0.3">
      <c r="E4280" s="23"/>
      <c r="G4280" s="23"/>
    </row>
    <row r="4281" spans="5:7" x14ac:dyDescent="0.3">
      <c r="E4281" s="23"/>
      <c r="G4281" s="23"/>
    </row>
    <row r="4282" spans="5:7" x14ac:dyDescent="0.3">
      <c r="E4282" s="23"/>
      <c r="G4282" s="23"/>
    </row>
    <row r="4283" spans="5:7" x14ac:dyDescent="0.3">
      <c r="E4283" s="23"/>
      <c r="G4283" s="23"/>
    </row>
    <row r="4284" spans="5:7" x14ac:dyDescent="0.3">
      <c r="E4284" s="23"/>
      <c r="G4284" s="23"/>
    </row>
    <row r="4285" spans="5:7" x14ac:dyDescent="0.3">
      <c r="E4285" s="23"/>
      <c r="G4285" s="23"/>
    </row>
    <row r="4286" spans="5:7" x14ac:dyDescent="0.3">
      <c r="E4286" s="23"/>
      <c r="G4286" s="23"/>
    </row>
    <row r="4287" spans="5:7" x14ac:dyDescent="0.3">
      <c r="E4287" s="23"/>
      <c r="G4287" s="23"/>
    </row>
    <row r="4288" spans="5:7" x14ac:dyDescent="0.3">
      <c r="E4288" s="23"/>
      <c r="G4288" s="23"/>
    </row>
    <row r="4289" spans="5:7" x14ac:dyDescent="0.3">
      <c r="E4289" s="23"/>
      <c r="G4289" s="23"/>
    </row>
    <row r="4290" spans="5:7" x14ac:dyDescent="0.3">
      <c r="E4290" s="23"/>
      <c r="G4290" s="23"/>
    </row>
    <row r="4291" spans="5:7" x14ac:dyDescent="0.3">
      <c r="E4291" s="23"/>
      <c r="G4291" s="23"/>
    </row>
    <row r="4292" spans="5:7" x14ac:dyDescent="0.3">
      <c r="E4292" s="23"/>
      <c r="G4292" s="23"/>
    </row>
    <row r="4293" spans="5:7" x14ac:dyDescent="0.3">
      <c r="E4293" s="23"/>
      <c r="G4293" s="23"/>
    </row>
    <row r="4294" spans="5:7" x14ac:dyDescent="0.3">
      <c r="E4294" s="23"/>
      <c r="G4294" s="23"/>
    </row>
    <row r="4295" spans="5:7" x14ac:dyDescent="0.3">
      <c r="E4295" s="23"/>
      <c r="G4295" s="23"/>
    </row>
    <row r="4296" spans="5:7" x14ac:dyDescent="0.3">
      <c r="E4296" s="23"/>
      <c r="G4296" s="23"/>
    </row>
    <row r="4297" spans="5:7" x14ac:dyDescent="0.3">
      <c r="E4297" s="23"/>
      <c r="G4297" s="23"/>
    </row>
    <row r="4298" spans="5:7" x14ac:dyDescent="0.3">
      <c r="E4298" s="23"/>
      <c r="G4298" s="23"/>
    </row>
    <row r="4299" spans="5:7" x14ac:dyDescent="0.3">
      <c r="E4299" s="23"/>
      <c r="G4299" s="23"/>
    </row>
    <row r="4300" spans="5:7" x14ac:dyDescent="0.3">
      <c r="E4300" s="23"/>
      <c r="G4300" s="23"/>
    </row>
    <row r="4301" spans="5:7" x14ac:dyDescent="0.3">
      <c r="E4301" s="23"/>
      <c r="G4301" s="23"/>
    </row>
    <row r="4302" spans="5:7" x14ac:dyDescent="0.3">
      <c r="E4302" s="23"/>
      <c r="G4302" s="23"/>
    </row>
    <row r="4303" spans="5:7" x14ac:dyDescent="0.3">
      <c r="E4303" s="23"/>
      <c r="G4303" s="23"/>
    </row>
    <row r="4304" spans="5:7" x14ac:dyDescent="0.3">
      <c r="E4304" s="23"/>
      <c r="G4304" s="23"/>
    </row>
    <row r="4305" spans="5:7" x14ac:dyDescent="0.3">
      <c r="E4305" s="23"/>
      <c r="G4305" s="23"/>
    </row>
    <row r="4306" spans="5:7" x14ac:dyDescent="0.3">
      <c r="E4306" s="23"/>
      <c r="G4306" s="23"/>
    </row>
    <row r="4307" spans="5:7" x14ac:dyDescent="0.3">
      <c r="E4307" s="23"/>
      <c r="G4307" s="23"/>
    </row>
    <row r="4308" spans="5:7" x14ac:dyDescent="0.3">
      <c r="E4308" s="23"/>
      <c r="G4308" s="23"/>
    </row>
    <row r="4309" spans="5:7" x14ac:dyDescent="0.3">
      <c r="E4309" s="23"/>
      <c r="G4309" s="23"/>
    </row>
    <row r="4310" spans="5:7" x14ac:dyDescent="0.3">
      <c r="E4310" s="23"/>
      <c r="G4310" s="23"/>
    </row>
    <row r="4311" spans="5:7" x14ac:dyDescent="0.3">
      <c r="E4311" s="23"/>
      <c r="G4311" s="23"/>
    </row>
    <row r="4312" spans="5:7" x14ac:dyDescent="0.3">
      <c r="E4312" s="23"/>
      <c r="G4312" s="23"/>
    </row>
    <row r="4313" spans="5:7" x14ac:dyDescent="0.3">
      <c r="E4313" s="23"/>
      <c r="G4313" s="23"/>
    </row>
    <row r="4314" spans="5:7" x14ac:dyDescent="0.3">
      <c r="E4314" s="23"/>
      <c r="G4314" s="23"/>
    </row>
    <row r="4315" spans="5:7" x14ac:dyDescent="0.3">
      <c r="E4315" s="23"/>
      <c r="G4315" s="23"/>
    </row>
    <row r="4316" spans="5:7" x14ac:dyDescent="0.3">
      <c r="E4316" s="23"/>
      <c r="G4316" s="23"/>
    </row>
    <row r="4317" spans="5:7" x14ac:dyDescent="0.3">
      <c r="E4317" s="23"/>
      <c r="G4317" s="23"/>
    </row>
    <row r="4318" spans="5:7" x14ac:dyDescent="0.3">
      <c r="E4318" s="23"/>
      <c r="G4318" s="23"/>
    </row>
    <row r="4319" spans="5:7" x14ac:dyDescent="0.3">
      <c r="E4319" s="23"/>
      <c r="G4319" s="23"/>
    </row>
    <row r="4320" spans="5:7" x14ac:dyDescent="0.3">
      <c r="E4320" s="23"/>
      <c r="G4320" s="23"/>
    </row>
    <row r="4321" spans="5:7" x14ac:dyDescent="0.3">
      <c r="E4321" s="23"/>
      <c r="G4321" s="23"/>
    </row>
    <row r="4322" spans="5:7" x14ac:dyDescent="0.3">
      <c r="E4322" s="23"/>
      <c r="G4322" s="23"/>
    </row>
    <row r="4323" spans="5:7" x14ac:dyDescent="0.3">
      <c r="E4323" s="23"/>
      <c r="G4323" s="23"/>
    </row>
    <row r="4324" spans="5:7" x14ac:dyDescent="0.3">
      <c r="E4324" s="23"/>
      <c r="G4324" s="23"/>
    </row>
    <row r="4325" spans="5:7" x14ac:dyDescent="0.3">
      <c r="E4325" s="23"/>
      <c r="G4325" s="23"/>
    </row>
    <row r="4326" spans="5:7" x14ac:dyDescent="0.3">
      <c r="E4326" s="23"/>
      <c r="G4326" s="23"/>
    </row>
    <row r="4327" spans="5:7" x14ac:dyDescent="0.3">
      <c r="E4327" s="23"/>
      <c r="G4327" s="23"/>
    </row>
    <row r="4328" spans="5:7" x14ac:dyDescent="0.3">
      <c r="E4328" s="23"/>
      <c r="G4328" s="23"/>
    </row>
    <row r="4329" spans="5:7" x14ac:dyDescent="0.3">
      <c r="E4329" s="23"/>
      <c r="G4329" s="23"/>
    </row>
    <row r="4330" spans="5:7" x14ac:dyDescent="0.3">
      <c r="E4330" s="23"/>
      <c r="G4330" s="23"/>
    </row>
    <row r="4331" spans="5:7" x14ac:dyDescent="0.3">
      <c r="E4331" s="23"/>
      <c r="G4331" s="23"/>
    </row>
    <row r="4332" spans="5:7" x14ac:dyDescent="0.3">
      <c r="E4332" s="23"/>
      <c r="G4332" s="23"/>
    </row>
    <row r="4333" spans="5:7" x14ac:dyDescent="0.3">
      <c r="E4333" s="23"/>
      <c r="G4333" s="23"/>
    </row>
    <row r="4334" spans="5:7" x14ac:dyDescent="0.3">
      <c r="E4334" s="23"/>
      <c r="G4334" s="23"/>
    </row>
    <row r="4335" spans="5:7" x14ac:dyDescent="0.3">
      <c r="E4335" s="23"/>
      <c r="G4335" s="23"/>
    </row>
    <row r="4336" spans="5:7" x14ac:dyDescent="0.3">
      <c r="E4336" s="23"/>
      <c r="G4336" s="23"/>
    </row>
    <row r="4337" spans="5:7" x14ac:dyDescent="0.3">
      <c r="E4337" s="23"/>
      <c r="G4337" s="23"/>
    </row>
    <row r="4338" spans="5:7" x14ac:dyDescent="0.3">
      <c r="E4338" s="23"/>
      <c r="G4338" s="23"/>
    </row>
    <row r="4339" spans="5:7" x14ac:dyDescent="0.3">
      <c r="E4339" s="23"/>
      <c r="G4339" s="23"/>
    </row>
    <row r="4340" spans="5:7" x14ac:dyDescent="0.3">
      <c r="E4340" s="23"/>
      <c r="G4340" s="23"/>
    </row>
    <row r="4341" spans="5:7" x14ac:dyDescent="0.3">
      <c r="E4341" s="23"/>
      <c r="G4341" s="23"/>
    </row>
    <row r="4342" spans="5:7" x14ac:dyDescent="0.3">
      <c r="E4342" s="23"/>
      <c r="G4342" s="23"/>
    </row>
    <row r="4343" spans="5:7" x14ac:dyDescent="0.3">
      <c r="E4343" s="23"/>
      <c r="G4343" s="23"/>
    </row>
    <row r="4344" spans="5:7" x14ac:dyDescent="0.3">
      <c r="E4344" s="23"/>
      <c r="G4344" s="23"/>
    </row>
    <row r="4345" spans="5:7" x14ac:dyDescent="0.3">
      <c r="E4345" s="23"/>
      <c r="G4345" s="23"/>
    </row>
    <row r="4346" spans="5:7" x14ac:dyDescent="0.3">
      <c r="E4346" s="23"/>
      <c r="G4346" s="23"/>
    </row>
    <row r="4347" spans="5:7" x14ac:dyDescent="0.3">
      <c r="E4347" s="23"/>
      <c r="G4347" s="23"/>
    </row>
    <row r="4348" spans="5:7" x14ac:dyDescent="0.3">
      <c r="E4348" s="23"/>
      <c r="G4348" s="23"/>
    </row>
    <row r="4349" spans="5:7" x14ac:dyDescent="0.3">
      <c r="E4349" s="23"/>
      <c r="G4349" s="23"/>
    </row>
    <row r="4350" spans="5:7" x14ac:dyDescent="0.3">
      <c r="E4350" s="23"/>
      <c r="G4350" s="23"/>
    </row>
    <row r="4351" spans="5:7" x14ac:dyDescent="0.3">
      <c r="E4351" s="23"/>
      <c r="G4351" s="23"/>
    </row>
    <row r="4352" spans="5:7" x14ac:dyDescent="0.3">
      <c r="E4352" s="23"/>
      <c r="G4352" s="23"/>
    </row>
    <row r="4353" spans="5:7" x14ac:dyDescent="0.3">
      <c r="E4353" s="23"/>
      <c r="G4353" s="23"/>
    </row>
    <row r="4354" spans="5:7" x14ac:dyDescent="0.3">
      <c r="E4354" s="23"/>
      <c r="G4354" s="23"/>
    </row>
    <row r="4355" spans="5:7" x14ac:dyDescent="0.3">
      <c r="E4355" s="23"/>
      <c r="G4355" s="23"/>
    </row>
    <row r="4356" spans="5:7" x14ac:dyDescent="0.3">
      <c r="E4356" s="23"/>
      <c r="G4356" s="23"/>
    </row>
    <row r="4357" spans="5:7" x14ac:dyDescent="0.3">
      <c r="E4357" s="23"/>
      <c r="G4357" s="23"/>
    </row>
    <row r="4358" spans="5:7" x14ac:dyDescent="0.3">
      <c r="E4358" s="23"/>
      <c r="G4358" s="23"/>
    </row>
    <row r="4359" spans="5:7" x14ac:dyDescent="0.3">
      <c r="E4359" s="23"/>
      <c r="G4359" s="23"/>
    </row>
    <row r="4360" spans="5:7" x14ac:dyDescent="0.3">
      <c r="E4360" s="23"/>
      <c r="G4360" s="23"/>
    </row>
    <row r="4361" spans="5:7" x14ac:dyDescent="0.3">
      <c r="E4361" s="23"/>
      <c r="G4361" s="23"/>
    </row>
    <row r="4362" spans="5:7" x14ac:dyDescent="0.3">
      <c r="E4362" s="23"/>
      <c r="G4362" s="23"/>
    </row>
    <row r="4363" spans="5:7" x14ac:dyDescent="0.3">
      <c r="E4363" s="23"/>
      <c r="G4363" s="23"/>
    </row>
    <row r="4364" spans="5:7" x14ac:dyDescent="0.3">
      <c r="E4364" s="23"/>
      <c r="G4364" s="23"/>
    </row>
    <row r="4365" spans="5:7" x14ac:dyDescent="0.3">
      <c r="E4365" s="23"/>
      <c r="G4365" s="23"/>
    </row>
    <row r="4366" spans="5:7" x14ac:dyDescent="0.3">
      <c r="E4366" s="23"/>
      <c r="G4366" s="23"/>
    </row>
    <row r="4367" spans="5:7" x14ac:dyDescent="0.3">
      <c r="E4367" s="23"/>
      <c r="G4367" s="23"/>
    </row>
    <row r="4368" spans="5:7" x14ac:dyDescent="0.3">
      <c r="E4368" s="23"/>
      <c r="G4368" s="23"/>
    </row>
    <row r="4369" spans="5:7" x14ac:dyDescent="0.3">
      <c r="E4369" s="23"/>
      <c r="G4369" s="23"/>
    </row>
    <row r="4370" spans="5:7" x14ac:dyDescent="0.3">
      <c r="E4370" s="23"/>
      <c r="G4370" s="23"/>
    </row>
    <row r="4371" spans="5:7" x14ac:dyDescent="0.3">
      <c r="E4371" s="23"/>
      <c r="G4371" s="23"/>
    </row>
    <row r="4372" spans="5:7" x14ac:dyDescent="0.3">
      <c r="E4372" s="23"/>
      <c r="G4372" s="23"/>
    </row>
    <row r="4373" spans="5:7" x14ac:dyDescent="0.3">
      <c r="E4373" s="23"/>
      <c r="G4373" s="23"/>
    </row>
    <row r="4374" spans="5:7" x14ac:dyDescent="0.3">
      <c r="E4374" s="23"/>
      <c r="G4374" s="23"/>
    </row>
    <row r="4375" spans="5:7" x14ac:dyDescent="0.3">
      <c r="E4375" s="23"/>
      <c r="G4375" s="23"/>
    </row>
    <row r="4376" spans="5:7" x14ac:dyDescent="0.3">
      <c r="E4376" s="23"/>
      <c r="G4376" s="23"/>
    </row>
    <row r="4377" spans="5:7" x14ac:dyDescent="0.3">
      <c r="E4377" s="23"/>
      <c r="G4377" s="23"/>
    </row>
    <row r="4378" spans="5:7" x14ac:dyDescent="0.3">
      <c r="E4378" s="23"/>
      <c r="G4378" s="23"/>
    </row>
    <row r="4379" spans="5:7" x14ac:dyDescent="0.3">
      <c r="E4379" s="23"/>
      <c r="G4379" s="23"/>
    </row>
    <row r="4380" spans="5:7" x14ac:dyDescent="0.3">
      <c r="E4380" s="23"/>
      <c r="G4380" s="23"/>
    </row>
    <row r="4381" spans="5:7" x14ac:dyDescent="0.3">
      <c r="E4381" s="23"/>
      <c r="G4381" s="23"/>
    </row>
    <row r="4382" spans="5:7" x14ac:dyDescent="0.3">
      <c r="E4382" s="23"/>
      <c r="G4382" s="23"/>
    </row>
    <row r="4383" spans="5:7" x14ac:dyDescent="0.3">
      <c r="E4383" s="23"/>
      <c r="G4383" s="23"/>
    </row>
    <row r="4384" spans="5:7" x14ac:dyDescent="0.3">
      <c r="E4384" s="23"/>
      <c r="G4384" s="23"/>
    </row>
    <row r="4385" spans="5:7" x14ac:dyDescent="0.3">
      <c r="E4385" s="23"/>
      <c r="G4385" s="23"/>
    </row>
    <row r="4386" spans="5:7" x14ac:dyDescent="0.3">
      <c r="E4386" s="23"/>
      <c r="G4386" s="23"/>
    </row>
    <row r="4387" spans="5:7" x14ac:dyDescent="0.3">
      <c r="E4387" s="23"/>
      <c r="G4387" s="23"/>
    </row>
    <row r="4388" spans="5:7" x14ac:dyDescent="0.3">
      <c r="E4388" s="23"/>
      <c r="G4388" s="23"/>
    </row>
    <row r="4389" spans="5:7" x14ac:dyDescent="0.3">
      <c r="E4389" s="23"/>
      <c r="G4389" s="23"/>
    </row>
    <row r="4390" spans="5:7" x14ac:dyDescent="0.3">
      <c r="E4390" s="23"/>
      <c r="G4390" s="23"/>
    </row>
    <row r="4391" spans="5:7" x14ac:dyDescent="0.3">
      <c r="E4391" s="23"/>
      <c r="G4391" s="23"/>
    </row>
    <row r="4392" spans="5:7" x14ac:dyDescent="0.3">
      <c r="E4392" s="23"/>
      <c r="G4392" s="23"/>
    </row>
    <row r="4393" spans="5:7" x14ac:dyDescent="0.3">
      <c r="E4393" s="23"/>
      <c r="G4393" s="23"/>
    </row>
    <row r="4394" spans="5:7" x14ac:dyDescent="0.3">
      <c r="E4394" s="23"/>
      <c r="G4394" s="23"/>
    </row>
    <row r="4395" spans="5:7" x14ac:dyDescent="0.3">
      <c r="E4395" s="23"/>
      <c r="G4395" s="23"/>
    </row>
    <row r="4396" spans="5:7" x14ac:dyDescent="0.3">
      <c r="E4396" s="23"/>
      <c r="G4396" s="23"/>
    </row>
    <row r="4397" spans="5:7" x14ac:dyDescent="0.3">
      <c r="E4397" s="23"/>
      <c r="G4397" s="23"/>
    </row>
    <row r="4398" spans="5:7" x14ac:dyDescent="0.3">
      <c r="E4398" s="23"/>
      <c r="G4398" s="23"/>
    </row>
    <row r="4399" spans="5:7" x14ac:dyDescent="0.3">
      <c r="E4399" s="23"/>
      <c r="G4399" s="23"/>
    </row>
    <row r="4400" spans="5:7" x14ac:dyDescent="0.3">
      <c r="E4400" s="23"/>
      <c r="G4400" s="23"/>
    </row>
    <row r="4401" spans="5:7" x14ac:dyDescent="0.3">
      <c r="E4401" s="23"/>
      <c r="G4401" s="23"/>
    </row>
    <row r="4402" spans="5:7" x14ac:dyDescent="0.3">
      <c r="E4402" s="23"/>
      <c r="G4402" s="23"/>
    </row>
    <row r="4403" spans="5:7" x14ac:dyDescent="0.3">
      <c r="E4403" s="23"/>
      <c r="G4403" s="23"/>
    </row>
    <row r="4404" spans="5:7" x14ac:dyDescent="0.3">
      <c r="E4404" s="23"/>
      <c r="G4404" s="23"/>
    </row>
    <row r="4405" spans="5:7" x14ac:dyDescent="0.3">
      <c r="E4405" s="23"/>
      <c r="G4405" s="23"/>
    </row>
    <row r="4406" spans="5:7" x14ac:dyDescent="0.3">
      <c r="E4406" s="23"/>
      <c r="G4406" s="23"/>
    </row>
    <row r="4407" spans="5:7" x14ac:dyDescent="0.3">
      <c r="E4407" s="23"/>
      <c r="G4407" s="23"/>
    </row>
    <row r="4408" spans="5:7" x14ac:dyDescent="0.3">
      <c r="E4408" s="23"/>
      <c r="G4408" s="23"/>
    </row>
    <row r="4409" spans="5:7" x14ac:dyDescent="0.3">
      <c r="E4409" s="23"/>
      <c r="G4409" s="23"/>
    </row>
    <row r="4410" spans="5:7" x14ac:dyDescent="0.3">
      <c r="E4410" s="23"/>
      <c r="G4410" s="23"/>
    </row>
    <row r="4411" spans="5:7" x14ac:dyDescent="0.3">
      <c r="E4411" s="23"/>
      <c r="G4411" s="23"/>
    </row>
    <row r="4412" spans="5:7" x14ac:dyDescent="0.3">
      <c r="E4412" s="23"/>
      <c r="G4412" s="23"/>
    </row>
    <row r="4413" spans="5:7" x14ac:dyDescent="0.3">
      <c r="E4413" s="23"/>
      <c r="G4413" s="23"/>
    </row>
    <row r="4414" spans="5:7" x14ac:dyDescent="0.3">
      <c r="E4414" s="23"/>
      <c r="G4414" s="23"/>
    </row>
    <row r="4415" spans="5:7" x14ac:dyDescent="0.3">
      <c r="E4415" s="23"/>
      <c r="G4415" s="23"/>
    </row>
    <row r="4416" spans="5:7" x14ac:dyDescent="0.3">
      <c r="E4416" s="23"/>
      <c r="G4416" s="23"/>
    </row>
    <row r="4417" spans="5:7" x14ac:dyDescent="0.3">
      <c r="E4417" s="23"/>
      <c r="G4417" s="23"/>
    </row>
    <row r="4418" spans="5:7" x14ac:dyDescent="0.3">
      <c r="E4418" s="23"/>
      <c r="G4418" s="23"/>
    </row>
    <row r="4419" spans="5:7" x14ac:dyDescent="0.3">
      <c r="E4419" s="23"/>
      <c r="G4419" s="23"/>
    </row>
    <row r="4420" spans="5:7" x14ac:dyDescent="0.3">
      <c r="E4420" s="23"/>
      <c r="G4420" s="23"/>
    </row>
    <row r="4421" spans="5:7" x14ac:dyDescent="0.3">
      <c r="E4421" s="23"/>
      <c r="G4421" s="23"/>
    </row>
    <row r="4422" spans="5:7" x14ac:dyDescent="0.3">
      <c r="E4422" s="23"/>
      <c r="G4422" s="23"/>
    </row>
    <row r="4423" spans="5:7" x14ac:dyDescent="0.3">
      <c r="E4423" s="23"/>
      <c r="G4423" s="23"/>
    </row>
    <row r="4424" spans="5:7" x14ac:dyDescent="0.3">
      <c r="E4424" s="23"/>
      <c r="G4424" s="23"/>
    </row>
    <row r="4425" spans="5:7" x14ac:dyDescent="0.3">
      <c r="E4425" s="23"/>
      <c r="G4425" s="23"/>
    </row>
    <row r="4426" spans="5:7" x14ac:dyDescent="0.3">
      <c r="E4426" s="23"/>
      <c r="G4426" s="23"/>
    </row>
    <row r="4427" spans="5:7" x14ac:dyDescent="0.3">
      <c r="E4427" s="23"/>
      <c r="G4427" s="23"/>
    </row>
    <row r="4428" spans="5:7" x14ac:dyDescent="0.3">
      <c r="E4428" s="23"/>
      <c r="G4428" s="23"/>
    </row>
    <row r="4429" spans="5:7" x14ac:dyDescent="0.3">
      <c r="E4429" s="23"/>
      <c r="G4429" s="23"/>
    </row>
    <row r="4430" spans="5:7" x14ac:dyDescent="0.3">
      <c r="E4430" s="23"/>
      <c r="G4430" s="23"/>
    </row>
    <row r="4431" spans="5:7" x14ac:dyDescent="0.3">
      <c r="E4431" s="23"/>
      <c r="G4431" s="23"/>
    </row>
    <row r="4432" spans="5:7" x14ac:dyDescent="0.3">
      <c r="E4432" s="23"/>
      <c r="G4432" s="23"/>
    </row>
    <row r="4433" spans="5:7" x14ac:dyDescent="0.3">
      <c r="E4433" s="23"/>
      <c r="G4433" s="23"/>
    </row>
    <row r="4434" spans="5:7" x14ac:dyDescent="0.3">
      <c r="E4434" s="23"/>
      <c r="G4434" s="23"/>
    </row>
    <row r="4435" spans="5:7" x14ac:dyDescent="0.3">
      <c r="E4435" s="23"/>
      <c r="G4435" s="23"/>
    </row>
    <row r="4436" spans="5:7" x14ac:dyDescent="0.3">
      <c r="E4436" s="23"/>
      <c r="G4436" s="23"/>
    </row>
    <row r="4437" spans="5:7" x14ac:dyDescent="0.3">
      <c r="E4437" s="23"/>
      <c r="G4437" s="23"/>
    </row>
    <row r="4438" spans="5:7" x14ac:dyDescent="0.3">
      <c r="E4438" s="23"/>
      <c r="G4438" s="23"/>
    </row>
    <row r="4439" spans="5:7" x14ac:dyDescent="0.3">
      <c r="E4439" s="23"/>
      <c r="G4439" s="23"/>
    </row>
    <row r="4440" spans="5:7" x14ac:dyDescent="0.3">
      <c r="E4440" s="23"/>
      <c r="G4440" s="23"/>
    </row>
    <row r="4441" spans="5:7" x14ac:dyDescent="0.3">
      <c r="E4441" s="23"/>
      <c r="G4441" s="23"/>
    </row>
    <row r="4442" spans="5:7" x14ac:dyDescent="0.3">
      <c r="E4442" s="23"/>
      <c r="G4442" s="23"/>
    </row>
    <row r="4443" spans="5:7" x14ac:dyDescent="0.3">
      <c r="E4443" s="23"/>
      <c r="G4443" s="23"/>
    </row>
    <row r="4444" spans="5:7" x14ac:dyDescent="0.3">
      <c r="E4444" s="23"/>
      <c r="G4444" s="23"/>
    </row>
    <row r="4445" spans="5:7" x14ac:dyDescent="0.3">
      <c r="E4445" s="23"/>
      <c r="G4445" s="23"/>
    </row>
    <row r="4446" spans="5:7" x14ac:dyDescent="0.3">
      <c r="E4446" s="23"/>
      <c r="G4446" s="23"/>
    </row>
    <row r="4447" spans="5:7" x14ac:dyDescent="0.3">
      <c r="E4447" s="23"/>
      <c r="G4447" s="23"/>
    </row>
    <row r="4448" spans="5:7" x14ac:dyDescent="0.3">
      <c r="E4448" s="23"/>
      <c r="G4448" s="23"/>
    </row>
    <row r="4449" spans="5:7" x14ac:dyDescent="0.3">
      <c r="E4449" s="23"/>
      <c r="G4449" s="23"/>
    </row>
    <row r="4450" spans="5:7" x14ac:dyDescent="0.3">
      <c r="E4450" s="23"/>
      <c r="G4450" s="23"/>
    </row>
    <row r="4451" spans="5:7" x14ac:dyDescent="0.3">
      <c r="E4451" s="23"/>
      <c r="G4451" s="23"/>
    </row>
    <row r="4452" spans="5:7" x14ac:dyDescent="0.3">
      <c r="E4452" s="23"/>
      <c r="G4452" s="23"/>
    </row>
    <row r="4453" spans="5:7" x14ac:dyDescent="0.3">
      <c r="E4453" s="23"/>
      <c r="G4453" s="23"/>
    </row>
    <row r="4454" spans="5:7" x14ac:dyDescent="0.3">
      <c r="E4454" s="23"/>
      <c r="G4454" s="23"/>
    </row>
    <row r="4455" spans="5:7" x14ac:dyDescent="0.3">
      <c r="E4455" s="23"/>
      <c r="G4455" s="23"/>
    </row>
    <row r="4456" spans="5:7" x14ac:dyDescent="0.3">
      <c r="E4456" s="23"/>
      <c r="G4456" s="23"/>
    </row>
    <row r="4457" spans="5:7" x14ac:dyDescent="0.3">
      <c r="E4457" s="23"/>
      <c r="G4457" s="23"/>
    </row>
    <row r="4458" spans="5:7" x14ac:dyDescent="0.3">
      <c r="E4458" s="23"/>
      <c r="G4458" s="23"/>
    </row>
    <row r="4459" spans="5:7" x14ac:dyDescent="0.3">
      <c r="E4459" s="23"/>
      <c r="G4459" s="23"/>
    </row>
    <row r="4460" spans="5:7" x14ac:dyDescent="0.3">
      <c r="E4460" s="23"/>
      <c r="G4460" s="23"/>
    </row>
    <row r="4461" spans="5:7" x14ac:dyDescent="0.3">
      <c r="E4461" s="23"/>
      <c r="G4461" s="23"/>
    </row>
    <row r="4462" spans="5:7" x14ac:dyDescent="0.3">
      <c r="E4462" s="23"/>
      <c r="G4462" s="23"/>
    </row>
    <row r="4463" spans="5:7" x14ac:dyDescent="0.3">
      <c r="E4463" s="23"/>
      <c r="G4463" s="23"/>
    </row>
    <row r="4464" spans="5:7" x14ac:dyDescent="0.3">
      <c r="E4464" s="23"/>
      <c r="G4464" s="23"/>
    </row>
    <row r="4465" spans="5:7" x14ac:dyDescent="0.3">
      <c r="E4465" s="23"/>
      <c r="G4465" s="23"/>
    </row>
    <row r="4466" spans="5:7" x14ac:dyDescent="0.3">
      <c r="E4466" s="23"/>
      <c r="G4466" s="23"/>
    </row>
    <row r="4467" spans="5:7" x14ac:dyDescent="0.3">
      <c r="E4467" s="23"/>
      <c r="G4467" s="23"/>
    </row>
    <row r="4468" spans="5:7" x14ac:dyDescent="0.3">
      <c r="E4468" s="23"/>
      <c r="G4468" s="23"/>
    </row>
    <row r="4469" spans="5:7" x14ac:dyDescent="0.3">
      <c r="E4469" s="23"/>
      <c r="G4469" s="23"/>
    </row>
    <row r="4470" spans="5:7" x14ac:dyDescent="0.3">
      <c r="E4470" s="23"/>
      <c r="G4470" s="23"/>
    </row>
    <row r="4471" spans="5:7" x14ac:dyDescent="0.3">
      <c r="E4471" s="23"/>
      <c r="G4471" s="23"/>
    </row>
    <row r="4472" spans="5:7" x14ac:dyDescent="0.3">
      <c r="E4472" s="23"/>
      <c r="G4472" s="23"/>
    </row>
    <row r="4473" spans="5:7" x14ac:dyDescent="0.3">
      <c r="E4473" s="23"/>
      <c r="G4473" s="23"/>
    </row>
    <row r="4474" spans="5:7" x14ac:dyDescent="0.3">
      <c r="E4474" s="23"/>
      <c r="G4474" s="23"/>
    </row>
    <row r="4475" spans="5:7" x14ac:dyDescent="0.3">
      <c r="E4475" s="23"/>
      <c r="G4475" s="23"/>
    </row>
    <row r="4476" spans="5:7" x14ac:dyDescent="0.3">
      <c r="E4476" s="23"/>
      <c r="G4476" s="23"/>
    </row>
    <row r="4477" spans="5:7" x14ac:dyDescent="0.3">
      <c r="E4477" s="23"/>
      <c r="G4477" s="23"/>
    </row>
    <row r="4478" spans="5:7" x14ac:dyDescent="0.3">
      <c r="E4478" s="23"/>
      <c r="G4478" s="23"/>
    </row>
    <row r="4479" spans="5:7" x14ac:dyDescent="0.3">
      <c r="E4479" s="23"/>
      <c r="G4479" s="23"/>
    </row>
    <row r="4480" spans="5:7" x14ac:dyDescent="0.3">
      <c r="E4480" s="23"/>
      <c r="G4480" s="23"/>
    </row>
    <row r="4481" spans="5:7" x14ac:dyDescent="0.3">
      <c r="E4481" s="23"/>
      <c r="G4481" s="23"/>
    </row>
    <row r="4482" spans="5:7" x14ac:dyDescent="0.3">
      <c r="E4482" s="23"/>
      <c r="G4482" s="23"/>
    </row>
    <row r="4483" spans="5:7" x14ac:dyDescent="0.3">
      <c r="E4483" s="23"/>
      <c r="G4483" s="23"/>
    </row>
    <row r="4484" spans="5:7" x14ac:dyDescent="0.3">
      <c r="E4484" s="23"/>
      <c r="G4484" s="23"/>
    </row>
    <row r="4485" spans="5:7" x14ac:dyDescent="0.3">
      <c r="E4485" s="23"/>
      <c r="G4485" s="23"/>
    </row>
    <row r="4486" spans="5:7" x14ac:dyDescent="0.3">
      <c r="E4486" s="23"/>
      <c r="G4486" s="23"/>
    </row>
    <row r="4487" spans="5:7" x14ac:dyDescent="0.3">
      <c r="E4487" s="23"/>
      <c r="G4487" s="23"/>
    </row>
    <row r="4488" spans="5:7" x14ac:dyDescent="0.3">
      <c r="E4488" s="23"/>
      <c r="G4488" s="23"/>
    </row>
    <row r="4489" spans="5:7" x14ac:dyDescent="0.3">
      <c r="E4489" s="23"/>
      <c r="G4489" s="23"/>
    </row>
    <row r="4490" spans="5:7" x14ac:dyDescent="0.3">
      <c r="E4490" s="23"/>
      <c r="G4490" s="23"/>
    </row>
    <row r="4491" spans="5:7" x14ac:dyDescent="0.3">
      <c r="E4491" s="23"/>
      <c r="G4491" s="23"/>
    </row>
    <row r="4492" spans="5:7" x14ac:dyDescent="0.3">
      <c r="E4492" s="23"/>
      <c r="G4492" s="23"/>
    </row>
    <row r="4493" spans="5:7" x14ac:dyDescent="0.3">
      <c r="E4493" s="23"/>
      <c r="G4493" s="23"/>
    </row>
    <row r="4494" spans="5:7" x14ac:dyDescent="0.3">
      <c r="E4494" s="23"/>
      <c r="G4494" s="23"/>
    </row>
    <row r="4495" spans="5:7" x14ac:dyDescent="0.3">
      <c r="E4495" s="23"/>
      <c r="G4495" s="23"/>
    </row>
    <row r="4496" spans="5:7" x14ac:dyDescent="0.3">
      <c r="E4496" s="23"/>
      <c r="G4496" s="23"/>
    </row>
    <row r="4497" spans="5:7" x14ac:dyDescent="0.3">
      <c r="E4497" s="23"/>
      <c r="G4497" s="23"/>
    </row>
    <row r="4498" spans="5:7" x14ac:dyDescent="0.3">
      <c r="E4498" s="23"/>
      <c r="G4498" s="23"/>
    </row>
    <row r="4499" spans="5:7" x14ac:dyDescent="0.3">
      <c r="E4499" s="23"/>
      <c r="G4499" s="23"/>
    </row>
    <row r="4500" spans="5:7" x14ac:dyDescent="0.3">
      <c r="E4500" s="23"/>
      <c r="G4500" s="23"/>
    </row>
    <row r="4501" spans="5:7" x14ac:dyDescent="0.3">
      <c r="E4501" s="23"/>
      <c r="G4501" s="23"/>
    </row>
    <row r="4502" spans="5:7" x14ac:dyDescent="0.3">
      <c r="E4502" s="23"/>
      <c r="G4502" s="23"/>
    </row>
    <row r="4503" spans="5:7" x14ac:dyDescent="0.3">
      <c r="E4503" s="23"/>
      <c r="G4503" s="23"/>
    </row>
    <row r="4504" spans="5:7" x14ac:dyDescent="0.3">
      <c r="E4504" s="23"/>
      <c r="G4504" s="23"/>
    </row>
    <row r="4505" spans="5:7" x14ac:dyDescent="0.3">
      <c r="E4505" s="23"/>
      <c r="G4505" s="23"/>
    </row>
    <row r="4506" spans="5:7" x14ac:dyDescent="0.3">
      <c r="E4506" s="23"/>
      <c r="G4506" s="23"/>
    </row>
    <row r="4507" spans="5:7" x14ac:dyDescent="0.3">
      <c r="E4507" s="23"/>
      <c r="G4507" s="23"/>
    </row>
    <row r="4508" spans="5:7" x14ac:dyDescent="0.3">
      <c r="E4508" s="23"/>
      <c r="G4508" s="23"/>
    </row>
    <row r="4509" spans="5:7" x14ac:dyDescent="0.3">
      <c r="E4509" s="23"/>
      <c r="G4509" s="23"/>
    </row>
    <row r="4510" spans="5:7" x14ac:dyDescent="0.3">
      <c r="E4510" s="23"/>
      <c r="G4510" s="23"/>
    </row>
    <row r="4511" spans="5:7" x14ac:dyDescent="0.3">
      <c r="E4511" s="23"/>
      <c r="G4511" s="23"/>
    </row>
    <row r="4512" spans="5:7" x14ac:dyDescent="0.3">
      <c r="E4512" s="23"/>
      <c r="G4512" s="23"/>
    </row>
    <row r="4513" spans="5:7" x14ac:dyDescent="0.3">
      <c r="E4513" s="23"/>
      <c r="G4513" s="23"/>
    </row>
    <row r="4514" spans="5:7" x14ac:dyDescent="0.3">
      <c r="E4514" s="23"/>
      <c r="G4514" s="23"/>
    </row>
    <row r="4515" spans="5:7" x14ac:dyDescent="0.3">
      <c r="E4515" s="23"/>
      <c r="G4515" s="23"/>
    </row>
    <row r="4516" spans="5:7" x14ac:dyDescent="0.3">
      <c r="E4516" s="23"/>
      <c r="G4516" s="23"/>
    </row>
    <row r="4517" spans="5:7" x14ac:dyDescent="0.3">
      <c r="E4517" s="23"/>
      <c r="G4517" s="23"/>
    </row>
    <row r="4518" spans="5:7" x14ac:dyDescent="0.3">
      <c r="E4518" s="23"/>
      <c r="G4518" s="23"/>
    </row>
    <row r="4519" spans="5:7" x14ac:dyDescent="0.3">
      <c r="E4519" s="23"/>
      <c r="G4519" s="23"/>
    </row>
    <row r="4520" spans="5:7" x14ac:dyDescent="0.3">
      <c r="E4520" s="23"/>
      <c r="G4520" s="23"/>
    </row>
    <row r="4521" spans="5:7" x14ac:dyDescent="0.3">
      <c r="E4521" s="23"/>
      <c r="G4521" s="23"/>
    </row>
    <row r="4522" spans="5:7" x14ac:dyDescent="0.3">
      <c r="E4522" s="23"/>
      <c r="G4522" s="23"/>
    </row>
    <row r="4523" spans="5:7" x14ac:dyDescent="0.3">
      <c r="E4523" s="23"/>
      <c r="G4523" s="23"/>
    </row>
    <row r="4524" spans="5:7" x14ac:dyDescent="0.3">
      <c r="E4524" s="23"/>
      <c r="G4524" s="23"/>
    </row>
    <row r="4525" spans="5:7" x14ac:dyDescent="0.3">
      <c r="E4525" s="23"/>
      <c r="G4525" s="23"/>
    </row>
    <row r="4526" spans="5:7" x14ac:dyDescent="0.3">
      <c r="E4526" s="23"/>
      <c r="G4526" s="23"/>
    </row>
    <row r="4527" spans="5:7" x14ac:dyDescent="0.3">
      <c r="E4527" s="23"/>
      <c r="G4527" s="23"/>
    </row>
    <row r="4528" spans="5:7" x14ac:dyDescent="0.3">
      <c r="E4528" s="23"/>
      <c r="G4528" s="23"/>
    </row>
    <row r="4529" spans="5:7" x14ac:dyDescent="0.3">
      <c r="E4529" s="23"/>
      <c r="G4529" s="23"/>
    </row>
    <row r="4530" spans="5:7" x14ac:dyDescent="0.3">
      <c r="E4530" s="23"/>
      <c r="G4530" s="23"/>
    </row>
    <row r="4531" spans="5:7" x14ac:dyDescent="0.3">
      <c r="E4531" s="23"/>
      <c r="G4531" s="23"/>
    </row>
    <row r="4532" spans="5:7" x14ac:dyDescent="0.3">
      <c r="E4532" s="23"/>
      <c r="G4532" s="23"/>
    </row>
    <row r="4533" spans="5:7" x14ac:dyDescent="0.3">
      <c r="E4533" s="23"/>
      <c r="G4533" s="23"/>
    </row>
    <row r="4534" spans="5:7" x14ac:dyDescent="0.3">
      <c r="E4534" s="23"/>
      <c r="G4534" s="23"/>
    </row>
    <row r="4535" spans="5:7" x14ac:dyDescent="0.3">
      <c r="E4535" s="23"/>
      <c r="G4535" s="23"/>
    </row>
    <row r="4536" spans="5:7" x14ac:dyDescent="0.3">
      <c r="E4536" s="23"/>
      <c r="G4536" s="23"/>
    </row>
    <row r="4537" spans="5:7" x14ac:dyDescent="0.3">
      <c r="E4537" s="23"/>
      <c r="G4537" s="23"/>
    </row>
    <row r="4538" spans="5:7" x14ac:dyDescent="0.3">
      <c r="E4538" s="23"/>
      <c r="G4538" s="23"/>
    </row>
    <row r="4539" spans="5:7" x14ac:dyDescent="0.3">
      <c r="E4539" s="23"/>
      <c r="G4539" s="23"/>
    </row>
    <row r="4540" spans="5:7" x14ac:dyDescent="0.3">
      <c r="E4540" s="23"/>
      <c r="G4540" s="23"/>
    </row>
    <row r="4541" spans="5:7" x14ac:dyDescent="0.3">
      <c r="E4541" s="23"/>
      <c r="G4541" s="23"/>
    </row>
    <row r="4542" spans="5:7" x14ac:dyDescent="0.3">
      <c r="E4542" s="23"/>
      <c r="G4542" s="23"/>
    </row>
    <row r="4543" spans="5:7" x14ac:dyDescent="0.3">
      <c r="E4543" s="23"/>
      <c r="G4543" s="23"/>
    </row>
    <row r="4544" spans="5:7" x14ac:dyDescent="0.3">
      <c r="E4544" s="23"/>
      <c r="G4544" s="23"/>
    </row>
    <row r="4545" spans="5:7" x14ac:dyDescent="0.3">
      <c r="E4545" s="23"/>
      <c r="G4545" s="23"/>
    </row>
    <row r="4546" spans="5:7" x14ac:dyDescent="0.3">
      <c r="E4546" s="23"/>
      <c r="G4546" s="23"/>
    </row>
    <row r="4547" spans="5:7" x14ac:dyDescent="0.3">
      <c r="E4547" s="23"/>
      <c r="G4547" s="23"/>
    </row>
    <row r="4548" spans="5:7" x14ac:dyDescent="0.3">
      <c r="E4548" s="23"/>
      <c r="G4548" s="23"/>
    </row>
    <row r="4549" spans="5:7" x14ac:dyDescent="0.3">
      <c r="E4549" s="23"/>
      <c r="G4549" s="23"/>
    </row>
    <row r="4550" spans="5:7" x14ac:dyDescent="0.3">
      <c r="E4550" s="23"/>
      <c r="G4550" s="23"/>
    </row>
    <row r="4551" spans="5:7" x14ac:dyDescent="0.3">
      <c r="E4551" s="23"/>
      <c r="G4551" s="23"/>
    </row>
    <row r="4552" spans="5:7" x14ac:dyDescent="0.3">
      <c r="E4552" s="23"/>
      <c r="G4552" s="23"/>
    </row>
    <row r="4553" spans="5:7" x14ac:dyDescent="0.3">
      <c r="E4553" s="23"/>
      <c r="G4553" s="23"/>
    </row>
    <row r="4554" spans="5:7" x14ac:dyDescent="0.3">
      <c r="E4554" s="23"/>
      <c r="G4554" s="23"/>
    </row>
    <row r="4555" spans="5:7" x14ac:dyDescent="0.3">
      <c r="E4555" s="23"/>
      <c r="G4555" s="23"/>
    </row>
    <row r="4556" spans="5:7" x14ac:dyDescent="0.3">
      <c r="E4556" s="23"/>
      <c r="G4556" s="23"/>
    </row>
    <row r="4557" spans="5:7" x14ac:dyDescent="0.3">
      <c r="E4557" s="23"/>
      <c r="G4557" s="23"/>
    </row>
    <row r="4558" spans="5:7" x14ac:dyDescent="0.3">
      <c r="E4558" s="23"/>
      <c r="G4558" s="23"/>
    </row>
    <row r="4559" spans="5:7" x14ac:dyDescent="0.3">
      <c r="E4559" s="23"/>
      <c r="G4559" s="23"/>
    </row>
    <row r="4560" spans="5:7" x14ac:dyDescent="0.3">
      <c r="E4560" s="23"/>
      <c r="G4560" s="23"/>
    </row>
    <row r="4561" spans="5:7" x14ac:dyDescent="0.3">
      <c r="E4561" s="23"/>
      <c r="G4561" s="23"/>
    </row>
    <row r="4562" spans="5:7" x14ac:dyDescent="0.3">
      <c r="E4562" s="23"/>
      <c r="G4562" s="23"/>
    </row>
    <row r="4563" spans="5:7" x14ac:dyDescent="0.3">
      <c r="E4563" s="23"/>
      <c r="G4563" s="23"/>
    </row>
    <row r="4564" spans="5:7" x14ac:dyDescent="0.3">
      <c r="E4564" s="23"/>
      <c r="G4564" s="23"/>
    </row>
    <row r="4565" spans="5:7" x14ac:dyDescent="0.3">
      <c r="E4565" s="23"/>
      <c r="G4565" s="23"/>
    </row>
    <row r="4566" spans="5:7" x14ac:dyDescent="0.3">
      <c r="E4566" s="23"/>
      <c r="G4566" s="23"/>
    </row>
    <row r="4567" spans="5:7" x14ac:dyDescent="0.3">
      <c r="E4567" s="23"/>
      <c r="G4567" s="23"/>
    </row>
    <row r="4568" spans="5:7" x14ac:dyDescent="0.3">
      <c r="E4568" s="23"/>
      <c r="G4568" s="23"/>
    </row>
    <row r="4569" spans="5:7" x14ac:dyDescent="0.3">
      <c r="E4569" s="23"/>
      <c r="G4569" s="23"/>
    </row>
    <row r="4570" spans="5:7" x14ac:dyDescent="0.3">
      <c r="E4570" s="23"/>
      <c r="G4570" s="23"/>
    </row>
    <row r="4571" spans="5:7" x14ac:dyDescent="0.3">
      <c r="E4571" s="23"/>
      <c r="G4571" s="23"/>
    </row>
    <row r="4572" spans="5:7" x14ac:dyDescent="0.3">
      <c r="E4572" s="23"/>
      <c r="G4572" s="23"/>
    </row>
    <row r="4573" spans="5:7" x14ac:dyDescent="0.3">
      <c r="E4573" s="23"/>
      <c r="G4573" s="23"/>
    </row>
    <row r="4574" spans="5:7" x14ac:dyDescent="0.3">
      <c r="E4574" s="23"/>
      <c r="G4574" s="23"/>
    </row>
    <row r="4575" spans="5:7" x14ac:dyDescent="0.3">
      <c r="E4575" s="23"/>
      <c r="G4575" s="23"/>
    </row>
    <row r="4576" spans="5:7" x14ac:dyDescent="0.3">
      <c r="E4576" s="23"/>
      <c r="G4576" s="23"/>
    </row>
    <row r="4577" spans="5:7" x14ac:dyDescent="0.3">
      <c r="E4577" s="23"/>
      <c r="G4577" s="23"/>
    </row>
    <row r="4578" spans="5:7" x14ac:dyDescent="0.3">
      <c r="E4578" s="23"/>
      <c r="G4578" s="23"/>
    </row>
    <row r="4579" spans="5:7" x14ac:dyDescent="0.3">
      <c r="E4579" s="23"/>
      <c r="G4579" s="23"/>
    </row>
    <row r="4580" spans="5:7" x14ac:dyDescent="0.3">
      <c r="E4580" s="23"/>
      <c r="G4580" s="23"/>
    </row>
    <row r="4581" spans="5:7" x14ac:dyDescent="0.3">
      <c r="E4581" s="23"/>
      <c r="G4581" s="23"/>
    </row>
    <row r="4582" spans="5:7" x14ac:dyDescent="0.3">
      <c r="E4582" s="23"/>
      <c r="G4582" s="23"/>
    </row>
    <row r="4583" spans="5:7" x14ac:dyDescent="0.3">
      <c r="E4583" s="23"/>
      <c r="G4583" s="23"/>
    </row>
    <row r="4584" spans="5:7" x14ac:dyDescent="0.3">
      <c r="E4584" s="23"/>
      <c r="G4584" s="23"/>
    </row>
    <row r="4585" spans="5:7" x14ac:dyDescent="0.3">
      <c r="E4585" s="23"/>
      <c r="G4585" s="23"/>
    </row>
    <row r="4586" spans="5:7" x14ac:dyDescent="0.3">
      <c r="E4586" s="23"/>
      <c r="G4586" s="23"/>
    </row>
    <row r="4587" spans="5:7" x14ac:dyDescent="0.3">
      <c r="E4587" s="23"/>
      <c r="G4587" s="23"/>
    </row>
    <row r="4588" spans="5:7" x14ac:dyDescent="0.3">
      <c r="E4588" s="23"/>
      <c r="G4588" s="23"/>
    </row>
    <row r="4589" spans="5:7" x14ac:dyDescent="0.3">
      <c r="E4589" s="23"/>
      <c r="G4589" s="23"/>
    </row>
    <row r="4590" spans="5:7" x14ac:dyDescent="0.3">
      <c r="E4590" s="23"/>
      <c r="G4590" s="23"/>
    </row>
    <row r="4591" spans="5:7" x14ac:dyDescent="0.3">
      <c r="E4591" s="23"/>
      <c r="G4591" s="23"/>
    </row>
    <row r="4592" spans="5:7" x14ac:dyDescent="0.3">
      <c r="E4592" s="23"/>
      <c r="G4592" s="23"/>
    </row>
    <row r="4593" spans="5:7" x14ac:dyDescent="0.3">
      <c r="E4593" s="23"/>
      <c r="G4593" s="23"/>
    </row>
    <row r="4594" spans="5:7" x14ac:dyDescent="0.3">
      <c r="E4594" s="23"/>
      <c r="G4594" s="23"/>
    </row>
    <row r="4595" spans="5:7" x14ac:dyDescent="0.3">
      <c r="E4595" s="23"/>
      <c r="G4595" s="23"/>
    </row>
    <row r="4596" spans="5:7" x14ac:dyDescent="0.3">
      <c r="E4596" s="23"/>
      <c r="G4596" s="23"/>
    </row>
    <row r="4597" spans="5:7" x14ac:dyDescent="0.3">
      <c r="E4597" s="23"/>
      <c r="G4597" s="23"/>
    </row>
    <row r="4598" spans="5:7" x14ac:dyDescent="0.3">
      <c r="E4598" s="23"/>
      <c r="G4598" s="23"/>
    </row>
    <row r="4599" spans="5:7" x14ac:dyDescent="0.3">
      <c r="E4599" s="23"/>
      <c r="G4599" s="23"/>
    </row>
    <row r="4600" spans="5:7" x14ac:dyDescent="0.3">
      <c r="E4600" s="23"/>
      <c r="G4600" s="23"/>
    </row>
    <row r="4601" spans="5:7" x14ac:dyDescent="0.3">
      <c r="E4601" s="23"/>
      <c r="G4601" s="23"/>
    </row>
    <row r="4602" spans="5:7" x14ac:dyDescent="0.3">
      <c r="E4602" s="23"/>
      <c r="G4602" s="23"/>
    </row>
    <row r="4603" spans="5:7" x14ac:dyDescent="0.3">
      <c r="E4603" s="23"/>
      <c r="G4603" s="23"/>
    </row>
    <row r="4604" spans="5:7" x14ac:dyDescent="0.3">
      <c r="E4604" s="23"/>
      <c r="G4604" s="23"/>
    </row>
    <row r="4605" spans="5:7" x14ac:dyDescent="0.3">
      <c r="E4605" s="23"/>
      <c r="G4605" s="23"/>
    </row>
    <row r="4606" spans="5:7" x14ac:dyDescent="0.3">
      <c r="E4606" s="23"/>
      <c r="G4606" s="23"/>
    </row>
    <row r="4607" spans="5:7" x14ac:dyDescent="0.3">
      <c r="E4607" s="23"/>
      <c r="G4607" s="23"/>
    </row>
    <row r="4608" spans="5:7" x14ac:dyDescent="0.3">
      <c r="E4608" s="23"/>
      <c r="G4608" s="23"/>
    </row>
    <row r="4609" spans="5:7" x14ac:dyDescent="0.3">
      <c r="E4609" s="23"/>
      <c r="G4609" s="23"/>
    </row>
    <row r="4610" spans="5:7" x14ac:dyDescent="0.3">
      <c r="E4610" s="23"/>
      <c r="G4610" s="23"/>
    </row>
    <row r="4611" spans="5:7" x14ac:dyDescent="0.3">
      <c r="E4611" s="23"/>
      <c r="G4611" s="23"/>
    </row>
    <row r="4612" spans="5:7" x14ac:dyDescent="0.3">
      <c r="E4612" s="23"/>
      <c r="G4612" s="23"/>
    </row>
    <row r="4613" spans="5:7" x14ac:dyDescent="0.3">
      <c r="E4613" s="23"/>
      <c r="G4613" s="23"/>
    </row>
    <row r="4614" spans="5:7" x14ac:dyDescent="0.3">
      <c r="E4614" s="23"/>
      <c r="G4614" s="23"/>
    </row>
    <row r="4615" spans="5:7" x14ac:dyDescent="0.3">
      <c r="E4615" s="23"/>
      <c r="G4615" s="23"/>
    </row>
    <row r="4616" spans="5:7" x14ac:dyDescent="0.3">
      <c r="E4616" s="23"/>
      <c r="G4616" s="23"/>
    </row>
    <row r="4617" spans="5:7" x14ac:dyDescent="0.3">
      <c r="E4617" s="23"/>
      <c r="G4617" s="23"/>
    </row>
    <row r="4618" spans="5:7" x14ac:dyDescent="0.3">
      <c r="E4618" s="23"/>
      <c r="G4618" s="23"/>
    </row>
    <row r="4619" spans="5:7" x14ac:dyDescent="0.3">
      <c r="E4619" s="23"/>
      <c r="G4619" s="23"/>
    </row>
    <row r="4620" spans="5:7" x14ac:dyDescent="0.3">
      <c r="E4620" s="23"/>
      <c r="G4620" s="23"/>
    </row>
    <row r="4621" spans="5:7" x14ac:dyDescent="0.3">
      <c r="E4621" s="23"/>
      <c r="G4621" s="23"/>
    </row>
    <row r="4622" spans="5:7" x14ac:dyDescent="0.3">
      <c r="E4622" s="23"/>
      <c r="G4622" s="23"/>
    </row>
    <row r="4623" spans="5:7" x14ac:dyDescent="0.3">
      <c r="E4623" s="23"/>
      <c r="G4623" s="23"/>
    </row>
    <row r="4624" spans="5:7" x14ac:dyDescent="0.3">
      <c r="E4624" s="23"/>
      <c r="G4624" s="23"/>
    </row>
    <row r="4625" spans="5:7" x14ac:dyDescent="0.3">
      <c r="E4625" s="23"/>
      <c r="G4625" s="23"/>
    </row>
    <row r="4626" spans="5:7" x14ac:dyDescent="0.3">
      <c r="E4626" s="23"/>
      <c r="G4626" s="23"/>
    </row>
    <row r="4627" spans="5:7" x14ac:dyDescent="0.3">
      <c r="E4627" s="23"/>
      <c r="G4627" s="23"/>
    </row>
    <row r="4628" spans="5:7" x14ac:dyDescent="0.3">
      <c r="E4628" s="23"/>
      <c r="G4628" s="23"/>
    </row>
    <row r="4629" spans="5:7" x14ac:dyDescent="0.3">
      <c r="E4629" s="23"/>
      <c r="G4629" s="23"/>
    </row>
    <row r="4630" spans="5:7" x14ac:dyDescent="0.3">
      <c r="E4630" s="23"/>
      <c r="G4630" s="23"/>
    </row>
    <row r="4631" spans="5:7" x14ac:dyDescent="0.3">
      <c r="E4631" s="23"/>
      <c r="G4631" s="23"/>
    </row>
    <row r="4632" spans="5:7" x14ac:dyDescent="0.3">
      <c r="E4632" s="23"/>
      <c r="G4632" s="23"/>
    </row>
    <row r="4633" spans="5:7" x14ac:dyDescent="0.3">
      <c r="E4633" s="23"/>
      <c r="G4633" s="23"/>
    </row>
    <row r="4634" spans="5:7" x14ac:dyDescent="0.3">
      <c r="E4634" s="23"/>
      <c r="G4634" s="23"/>
    </row>
    <row r="4635" spans="5:7" x14ac:dyDescent="0.3">
      <c r="E4635" s="23"/>
      <c r="G4635" s="23"/>
    </row>
    <row r="4636" spans="5:7" x14ac:dyDescent="0.3">
      <c r="E4636" s="23"/>
      <c r="G4636" s="23"/>
    </row>
    <row r="4637" spans="5:7" x14ac:dyDescent="0.3">
      <c r="E4637" s="23"/>
      <c r="G4637" s="23"/>
    </row>
    <row r="4638" spans="5:7" x14ac:dyDescent="0.3">
      <c r="E4638" s="23"/>
      <c r="G4638" s="23"/>
    </row>
    <row r="4639" spans="5:7" x14ac:dyDescent="0.3">
      <c r="E4639" s="23"/>
      <c r="G4639" s="23"/>
    </row>
    <row r="4640" spans="5:7" x14ac:dyDescent="0.3">
      <c r="E4640" s="23"/>
      <c r="G4640" s="23"/>
    </row>
    <row r="4641" spans="5:7" x14ac:dyDescent="0.3">
      <c r="E4641" s="23"/>
      <c r="G4641" s="23"/>
    </row>
    <row r="4642" spans="5:7" x14ac:dyDescent="0.3">
      <c r="E4642" s="23"/>
      <c r="G4642" s="23"/>
    </row>
    <row r="4643" spans="5:7" x14ac:dyDescent="0.3">
      <c r="E4643" s="23"/>
      <c r="G4643" s="23"/>
    </row>
    <row r="4644" spans="5:7" x14ac:dyDescent="0.3">
      <c r="E4644" s="23"/>
      <c r="G4644" s="23"/>
    </row>
    <row r="4645" spans="5:7" x14ac:dyDescent="0.3">
      <c r="E4645" s="23"/>
      <c r="G4645" s="23"/>
    </row>
    <row r="4646" spans="5:7" x14ac:dyDescent="0.3">
      <c r="E4646" s="23"/>
      <c r="G4646" s="23"/>
    </row>
    <row r="4647" spans="5:7" x14ac:dyDescent="0.3">
      <c r="E4647" s="23"/>
      <c r="G4647" s="23"/>
    </row>
    <row r="4648" spans="5:7" x14ac:dyDescent="0.3">
      <c r="E4648" s="23"/>
      <c r="G4648" s="23"/>
    </row>
    <row r="4649" spans="5:7" x14ac:dyDescent="0.3">
      <c r="E4649" s="23"/>
      <c r="G4649" s="23"/>
    </row>
    <row r="4650" spans="5:7" x14ac:dyDescent="0.3">
      <c r="E4650" s="23"/>
      <c r="G4650" s="23"/>
    </row>
    <row r="4651" spans="5:7" x14ac:dyDescent="0.3">
      <c r="E4651" s="23"/>
      <c r="G4651" s="23"/>
    </row>
    <row r="4652" spans="5:7" x14ac:dyDescent="0.3">
      <c r="E4652" s="23"/>
      <c r="G4652" s="23"/>
    </row>
    <row r="4653" spans="5:7" x14ac:dyDescent="0.3">
      <c r="E4653" s="23"/>
      <c r="G4653" s="23"/>
    </row>
    <row r="4654" spans="5:7" x14ac:dyDescent="0.3">
      <c r="E4654" s="23"/>
      <c r="G4654" s="23"/>
    </row>
    <row r="4655" spans="5:7" x14ac:dyDescent="0.3">
      <c r="E4655" s="23"/>
      <c r="G4655" s="23"/>
    </row>
    <row r="4656" spans="5:7" x14ac:dyDescent="0.3">
      <c r="E4656" s="23"/>
      <c r="G4656" s="23"/>
    </row>
    <row r="4657" spans="2:7" x14ac:dyDescent="0.3">
      <c r="G4657" s="23"/>
    </row>
    <row r="4658" spans="2:7" x14ac:dyDescent="0.3"/>
    <row r="4659" spans="2:7" x14ac:dyDescent="0.3"/>
    <row r="4660" spans="2:7" x14ac:dyDescent="0.3"/>
    <row r="4661" spans="2:7" x14ac:dyDescent="0.3"/>
    <row r="4662" spans="2:7" x14ac:dyDescent="0.3"/>
    <row r="4663" spans="2:7" x14ac:dyDescent="0.3"/>
    <row r="4664" spans="2:7" x14ac:dyDescent="0.3"/>
    <row r="4665" spans="2:7" x14ac:dyDescent="0.3"/>
    <row r="4666" spans="2:7" x14ac:dyDescent="0.3"/>
    <row r="4667" spans="2:7" hidden="1" x14ac:dyDescent="0.3">
      <c r="B4667" t="s">
        <v>409</v>
      </c>
      <c r="C4667" t="str">
        <f>INDEX(nse!D:D,MATCH(B4667,nse!B:B,0))</f>
        <v>EQ</v>
      </c>
      <c r="D4667" t="str">
        <f>INDEX(nse!C:C,MATCH(B4667,nse!B:B,0))</f>
        <v>Esab India Limited</v>
      </c>
    </row>
    <row r="4668" spans="2:7" hidden="1" x14ac:dyDescent="0.3">
      <c r="B4668" t="s">
        <v>410</v>
      </c>
      <c r="C4668" t="str">
        <f>INDEX(nse!D:D,MATCH(B4668,nse!B:B,0))</f>
        <v>EQ</v>
      </c>
      <c r="D4668" t="str">
        <f>INDEX(nse!C:C,MATCH(B4668,nse!B:B,0))</f>
        <v>Escorts Limited</v>
      </c>
    </row>
    <row r="4669" spans="2:7" hidden="1" x14ac:dyDescent="0.3">
      <c r="B4669" t="s">
        <v>411</v>
      </c>
      <c r="C4669" t="str">
        <f>INDEX(nse!D:D,MATCH(B4669,nse!B:B,0))</f>
        <v>EQ</v>
      </c>
      <c r="D4669" t="str">
        <f>INDEX(nse!C:C,MATCH(B4669,nse!B:B,0))</f>
        <v>Electrosteel Steels Limited</v>
      </c>
    </row>
    <row r="4670" spans="2:7" hidden="1" x14ac:dyDescent="0.3">
      <c r="B4670" t="s">
        <v>412</v>
      </c>
      <c r="C4670" t="str">
        <f>INDEX(nse!D:D,MATCH(B4670,nse!B:B,0))</f>
        <v>EQ</v>
      </c>
      <c r="D4670" t="str">
        <f>INDEX(nse!C:C,MATCH(B4670,nse!B:B,0))</f>
        <v>Essar Shipping Limited</v>
      </c>
    </row>
    <row r="4671" spans="2:7" hidden="1" x14ac:dyDescent="0.3">
      <c r="B4671" t="s">
        <v>413</v>
      </c>
      <c r="C4671" t="str">
        <f>INDEX(nse!D:D,MATCH(B4671,nse!B:B,0))</f>
        <v>BE</v>
      </c>
      <c r="D4671" t="str">
        <f>INDEX(nse!C:C,MATCH(B4671,nse!B:B,0))</f>
        <v>Ess Dee Aluminium Limited</v>
      </c>
    </row>
    <row r="4672" spans="2:7" hidden="1" x14ac:dyDescent="0.3">
      <c r="B4672" t="s">
        <v>414</v>
      </c>
      <c r="C4672" t="str">
        <f>INDEX(nse!D:D,MATCH(B4672,nse!B:B,0))</f>
        <v>EQ</v>
      </c>
      <c r="D4672" t="str">
        <f>INDEX(nse!C:C,MATCH(B4672,nse!B:B,0))</f>
        <v>Essel Propack Limited</v>
      </c>
    </row>
    <row r="4673" spans="2:4" hidden="1" x14ac:dyDescent="0.3">
      <c r="B4673" t="s">
        <v>415</v>
      </c>
      <c r="C4673" t="str">
        <f>INDEX(nse!D:D,MATCH(B4673,nse!B:B,0))</f>
        <v>EQ</v>
      </c>
      <c r="D4673" t="str">
        <f>INDEX(nse!C:C,MATCH(B4673,nse!B:B,0))</f>
        <v>Ester Industries Limited</v>
      </c>
    </row>
    <row r="4674" spans="2:4" hidden="1" x14ac:dyDescent="0.3">
      <c r="B4674" t="s">
        <v>416</v>
      </c>
      <c r="C4674" t="str">
        <f>INDEX(nse!D:D,MATCH(B4674,nse!B:B,0))</f>
        <v>BE</v>
      </c>
      <c r="D4674" t="str">
        <f>INDEX(nse!C:C,MATCH(B4674,nse!B:B,0))</f>
        <v>Euro Ceramics Limited</v>
      </c>
    </row>
    <row r="4675" spans="2:4" hidden="1" x14ac:dyDescent="0.3">
      <c r="B4675" t="s">
        <v>1303</v>
      </c>
      <c r="C4675" t="str">
        <f>INDEX(nse!D:D,MATCH(B4675,nse!B:B,0))</f>
        <v>BE</v>
      </c>
      <c r="D4675" t="str">
        <f>INDEX(nse!C:C,MATCH(B4675,nse!B:B,0))</f>
        <v>Euro Multivision Limited</v>
      </c>
    </row>
    <row r="4676" spans="2:4" hidden="1" x14ac:dyDescent="0.3">
      <c r="B4676" t="s">
        <v>417</v>
      </c>
      <c r="C4676" t="str">
        <f>INDEX(nse!D:D,MATCH(B4676,nse!B:B,0))</f>
        <v>EQ</v>
      </c>
      <c r="D4676" t="str">
        <f>INDEX(nse!C:C,MATCH(B4676,nse!B:B,0))</f>
        <v>Eurotex Industries and Exports Limited</v>
      </c>
    </row>
    <row r="4677" spans="2:4" hidden="1" x14ac:dyDescent="0.3">
      <c r="B4677" t="s">
        <v>418</v>
      </c>
      <c r="C4677" t="str">
        <f>INDEX(nse!D:D,MATCH(B4677,nse!B:B,0))</f>
        <v>EQ</v>
      </c>
      <c r="D4677" t="str">
        <f>INDEX(nse!C:C,MATCH(B4677,nse!B:B,0))</f>
        <v>Eveready Industries India Limited</v>
      </c>
    </row>
    <row r="4678" spans="2:4" hidden="1" x14ac:dyDescent="0.3">
      <c r="B4678" t="s">
        <v>419</v>
      </c>
      <c r="C4678" t="str">
        <f>INDEX(nse!D:D,MATCH(B4678,nse!B:B,0))</f>
        <v>EQ</v>
      </c>
      <c r="D4678" t="str">
        <f>INDEX(nse!C:C,MATCH(B4678,nse!B:B,0))</f>
        <v>Everest Industries Limited</v>
      </c>
    </row>
    <row r="4679" spans="2:4" hidden="1" x14ac:dyDescent="0.3">
      <c r="B4679" t="s">
        <v>3187</v>
      </c>
      <c r="C4679" t="str">
        <f>INDEX(nse!D:D,MATCH(B4679,nse!B:B,0))</f>
        <v>EQ</v>
      </c>
      <c r="D4679" t="str">
        <f>INDEX(nse!C:C,MATCH(B4679,nse!B:B,0))</f>
        <v>Excel Realty N Infra Limited</v>
      </c>
    </row>
    <row r="4680" spans="2:4" hidden="1" x14ac:dyDescent="0.3">
      <c r="B4680" t="s">
        <v>420</v>
      </c>
      <c r="C4680" t="str">
        <f>INDEX(nse!D:D,MATCH(B4680,nse!B:B,0))</f>
        <v>EQ</v>
      </c>
      <c r="D4680" t="str">
        <f>INDEX(nse!C:C,MATCH(B4680,nse!B:B,0))</f>
        <v>Excel Crop Care Limited</v>
      </c>
    </row>
    <row r="4681" spans="2:4" hidden="1" x14ac:dyDescent="0.3">
      <c r="B4681" t="s">
        <v>421</v>
      </c>
      <c r="C4681" t="str">
        <f>INDEX(nse!D:D,MATCH(B4681,nse!B:B,0))</f>
        <v>EQ</v>
      </c>
      <c r="D4681" t="str">
        <f>INDEX(nse!C:C,MATCH(B4681,nse!B:B,0))</f>
        <v>Excel Industries Limited</v>
      </c>
    </row>
    <row r="4682" spans="2:4" hidden="1" x14ac:dyDescent="0.3">
      <c r="B4682" t="s">
        <v>52</v>
      </c>
      <c r="C4682" t="str">
        <f>INDEX(nse!D:D,MATCH(B4682,nse!B:B,0))</f>
        <v>EQ</v>
      </c>
      <c r="D4682" t="str">
        <f>INDEX(nse!C:C,MATCH(B4682,nse!B:B,0))</f>
        <v>Exide Industries Limited</v>
      </c>
    </row>
    <row r="4683" spans="2:4" hidden="1" x14ac:dyDescent="0.3">
      <c r="B4683" t="s">
        <v>422</v>
      </c>
      <c r="C4683" t="str">
        <f>INDEX(nse!D:D,MATCH(B4683,nse!B:B,0))</f>
        <v>EQ</v>
      </c>
      <c r="D4683" t="str">
        <f>INDEX(nse!C:C,MATCH(B4683,nse!B:B,0))</f>
        <v>Fertilizers and Chemicals Travancore Limited</v>
      </c>
    </row>
    <row r="4684" spans="2:4" hidden="1" x14ac:dyDescent="0.3">
      <c r="B4684" t="s">
        <v>423</v>
      </c>
      <c r="C4684" t="str">
        <f>INDEX(nse!D:D,MATCH(B4684,nse!B:B,0))</f>
        <v>EQ</v>
      </c>
      <c r="D4684" t="str">
        <f>INDEX(nse!C:C,MATCH(B4684,nse!B:B,0))</f>
        <v>FAG Bearings India Limited</v>
      </c>
    </row>
    <row r="4685" spans="2:4" hidden="1" x14ac:dyDescent="0.3">
      <c r="B4685" t="s">
        <v>3195</v>
      </c>
      <c r="C4685" t="str">
        <f>INDEX(nse!D:D,MATCH(B4685,nse!B:B,0))</f>
        <v>EQ</v>
      </c>
      <c r="D4685" t="str">
        <f>INDEX(nse!C:C,MATCH(B4685,nse!B:B,0))</f>
        <v>Fairchem Speciality Limited</v>
      </c>
    </row>
    <row r="4686" spans="2:4" hidden="1" x14ac:dyDescent="0.3">
      <c r="B4686" t="s">
        <v>3198</v>
      </c>
      <c r="C4686" t="str">
        <f>INDEX(nse!D:D,MATCH(B4686,nse!B:B,0))</f>
        <v>EQ</v>
      </c>
      <c r="D4686" t="str">
        <f>INDEX(nse!C:C,MATCH(B4686,nse!B:B,0))</f>
        <v>Fineotex Chemical Limited</v>
      </c>
    </row>
    <row r="4687" spans="2:4" hidden="1" x14ac:dyDescent="0.3">
      <c r="B4687" t="s">
        <v>3201</v>
      </c>
      <c r="C4687" t="str">
        <f>INDEX(nse!D:D,MATCH(B4687,nse!B:B,0))</f>
        <v>EQ</v>
      </c>
      <c r="D4687" t="str">
        <f>INDEX(nse!C:C,MATCH(B4687,nse!B:B,0))</f>
        <v>Future Consumer Limited</v>
      </c>
    </row>
    <row r="4688" spans="2:4" hidden="1" x14ac:dyDescent="0.3">
      <c r="B4688" t="s">
        <v>424</v>
      </c>
      <c r="C4688" t="str">
        <f>INDEX(nse!D:D,MATCH(B4688,nse!B:B,0))</f>
        <v>BE</v>
      </c>
      <c r="D4688" t="str">
        <f>INDEX(nse!C:C,MATCH(B4688,nse!B:B,0))</f>
        <v>FCS Software Solutions Limited</v>
      </c>
    </row>
    <row r="4689" spans="2:4" hidden="1" x14ac:dyDescent="0.3">
      <c r="B4689" t="s">
        <v>425</v>
      </c>
      <c r="C4689" t="str">
        <f>INDEX(nse!D:D,MATCH(B4689,nse!B:B,0))</f>
        <v>EQ</v>
      </c>
      <c r="D4689" t="str">
        <f>INDEX(nse!C:C,MATCH(B4689,nse!B:B,0))</f>
        <v>FDC Limited</v>
      </c>
    </row>
    <row r="4690" spans="2:4" hidden="1" x14ac:dyDescent="0.3">
      <c r="B4690" t="s">
        <v>426</v>
      </c>
      <c r="C4690" t="str">
        <f>INDEX(nse!D:D,MATCH(B4690,nse!B:B,0))</f>
        <v>EQ</v>
      </c>
      <c r="D4690" t="str">
        <f>INDEX(nse!C:C,MATCH(B4690,nse!B:B,0))</f>
        <v>Fedders Lloyd Corporation Limited</v>
      </c>
    </row>
    <row r="4691" spans="2:4" hidden="1" x14ac:dyDescent="0.3">
      <c r="B4691" t="s">
        <v>427</v>
      </c>
      <c r="C4691" t="str">
        <f>INDEX(nse!D:D,MATCH(B4691,nse!B:B,0))</f>
        <v>EQ</v>
      </c>
      <c r="D4691" t="str">
        <f>INDEX(nse!C:C,MATCH(B4691,nse!B:B,0))</f>
        <v>The Federal Bank  Limited</v>
      </c>
    </row>
    <row r="4692" spans="2:4" hidden="1" x14ac:dyDescent="0.3">
      <c r="B4692" t="s">
        <v>3208</v>
      </c>
      <c r="C4692" t="str">
        <f>INDEX(nse!D:D,MATCH(B4692,nse!B:B,0))</f>
        <v>EQ</v>
      </c>
      <c r="D4692" t="str">
        <f>INDEX(nse!C:C,MATCH(B4692,nse!B:B,0))</f>
        <v>Future Enterprises Limited</v>
      </c>
    </row>
    <row r="4693" spans="2:4" hidden="1" x14ac:dyDescent="0.3">
      <c r="B4693" t="s">
        <v>3211</v>
      </c>
      <c r="C4693" t="str">
        <f>INDEX(nse!D:D,MATCH(B4693,nse!B:B,0))</f>
        <v>EQ</v>
      </c>
      <c r="D4693" t="str">
        <f>INDEX(nse!C:C,MATCH(B4693,nse!B:B,0))</f>
        <v>Future Enterprises Limited</v>
      </c>
    </row>
    <row r="4694" spans="2:4" hidden="1" x14ac:dyDescent="0.3">
      <c r="B4694" t="s">
        <v>428</v>
      </c>
      <c r="C4694" t="str">
        <f>INDEX(nse!D:D,MATCH(B4694,nse!B:B,0))</f>
        <v>EQ</v>
      </c>
      <c r="D4694" t="str">
        <f>INDEX(nse!C:C,MATCH(B4694,nse!B:B,0))</f>
        <v>Fiem Industries Limited</v>
      </c>
    </row>
    <row r="4695" spans="2:4" hidden="1" x14ac:dyDescent="0.3">
      <c r="B4695" t="s">
        <v>429</v>
      </c>
      <c r="C4695" t="str">
        <f>INDEX(nse!D:D,MATCH(B4695,nse!B:B,0))</f>
        <v>EQ</v>
      </c>
      <c r="D4695" t="str">
        <f>INDEX(nse!C:C,MATCH(B4695,nse!B:B,0))</f>
        <v>Filatex India Limited</v>
      </c>
    </row>
    <row r="4696" spans="2:4" hidden="1" x14ac:dyDescent="0.3">
      <c r="B4696" t="s">
        <v>430</v>
      </c>
      <c r="C4696" t="str">
        <f>INDEX(nse!D:D,MATCH(B4696,nse!B:B,0))</f>
        <v>EQ</v>
      </c>
      <c r="D4696" t="str">
        <f>INDEX(nse!C:C,MATCH(B4696,nse!B:B,0))</f>
        <v>Finolex Cables Limited</v>
      </c>
    </row>
    <row r="4697" spans="2:4" hidden="1" x14ac:dyDescent="0.3">
      <c r="B4697" t="s">
        <v>431</v>
      </c>
      <c r="C4697" t="str">
        <f>INDEX(nse!D:D,MATCH(B4697,nse!B:B,0))</f>
        <v>EQ</v>
      </c>
      <c r="D4697" t="str">
        <f>INDEX(nse!C:C,MATCH(B4697,nse!B:B,0))</f>
        <v>Finolex Industries Limited</v>
      </c>
    </row>
    <row r="4698" spans="2:4" hidden="1" x14ac:dyDescent="0.3">
      <c r="B4698" t="s">
        <v>1304</v>
      </c>
      <c r="C4698" t="str">
        <f>INDEX(nse!D:D,MATCH(B4698,nse!B:B,0))</f>
        <v>BE</v>
      </c>
      <c r="D4698" t="str">
        <f>INDEX(nse!C:C,MATCH(B4698,nse!B:B,0))</f>
        <v>First Winner Industries Limited</v>
      </c>
    </row>
    <row r="4699" spans="2:4" hidden="1" x14ac:dyDescent="0.3">
      <c r="B4699" t="s">
        <v>432</v>
      </c>
      <c r="C4699" t="str">
        <f>INDEX(nse!D:D,MATCH(B4699,nse!B:B,0))</f>
        <v>EQ</v>
      </c>
      <c r="D4699" t="str">
        <f>INDEX(nse!C:C,MATCH(B4699,nse!B:B,0))</f>
        <v>Flexituff International Limited</v>
      </c>
    </row>
    <row r="4700" spans="2:4" hidden="1" x14ac:dyDescent="0.3">
      <c r="B4700" t="s">
        <v>433</v>
      </c>
      <c r="C4700" t="str">
        <f>INDEX(nse!D:D,MATCH(B4700,nse!B:B,0))</f>
        <v>EQ</v>
      </c>
      <c r="D4700" t="str">
        <f>INDEX(nse!C:C,MATCH(B4700,nse!B:B,0))</f>
        <v>Future Lifestyle Fashions Limited</v>
      </c>
    </row>
    <row r="4701" spans="2:4" hidden="1" x14ac:dyDescent="0.3">
      <c r="B4701" t="s">
        <v>434</v>
      </c>
      <c r="C4701" t="str">
        <f>INDEX(nse!D:D,MATCH(B4701,nse!B:B,0))</f>
        <v>EQ</v>
      </c>
      <c r="D4701" t="str">
        <f>INDEX(nse!C:C,MATCH(B4701,nse!B:B,0))</f>
        <v>Federal-Mogul Goetze (India) Limited.</v>
      </c>
    </row>
    <row r="4702" spans="2:4" hidden="1" x14ac:dyDescent="0.3">
      <c r="B4702" t="s">
        <v>435</v>
      </c>
      <c r="C4702" t="str">
        <f>INDEX(nse!D:D,MATCH(B4702,nse!B:B,0))</f>
        <v>EQ</v>
      </c>
      <c r="D4702" t="str">
        <f>INDEX(nse!C:C,MATCH(B4702,nse!B:B,0))</f>
        <v>Future Market Networks Limited</v>
      </c>
    </row>
    <row r="4703" spans="2:4" hidden="1" x14ac:dyDescent="0.3">
      <c r="B4703" t="s">
        <v>436</v>
      </c>
      <c r="C4703" t="str">
        <f>INDEX(nse!D:D,MATCH(B4703,nse!B:B,0))</f>
        <v>EQ</v>
      </c>
      <c r="D4703" t="str">
        <f>INDEX(nse!C:C,MATCH(B4703,nse!B:B,0))</f>
        <v>Fortis Healthcare Limited</v>
      </c>
    </row>
    <row r="4704" spans="2:4" hidden="1" x14ac:dyDescent="0.3">
      <c r="B4704" t="s">
        <v>436</v>
      </c>
      <c r="C4704" t="str">
        <f>INDEX(nse!D:D,MATCH(B4704,nse!B:B,0))</f>
        <v>EQ</v>
      </c>
      <c r="D4704" t="str">
        <f>INDEX(nse!C:C,MATCH(B4704,nse!B:B,0))</f>
        <v>Fortis Healthcare Limited</v>
      </c>
    </row>
    <row r="4705" spans="2:4" hidden="1" x14ac:dyDescent="0.3">
      <c r="B4705" t="s">
        <v>437</v>
      </c>
      <c r="C4705" t="str">
        <f>INDEX(nse!D:D,MATCH(B4705,nse!B:B,0))</f>
        <v>EQ</v>
      </c>
      <c r="D4705" t="str">
        <f>INDEX(nse!C:C,MATCH(B4705,nse!B:B,0))</f>
        <v>Foseco India Limited</v>
      </c>
    </row>
    <row r="4706" spans="2:4" hidden="1" x14ac:dyDescent="0.3">
      <c r="B4706" t="s">
        <v>3224</v>
      </c>
      <c r="C4706" t="str">
        <f>INDEX(nse!D:D,MATCH(B4706,nse!B:B,0))</f>
        <v>EQ</v>
      </c>
      <c r="D4706" t="str">
        <f>INDEX(nse!C:C,MATCH(B4706,nse!B:B,0))</f>
        <v>Future Retail Limited</v>
      </c>
    </row>
    <row r="4707" spans="2:4" hidden="1" x14ac:dyDescent="0.3">
      <c r="B4707" t="s">
        <v>438</v>
      </c>
      <c r="C4707" t="str">
        <f>INDEX(nse!D:D,MATCH(B4707,nse!B:B,0))</f>
        <v>EQ</v>
      </c>
      <c r="D4707" t="str">
        <f>INDEX(nse!C:C,MATCH(B4707,nse!B:B,0))</f>
        <v>Firstsource Solutions Limited</v>
      </c>
    </row>
    <row r="4708" spans="2:4" hidden="1" x14ac:dyDescent="0.3">
      <c r="B4708" t="s">
        <v>439</v>
      </c>
      <c r="C4708" t="str">
        <f>INDEX(nse!D:D,MATCH(B4708,nse!B:B,0))</f>
        <v>EQ</v>
      </c>
      <c r="D4708" t="str">
        <f>INDEX(nse!C:C,MATCH(B4708,nse!B:B,0))</f>
        <v>Gabriel India Limited</v>
      </c>
    </row>
    <row r="4709" spans="2:4" hidden="1" x14ac:dyDescent="0.3">
      <c r="B4709" t="s">
        <v>440</v>
      </c>
      <c r="C4709" t="str">
        <f>INDEX(nse!D:D,MATCH(B4709,nse!B:B,0))</f>
        <v>EQ</v>
      </c>
      <c r="D4709" t="str">
        <f>INDEX(nse!C:C,MATCH(B4709,nse!B:B,0))</f>
        <v>Gujarat Ambuja Exports Limited</v>
      </c>
    </row>
    <row r="4710" spans="2:4" hidden="1" x14ac:dyDescent="0.3">
      <c r="B4710" t="s">
        <v>441</v>
      </c>
      <c r="C4710" t="str">
        <f>INDEX(nse!D:D,MATCH(B4710,nse!B:B,0))</f>
        <v>EQ</v>
      </c>
      <c r="D4710" t="str">
        <f>INDEX(nse!C:C,MATCH(B4710,nse!B:B,0))</f>
        <v>GAIL (India) Limited</v>
      </c>
    </row>
    <row r="4711" spans="2:4" hidden="1" x14ac:dyDescent="0.3">
      <c r="B4711" t="s">
        <v>442</v>
      </c>
      <c r="C4711" t="str">
        <f>INDEX(nse!D:D,MATCH(B4711,nse!B:B,0))</f>
        <v>EQ</v>
      </c>
      <c r="D4711" t="str">
        <f>INDEX(nse!C:C,MATCH(B4711,nse!B:B,0))</f>
        <v>Gyscoal Alloys Limited</v>
      </c>
    </row>
    <row r="4712" spans="2:4" hidden="1" x14ac:dyDescent="0.3">
      <c r="B4712" t="s">
        <v>443</v>
      </c>
      <c r="C4712" t="str">
        <f>INDEX(nse!D:D,MATCH(B4712,nse!B:B,0))</f>
        <v>EQ</v>
      </c>
      <c r="D4712" t="str">
        <f>INDEX(nse!C:C,MATCH(B4712,nse!B:B,0))</f>
        <v>Gallantt Metal Limited</v>
      </c>
    </row>
    <row r="4713" spans="2:4" hidden="1" x14ac:dyDescent="0.3">
      <c r="B4713" t="s">
        <v>444</v>
      </c>
      <c r="C4713" t="str">
        <f>INDEX(nse!D:D,MATCH(B4713,nse!B:B,0))</f>
        <v>EQ</v>
      </c>
      <c r="D4713" t="str">
        <f>INDEX(nse!C:C,MATCH(B4713,nse!B:B,0))</f>
        <v>Gallantt Ispat Limited</v>
      </c>
    </row>
    <row r="4714" spans="2:4" hidden="1" x14ac:dyDescent="0.3">
      <c r="B4714" t="s">
        <v>445</v>
      </c>
      <c r="C4714" t="str">
        <f>INDEX(nse!D:D,MATCH(B4714,nse!B:B,0))</f>
        <v>EQ</v>
      </c>
      <c r="D4714" t="str">
        <f>INDEX(nse!C:C,MATCH(B4714,nse!B:B,0))</f>
        <v>Gammon Infrastructure Projects Limited</v>
      </c>
    </row>
    <row r="4715" spans="2:4" hidden="1" x14ac:dyDescent="0.3">
      <c r="B4715" t="s">
        <v>446</v>
      </c>
      <c r="C4715" t="str">
        <f>INDEX(nse!D:D,MATCH(B4715,nse!B:B,0))</f>
        <v>EQ</v>
      </c>
      <c r="D4715" t="str">
        <f>INDEX(nse!C:C,MATCH(B4715,nse!B:B,0))</f>
        <v>Gammon India Limited</v>
      </c>
    </row>
    <row r="4716" spans="2:4" hidden="1" x14ac:dyDescent="0.3">
      <c r="B4716" t="s">
        <v>447</v>
      </c>
      <c r="C4716" t="str">
        <f>INDEX(nse!D:D,MATCH(B4716,nse!B:B,0))</f>
        <v>EQ</v>
      </c>
      <c r="D4716" t="str">
        <f>INDEX(nse!C:C,MATCH(B4716,nse!B:B,0))</f>
        <v>Gandhi Special Tubes Limited</v>
      </c>
    </row>
    <row r="4717" spans="2:4" hidden="1" x14ac:dyDescent="0.3">
      <c r="B4717" t="s">
        <v>3236</v>
      </c>
      <c r="C4717" t="str">
        <f>INDEX(nse!D:D,MATCH(B4717,nse!B:B,0))</f>
        <v>EQ</v>
      </c>
      <c r="D4717" t="str">
        <f>INDEX(nse!C:C,MATCH(B4717,nse!B:B,0))</f>
        <v>Ganesha Ecosphere Limited</v>
      </c>
    </row>
    <row r="4718" spans="2:4" hidden="1" x14ac:dyDescent="0.3">
      <c r="B4718" t="s">
        <v>448</v>
      </c>
      <c r="C4718" t="str">
        <f>INDEX(nse!D:D,MATCH(B4718,nse!B:B,0))</f>
        <v>EQ</v>
      </c>
      <c r="D4718" t="str">
        <f>INDEX(nse!C:C,MATCH(B4718,nse!B:B,0))</f>
        <v>Ganesh Housing Corporation Limited</v>
      </c>
    </row>
    <row r="4719" spans="2:4" hidden="1" x14ac:dyDescent="0.3">
      <c r="B4719" t="s">
        <v>449</v>
      </c>
      <c r="C4719" t="str">
        <f>INDEX(nse!D:D,MATCH(B4719,nse!B:B,0))</f>
        <v>BZ</v>
      </c>
      <c r="D4719" t="str">
        <f>INDEX(nse!C:C,MATCH(B4719,nse!B:B,0))</f>
        <v>Gangotri Textiles Limited</v>
      </c>
    </row>
    <row r="4720" spans="2:4" hidden="1" x14ac:dyDescent="0.3">
      <c r="B4720" t="s">
        <v>449</v>
      </c>
      <c r="C4720" t="str">
        <f>INDEX(nse!D:D,MATCH(B4720,nse!B:B,0))</f>
        <v>BZ</v>
      </c>
      <c r="D4720" t="str">
        <f>INDEX(nse!C:C,MATCH(B4720,nse!B:B,0))</f>
        <v>Gangotri Textiles Limited</v>
      </c>
    </row>
    <row r="4721" spans="2:4" hidden="1" x14ac:dyDescent="0.3">
      <c r="B4721" t="s">
        <v>450</v>
      </c>
      <c r="C4721" t="str">
        <f>INDEX(nse!D:D,MATCH(B4721,nse!B:B,0))</f>
        <v>EQ</v>
      </c>
      <c r="D4721" t="str">
        <f>INDEX(nse!C:C,MATCH(B4721,nse!B:B,0))</f>
        <v>Garden Silk Mills Limited</v>
      </c>
    </row>
    <row r="4722" spans="2:4" hidden="1" x14ac:dyDescent="0.3">
      <c r="B4722" t="s">
        <v>451</v>
      </c>
      <c r="C4722" t="str">
        <f>INDEX(nse!D:D,MATCH(B4722,nse!B:B,0))</f>
        <v>EQ</v>
      </c>
      <c r="D4722" t="str">
        <f>INDEX(nse!C:C,MATCH(B4722,nse!B:B,0))</f>
        <v>Garware  Wall Ropes Limited</v>
      </c>
    </row>
    <row r="4723" spans="2:4" hidden="1" x14ac:dyDescent="0.3">
      <c r="B4723" t="s">
        <v>452</v>
      </c>
      <c r="C4723" t="str">
        <f>INDEX(nse!D:D,MATCH(B4723,nse!B:B,0))</f>
        <v>EQ</v>
      </c>
      <c r="D4723" t="str">
        <f>INDEX(nse!C:C,MATCH(B4723,nse!B:B,0))</f>
        <v>GATI Limited</v>
      </c>
    </row>
    <row r="4724" spans="2:4" hidden="1" x14ac:dyDescent="0.3">
      <c r="B4724" t="s">
        <v>453</v>
      </c>
      <c r="C4724" t="str">
        <f>INDEX(nse!D:D,MATCH(B4724,nse!B:B,0))</f>
        <v>EQ</v>
      </c>
      <c r="D4724" t="str">
        <f>INDEX(nse!C:C,MATCH(B4724,nse!B:B,0))</f>
        <v>Gayatri Projects Limited</v>
      </c>
    </row>
    <row r="4725" spans="2:4" hidden="1" x14ac:dyDescent="0.3">
      <c r="B4725" t="s">
        <v>454</v>
      </c>
      <c r="C4725" t="str">
        <f>INDEX(nse!D:D,MATCH(B4725,nse!B:B,0))</f>
        <v>EQ</v>
      </c>
      <c r="D4725" t="str">
        <f>INDEX(nse!C:C,MATCH(B4725,nse!B:B,0))</f>
        <v>Gateway Distriparks Limited</v>
      </c>
    </row>
    <row r="4726" spans="2:4" hidden="1" x14ac:dyDescent="0.3">
      <c r="B4726" t="s">
        <v>455</v>
      </c>
      <c r="C4726" t="str">
        <f>INDEX(nse!D:D,MATCH(B4726,nse!B:B,0))</f>
        <v>EQ</v>
      </c>
      <c r="D4726" t="str">
        <f>INDEX(nse!C:C,MATCH(B4726,nse!B:B,0))</f>
        <v>GeeCee Ventures Limited</v>
      </c>
    </row>
    <row r="4727" spans="2:4" hidden="1" x14ac:dyDescent="0.3">
      <c r="B4727" t="s">
        <v>456</v>
      </c>
      <c r="C4727" t="str">
        <f>INDEX(nse!D:D,MATCH(B4727,nse!B:B,0))</f>
        <v>BE</v>
      </c>
      <c r="D4727" t="str">
        <f>INDEX(nse!C:C,MATCH(B4727,nse!B:B,0))</f>
        <v>Gemini Communication Limited</v>
      </c>
    </row>
    <row r="4728" spans="2:4" hidden="1" x14ac:dyDescent="0.3">
      <c r="B4728" t="s">
        <v>457</v>
      </c>
      <c r="C4728" t="str">
        <f>INDEX(nse!D:D,MATCH(B4728,nse!B:B,0))</f>
        <v>EQ</v>
      </c>
      <c r="D4728" t="str">
        <f>INDEX(nse!C:C,MATCH(B4728,nse!B:B,0))</f>
        <v>Genesys International Corporation Limited</v>
      </c>
    </row>
    <row r="4729" spans="2:4" hidden="1" x14ac:dyDescent="0.3">
      <c r="B4729" t="s">
        <v>3249</v>
      </c>
      <c r="C4729" t="str">
        <f>INDEX(nse!D:D,MATCH(B4729,nse!B:B,0))</f>
        <v>EQ</v>
      </c>
      <c r="D4729" t="str">
        <f>INDEX(nse!C:C,MATCH(B4729,nse!B:B,0))</f>
        <v>Genus Paper &amp; Boards Limited</v>
      </c>
    </row>
    <row r="4730" spans="2:4" hidden="1" x14ac:dyDescent="0.3">
      <c r="B4730" t="s">
        <v>458</v>
      </c>
      <c r="C4730" t="str">
        <f>INDEX(nse!D:D,MATCH(B4730,nse!B:B,0))</f>
        <v>EQ</v>
      </c>
      <c r="D4730" t="str">
        <f>INDEX(nse!C:C,MATCH(B4730,nse!B:B,0))</f>
        <v>Genus Power Infrastructures Limited</v>
      </c>
    </row>
    <row r="4731" spans="2:4" hidden="1" x14ac:dyDescent="0.3">
      <c r="B4731" t="s">
        <v>3253</v>
      </c>
      <c r="C4731" t="str">
        <f>INDEX(nse!D:D,MATCH(B4731,nse!B:B,0))</f>
        <v>EQ</v>
      </c>
      <c r="D4731" t="str">
        <f>INDEX(nse!C:C,MATCH(B4731,nse!B:B,0))</f>
        <v>Geojit Financial Services Limited</v>
      </c>
    </row>
    <row r="4732" spans="2:4" hidden="1" x14ac:dyDescent="0.3">
      <c r="B4732" t="s">
        <v>3256</v>
      </c>
      <c r="C4732" t="str">
        <f>INDEX(nse!D:D,MATCH(B4732,nse!B:B,0))</f>
        <v>EQ</v>
      </c>
      <c r="D4732" t="str">
        <f>INDEX(nse!C:C,MATCH(B4732,nse!B:B,0))</f>
        <v>GE Power India Limited</v>
      </c>
    </row>
    <row r="4733" spans="2:4" hidden="1" x14ac:dyDescent="0.3">
      <c r="B4733" t="s">
        <v>57</v>
      </c>
      <c r="C4733" t="str">
        <f>INDEX(nse!D:D,MATCH(B4733,nse!B:B,0))</f>
        <v>EQ</v>
      </c>
      <c r="D4733" t="str">
        <f>INDEX(nse!C:C,MATCH(B4733,nse!B:B,0))</f>
        <v>The Great Eastern Shipping Company Limited</v>
      </c>
    </row>
    <row r="4734" spans="2:4" hidden="1" x14ac:dyDescent="0.3">
      <c r="B4734" t="s">
        <v>3260</v>
      </c>
      <c r="C4734" t="str">
        <f>INDEX(nse!D:D,MATCH(B4734,nse!B:B,0))</f>
        <v>EQ</v>
      </c>
      <c r="D4734" t="str">
        <f>INDEX(nse!C:C,MATCH(B4734,nse!B:B,0))</f>
        <v>GE T&amp;D India Limited</v>
      </c>
    </row>
    <row r="4735" spans="2:4" hidden="1" x14ac:dyDescent="0.3">
      <c r="B4735" t="s">
        <v>459</v>
      </c>
      <c r="C4735" t="str">
        <f>INDEX(nse!D:D,MATCH(B4735,nse!B:B,0))</f>
        <v>EQ</v>
      </c>
      <c r="D4735" t="str">
        <f>INDEX(nse!C:C,MATCH(B4735,nse!B:B,0))</f>
        <v>GHCL Limited</v>
      </c>
    </row>
    <row r="4736" spans="2:4" hidden="1" x14ac:dyDescent="0.3">
      <c r="B4736" t="s">
        <v>460</v>
      </c>
      <c r="C4736" t="str">
        <f>INDEX(nse!D:D,MATCH(B4736,nse!B:B,0))</f>
        <v>EQ</v>
      </c>
      <c r="D4736" t="str">
        <f>INDEX(nse!C:C,MATCH(B4736,nse!B:B,0))</f>
        <v>GIC Housing Finance Limited</v>
      </c>
    </row>
    <row r="4737" spans="2:4" hidden="1" x14ac:dyDescent="0.3">
      <c r="B4737" t="s">
        <v>461</v>
      </c>
      <c r="C4737" t="str">
        <f>INDEX(nse!D:D,MATCH(B4737,nse!B:B,0))</f>
        <v>EQ</v>
      </c>
      <c r="D4737" t="str">
        <f>INDEX(nse!C:C,MATCH(B4737,nse!B:B,0))</f>
        <v>Gillanders Arbuthnot &amp; Company Limited</v>
      </c>
    </row>
    <row r="4738" spans="2:4" hidden="1" x14ac:dyDescent="0.3">
      <c r="B4738" t="s">
        <v>462</v>
      </c>
      <c r="C4738" t="str">
        <f>INDEX(nse!D:D,MATCH(B4738,nse!B:B,0))</f>
        <v>EQ</v>
      </c>
      <c r="D4738" t="str">
        <f>INDEX(nse!C:C,MATCH(B4738,nse!B:B,0))</f>
        <v>Gillette India Limited</v>
      </c>
    </row>
    <row r="4739" spans="2:4" hidden="1" x14ac:dyDescent="0.3">
      <c r="B4739" t="s">
        <v>463</v>
      </c>
      <c r="C4739" t="str">
        <f>INDEX(nse!D:D,MATCH(B4739,nse!B:B,0))</f>
        <v>EQ</v>
      </c>
      <c r="D4739" t="str">
        <f>INDEX(nse!C:C,MATCH(B4739,nse!B:B,0))</f>
        <v>Ginni Filaments Limited</v>
      </c>
    </row>
    <row r="4740" spans="2:4" hidden="1" x14ac:dyDescent="0.3">
      <c r="B4740" t="s">
        <v>464</v>
      </c>
      <c r="C4740" t="str">
        <f>INDEX(nse!D:D,MATCH(B4740,nse!B:B,0))</f>
        <v>EQ</v>
      </c>
      <c r="D4740" t="str">
        <f>INDEX(nse!C:C,MATCH(B4740,nse!B:B,0))</f>
        <v>Gujarat Industries Power Company Limited</v>
      </c>
    </row>
    <row r="4741" spans="2:4" hidden="1" x14ac:dyDescent="0.3">
      <c r="B4741" t="s">
        <v>1305</v>
      </c>
      <c r="C4741" t="str">
        <f>INDEX(nse!D:D,MATCH(B4741,nse!B:B,0))</f>
        <v>BE</v>
      </c>
      <c r="D4741" t="str">
        <f>INDEX(nse!C:C,MATCH(B4741,nse!B:B,0))</f>
        <v>GI Engineering Solutions Limited</v>
      </c>
    </row>
    <row r="4742" spans="2:4" hidden="1" x14ac:dyDescent="0.3">
      <c r="B4742" t="s">
        <v>465</v>
      </c>
      <c r="C4742" t="str">
        <f>INDEX(nse!D:D,MATCH(B4742,nse!B:B,0))</f>
        <v>EQ</v>
      </c>
      <c r="D4742" t="str">
        <f>INDEX(nse!C:C,MATCH(B4742,nse!B:B,0))</f>
        <v>Gitanjali Gems Limited</v>
      </c>
    </row>
    <row r="4743" spans="2:4" hidden="1" x14ac:dyDescent="0.3">
      <c r="B4743" t="s">
        <v>466</v>
      </c>
      <c r="C4743" t="str">
        <f>INDEX(nse!D:D,MATCH(B4743,nse!B:B,0))</f>
        <v>EQ</v>
      </c>
      <c r="D4743" t="str">
        <f>INDEX(nse!C:C,MATCH(B4743,nse!B:B,0))</f>
        <v>GKW Limited</v>
      </c>
    </row>
    <row r="4744" spans="2:4" hidden="1" x14ac:dyDescent="0.3">
      <c r="B4744" t="s">
        <v>467</v>
      </c>
      <c r="C4744" t="str">
        <f>INDEX(nse!D:D,MATCH(B4744,nse!B:B,0))</f>
        <v>EQ</v>
      </c>
      <c r="D4744" t="str">
        <f>INDEX(nse!C:C,MATCH(B4744,nse!B:B,0))</f>
        <v>GlaxoSmithKline Pharmaceuticals Limited</v>
      </c>
    </row>
    <row r="4745" spans="2:4" hidden="1" x14ac:dyDescent="0.3">
      <c r="B4745" t="s">
        <v>55</v>
      </c>
      <c r="C4745" t="str">
        <f>INDEX(nse!D:D,MATCH(B4745,nse!B:B,0))</f>
        <v>EQ</v>
      </c>
      <c r="D4745" t="str">
        <f>INDEX(nse!C:C,MATCH(B4745,nse!B:B,0))</f>
        <v>Glenmark Pharmaceuticals Limited</v>
      </c>
    </row>
    <row r="4746" spans="2:4" hidden="1" x14ac:dyDescent="0.3">
      <c r="B4746" t="s">
        <v>1306</v>
      </c>
      <c r="C4746" t="str">
        <f>INDEX(nse!D:D,MATCH(B4746,nse!B:B,0))</f>
        <v>BE</v>
      </c>
      <c r="D4746" t="str">
        <f>INDEX(nse!C:C,MATCH(B4746,nse!B:B,0))</f>
        <v>Gujarat Lease Financing Limited</v>
      </c>
    </row>
    <row r="4747" spans="2:4" hidden="1" x14ac:dyDescent="0.3">
      <c r="B4747" t="s">
        <v>468</v>
      </c>
      <c r="C4747" t="str">
        <f>INDEX(nse!D:D,MATCH(B4747,nse!B:B,0))</f>
        <v>EQ</v>
      </c>
      <c r="D4747" t="str">
        <f>INDEX(nse!C:C,MATCH(B4747,nse!B:B,0))</f>
        <v>Global Vectra Helicorp Limited</v>
      </c>
    </row>
    <row r="4748" spans="2:4" hidden="1" x14ac:dyDescent="0.3">
      <c r="B4748" t="s">
        <v>469</v>
      </c>
      <c r="C4748" t="str">
        <f>INDEX(nse!D:D,MATCH(B4748,nse!B:B,0))</f>
        <v>EQ</v>
      </c>
      <c r="D4748" t="str">
        <f>INDEX(nse!C:C,MATCH(B4748,nse!B:B,0))</f>
        <v>Global Offshore Services Limited</v>
      </c>
    </row>
    <row r="4749" spans="2:4" hidden="1" x14ac:dyDescent="0.3">
      <c r="B4749" t="s">
        <v>470</v>
      </c>
      <c r="C4749" t="str">
        <f>INDEX(nse!D:D,MATCH(B4749,nse!B:B,0))</f>
        <v>EQ</v>
      </c>
      <c r="D4749" t="str">
        <f>INDEX(nse!C:C,MATCH(B4749,nse!B:B,0))</f>
        <v>Globus Spirits Limited</v>
      </c>
    </row>
    <row r="4750" spans="2:4" hidden="1" x14ac:dyDescent="0.3">
      <c r="B4750" t="s">
        <v>471</v>
      </c>
      <c r="C4750" t="str">
        <f>INDEX(nse!D:D,MATCH(B4750,nse!B:B,0))</f>
        <v>EQ</v>
      </c>
      <c r="D4750" t="str">
        <f>INDEX(nse!C:C,MATCH(B4750,nse!B:B,0))</f>
        <v>GM Breweries Limited</v>
      </c>
    </row>
    <row r="4751" spans="2:4" hidden="1" x14ac:dyDescent="0.3">
      <c r="B4751" t="s">
        <v>472</v>
      </c>
      <c r="C4751" t="str">
        <f>INDEX(nse!D:D,MATCH(B4751,nse!B:B,0))</f>
        <v>EQ</v>
      </c>
      <c r="D4751" t="str">
        <f>INDEX(nse!C:C,MATCH(B4751,nse!B:B,0))</f>
        <v>Gujarat Mineral Development Corporation Limited</v>
      </c>
    </row>
    <row r="4752" spans="2:4" hidden="1" x14ac:dyDescent="0.3">
      <c r="B4752" t="s">
        <v>53</v>
      </c>
      <c r="C4752" t="str">
        <f>INDEX(nse!D:D,MATCH(B4752,nse!B:B,0))</f>
        <v>EQ</v>
      </c>
      <c r="D4752" t="str">
        <f>INDEX(nse!C:C,MATCH(B4752,nse!B:B,0))</f>
        <v>GMR Infrastructure Limited</v>
      </c>
    </row>
    <row r="4753" spans="2:4" hidden="1" x14ac:dyDescent="0.3">
      <c r="B4753" t="s">
        <v>3281</v>
      </c>
      <c r="C4753" t="str">
        <f>INDEX(nse!D:D,MATCH(B4753,nse!B:B,0))</f>
        <v>EQ</v>
      </c>
      <c r="D4753" t="str">
        <f>INDEX(nse!C:C,MATCH(B4753,nse!B:B,0))</f>
        <v>GNA Axles Limited</v>
      </c>
    </row>
    <row r="4754" spans="2:4" hidden="1" x14ac:dyDescent="0.3">
      <c r="B4754" t="s">
        <v>473</v>
      </c>
      <c r="C4754" t="str">
        <f>INDEX(nse!D:D,MATCH(B4754,nse!B:B,0))</f>
        <v>EQ</v>
      </c>
      <c r="D4754" t="str">
        <f>INDEX(nse!C:C,MATCH(B4754,nse!B:B,0))</f>
        <v>Gujarat Narmada Valley Fertilizers and Chemicals Limited</v>
      </c>
    </row>
    <row r="4755" spans="2:4" hidden="1" x14ac:dyDescent="0.3">
      <c r="B4755" t="s">
        <v>474</v>
      </c>
      <c r="C4755" t="str">
        <f>INDEX(nse!D:D,MATCH(B4755,nse!B:B,0))</f>
        <v>EQ</v>
      </c>
      <c r="D4755" t="str">
        <f>INDEX(nse!C:C,MATCH(B4755,nse!B:B,0))</f>
        <v>Goa Carbon Limited</v>
      </c>
    </row>
    <row r="4756" spans="2:4" hidden="1" x14ac:dyDescent="0.3">
      <c r="B4756" t="s">
        <v>3286</v>
      </c>
      <c r="C4756" t="str">
        <f>INDEX(nse!D:D,MATCH(B4756,nse!B:B,0))</f>
        <v>EQ</v>
      </c>
      <c r="D4756" t="str">
        <f>INDEX(nse!C:C,MATCH(B4756,nse!B:B,0))</f>
        <v>GOCL Corporation Limited</v>
      </c>
    </row>
    <row r="4757" spans="2:4" hidden="1" x14ac:dyDescent="0.3">
      <c r="B4757" t="s">
        <v>475</v>
      </c>
      <c r="C4757" t="str">
        <f>INDEX(nse!D:D,MATCH(B4757,nse!B:B,0))</f>
        <v>EQ</v>
      </c>
      <c r="D4757" t="str">
        <f>INDEX(nse!C:C,MATCH(B4757,nse!B:B,0))</f>
        <v>Godfrey Phillips India Limited</v>
      </c>
    </row>
    <row r="4758" spans="2:4" hidden="1" x14ac:dyDescent="0.3">
      <c r="B4758" t="s">
        <v>476</v>
      </c>
      <c r="C4758" t="str">
        <f>INDEX(nse!D:D,MATCH(B4758,nse!B:B,0))</f>
        <v>EQ</v>
      </c>
      <c r="D4758" t="str">
        <f>INDEX(nse!C:C,MATCH(B4758,nse!B:B,0))</f>
        <v>Godrej Consumer Products Limited</v>
      </c>
    </row>
    <row r="4759" spans="2:4" hidden="1" x14ac:dyDescent="0.3">
      <c r="B4759" t="s">
        <v>56</v>
      </c>
      <c r="C4759" t="str">
        <f>INDEX(nse!D:D,MATCH(B4759,nse!B:B,0))</f>
        <v>EQ</v>
      </c>
      <c r="D4759" t="str">
        <f>INDEX(nse!C:C,MATCH(B4759,nse!B:B,0))</f>
        <v>Godrej Industries Limited</v>
      </c>
    </row>
    <row r="4760" spans="2:4" hidden="1" x14ac:dyDescent="0.3">
      <c r="B4760" t="s">
        <v>477</v>
      </c>
      <c r="C4760" t="str">
        <f>INDEX(nse!D:D,MATCH(B4760,nse!B:B,0))</f>
        <v>EQ</v>
      </c>
      <c r="D4760" t="str">
        <f>INDEX(nse!C:C,MATCH(B4760,nse!B:B,0))</f>
        <v>Godrej Properties Limited</v>
      </c>
    </row>
    <row r="4761" spans="2:4" hidden="1" x14ac:dyDescent="0.3">
      <c r="B4761" t="s">
        <v>478</v>
      </c>
      <c r="C4761" t="str">
        <f>INDEX(nse!D:D,MATCH(B4761,nse!B:B,0))</f>
        <v>BZ</v>
      </c>
      <c r="D4761" t="str">
        <f>INDEX(nse!C:C,MATCH(B4761,nse!B:B,0))</f>
        <v>Goenka Diamond and Jewels Limited</v>
      </c>
    </row>
    <row r="4762" spans="2:4" hidden="1" x14ac:dyDescent="0.3">
      <c r="B4762" t="s">
        <v>479</v>
      </c>
      <c r="C4762" t="str">
        <f>INDEX(nse!D:D,MATCH(B4762,nse!B:B,0))</f>
        <v>BE</v>
      </c>
      <c r="D4762" t="str">
        <f>INDEX(nse!C:C,MATCH(B4762,nse!B:B,0))</f>
        <v>Gokaldas Exports Limited</v>
      </c>
    </row>
    <row r="4763" spans="2:4" hidden="1" x14ac:dyDescent="0.3">
      <c r="B4763" t="s">
        <v>480</v>
      </c>
      <c r="C4763" t="str">
        <f>INDEX(nse!D:D,MATCH(B4763,nse!B:B,0))</f>
        <v>EQ</v>
      </c>
      <c r="D4763" t="str">
        <f>INDEX(nse!C:C,MATCH(B4763,nse!B:B,0))</f>
        <v>Gokul Refoils and Solvent Limited</v>
      </c>
    </row>
    <row r="4764" spans="2:4" hidden="1" x14ac:dyDescent="0.3">
      <c r="B4764" t="s">
        <v>3296</v>
      </c>
      <c r="C4764" t="str">
        <f>INDEX(nse!D:D,MATCH(B4764,nse!B:B,0))</f>
        <v>EQ</v>
      </c>
      <c r="D4764" t="str">
        <f>INDEX(nse!C:C,MATCH(B4764,nse!B:B,0))</f>
        <v>Gokul Agro Resources Limited</v>
      </c>
    </row>
    <row r="4765" spans="2:4" hidden="1" x14ac:dyDescent="0.3">
      <c r="B4765" t="s">
        <v>481</v>
      </c>
      <c r="C4765" t="str">
        <f>INDEX(nse!D:D,MATCH(B4765,nse!B:B,0))</f>
        <v>BE</v>
      </c>
      <c r="D4765" t="str">
        <f>INDEX(nse!C:C,MATCH(B4765,nse!B:B,0))</f>
        <v>Golden Tobacco Limited</v>
      </c>
    </row>
    <row r="4766" spans="2:4" hidden="1" x14ac:dyDescent="0.3">
      <c r="B4766" t="s">
        <v>482</v>
      </c>
      <c r="C4766" t="str">
        <f>INDEX(nse!D:D,MATCH(B4766,nse!B:B,0))</f>
        <v>EQ</v>
      </c>
      <c r="D4766" t="str">
        <f>INDEX(nse!C:C,MATCH(B4766,nse!B:B,0))</f>
        <v>Goldiam International Limited</v>
      </c>
    </row>
    <row r="4767" spans="2:4" hidden="1" x14ac:dyDescent="0.3">
      <c r="B4767" t="s">
        <v>483</v>
      </c>
      <c r="C4767" t="str">
        <f>INDEX(nse!D:D,MATCH(B4767,nse!B:B,0))</f>
        <v>BE</v>
      </c>
      <c r="D4767" t="str">
        <f>INDEX(nse!C:C,MATCH(B4767,nse!B:B,0))</f>
        <v>Goldstone Infratech Limited</v>
      </c>
    </row>
    <row r="4768" spans="2:4" hidden="1" x14ac:dyDescent="0.3">
      <c r="B4768" t="s">
        <v>484</v>
      </c>
      <c r="C4768" t="str">
        <f>INDEX(nse!D:D,MATCH(B4768,nse!B:B,0))</f>
        <v>BE</v>
      </c>
      <c r="D4768" t="str">
        <f>INDEX(nse!C:C,MATCH(B4768,nse!B:B,0))</f>
        <v>Goldstone Technologies Limited</v>
      </c>
    </row>
    <row r="4769" spans="2:4" hidden="1" x14ac:dyDescent="0.3">
      <c r="B4769" t="s">
        <v>3303</v>
      </c>
      <c r="C4769" t="str">
        <f>INDEX(nse!D:D,MATCH(B4769,nse!B:B,0))</f>
        <v>EQ</v>
      </c>
      <c r="D4769" t="str">
        <f>INDEX(nse!C:C,MATCH(B4769,nse!B:B,0))</f>
        <v>Goodluck India Limited</v>
      </c>
    </row>
    <row r="4770" spans="2:4" hidden="1" x14ac:dyDescent="0.3">
      <c r="B4770" t="s">
        <v>485</v>
      </c>
      <c r="C4770" t="str">
        <f>INDEX(nse!D:D,MATCH(B4770,nse!B:B,0))</f>
        <v>EQ</v>
      </c>
      <c r="D4770" t="str">
        <f>INDEX(nse!C:C,MATCH(B4770,nse!B:B,0))</f>
        <v>Godawari Power And Ispat limited</v>
      </c>
    </row>
    <row r="4771" spans="2:4" hidden="1" x14ac:dyDescent="0.3">
      <c r="B4771" t="s">
        <v>486</v>
      </c>
      <c r="C4771" t="str">
        <f>INDEX(nse!D:D,MATCH(B4771,nse!B:B,0))</f>
        <v>EQ</v>
      </c>
      <c r="D4771" t="str">
        <f>INDEX(nse!C:C,MATCH(B4771,nse!B:B,0))</f>
        <v>Gujarat Pipavav Port Limited</v>
      </c>
    </row>
    <row r="4772" spans="2:4" hidden="1" x14ac:dyDescent="0.3">
      <c r="B4772" t="s">
        <v>3308</v>
      </c>
      <c r="C4772" t="str">
        <f>INDEX(nse!D:D,MATCH(B4772,nse!B:B,0))</f>
        <v>EQ</v>
      </c>
      <c r="D4772" t="str">
        <f>INDEX(nse!C:C,MATCH(B4772,nse!B:B,0))</f>
        <v>GPT Infraprojects Limited</v>
      </c>
    </row>
    <row r="4773" spans="2:4" hidden="1" x14ac:dyDescent="0.3">
      <c r="B4773" t="s">
        <v>487</v>
      </c>
      <c r="C4773" t="str">
        <f>INDEX(nse!D:D,MATCH(B4773,nse!B:B,0))</f>
        <v>EQ</v>
      </c>
      <c r="D4773" t="str">
        <f>INDEX(nse!C:C,MATCH(B4773,nse!B:B,0))</f>
        <v>Granules India Limited</v>
      </c>
    </row>
    <row r="4774" spans="2:4" hidden="1" x14ac:dyDescent="0.3">
      <c r="B4774" t="s">
        <v>488</v>
      </c>
      <c r="C4774" t="str">
        <f>INDEX(nse!D:D,MATCH(B4774,nse!B:B,0))</f>
        <v>EQ</v>
      </c>
      <c r="D4774" t="str">
        <f>INDEX(nse!C:C,MATCH(B4774,nse!B:B,0))</f>
        <v>Graphite India Limited</v>
      </c>
    </row>
    <row r="4775" spans="2:4" hidden="1" x14ac:dyDescent="0.3">
      <c r="B4775" t="s">
        <v>489</v>
      </c>
      <c r="C4775" t="str">
        <f>INDEX(nse!D:D,MATCH(B4775,nse!B:B,0))</f>
        <v>EQ</v>
      </c>
      <c r="D4775" t="str">
        <f>INDEX(nse!C:C,MATCH(B4775,nse!B:B,0))</f>
        <v>Grasim Industries Limited</v>
      </c>
    </row>
    <row r="4776" spans="2:4" hidden="1" x14ac:dyDescent="0.3">
      <c r="B4776" t="s">
        <v>490</v>
      </c>
      <c r="C4776" t="str">
        <f>INDEX(nse!D:D,MATCH(B4776,nse!B:B,0))</f>
        <v>EQ</v>
      </c>
      <c r="D4776" t="str">
        <f>INDEX(nse!C:C,MATCH(B4776,nse!B:B,0))</f>
        <v>Gravita India Limited</v>
      </c>
    </row>
    <row r="4777" spans="2:4" hidden="1" x14ac:dyDescent="0.3">
      <c r="B4777" t="s">
        <v>491</v>
      </c>
      <c r="C4777" t="str">
        <f>INDEX(nse!D:D,MATCH(B4777,nse!B:B,0))</f>
        <v>EQ</v>
      </c>
      <c r="D4777" t="str">
        <f>INDEX(nse!C:C,MATCH(B4777,nse!B:B,0))</f>
        <v>Greaves Cotton Limited</v>
      </c>
    </row>
    <row r="4778" spans="2:4" hidden="1" x14ac:dyDescent="0.3">
      <c r="B4778" t="s">
        <v>1307</v>
      </c>
      <c r="C4778" t="str">
        <f>INDEX(nse!D:D,MATCH(B4778,nse!B:B,0))</f>
        <v>BE</v>
      </c>
      <c r="D4778" t="str">
        <f>INDEX(nse!C:C,MATCH(B4778,nse!B:B,0))</f>
        <v>Green Fire Agri Commodities Limited</v>
      </c>
    </row>
    <row r="4779" spans="2:4" hidden="1" x14ac:dyDescent="0.3">
      <c r="B4779" t="s">
        <v>3317</v>
      </c>
      <c r="C4779" t="str">
        <f>INDEX(nse!D:D,MATCH(B4779,nse!B:B,0))</f>
        <v>EQ</v>
      </c>
      <c r="D4779" t="str">
        <f>INDEX(nse!C:C,MATCH(B4779,nse!B:B,0))</f>
        <v>Greenlam Industries Limited</v>
      </c>
    </row>
    <row r="4780" spans="2:4" hidden="1" x14ac:dyDescent="0.3">
      <c r="B4780" t="s">
        <v>492</v>
      </c>
      <c r="C4780" t="str">
        <f>INDEX(nse!D:D,MATCH(B4780,nse!B:B,0))</f>
        <v>EQ</v>
      </c>
      <c r="D4780" t="str">
        <f>INDEX(nse!C:C,MATCH(B4780,nse!B:B,0))</f>
        <v>Greenply Industries Limited</v>
      </c>
    </row>
    <row r="4781" spans="2:4" hidden="1" x14ac:dyDescent="0.3">
      <c r="B4781" t="s">
        <v>493</v>
      </c>
      <c r="C4781" t="str">
        <f>INDEX(nse!D:D,MATCH(B4781,nse!B:B,0))</f>
        <v>EQ</v>
      </c>
      <c r="D4781" t="str">
        <f>INDEX(nse!C:C,MATCH(B4781,nse!B:B,0))</f>
        <v>Orient Green Power Company Limited</v>
      </c>
    </row>
    <row r="4782" spans="2:4" hidden="1" x14ac:dyDescent="0.3">
      <c r="B4782" t="s">
        <v>494</v>
      </c>
      <c r="C4782" t="str">
        <f>INDEX(nse!D:D,MATCH(B4782,nse!B:B,0))</f>
        <v>EQ</v>
      </c>
      <c r="D4782" t="str">
        <f>INDEX(nse!C:C,MATCH(B4782,nse!B:B,0))</f>
        <v>Grindwell Norton Limited</v>
      </c>
    </row>
    <row r="4783" spans="2:4" hidden="1" x14ac:dyDescent="0.3">
      <c r="B4783" t="s">
        <v>3323</v>
      </c>
      <c r="C4783" t="str">
        <f>INDEX(nse!D:D,MATCH(B4783,nse!B:B,0))</f>
        <v>EQ</v>
      </c>
      <c r="D4783" t="str">
        <f>INDEX(nse!C:C,MATCH(B4783,nse!B:B,0))</f>
        <v>The Grob Tea Company Limited</v>
      </c>
    </row>
    <row r="4784" spans="2:4" hidden="1" x14ac:dyDescent="0.3">
      <c r="B4784" t="s">
        <v>3326</v>
      </c>
      <c r="C4784" t="str">
        <f>INDEX(nse!D:D,MATCH(B4784,nse!B:B,0))</f>
        <v>EQ</v>
      </c>
      <c r="D4784" t="str">
        <f>INDEX(nse!C:C,MATCH(B4784,nse!B:B,0))</f>
        <v>GRP Limited</v>
      </c>
    </row>
    <row r="4785" spans="2:4" hidden="1" x14ac:dyDescent="0.3">
      <c r="B4785" t="s">
        <v>495</v>
      </c>
      <c r="C4785" t="str">
        <f>INDEX(nse!D:D,MATCH(B4785,nse!B:B,0))</f>
        <v>EQ</v>
      </c>
      <c r="D4785" t="str">
        <f>INDEX(nse!C:C,MATCH(B4785,nse!B:B,0))</f>
        <v>Gruh Finance Limited</v>
      </c>
    </row>
    <row r="4786" spans="2:4" hidden="1" x14ac:dyDescent="0.3">
      <c r="B4786" t="s">
        <v>496</v>
      </c>
      <c r="C4786" t="str">
        <f>INDEX(nse!D:D,MATCH(B4786,nse!B:B,0))</f>
        <v>EQ</v>
      </c>
      <c r="D4786" t="str">
        <f>INDEX(nse!C:C,MATCH(B4786,nse!B:B,0))</f>
        <v>Gujarat Sidhee Cement Limited</v>
      </c>
    </row>
    <row r="4787" spans="2:4" hidden="1" x14ac:dyDescent="0.3">
      <c r="B4787" t="s">
        <v>497</v>
      </c>
      <c r="C4787" t="str">
        <f>INDEX(nse!D:D,MATCH(B4787,nse!B:B,0))</f>
        <v>EQ</v>
      </c>
      <c r="D4787" t="str">
        <f>INDEX(nse!C:C,MATCH(B4787,nse!B:B,0))</f>
        <v>Gujarat State Fertilizers &amp; Chemicals Limited</v>
      </c>
    </row>
    <row r="4788" spans="2:4" hidden="1" x14ac:dyDescent="0.3">
      <c r="B4788" t="s">
        <v>497</v>
      </c>
      <c r="C4788" t="str">
        <f>INDEX(nse!D:D,MATCH(B4788,nse!B:B,0))</f>
        <v>EQ</v>
      </c>
      <c r="D4788" t="str">
        <f>INDEX(nse!C:C,MATCH(B4788,nse!B:B,0))</f>
        <v>Gujarat State Fertilizers &amp; Chemicals Limited</v>
      </c>
    </row>
    <row r="4789" spans="2:4" hidden="1" x14ac:dyDescent="0.3">
      <c r="B4789" t="s">
        <v>54</v>
      </c>
      <c r="C4789" t="str">
        <f>INDEX(nse!D:D,MATCH(B4789,nse!B:B,0))</f>
        <v>EQ</v>
      </c>
      <c r="D4789" t="str">
        <f>INDEX(nse!C:C,MATCH(B4789,nse!B:B,0))</f>
        <v>GlaxoSmithKline Consumer Healthcare Limited</v>
      </c>
    </row>
    <row r="4790" spans="2:4" hidden="1" x14ac:dyDescent="0.3">
      <c r="B4790" t="s">
        <v>58</v>
      </c>
      <c r="C4790" t="str">
        <f>INDEX(nse!D:D,MATCH(B4790,nse!B:B,0))</f>
        <v>EQ</v>
      </c>
      <c r="D4790" t="str">
        <f>INDEX(nse!C:C,MATCH(B4790,nse!B:B,0))</f>
        <v>Gujarat State Petronet Limited</v>
      </c>
    </row>
    <row r="4791" spans="2:4" hidden="1" x14ac:dyDescent="0.3">
      <c r="B4791" t="s">
        <v>498</v>
      </c>
      <c r="C4791" t="str">
        <f>INDEX(nse!D:D,MATCH(B4791,nse!B:B,0))</f>
        <v>EQ</v>
      </c>
      <c r="D4791" t="str">
        <f>INDEX(nse!C:C,MATCH(B4791,nse!B:B,0))</f>
        <v>GSS Infotech Limited</v>
      </c>
    </row>
    <row r="4792" spans="2:4" hidden="1" x14ac:dyDescent="0.3">
      <c r="B4792" t="s">
        <v>499</v>
      </c>
      <c r="C4792" t="str">
        <f>INDEX(nse!D:D,MATCH(B4792,nse!B:B,0))</f>
        <v>EQ</v>
      </c>
      <c r="D4792" t="str">
        <f>INDEX(nse!C:C,MATCH(B4792,nse!B:B,0))</f>
        <v>GTL Limited</v>
      </c>
    </row>
    <row r="4793" spans="2:4" hidden="1" x14ac:dyDescent="0.3">
      <c r="B4793" t="s">
        <v>500</v>
      </c>
      <c r="C4793" t="str">
        <f>INDEX(nse!D:D,MATCH(B4793,nse!B:B,0))</f>
        <v>EQ</v>
      </c>
      <c r="D4793" t="str">
        <f>INDEX(nse!C:C,MATCH(B4793,nse!B:B,0))</f>
        <v>GTL Infrastructure Limited</v>
      </c>
    </row>
    <row r="4794" spans="2:4" hidden="1" x14ac:dyDescent="0.3">
      <c r="B4794" t="s">
        <v>501</v>
      </c>
      <c r="C4794" t="str">
        <f>INDEX(nse!D:D,MATCH(B4794,nse!B:B,0))</f>
        <v>EQ</v>
      </c>
      <c r="D4794" t="str">
        <f>INDEX(nse!C:C,MATCH(B4794,nse!B:B,0))</f>
        <v>GTN Industries Limited</v>
      </c>
    </row>
    <row r="4795" spans="2:4" hidden="1" x14ac:dyDescent="0.3">
      <c r="B4795" t="s">
        <v>502</v>
      </c>
      <c r="C4795" t="str">
        <f>INDEX(nse!D:D,MATCH(B4795,nse!B:B,0))</f>
        <v>BE</v>
      </c>
      <c r="D4795" t="str">
        <f>INDEX(nse!C:C,MATCH(B4795,nse!B:B,0))</f>
        <v>GTN Textiles Limited</v>
      </c>
    </row>
    <row r="4796" spans="2:4" hidden="1" x14ac:dyDescent="0.3">
      <c r="B4796" t="s">
        <v>503</v>
      </c>
      <c r="C4796" t="str">
        <f>INDEX(nse!D:D,MATCH(B4796,nse!B:B,0))</f>
        <v>EQ</v>
      </c>
      <c r="D4796" t="str">
        <f>INDEX(nse!C:C,MATCH(B4796,nse!B:B,0))</f>
        <v>GOL Offshore Limited</v>
      </c>
    </row>
    <row r="4797" spans="2:4" hidden="1" x14ac:dyDescent="0.3">
      <c r="B4797" t="s">
        <v>504</v>
      </c>
      <c r="C4797" t="str">
        <f>INDEX(nse!D:D,MATCH(B4797,nse!B:B,0))</f>
        <v>EQ</v>
      </c>
      <c r="D4797" t="str">
        <f>INDEX(nse!C:C,MATCH(B4797,nse!B:B,0))</f>
        <v>Gufic Biosciences Limited</v>
      </c>
    </row>
    <row r="4798" spans="2:4" hidden="1" x14ac:dyDescent="0.3">
      <c r="B4798" t="s">
        <v>505</v>
      </c>
      <c r="C4798" t="str">
        <f>INDEX(nse!D:D,MATCH(B4798,nse!B:B,0))</f>
        <v>EQ</v>
      </c>
      <c r="D4798" t="str">
        <f>INDEX(nse!C:C,MATCH(B4798,nse!B:B,0))</f>
        <v>Gujarat Alkalies and Chemicals Limited</v>
      </c>
    </row>
    <row r="4799" spans="2:4" hidden="1" x14ac:dyDescent="0.3">
      <c r="B4799" t="s">
        <v>506</v>
      </c>
      <c r="C4799" t="str">
        <f>INDEX(nse!D:D,MATCH(B4799,nse!B:B,0))</f>
        <v>EQ</v>
      </c>
      <c r="D4799" t="str">
        <f>INDEX(nse!C:C,MATCH(B4799,nse!B:B,0))</f>
        <v>Gujarat Apollo Industries Limited</v>
      </c>
    </row>
    <row r="4800" spans="2:4" hidden="1" x14ac:dyDescent="0.3">
      <c r="B4800" t="s">
        <v>507</v>
      </c>
      <c r="C4800" t="str">
        <f>INDEX(nse!D:D,MATCH(B4800,nse!B:B,0))</f>
        <v>EQ</v>
      </c>
      <c r="D4800" t="str">
        <f>INDEX(nse!C:C,MATCH(B4800,nse!B:B,0))</f>
        <v>Gujarat Fluorochemicals Limited</v>
      </c>
    </row>
    <row r="4801" spans="2:4" hidden="1" x14ac:dyDescent="0.3">
      <c r="B4801" t="s">
        <v>3345</v>
      </c>
      <c r="C4801" t="str">
        <f>INDEX(nse!D:D,MATCH(B4801,nse!B:B,0))</f>
        <v>EQ</v>
      </c>
      <c r="D4801" t="str">
        <f>INDEX(nse!C:C,MATCH(B4801,nse!B:B,0))</f>
        <v>Gujarat Gas Limited</v>
      </c>
    </row>
    <row r="4802" spans="2:4" hidden="1" x14ac:dyDescent="0.3">
      <c r="B4802" t="s">
        <v>508</v>
      </c>
      <c r="C4802" t="str">
        <f>INDEX(nse!D:D,MATCH(B4802,nse!B:B,0))</f>
        <v>EQ</v>
      </c>
      <c r="D4802" t="str">
        <f>INDEX(nse!C:C,MATCH(B4802,nse!B:B,0))</f>
        <v>Gujarat NRE Coke Limited</v>
      </c>
    </row>
    <row r="4803" spans="2:4" hidden="1" x14ac:dyDescent="0.3">
      <c r="B4803" t="s">
        <v>3349</v>
      </c>
      <c r="C4803" t="str">
        <f>INDEX(nse!D:D,MATCH(B4803,nse!B:B,0))</f>
        <v>EQ</v>
      </c>
      <c r="D4803" t="str">
        <f>INDEX(nse!C:C,MATCH(B4803,nse!B:B,0))</f>
        <v>Gujarat NRE Coke Limited</v>
      </c>
    </row>
    <row r="4804" spans="2:4" hidden="1" x14ac:dyDescent="0.3">
      <c r="B4804" t="s">
        <v>509</v>
      </c>
      <c r="C4804" t="str">
        <f>INDEX(nse!D:D,MATCH(B4804,nse!B:B,0))</f>
        <v>EQ</v>
      </c>
      <c r="D4804" t="str">
        <f>INDEX(nse!C:C,MATCH(B4804,nse!B:B,0))</f>
        <v>Gulf Oil Lubricants India Limited</v>
      </c>
    </row>
    <row r="4805" spans="2:4" hidden="1" x14ac:dyDescent="0.3">
      <c r="B4805" t="s">
        <v>3352</v>
      </c>
      <c r="C4805" t="str">
        <f>INDEX(nse!D:D,MATCH(B4805,nse!B:B,0))</f>
        <v>EQ</v>
      </c>
      <c r="D4805" t="str">
        <f>INDEX(nse!C:C,MATCH(B4805,nse!B:B,0))</f>
        <v>GP Petroleums Limited</v>
      </c>
    </row>
    <row r="4806" spans="2:4" hidden="1" x14ac:dyDescent="0.3">
      <c r="B4806" t="s">
        <v>3355</v>
      </c>
      <c r="C4806" t="str">
        <f>INDEX(nse!D:D,MATCH(B4806,nse!B:B,0))</f>
        <v>EQ</v>
      </c>
      <c r="D4806" t="str">
        <f>INDEX(nse!C:C,MATCH(B4806,nse!B:B,0))</f>
        <v>Gulshan Polyols Limited</v>
      </c>
    </row>
    <row r="4807" spans="2:4" hidden="1" x14ac:dyDescent="0.3">
      <c r="B4807" t="s">
        <v>510</v>
      </c>
      <c r="C4807" t="str">
        <f>INDEX(nse!D:D,MATCH(B4807,nse!B:B,0))</f>
        <v>EQ</v>
      </c>
      <c r="D4807" t="str">
        <f>INDEX(nse!C:C,MATCH(B4807,nse!B:B,0))</f>
        <v>GVK Power &amp; Infrastructure Limited</v>
      </c>
    </row>
    <row r="4808" spans="2:4" hidden="1" x14ac:dyDescent="0.3">
      <c r="B4808" t="s">
        <v>511</v>
      </c>
      <c r="C4808" t="str">
        <f>INDEX(nse!D:D,MATCH(B4808,nse!B:B,0))</f>
        <v>EQ</v>
      </c>
      <c r="D4808" t="str">
        <f>INDEX(nse!C:C,MATCH(B4808,nse!B:B,0))</f>
        <v>Hanung Toys and Textiles Limited</v>
      </c>
    </row>
    <row r="4809" spans="2:4" hidden="1" x14ac:dyDescent="0.3">
      <c r="B4809" t="s">
        <v>512</v>
      </c>
      <c r="C4809" t="str">
        <f>INDEX(nse!D:D,MATCH(B4809,nse!B:B,0))</f>
        <v>EQ</v>
      </c>
      <c r="D4809" t="str">
        <f>INDEX(nse!C:C,MATCH(B4809,nse!B:B,0))</f>
        <v>Harita Seating Systems Limited</v>
      </c>
    </row>
    <row r="4810" spans="2:4" hidden="1" x14ac:dyDescent="0.3">
      <c r="B4810" t="s">
        <v>513</v>
      </c>
      <c r="C4810" t="str">
        <f>INDEX(nse!D:D,MATCH(B4810,nse!B:B,0))</f>
        <v>EQ</v>
      </c>
      <c r="D4810" t="str">
        <f>INDEX(nse!C:C,MATCH(B4810,nse!B:B,0))</f>
        <v>Harrisons  Malayalam Limited</v>
      </c>
    </row>
    <row r="4811" spans="2:4" hidden="1" x14ac:dyDescent="0.3">
      <c r="B4811" t="s">
        <v>514</v>
      </c>
      <c r="C4811" t="str">
        <f>INDEX(nse!D:D,MATCH(B4811,nse!B:B,0))</f>
        <v>EQ</v>
      </c>
      <c r="D4811" t="str">
        <f>INDEX(nse!C:C,MATCH(B4811,nse!B:B,0))</f>
        <v>Hathway Cable &amp; Datacom Limited</v>
      </c>
    </row>
    <row r="4812" spans="2:4" hidden="1" x14ac:dyDescent="0.3">
      <c r="B4812" t="s">
        <v>515</v>
      </c>
      <c r="C4812" t="str">
        <f>INDEX(nse!D:D,MATCH(B4812,nse!B:B,0))</f>
        <v>EQ</v>
      </c>
      <c r="D4812" t="str">
        <f>INDEX(nse!C:C,MATCH(B4812,nse!B:B,0))</f>
        <v>Hatsun Agro Product Limited</v>
      </c>
    </row>
    <row r="4813" spans="2:4" hidden="1" x14ac:dyDescent="0.3">
      <c r="B4813" t="s">
        <v>59</v>
      </c>
      <c r="C4813" t="str">
        <f>INDEX(nse!D:D,MATCH(B4813,nse!B:B,0))</f>
        <v>EQ</v>
      </c>
      <c r="D4813" t="str">
        <f>INDEX(nse!C:C,MATCH(B4813,nse!B:B,0))</f>
        <v>Havells India Limited</v>
      </c>
    </row>
    <row r="4814" spans="2:4" hidden="1" x14ac:dyDescent="0.3">
      <c r="B4814" t="s">
        <v>516</v>
      </c>
      <c r="C4814" t="str">
        <f>INDEX(nse!D:D,MATCH(B4814,nse!B:B,0))</f>
        <v>EQ</v>
      </c>
      <c r="D4814" t="str">
        <f>INDEX(nse!C:C,MATCH(B4814,nse!B:B,0))</f>
        <v>HBL Power Systems Limited</v>
      </c>
    </row>
    <row r="4815" spans="2:4" hidden="1" x14ac:dyDescent="0.3">
      <c r="B4815" t="s">
        <v>517</v>
      </c>
      <c r="C4815" t="str">
        <f>INDEX(nse!D:D,MATCH(B4815,nse!B:B,0))</f>
        <v>EQ</v>
      </c>
      <c r="D4815" t="str">
        <f>INDEX(nse!C:C,MATCH(B4815,nse!B:B,0))</f>
        <v>HB Stockholdings Limited</v>
      </c>
    </row>
    <row r="4816" spans="2:4" hidden="1" x14ac:dyDescent="0.3">
      <c r="B4816" t="s">
        <v>518</v>
      </c>
      <c r="C4816" t="str">
        <f>INDEX(nse!D:D,MATCH(B4816,nse!B:B,0))</f>
        <v>EQ</v>
      </c>
      <c r="D4816" t="str">
        <f>INDEX(nse!C:C,MATCH(B4816,nse!B:B,0))</f>
        <v>Hindustan Construction Company Limited</v>
      </c>
    </row>
    <row r="4817" spans="2:4" hidden="1" x14ac:dyDescent="0.3">
      <c r="B4817" t="s">
        <v>3368</v>
      </c>
      <c r="C4817" t="str">
        <f>INDEX(nse!D:D,MATCH(B4817,nse!B:B,0))</f>
        <v>EQ</v>
      </c>
      <c r="D4817" t="str">
        <f>INDEX(nse!C:C,MATCH(B4817,nse!B:B,0))</f>
        <v>Healthcare Global Enterprises Limited</v>
      </c>
    </row>
    <row r="4818" spans="2:4" hidden="1" x14ac:dyDescent="0.3">
      <c r="B4818" t="s">
        <v>519</v>
      </c>
      <c r="C4818" t="str">
        <f>INDEX(nse!D:D,MATCH(B4818,nse!B:B,0))</f>
        <v>EQ</v>
      </c>
      <c r="D4818" t="str">
        <f>INDEX(nse!C:C,MATCH(B4818,nse!B:B,0))</f>
        <v>HCL Infosystems Limited</v>
      </c>
    </row>
    <row r="4819" spans="2:4" hidden="1" x14ac:dyDescent="0.3">
      <c r="B4819" t="s">
        <v>520</v>
      </c>
      <c r="C4819" t="str">
        <f>INDEX(nse!D:D,MATCH(B4819,nse!B:B,0))</f>
        <v>EQ</v>
      </c>
      <c r="D4819" t="str">
        <f>INDEX(nse!C:C,MATCH(B4819,nse!B:B,0))</f>
        <v>HCL Technologies Limited</v>
      </c>
    </row>
    <row r="4820" spans="2:4" hidden="1" x14ac:dyDescent="0.3">
      <c r="B4820" t="s">
        <v>521</v>
      </c>
      <c r="C4820" t="str">
        <f>INDEX(nse!D:D,MATCH(B4820,nse!B:B,0))</f>
        <v>EQ</v>
      </c>
      <c r="D4820" t="str">
        <f>INDEX(nse!C:C,MATCH(B4820,nse!B:B,0))</f>
        <v>Housing Development Finance Corporation Limited</v>
      </c>
    </row>
    <row r="4821" spans="2:4" hidden="1" x14ac:dyDescent="0.3">
      <c r="B4821" t="s">
        <v>522</v>
      </c>
      <c r="C4821" t="str">
        <f>INDEX(nse!D:D,MATCH(B4821,nse!B:B,0))</f>
        <v>EQ</v>
      </c>
      <c r="D4821" t="str">
        <f>INDEX(nse!C:C,MATCH(B4821,nse!B:B,0))</f>
        <v>HDFC Bank Limited</v>
      </c>
    </row>
    <row r="4822" spans="2:4" hidden="1" x14ac:dyDescent="0.3">
      <c r="B4822" t="s">
        <v>522</v>
      </c>
      <c r="C4822" t="str">
        <f>INDEX(nse!D:D,MATCH(B4822,nse!B:B,0))</f>
        <v>EQ</v>
      </c>
      <c r="D4822" t="str">
        <f>INDEX(nse!C:C,MATCH(B4822,nse!B:B,0))</f>
        <v>HDFC Bank Limited</v>
      </c>
    </row>
    <row r="4823" spans="2:4" hidden="1" x14ac:dyDescent="0.3">
      <c r="B4823" t="s">
        <v>17</v>
      </c>
      <c r="C4823" t="str">
        <f>INDEX(nse!D:D,MATCH(B4823,nse!B:B,0))</f>
        <v>EQ</v>
      </c>
      <c r="D4823" t="str">
        <f>INDEX(nse!C:C,MATCH(B4823,nse!B:B,0))</f>
        <v>Housing Development and Infrastructure Limited</v>
      </c>
    </row>
    <row r="4824" spans="2:4" hidden="1" x14ac:dyDescent="0.3">
      <c r="B4824" t="s">
        <v>523</v>
      </c>
      <c r="C4824" t="str">
        <f>INDEX(nse!D:D,MATCH(B4824,nse!B:B,0))</f>
        <v>EQ</v>
      </c>
      <c r="D4824" t="str">
        <f>INDEX(nse!C:C,MATCH(B4824,nse!B:B,0))</f>
        <v>HEG Limited</v>
      </c>
    </row>
    <row r="4825" spans="2:4" hidden="1" x14ac:dyDescent="0.3">
      <c r="B4825" t="s">
        <v>524</v>
      </c>
      <c r="C4825" t="str">
        <f>INDEX(nse!D:D,MATCH(B4825,nse!B:B,0))</f>
        <v>EQ</v>
      </c>
      <c r="D4825" t="str">
        <f>INDEX(nse!C:C,MATCH(B4825,nse!B:B,0))</f>
        <v>HeidelbergCement India Limited</v>
      </c>
    </row>
    <row r="4826" spans="2:4" hidden="1" x14ac:dyDescent="0.3">
      <c r="B4826" t="s">
        <v>525</v>
      </c>
      <c r="C4826" t="str">
        <f>INDEX(nse!D:D,MATCH(B4826,nse!B:B,0))</f>
        <v>EQ</v>
      </c>
      <c r="D4826" t="str">
        <f>INDEX(nse!C:C,MATCH(B4826,nse!B:B,0))</f>
        <v>Hercules Hoists Limited</v>
      </c>
    </row>
    <row r="4827" spans="2:4" hidden="1" x14ac:dyDescent="0.3">
      <c r="B4827" t="s">
        <v>526</v>
      </c>
      <c r="C4827" t="str">
        <f>INDEX(nse!D:D,MATCH(B4827,nse!B:B,0))</f>
        <v>EQ</v>
      </c>
      <c r="D4827" t="str">
        <f>INDEX(nse!C:C,MATCH(B4827,nse!B:B,0))</f>
        <v>Heritage Foods Limited</v>
      </c>
    </row>
    <row r="4828" spans="2:4" hidden="1" x14ac:dyDescent="0.3">
      <c r="B4828" t="s">
        <v>527</v>
      </c>
      <c r="C4828" t="str">
        <f>INDEX(nse!D:D,MATCH(B4828,nse!B:B,0))</f>
        <v>EQ</v>
      </c>
      <c r="D4828" t="str">
        <f>INDEX(nse!C:C,MATCH(B4828,nse!B:B,0))</f>
        <v>Hero MotoCorp Limited</v>
      </c>
    </row>
    <row r="4829" spans="2:4" hidden="1" x14ac:dyDescent="0.3">
      <c r="B4829" t="s">
        <v>3382</v>
      </c>
      <c r="C4829" t="str">
        <f>INDEX(nse!D:D,MATCH(B4829,nse!B:B,0))</f>
        <v>EQ</v>
      </c>
      <c r="D4829" t="str">
        <f>INDEX(nse!C:C,MATCH(B4829,nse!B:B,0))</f>
        <v>Hester Biosciences Limited</v>
      </c>
    </row>
    <row r="4830" spans="2:4" hidden="1" x14ac:dyDescent="0.3">
      <c r="B4830" t="s">
        <v>528</v>
      </c>
      <c r="C4830" t="str">
        <f>INDEX(nse!D:D,MATCH(B4830,nse!B:B,0))</f>
        <v>EQ</v>
      </c>
      <c r="D4830" t="str">
        <f>INDEX(nse!C:C,MATCH(B4830,nse!B:B,0))</f>
        <v>Hexa Tradex Limited</v>
      </c>
    </row>
    <row r="4831" spans="2:4" hidden="1" x14ac:dyDescent="0.3">
      <c r="B4831" t="s">
        <v>529</v>
      </c>
      <c r="C4831" t="str">
        <f>INDEX(nse!D:D,MATCH(B4831,nse!B:B,0))</f>
        <v>EQ</v>
      </c>
      <c r="D4831" t="str">
        <f>INDEX(nse!C:C,MATCH(B4831,nse!B:B,0))</f>
        <v>Hexaware Technologies Limited</v>
      </c>
    </row>
    <row r="4832" spans="2:4" hidden="1" x14ac:dyDescent="0.3">
      <c r="B4832" t="s">
        <v>530</v>
      </c>
      <c r="C4832" t="str">
        <f>INDEX(nse!D:D,MATCH(B4832,nse!B:B,0))</f>
        <v>EQ</v>
      </c>
      <c r="D4832" t="str">
        <f>INDEX(nse!C:C,MATCH(B4832,nse!B:B,0))</f>
        <v>Himachal Futuristic Communications Limited</v>
      </c>
    </row>
    <row r="4833" spans="2:4" hidden="1" x14ac:dyDescent="0.3">
      <c r="B4833" t="s">
        <v>531</v>
      </c>
      <c r="C4833" t="str">
        <f>INDEX(nse!D:D,MATCH(B4833,nse!B:B,0))</f>
        <v>EQ</v>
      </c>
      <c r="D4833" t="str">
        <f>INDEX(nse!C:C,MATCH(B4833,nse!B:B,0))</f>
        <v>Hinduja Global Solutions Limited</v>
      </c>
    </row>
    <row r="4834" spans="2:4" hidden="1" x14ac:dyDescent="0.3">
      <c r="B4834" t="s">
        <v>3389</v>
      </c>
      <c r="C4834" t="str">
        <f>INDEX(nse!D:D,MATCH(B4834,nse!B:B,0))</f>
        <v>EQ</v>
      </c>
      <c r="D4834" t="str">
        <f>INDEX(nse!C:C,MATCH(B4834,nse!B:B,0))</f>
        <v>High Ground Enterprise Limited</v>
      </c>
    </row>
    <row r="4835" spans="2:4" hidden="1" x14ac:dyDescent="0.3">
      <c r="B4835" t="s">
        <v>532</v>
      </c>
      <c r="C4835" t="str">
        <f>INDEX(nse!D:D,MATCH(B4835,nse!B:B,0))</f>
        <v>EQ</v>
      </c>
      <c r="D4835" t="str">
        <f>INDEX(nse!C:C,MATCH(B4835,nse!B:B,0))</f>
        <v>Hikal Limited</v>
      </c>
    </row>
    <row r="4836" spans="2:4" hidden="1" x14ac:dyDescent="0.3">
      <c r="B4836" t="s">
        <v>533</v>
      </c>
      <c r="C4836" t="str">
        <f>INDEX(nse!D:D,MATCH(B4836,nse!B:B,0))</f>
        <v>EQ</v>
      </c>
      <c r="D4836" t="str">
        <f>INDEX(nse!C:C,MATCH(B4836,nse!B:B,0))</f>
        <v>HIL Limited</v>
      </c>
    </row>
    <row r="4837" spans="2:4" hidden="1" x14ac:dyDescent="0.3">
      <c r="B4837" t="s">
        <v>534</v>
      </c>
      <c r="C4837" t="str">
        <f>INDEX(nse!D:D,MATCH(B4837,nse!B:B,0))</f>
        <v>EQ</v>
      </c>
      <c r="D4837" t="str">
        <f>INDEX(nse!C:C,MATCH(B4837,nse!B:B,0))</f>
        <v>Hilton Metal Forging Limited</v>
      </c>
    </row>
    <row r="4838" spans="2:4" hidden="1" x14ac:dyDescent="0.3">
      <c r="B4838" t="s">
        <v>535</v>
      </c>
      <c r="C4838" t="str">
        <f>INDEX(nse!D:D,MATCH(B4838,nse!B:B,0))</f>
        <v>EQ</v>
      </c>
      <c r="D4838" t="str">
        <f>INDEX(nse!C:C,MATCH(B4838,nse!B:B,0))</f>
        <v>Himatsingka Seide Limited</v>
      </c>
    </row>
    <row r="4839" spans="2:4" hidden="1" x14ac:dyDescent="0.3">
      <c r="B4839" t="s">
        <v>536</v>
      </c>
      <c r="C4839" t="str">
        <f>INDEX(nse!D:D,MATCH(B4839,nse!B:B,0))</f>
        <v>EQ</v>
      </c>
      <c r="D4839" t="str">
        <f>INDEX(nse!C:C,MATCH(B4839,nse!B:B,0))</f>
        <v>Hindalco Industries Limited</v>
      </c>
    </row>
    <row r="4840" spans="2:4" hidden="1" x14ac:dyDescent="0.3">
      <c r="B4840" t="s">
        <v>537</v>
      </c>
      <c r="C4840" t="str">
        <f>INDEX(nse!D:D,MATCH(B4840,nse!B:B,0))</f>
        <v>EQ</v>
      </c>
      <c r="D4840" t="str">
        <f>INDEX(nse!C:C,MATCH(B4840,nse!B:B,0))</f>
        <v>Hindustan Composites Limited</v>
      </c>
    </row>
    <row r="4841" spans="2:4" hidden="1" x14ac:dyDescent="0.3">
      <c r="B4841" t="s">
        <v>538</v>
      </c>
      <c r="C4841" t="str">
        <f>INDEX(nse!D:D,MATCH(B4841,nse!B:B,0))</f>
        <v>EQ</v>
      </c>
      <c r="D4841" t="str">
        <f>INDEX(nse!C:C,MATCH(B4841,nse!B:B,0))</f>
        <v>Hindustan Copper Limited</v>
      </c>
    </row>
    <row r="4842" spans="2:4" hidden="1" x14ac:dyDescent="0.3">
      <c r="B4842" t="s">
        <v>539</v>
      </c>
      <c r="C4842" t="str">
        <f>INDEX(nse!D:D,MATCH(B4842,nse!B:B,0))</f>
        <v>BE</v>
      </c>
      <c r="D4842" t="str">
        <f>INDEX(nse!C:C,MATCH(B4842,nse!B:B,0))</f>
        <v>Hindustan Dorr-Oliver Limited</v>
      </c>
    </row>
    <row r="4843" spans="2:4" hidden="1" x14ac:dyDescent="0.3">
      <c r="B4843" t="s">
        <v>540</v>
      </c>
      <c r="C4843" t="str">
        <f>INDEX(nse!D:D,MATCH(B4843,nse!B:B,0))</f>
        <v>EQ</v>
      </c>
      <c r="D4843" t="str">
        <f>INDEX(nse!C:C,MATCH(B4843,nse!B:B,0))</f>
        <v>Hindustan Motors Limited</v>
      </c>
    </row>
    <row r="4844" spans="2:4" hidden="1" x14ac:dyDescent="0.3">
      <c r="B4844" t="s">
        <v>541</v>
      </c>
      <c r="C4844" t="str">
        <f>INDEX(nse!D:D,MATCH(B4844,nse!B:B,0))</f>
        <v>EQ</v>
      </c>
      <c r="D4844" t="str">
        <f>INDEX(nse!C:C,MATCH(B4844,nse!B:B,0))</f>
        <v>Hindusthan National Glass &amp; Industries Limited</v>
      </c>
    </row>
    <row r="4845" spans="2:4" hidden="1" x14ac:dyDescent="0.3">
      <c r="B4845" t="s">
        <v>542</v>
      </c>
      <c r="C4845" t="str">
        <f>INDEX(nse!D:D,MATCH(B4845,nse!B:B,0))</f>
        <v>EQ</v>
      </c>
      <c r="D4845" t="str">
        <f>INDEX(nse!C:C,MATCH(B4845,nse!B:B,0))</f>
        <v>Hindustan Oil Exploration Company Limited</v>
      </c>
    </row>
    <row r="4846" spans="2:4" hidden="1" x14ac:dyDescent="0.3">
      <c r="B4846" t="s">
        <v>60</v>
      </c>
      <c r="C4846" t="str">
        <f>INDEX(nse!D:D,MATCH(B4846,nse!B:B,0))</f>
        <v>EQ</v>
      </c>
      <c r="D4846" t="str">
        <f>INDEX(nse!C:C,MATCH(B4846,nse!B:B,0))</f>
        <v>Hindustan Petroleum Corporation Limited</v>
      </c>
    </row>
    <row r="4847" spans="2:4" hidden="1" x14ac:dyDescent="0.3">
      <c r="B4847" t="s">
        <v>543</v>
      </c>
      <c r="C4847" t="str">
        <f>INDEX(nse!D:D,MATCH(B4847,nse!B:B,0))</f>
        <v>BE</v>
      </c>
      <c r="D4847" t="str">
        <f>INDEX(nse!C:C,MATCH(B4847,nse!B:B,0))</f>
        <v>Hind Syntex Limited</v>
      </c>
    </row>
    <row r="4848" spans="2:4" hidden="1" x14ac:dyDescent="0.3">
      <c r="B4848" t="s">
        <v>544</v>
      </c>
      <c r="C4848" t="str">
        <f>INDEX(nse!D:D,MATCH(B4848,nse!B:B,0))</f>
        <v>EQ</v>
      </c>
      <c r="D4848" t="str">
        <f>INDEX(nse!C:C,MATCH(B4848,nse!B:B,0))</f>
        <v>Hinduja Foundries Limited</v>
      </c>
    </row>
    <row r="4849" spans="2:4" hidden="1" x14ac:dyDescent="0.3">
      <c r="B4849" t="s">
        <v>545</v>
      </c>
      <c r="C4849" t="str">
        <f>INDEX(nse!D:D,MATCH(B4849,nse!B:B,0))</f>
        <v>EQ</v>
      </c>
      <c r="D4849" t="str">
        <f>INDEX(nse!C:C,MATCH(B4849,nse!B:B,0))</f>
        <v>Hinduja Ventures Limited</v>
      </c>
    </row>
    <row r="4850" spans="2:4" hidden="1" x14ac:dyDescent="0.3">
      <c r="B4850" t="s">
        <v>546</v>
      </c>
      <c r="C4850" t="str">
        <f>INDEX(nse!D:D,MATCH(B4850,nse!B:B,0))</f>
        <v>EQ</v>
      </c>
      <c r="D4850" t="str">
        <f>INDEX(nse!C:C,MATCH(B4850,nse!B:B,0))</f>
        <v>Hindustan Unilever Limited</v>
      </c>
    </row>
    <row r="4851" spans="2:4" hidden="1" x14ac:dyDescent="0.3">
      <c r="B4851" t="s">
        <v>61</v>
      </c>
      <c r="C4851" t="str">
        <f>INDEX(nse!D:D,MATCH(B4851,nse!B:B,0))</f>
        <v>EQ</v>
      </c>
      <c r="D4851" t="str">
        <f>INDEX(nse!C:C,MATCH(B4851,nse!B:B,0))</f>
        <v>Hindustan Zinc Limited</v>
      </c>
    </row>
    <row r="4852" spans="2:4" hidden="1" x14ac:dyDescent="0.3">
      <c r="B4852" t="s">
        <v>547</v>
      </c>
      <c r="C4852" t="str">
        <f>INDEX(nse!D:D,MATCH(B4852,nse!B:B,0))</f>
        <v>EQ</v>
      </c>
      <c r="D4852" t="str">
        <f>INDEX(nse!C:C,MATCH(B4852,nse!B:B,0))</f>
        <v>Hind Rectifiers Limited</v>
      </c>
    </row>
    <row r="4853" spans="2:4" hidden="1" x14ac:dyDescent="0.3">
      <c r="B4853" t="s">
        <v>3410</v>
      </c>
      <c r="C4853" t="str">
        <f>INDEX(nse!D:D,MATCH(B4853,nse!B:B,0))</f>
        <v>EQ</v>
      </c>
      <c r="D4853" t="str">
        <f>INDEX(nse!C:C,MATCH(B4853,nse!B:B,0))</f>
        <v>Hisar Metal Industries Limited</v>
      </c>
    </row>
    <row r="4854" spans="2:4" hidden="1" x14ac:dyDescent="0.3">
      <c r="B4854" t="s">
        <v>3413</v>
      </c>
      <c r="C4854" t="str">
        <f>INDEX(nse!D:D,MATCH(B4854,nse!B:B,0))</f>
        <v>EQ</v>
      </c>
      <c r="D4854" t="str">
        <f>INDEX(nse!C:C,MATCH(B4854,nse!B:B,0))</f>
        <v>Hitech Corporation Limited</v>
      </c>
    </row>
    <row r="4855" spans="2:4" hidden="1" x14ac:dyDescent="0.3">
      <c r="B4855" t="s">
        <v>548</v>
      </c>
      <c r="C4855" t="str">
        <f>INDEX(nse!D:D,MATCH(B4855,nse!B:B,0))</f>
        <v>EQ</v>
      </c>
      <c r="D4855" t="str">
        <f>INDEX(nse!C:C,MATCH(B4855,nse!B:B,0))</f>
        <v>The Hi-Tech Gears Limited</v>
      </c>
    </row>
    <row r="4856" spans="2:4" hidden="1" x14ac:dyDescent="0.3">
      <c r="B4856" t="s">
        <v>549</v>
      </c>
      <c r="C4856" t="str">
        <f>INDEX(nse!D:D,MATCH(B4856,nse!B:B,0))</f>
        <v>BZ</v>
      </c>
      <c r="D4856" t="str">
        <f>INDEX(nse!C:C,MATCH(B4856,nse!B:B,0))</f>
        <v>HMT Limited</v>
      </c>
    </row>
    <row r="4857" spans="2:4" hidden="1" x14ac:dyDescent="0.3">
      <c r="B4857" t="s">
        <v>550</v>
      </c>
      <c r="C4857" t="str">
        <f>INDEX(nse!D:D,MATCH(B4857,nse!B:B,0))</f>
        <v>EQ</v>
      </c>
      <c r="D4857" t="str">
        <f>INDEX(nse!C:C,MATCH(B4857,nse!B:B,0))</f>
        <v>Hindustan Media Ventures Limited</v>
      </c>
    </row>
    <row r="4858" spans="2:4" hidden="1" x14ac:dyDescent="0.3">
      <c r="B4858" t="s">
        <v>551</v>
      </c>
      <c r="C4858" t="str">
        <f>INDEX(nse!D:D,MATCH(B4858,nse!B:B,0))</f>
        <v>BE</v>
      </c>
      <c r="D4858" t="str">
        <f>INDEX(nse!C:C,MATCH(B4858,nse!B:B,0))</f>
        <v>Hindustan Organic Chemicals Limited</v>
      </c>
    </row>
    <row r="4859" spans="2:4" hidden="1" x14ac:dyDescent="0.3">
      <c r="B4859" t="s">
        <v>552</v>
      </c>
      <c r="C4859" t="str">
        <f>INDEX(nse!D:D,MATCH(B4859,nse!B:B,0))</f>
        <v>EQ</v>
      </c>
      <c r="D4859" t="str">
        <f>INDEX(nse!C:C,MATCH(B4859,nse!B:B,0))</f>
        <v>Honeywell Automation India Limited</v>
      </c>
    </row>
    <row r="4860" spans="2:4" hidden="1" x14ac:dyDescent="0.3">
      <c r="B4860" t="s">
        <v>553</v>
      </c>
      <c r="C4860" t="str">
        <f>INDEX(nse!D:D,MATCH(B4860,nse!B:B,0))</f>
        <v>EQ</v>
      </c>
      <c r="D4860" t="str">
        <f>INDEX(nse!C:C,MATCH(B4860,nse!B:B,0))</f>
        <v>Honda Siel Power Products Limited</v>
      </c>
    </row>
    <row r="4861" spans="2:4" hidden="1" x14ac:dyDescent="0.3">
      <c r="B4861" t="s">
        <v>554</v>
      </c>
      <c r="C4861" t="str">
        <f>INDEX(nse!D:D,MATCH(B4861,nse!B:B,0))</f>
        <v>EQ</v>
      </c>
      <c r="D4861" t="str">
        <f>INDEX(nse!C:C,MATCH(B4861,nse!B:B,0))</f>
        <v>Hotel Leela Venture Limited</v>
      </c>
    </row>
    <row r="4862" spans="2:4" hidden="1" x14ac:dyDescent="0.3">
      <c r="B4862" t="s">
        <v>1308</v>
      </c>
      <c r="C4862" t="str">
        <f>INDEX(nse!D:D,MATCH(B4862,nse!B:B,0))</f>
        <v>BE</v>
      </c>
      <c r="D4862" t="str">
        <f>INDEX(nse!C:C,MATCH(B4862,nse!B:B,0))</f>
        <v>Hotel Rugby Limited</v>
      </c>
    </row>
    <row r="4863" spans="2:4" hidden="1" x14ac:dyDescent="0.3">
      <c r="B4863" t="s">
        <v>555</v>
      </c>
      <c r="C4863" t="str">
        <f>INDEX(nse!D:D,MATCH(B4863,nse!B:B,0))</f>
        <v>EQ</v>
      </c>
      <c r="D4863" t="str">
        <f>INDEX(nse!C:C,MATCH(B4863,nse!B:B,0))</f>
        <v>HOV Services Limited</v>
      </c>
    </row>
    <row r="4864" spans="2:4" hidden="1" x14ac:dyDescent="0.3">
      <c r="B4864" t="s">
        <v>3426</v>
      </c>
      <c r="C4864" t="str">
        <f>INDEX(nse!D:D,MATCH(B4864,nse!B:B,0))</f>
        <v>EQ</v>
      </c>
      <c r="D4864" t="str">
        <f>INDEX(nse!C:C,MATCH(B4864,nse!B:B,0))</f>
        <v>HPL Electric &amp; Power Limited</v>
      </c>
    </row>
    <row r="4865" spans="2:4" hidden="1" x14ac:dyDescent="0.3">
      <c r="B4865" t="s">
        <v>3429</v>
      </c>
      <c r="C4865" t="str">
        <f>INDEX(nse!D:D,MATCH(B4865,nse!B:B,0))</f>
        <v>EQ</v>
      </c>
      <c r="D4865" t="str">
        <f>INDEX(nse!C:C,MATCH(B4865,nse!B:B,0))</f>
        <v>Himadri Speciality Chemical Limited</v>
      </c>
    </row>
    <row r="4866" spans="2:4" hidden="1" x14ac:dyDescent="0.3">
      <c r="B4866" t="s">
        <v>556</v>
      </c>
      <c r="C4866" t="str">
        <f>INDEX(nse!D:D,MATCH(B4866,nse!B:B,0))</f>
        <v>EQ</v>
      </c>
      <c r="D4866" t="str">
        <f>INDEX(nse!C:C,MATCH(B4866,nse!B:B,0))</f>
        <v>HSIL Limited</v>
      </c>
    </row>
    <row r="4867" spans="2:4" hidden="1" x14ac:dyDescent="0.3">
      <c r="B4867" t="s">
        <v>557</v>
      </c>
      <c r="C4867" t="str">
        <f>INDEX(nse!D:D,MATCH(B4867,nse!B:B,0))</f>
        <v>EQ</v>
      </c>
      <c r="D4867" t="str">
        <f>INDEX(nse!C:C,MATCH(B4867,nse!B:B,0))</f>
        <v>HT Media Limited</v>
      </c>
    </row>
    <row r="4868" spans="2:4" hidden="1" x14ac:dyDescent="0.3">
      <c r="B4868" t="s">
        <v>558</v>
      </c>
      <c r="C4868" t="str">
        <f>INDEX(nse!D:D,MATCH(B4868,nse!B:B,0))</f>
        <v>EQ</v>
      </c>
      <c r="D4868" t="str">
        <f>INDEX(nse!C:C,MATCH(B4868,nse!B:B,0))</f>
        <v>Hubtown Limited</v>
      </c>
    </row>
    <row r="4869" spans="2:4" hidden="1" x14ac:dyDescent="0.3">
      <c r="B4869" t="s">
        <v>1309</v>
      </c>
      <c r="C4869" t="str">
        <f>INDEX(nse!D:D,MATCH(B4869,nse!B:B,0))</f>
        <v>EQ</v>
      </c>
      <c r="D4869" t="str">
        <f>INDEX(nse!C:C,MATCH(B4869,nse!B:B,0))</f>
        <v>Housing &amp; Urban Development Corporation Limited</v>
      </c>
    </row>
    <row r="4870" spans="2:4" hidden="1" x14ac:dyDescent="0.3">
      <c r="B4870" t="s">
        <v>559</v>
      </c>
      <c r="C4870" t="str">
        <f>INDEX(nse!D:D,MATCH(B4870,nse!B:B,0))</f>
        <v>EQ</v>
      </c>
      <c r="D4870" t="str">
        <f>INDEX(nse!C:C,MATCH(B4870,nse!B:B,0))</f>
        <v>Indiabulls Real Estate Limited</v>
      </c>
    </row>
    <row r="4871" spans="2:4" hidden="1" x14ac:dyDescent="0.3">
      <c r="B4871" t="s">
        <v>62</v>
      </c>
      <c r="C4871" t="str">
        <f>INDEX(nse!D:D,MATCH(B4871,nse!B:B,0))</f>
        <v>EQ</v>
      </c>
      <c r="D4871" t="str">
        <f>INDEX(nse!C:C,MATCH(B4871,nse!B:B,0))</f>
        <v>Indiabulls Housing Finance Limited</v>
      </c>
    </row>
    <row r="4872" spans="2:4" hidden="1" x14ac:dyDescent="0.3">
      <c r="B4872" t="s">
        <v>3438</v>
      </c>
      <c r="C4872" t="str">
        <f>INDEX(nse!D:D,MATCH(B4872,nse!B:B,0))</f>
        <v>EQ</v>
      </c>
      <c r="D4872" t="str">
        <f>INDEX(nse!C:C,MATCH(B4872,nse!B:B,0))</f>
        <v>Indiabulls Ventures Limited</v>
      </c>
    </row>
    <row r="4873" spans="2:4" hidden="1" x14ac:dyDescent="0.3">
      <c r="B4873" t="s">
        <v>112</v>
      </c>
      <c r="C4873" t="str">
        <f>INDEX(nse!D:D,MATCH(B4873,nse!B:B,0))</f>
        <v>EQ</v>
      </c>
      <c r="D4873" t="str">
        <f>INDEX(nse!C:C,MATCH(B4873,nse!B:B,0))</f>
        <v>ICICI Bank Limited</v>
      </c>
    </row>
    <row r="4874" spans="2:4" hidden="1" x14ac:dyDescent="0.3">
      <c r="B4874" t="s">
        <v>3442</v>
      </c>
      <c r="C4874" t="str">
        <f>INDEX(nse!D:D,MATCH(B4874,nse!B:B,0))</f>
        <v>EQ</v>
      </c>
      <c r="D4874" t="str">
        <f>INDEX(nse!C:C,MATCH(B4874,nse!B:B,0))</f>
        <v>ICICI Prudential Life Insurance Company Limited</v>
      </c>
    </row>
    <row r="4875" spans="2:4" hidden="1" x14ac:dyDescent="0.3">
      <c r="B4875" t="s">
        <v>560</v>
      </c>
      <c r="C4875" t="str">
        <f>INDEX(nse!D:D,MATCH(B4875,nse!B:B,0))</f>
        <v>EQ</v>
      </c>
      <c r="D4875" t="str">
        <f>INDEX(nse!C:C,MATCH(B4875,nse!B:B,0))</f>
        <v>Indo Count Industries Limited</v>
      </c>
    </row>
    <row r="4876" spans="2:4" hidden="1" x14ac:dyDescent="0.3">
      <c r="B4876" t="s">
        <v>561</v>
      </c>
      <c r="C4876" t="str">
        <f>INDEX(nse!D:D,MATCH(B4876,nse!B:B,0))</f>
        <v>EQ</v>
      </c>
      <c r="D4876" t="str">
        <f>INDEX(nse!C:C,MATCH(B4876,nse!B:B,0))</f>
        <v>ICRA Limited</v>
      </c>
    </row>
    <row r="4877" spans="2:4" hidden="1" x14ac:dyDescent="0.3">
      <c r="B4877" t="s">
        <v>562</v>
      </c>
      <c r="C4877" t="str">
        <f>INDEX(nse!D:D,MATCH(B4877,nse!B:B,0))</f>
        <v>EQ</v>
      </c>
      <c r="D4877" t="str">
        <f>INDEX(nse!C:C,MATCH(B4877,nse!B:B,0))</f>
        <v>ICSA (India) Limited</v>
      </c>
    </row>
    <row r="4878" spans="2:4" hidden="1" x14ac:dyDescent="0.3">
      <c r="B4878" t="s">
        <v>18</v>
      </c>
      <c r="C4878" t="str">
        <f>INDEX(nse!D:D,MATCH(B4878,nse!B:B,0))</f>
        <v>EQ</v>
      </c>
      <c r="D4878" t="str">
        <f>INDEX(nse!C:C,MATCH(B4878,nse!B:B,0))</f>
        <v>IDBI Bank Limited</v>
      </c>
    </row>
    <row r="4879" spans="2:4" hidden="1" x14ac:dyDescent="0.3">
      <c r="B4879" t="s">
        <v>563</v>
      </c>
      <c r="C4879" t="str">
        <f>INDEX(nse!D:D,MATCH(B4879,nse!B:B,0))</f>
        <v>EQ</v>
      </c>
      <c r="D4879" t="str">
        <f>INDEX(nse!C:C,MATCH(B4879,nse!B:B,0))</f>
        <v>Idea Cellular Limited</v>
      </c>
    </row>
    <row r="4880" spans="2:4" hidden="1" x14ac:dyDescent="0.3">
      <c r="B4880" t="s">
        <v>564</v>
      </c>
      <c r="C4880" t="str">
        <f>INDEX(nse!D:D,MATCH(B4880,nse!B:B,0))</f>
        <v>EQ</v>
      </c>
      <c r="D4880" t="str">
        <f>INDEX(nse!C:C,MATCH(B4880,nse!B:B,0))</f>
        <v>IDFC Limited</v>
      </c>
    </row>
    <row r="4881" spans="2:4" hidden="1" x14ac:dyDescent="0.3">
      <c r="B4881" t="s">
        <v>564</v>
      </c>
      <c r="C4881" t="str">
        <f>INDEX(nse!D:D,MATCH(B4881,nse!B:B,0))</f>
        <v>EQ</v>
      </c>
      <c r="D4881" t="str">
        <f>INDEX(nse!C:C,MATCH(B4881,nse!B:B,0))</f>
        <v>IDFC Limited</v>
      </c>
    </row>
    <row r="4882" spans="2:4" hidden="1" x14ac:dyDescent="0.3">
      <c r="B4882" t="s">
        <v>3451</v>
      </c>
      <c r="C4882" t="str">
        <f>INDEX(nse!D:D,MATCH(B4882,nse!B:B,0))</f>
        <v>EQ</v>
      </c>
      <c r="D4882" t="str">
        <f>INDEX(nse!C:C,MATCH(B4882,nse!B:B,0))</f>
        <v>IDFC Bank Limited</v>
      </c>
    </row>
    <row r="4883" spans="2:4" hidden="1" x14ac:dyDescent="0.3">
      <c r="B4883" t="s">
        <v>565</v>
      </c>
      <c r="C4883" t="str">
        <f>INDEX(nse!D:D,MATCH(B4883,nse!B:B,0))</f>
        <v>EQ</v>
      </c>
      <c r="D4883" t="str">
        <f>INDEX(nse!C:C,MATCH(B4883,nse!B:B,0))</f>
        <v>IFB Agro Industries Limited</v>
      </c>
    </row>
    <row r="4884" spans="2:4" hidden="1" x14ac:dyDescent="0.3">
      <c r="B4884" t="s">
        <v>566</v>
      </c>
      <c r="C4884" t="str">
        <f>INDEX(nse!D:D,MATCH(B4884,nse!B:B,0))</f>
        <v>EQ</v>
      </c>
      <c r="D4884" t="str">
        <f>INDEX(nse!C:C,MATCH(B4884,nse!B:B,0))</f>
        <v>IFB Industries Limited</v>
      </c>
    </row>
    <row r="4885" spans="2:4" hidden="1" x14ac:dyDescent="0.3">
      <c r="B4885" t="s">
        <v>19</v>
      </c>
      <c r="C4885" t="str">
        <f>INDEX(nse!D:D,MATCH(B4885,nse!B:B,0))</f>
        <v>EQ</v>
      </c>
      <c r="D4885" t="str">
        <f>INDEX(nse!C:C,MATCH(B4885,nse!B:B,0))</f>
        <v>IFCI Limited</v>
      </c>
    </row>
    <row r="4886" spans="2:4" hidden="1" x14ac:dyDescent="0.3">
      <c r="B4886" t="s">
        <v>567</v>
      </c>
      <c r="C4886" t="str">
        <f>INDEX(nse!D:D,MATCH(B4886,nse!B:B,0))</f>
        <v>EQ</v>
      </c>
      <c r="D4886" t="str">
        <f>INDEX(nse!C:C,MATCH(B4886,nse!B:B,0))</f>
        <v>IFGL Refractories Limited</v>
      </c>
    </row>
    <row r="4887" spans="2:4" hidden="1" x14ac:dyDescent="0.3">
      <c r="B4887" t="s">
        <v>568</v>
      </c>
      <c r="C4887" t="str">
        <f>INDEX(nse!D:D,MATCH(B4887,nse!B:B,0))</f>
        <v>EQ</v>
      </c>
      <c r="D4887" t="str">
        <f>INDEX(nse!C:C,MATCH(B4887,nse!B:B,0))</f>
        <v>Igarashi Motors India Limited</v>
      </c>
    </row>
    <row r="4888" spans="2:4" hidden="1" x14ac:dyDescent="0.3">
      <c r="B4888" t="s">
        <v>20</v>
      </c>
      <c r="C4888" t="str">
        <f>INDEX(nse!D:D,MATCH(B4888,nse!B:B,0))</f>
        <v>EQ</v>
      </c>
      <c r="D4888" t="str">
        <f>INDEX(nse!C:C,MATCH(B4888,nse!B:B,0))</f>
        <v>Indraprastha Gas Limited</v>
      </c>
    </row>
    <row r="4889" spans="2:4" hidden="1" x14ac:dyDescent="0.3">
      <c r="B4889" t="s">
        <v>20</v>
      </c>
      <c r="C4889" t="str">
        <f>INDEX(nse!D:D,MATCH(B4889,nse!B:B,0))</f>
        <v>EQ</v>
      </c>
      <c r="D4889" t="str">
        <f>INDEX(nse!C:C,MATCH(B4889,nse!B:B,0))</f>
        <v>Indraprastha Gas Limited</v>
      </c>
    </row>
    <row r="4890" spans="2:4" hidden="1" x14ac:dyDescent="0.3">
      <c r="B4890" t="s">
        <v>569</v>
      </c>
      <c r="C4890" t="str">
        <f>INDEX(nse!D:D,MATCH(B4890,nse!B:B,0))</f>
        <v>EQ</v>
      </c>
      <c r="D4890" t="str">
        <f>INDEX(nse!C:C,MATCH(B4890,nse!B:B,0))</f>
        <v>IG Petrochemicals Limited</v>
      </c>
    </row>
    <row r="4891" spans="2:4" hidden="1" x14ac:dyDescent="0.3">
      <c r="B4891" t="s">
        <v>570</v>
      </c>
      <c r="C4891" t="str">
        <f>INDEX(nse!D:D,MATCH(B4891,nse!B:B,0))</f>
        <v>EQ</v>
      </c>
      <c r="D4891" t="str">
        <f>INDEX(nse!C:C,MATCH(B4891,nse!B:B,0))</f>
        <v>IIFL Holdings Limited</v>
      </c>
    </row>
    <row r="4892" spans="2:4" hidden="1" x14ac:dyDescent="0.3">
      <c r="B4892" t="s">
        <v>571</v>
      </c>
      <c r="C4892" t="str">
        <f>INDEX(nse!D:D,MATCH(B4892,nse!B:B,0))</f>
        <v>EQ</v>
      </c>
      <c r="D4892" t="str">
        <f>INDEX(nse!C:C,MATCH(B4892,nse!B:B,0))</f>
        <v>Industrial Investment Trust Limited</v>
      </c>
    </row>
    <row r="4893" spans="2:4" hidden="1" x14ac:dyDescent="0.3">
      <c r="B4893" t="s">
        <v>572</v>
      </c>
      <c r="C4893" t="str">
        <f>INDEX(nse!D:D,MATCH(B4893,nse!B:B,0))</f>
        <v>EQ</v>
      </c>
      <c r="D4893" t="str">
        <f>INDEX(nse!C:C,MATCH(B4893,nse!B:B,0))</f>
        <v>IL&amp;FS Engineering and Construction Company Limited</v>
      </c>
    </row>
    <row r="4894" spans="2:4" hidden="1" x14ac:dyDescent="0.3">
      <c r="B4894" t="s">
        <v>573</v>
      </c>
      <c r="C4894" t="str">
        <f>INDEX(nse!D:D,MATCH(B4894,nse!B:B,0))</f>
        <v>EQ</v>
      </c>
      <c r="D4894" t="str">
        <f>INDEX(nse!C:C,MATCH(B4894,nse!B:B,0))</f>
        <v>IL&amp;FS Transportation Networks Limited</v>
      </c>
    </row>
    <row r="4895" spans="2:4" hidden="1" x14ac:dyDescent="0.3">
      <c r="B4895" t="s">
        <v>574</v>
      </c>
      <c r="C4895" t="str">
        <f>INDEX(nse!D:D,MATCH(B4895,nse!B:B,0))</f>
        <v>EQ</v>
      </c>
      <c r="D4895" t="str">
        <f>INDEX(nse!C:C,MATCH(B4895,nse!B:B,0))</f>
        <v>Indian Metals &amp; Ferro Alloys Limited</v>
      </c>
    </row>
    <row r="4896" spans="2:4" hidden="1" x14ac:dyDescent="0.3">
      <c r="B4896" t="s">
        <v>575</v>
      </c>
      <c r="C4896" t="str">
        <f>INDEX(nse!D:D,MATCH(B4896,nse!B:B,0))</f>
        <v>EQ</v>
      </c>
      <c r="D4896" t="str">
        <f>INDEX(nse!C:C,MATCH(B4896,nse!B:B,0))</f>
        <v>India Motor Parts and Accessories Limited</v>
      </c>
    </row>
    <row r="4897" spans="2:4" hidden="1" x14ac:dyDescent="0.3">
      <c r="B4897" t="s">
        <v>576</v>
      </c>
      <c r="C4897" t="str">
        <f>INDEX(nse!D:D,MATCH(B4897,nse!B:B,0))</f>
        <v>EQ</v>
      </c>
      <c r="D4897" t="str">
        <f>INDEX(nse!C:C,MATCH(B4897,nse!B:B,0))</f>
        <v>Impex Ferro Tech Limited</v>
      </c>
    </row>
    <row r="4898" spans="2:4" hidden="1" x14ac:dyDescent="0.3">
      <c r="B4898" t="s">
        <v>577</v>
      </c>
      <c r="C4898" t="str">
        <f>INDEX(nse!D:D,MATCH(B4898,nse!B:B,0))</f>
        <v>EQ</v>
      </c>
      <c r="D4898" t="str">
        <f>INDEX(nse!C:C,MATCH(B4898,nse!B:B,0))</f>
        <v>Indbank Merchant Banking Services Limited</v>
      </c>
    </row>
    <row r="4899" spans="2:4" hidden="1" x14ac:dyDescent="0.3">
      <c r="B4899" t="s">
        <v>63</v>
      </c>
      <c r="C4899" t="str">
        <f>INDEX(nse!D:D,MATCH(B4899,nse!B:B,0))</f>
        <v>EQ</v>
      </c>
      <c r="D4899" t="str">
        <f>INDEX(nse!C:C,MATCH(B4899,nse!B:B,0))</f>
        <v>The Indian Hotels Company Limited</v>
      </c>
    </row>
    <row r="4900" spans="2:4" hidden="1" x14ac:dyDescent="0.3">
      <c r="B4900" t="s">
        <v>578</v>
      </c>
      <c r="C4900" t="str">
        <f>INDEX(nse!D:D,MATCH(B4900,nse!B:B,0))</f>
        <v>EQ</v>
      </c>
      <c r="D4900" t="str">
        <f>INDEX(nse!C:C,MATCH(B4900,nse!B:B,0))</f>
        <v>The India Cements Limited</v>
      </c>
    </row>
    <row r="4901" spans="2:4" hidden="1" x14ac:dyDescent="0.3">
      <c r="B4901" t="s">
        <v>579</v>
      </c>
      <c r="C4901" t="str">
        <f>INDEX(nse!D:D,MATCH(B4901,nse!B:B,0))</f>
        <v>EQ</v>
      </c>
      <c r="D4901" t="str">
        <f>INDEX(nse!C:C,MATCH(B4901,nse!B:B,0))</f>
        <v>India Glycols Limited</v>
      </c>
    </row>
    <row r="4902" spans="2:4" hidden="1" x14ac:dyDescent="0.3">
      <c r="B4902" t="s">
        <v>580</v>
      </c>
      <c r="C4902" t="str">
        <f>INDEX(nse!D:D,MATCH(B4902,nse!B:B,0))</f>
        <v>EQ</v>
      </c>
      <c r="D4902" t="str">
        <f>INDEX(nse!C:C,MATCH(B4902,nse!B:B,0))</f>
        <v>Indian Bank</v>
      </c>
    </row>
    <row r="4903" spans="2:4" hidden="1" x14ac:dyDescent="0.3">
      <c r="B4903" t="s">
        <v>581</v>
      </c>
      <c r="C4903" t="str">
        <f>INDEX(nse!D:D,MATCH(B4903,nse!B:B,0))</f>
        <v>EQ</v>
      </c>
      <c r="D4903" t="str">
        <f>INDEX(nse!C:C,MATCH(B4903,nse!B:B,0))</f>
        <v>Indian Card Clothing Company Limited</v>
      </c>
    </row>
    <row r="4904" spans="2:4" hidden="1" x14ac:dyDescent="0.3">
      <c r="B4904" t="s">
        <v>582</v>
      </c>
      <c r="C4904" t="str">
        <f>INDEX(nse!D:D,MATCH(B4904,nse!B:B,0))</f>
        <v>EQ</v>
      </c>
      <c r="D4904" t="str">
        <f>INDEX(nse!C:C,MATCH(B4904,nse!B:B,0))</f>
        <v>Indian Hume Pipe Company Limited</v>
      </c>
    </row>
    <row r="4905" spans="2:4" hidden="1" x14ac:dyDescent="0.3">
      <c r="B4905" t="s">
        <v>3475</v>
      </c>
      <c r="C4905" t="str">
        <f>INDEX(nse!D:D,MATCH(B4905,nse!B:B,0))</f>
        <v>EQ</v>
      </c>
      <c r="D4905" t="str">
        <f>INDEX(nse!C:C,MATCH(B4905,nse!B:B,0))</f>
        <v>InterGlobe Aviation Limited</v>
      </c>
    </row>
    <row r="4906" spans="2:4" hidden="1" x14ac:dyDescent="0.3">
      <c r="B4906" t="s">
        <v>583</v>
      </c>
      <c r="C4906" t="str">
        <f>INDEX(nse!D:D,MATCH(B4906,nse!B:B,0))</f>
        <v>EQ</v>
      </c>
      <c r="D4906" t="str">
        <f>INDEX(nse!C:C,MATCH(B4906,nse!B:B,0))</f>
        <v>IMP Powers Limited</v>
      </c>
    </row>
    <row r="4907" spans="2:4" hidden="1" x14ac:dyDescent="0.3">
      <c r="B4907" t="s">
        <v>584</v>
      </c>
      <c r="C4907" t="str">
        <f>INDEX(nse!D:D,MATCH(B4907,nse!B:B,0))</f>
        <v>EQ</v>
      </c>
      <c r="D4907" t="str">
        <f>INDEX(nse!C:C,MATCH(B4907,nse!B:B,0))</f>
        <v>India Nippon Electricals Limited</v>
      </c>
    </row>
    <row r="4908" spans="2:4" hidden="1" x14ac:dyDescent="0.3">
      <c r="B4908" t="s">
        <v>585</v>
      </c>
      <c r="C4908" t="str">
        <f>INDEX(nse!D:D,MATCH(B4908,nse!B:B,0))</f>
        <v>EQ</v>
      </c>
      <c r="D4908" t="str">
        <f>INDEX(nse!C:C,MATCH(B4908,nse!B:B,0))</f>
        <v>Indoco Remedies Limited</v>
      </c>
    </row>
    <row r="4909" spans="2:4" hidden="1" x14ac:dyDescent="0.3">
      <c r="B4909" t="s">
        <v>586</v>
      </c>
      <c r="C4909" t="str">
        <f>INDEX(nse!D:D,MATCH(B4909,nse!B:B,0))</f>
        <v>EQ</v>
      </c>
      <c r="D4909" t="str">
        <f>INDEX(nse!C:C,MATCH(B4909,nse!B:B,0))</f>
        <v>Indo Rama Synthetics (India) Limited</v>
      </c>
    </row>
    <row r="4910" spans="2:4" hidden="1" x14ac:dyDescent="0.3">
      <c r="B4910" t="s">
        <v>587</v>
      </c>
      <c r="C4910" t="str">
        <f>INDEX(nse!D:D,MATCH(B4910,nse!B:B,0))</f>
        <v>EQ</v>
      </c>
      <c r="D4910" t="str">
        <f>INDEX(nse!C:C,MATCH(B4910,nse!B:B,0))</f>
        <v>Indosolar Limited</v>
      </c>
    </row>
    <row r="4911" spans="2:4" hidden="1" x14ac:dyDescent="0.3">
      <c r="B4911" t="s">
        <v>588</v>
      </c>
      <c r="C4911" t="str">
        <f>INDEX(nse!D:D,MATCH(B4911,nse!B:B,0))</f>
        <v>EQ</v>
      </c>
      <c r="D4911" t="str">
        <f>INDEX(nse!C:C,MATCH(B4911,nse!B:B,0))</f>
        <v>Indo Tech Transformers Limited</v>
      </c>
    </row>
    <row r="4912" spans="2:4" hidden="1" x14ac:dyDescent="0.3">
      <c r="B4912" t="s">
        <v>589</v>
      </c>
      <c r="C4912" t="str">
        <f>INDEX(nse!D:D,MATCH(B4912,nse!B:B,0))</f>
        <v>EQ</v>
      </c>
      <c r="D4912" t="str">
        <f>INDEX(nse!C:C,MATCH(B4912,nse!B:B,0))</f>
        <v>Indo Thai Securities Limited</v>
      </c>
    </row>
    <row r="4913" spans="2:4" hidden="1" x14ac:dyDescent="0.3">
      <c r="B4913" t="s">
        <v>590</v>
      </c>
      <c r="C4913" t="str">
        <f>INDEX(nse!D:D,MATCH(B4913,nse!B:B,0))</f>
        <v>EQ</v>
      </c>
      <c r="D4913" t="str">
        <f>INDEX(nse!C:C,MATCH(B4913,nse!B:B,0))</f>
        <v>Indowind Energy Limited</v>
      </c>
    </row>
    <row r="4914" spans="2:4" hidden="1" x14ac:dyDescent="0.3">
      <c r="B4914" t="s">
        <v>591</v>
      </c>
      <c r="C4914" t="str">
        <f>INDEX(nse!D:D,MATCH(B4914,nse!B:B,0))</f>
        <v>EQ</v>
      </c>
      <c r="D4914" t="str">
        <f>INDEX(nse!C:C,MATCH(B4914,nse!B:B,0))</f>
        <v>Indraprastha Medical Corporation Limited</v>
      </c>
    </row>
    <row r="4915" spans="2:4" hidden="1" x14ac:dyDescent="0.3">
      <c r="B4915" t="s">
        <v>592</v>
      </c>
      <c r="C4915" t="str">
        <f>INDEX(nse!D:D,MATCH(B4915,nse!B:B,0))</f>
        <v>EQ</v>
      </c>
      <c r="D4915" t="str">
        <f>INDEX(nse!C:C,MATCH(B4915,nse!B:B,0))</f>
        <v>Ind-Swift Laboratories Limited</v>
      </c>
    </row>
    <row r="4916" spans="2:4" hidden="1" x14ac:dyDescent="0.3">
      <c r="B4916" t="s">
        <v>593</v>
      </c>
      <c r="C4916" t="str">
        <f>INDEX(nse!D:D,MATCH(B4916,nse!B:B,0))</f>
        <v>BE</v>
      </c>
      <c r="D4916" t="str">
        <f>INDEX(nse!C:C,MATCH(B4916,nse!B:B,0))</f>
        <v>Ind-Swift Limited</v>
      </c>
    </row>
    <row r="4917" spans="2:4" hidden="1" x14ac:dyDescent="0.3">
      <c r="B4917" t="s">
        <v>594</v>
      </c>
      <c r="C4917" t="str">
        <f>INDEX(nse!D:D,MATCH(B4917,nse!B:B,0))</f>
        <v>EQ</v>
      </c>
      <c r="D4917" t="str">
        <f>INDEX(nse!C:C,MATCH(B4917,nse!B:B,0))</f>
        <v>Indian Terrain Fashions Limited</v>
      </c>
    </row>
    <row r="4918" spans="2:4" hidden="1" x14ac:dyDescent="0.3">
      <c r="B4918" t="s">
        <v>595</v>
      </c>
      <c r="C4918" t="str">
        <f>INDEX(nse!D:D,MATCH(B4918,nse!B:B,0))</f>
        <v>EQ</v>
      </c>
      <c r="D4918" t="str">
        <f>INDEX(nse!C:C,MATCH(B4918,nse!B:B,0))</f>
        <v>IndusInd Bank Limited</v>
      </c>
    </row>
    <row r="4919" spans="2:4" hidden="1" x14ac:dyDescent="0.3">
      <c r="B4919" t="s">
        <v>3491</v>
      </c>
      <c r="C4919" t="str">
        <f>INDEX(nse!D:D,MATCH(B4919,nse!B:B,0))</f>
        <v>EQ</v>
      </c>
      <c r="D4919" t="str">
        <f>INDEX(nse!C:C,MATCH(B4919,nse!B:B,0))</f>
        <v>INEOS Styrolution India Limited</v>
      </c>
    </row>
    <row r="4920" spans="2:4" hidden="1" x14ac:dyDescent="0.3">
      <c r="B4920" t="s">
        <v>3494</v>
      </c>
      <c r="C4920" t="str">
        <f>INDEX(nse!D:D,MATCH(B4920,nse!B:B,0))</f>
        <v>EQ</v>
      </c>
      <c r="D4920" t="str">
        <f>INDEX(nse!C:C,MATCH(B4920,nse!B:B,0))</f>
        <v>Infibeam Incorporation Limited</v>
      </c>
    </row>
    <row r="4921" spans="2:4" hidden="1" x14ac:dyDescent="0.3">
      <c r="B4921" t="s">
        <v>596</v>
      </c>
      <c r="C4921" t="str">
        <f>INDEX(nse!D:D,MATCH(B4921,nse!B:B,0))</f>
        <v>EQ</v>
      </c>
      <c r="D4921" t="str">
        <f>INDEX(nse!C:C,MATCH(B4921,nse!B:B,0))</f>
        <v>Infinite Computer Solutions (India) Limited</v>
      </c>
    </row>
    <row r="4922" spans="2:4" hidden="1" x14ac:dyDescent="0.3">
      <c r="B4922" t="s">
        <v>597</v>
      </c>
      <c r="C4922" t="str">
        <f>INDEX(nse!D:D,MATCH(B4922,nse!B:B,0))</f>
        <v>BE</v>
      </c>
      <c r="D4922" t="str">
        <f>INDEX(nse!C:C,MATCH(B4922,nse!B:B,0))</f>
        <v>Infomedia Press Limited</v>
      </c>
    </row>
    <row r="4923" spans="2:4" hidden="1" x14ac:dyDescent="0.3">
      <c r="B4923" t="s">
        <v>41</v>
      </c>
      <c r="C4923" t="str">
        <f>INDEX(nse!D:D,MATCH(B4923,nse!B:B,0))</f>
        <v>EQ</v>
      </c>
      <c r="D4923" t="str">
        <f>INDEX(nse!C:C,MATCH(B4923,nse!B:B,0))</f>
        <v>Bharti Infratel Limited</v>
      </c>
    </row>
    <row r="4924" spans="2:4" hidden="1" x14ac:dyDescent="0.3">
      <c r="B4924" t="s">
        <v>9</v>
      </c>
      <c r="C4924" t="str">
        <f>INDEX(nse!D:D,MATCH(B4924,nse!B:B,0))</f>
        <v>EQ</v>
      </c>
      <c r="D4924" t="str">
        <f>INDEX(nse!C:C,MATCH(B4924,nse!B:B,0))</f>
        <v>Infosys Limited</v>
      </c>
    </row>
    <row r="4925" spans="2:4" hidden="1" x14ac:dyDescent="0.3">
      <c r="B4925" t="s">
        <v>598</v>
      </c>
      <c r="C4925" t="str">
        <f>INDEX(nse!D:D,MATCH(B4925,nse!B:B,0))</f>
        <v>EQ</v>
      </c>
      <c r="D4925" t="str">
        <f>INDEX(nse!C:C,MATCH(B4925,nse!B:B,0))</f>
        <v>Ingersoll Rand (India) Limited</v>
      </c>
    </row>
    <row r="4926" spans="2:4" hidden="1" x14ac:dyDescent="0.3">
      <c r="B4926" t="s">
        <v>599</v>
      </c>
      <c r="C4926" t="str">
        <f>INDEX(nse!D:D,MATCH(B4926,nse!B:B,0))</f>
        <v>EQ</v>
      </c>
      <c r="D4926" t="str">
        <f>INDEX(nse!C:C,MATCH(B4926,nse!B:B,0))</f>
        <v>INOX Leisure Limited</v>
      </c>
    </row>
    <row r="4927" spans="2:4" hidden="1" x14ac:dyDescent="0.3">
      <c r="B4927" t="s">
        <v>3504</v>
      </c>
      <c r="C4927" t="str">
        <f>INDEX(nse!D:D,MATCH(B4927,nse!B:B,0))</f>
        <v>EQ</v>
      </c>
      <c r="D4927" t="str">
        <f>INDEX(nse!C:C,MATCH(B4927,nse!B:B,0))</f>
        <v>Inox Wind Limited</v>
      </c>
    </row>
    <row r="4928" spans="2:4" hidden="1" x14ac:dyDescent="0.3">
      <c r="B4928" t="s">
        <v>600</v>
      </c>
      <c r="C4928" t="str">
        <f>INDEX(nse!D:D,MATCH(B4928,nse!B:B,0))</f>
        <v>EQ</v>
      </c>
      <c r="D4928" t="str">
        <f>INDEX(nse!C:C,MATCH(B4928,nse!B:B,0))</f>
        <v>Insecticides (India) Limited</v>
      </c>
    </row>
    <row r="4929" spans="2:4" hidden="1" x14ac:dyDescent="0.3">
      <c r="B4929" t="s">
        <v>1310</v>
      </c>
      <c r="C4929" t="str">
        <f>INDEX(nse!D:D,MATCH(B4929,nse!B:B,0))</f>
        <v>BE</v>
      </c>
      <c r="D4929" t="str">
        <f>INDEX(nse!C:C,MATCH(B4929,nse!B:B,0))</f>
        <v>Integra Garments and Textiles Limited</v>
      </c>
    </row>
    <row r="4930" spans="2:4" hidden="1" x14ac:dyDescent="0.3">
      <c r="B4930" t="s">
        <v>3509</v>
      </c>
      <c r="C4930" t="str">
        <f>INDEX(nse!D:D,MATCH(B4930,nse!B:B,0))</f>
        <v>EQ</v>
      </c>
      <c r="D4930" t="str">
        <f>INDEX(nse!C:C,MATCH(B4930,nse!B:B,0))</f>
        <v>Intellect Design Arena Limited</v>
      </c>
    </row>
    <row r="4931" spans="2:4" hidden="1" x14ac:dyDescent="0.3">
      <c r="B4931" t="s">
        <v>3512</v>
      </c>
      <c r="C4931" t="str">
        <f>INDEX(nse!D:D,MATCH(B4931,nse!B:B,0))</f>
        <v>EQ</v>
      </c>
      <c r="D4931" t="str">
        <f>INDEX(nse!C:C,MATCH(B4931,nse!B:B,0))</f>
        <v>Intense Technologies Limited</v>
      </c>
    </row>
    <row r="4932" spans="2:4" hidden="1" x14ac:dyDescent="0.3">
      <c r="B4932" t="s">
        <v>601</v>
      </c>
      <c r="C4932" t="str">
        <f>INDEX(nse!D:D,MATCH(B4932,nse!B:B,0))</f>
        <v>EQ</v>
      </c>
      <c r="D4932" t="str">
        <f>INDEX(nse!C:C,MATCH(B4932,nse!B:B,0))</f>
        <v>Inventure Growth &amp; Securities Limited</v>
      </c>
    </row>
    <row r="4933" spans="2:4" hidden="1" x14ac:dyDescent="0.3">
      <c r="B4933" t="s">
        <v>602</v>
      </c>
      <c r="C4933" t="str">
        <f>INDEX(nse!D:D,MATCH(B4933,nse!B:B,0))</f>
        <v>EQ</v>
      </c>
      <c r="D4933" t="str">
        <f>INDEX(nse!C:C,MATCH(B4933,nse!B:B,0))</f>
        <v>Indian Overseas Bank</v>
      </c>
    </row>
    <row r="4934" spans="2:4" hidden="1" x14ac:dyDescent="0.3">
      <c r="B4934" t="s">
        <v>64</v>
      </c>
      <c r="C4934" t="str">
        <f>INDEX(nse!D:D,MATCH(B4934,nse!B:B,0))</f>
        <v>EQ</v>
      </c>
      <c r="D4934" t="str">
        <f>INDEX(nse!C:C,MATCH(B4934,nse!B:B,0))</f>
        <v>Indian Oil Corporation Limited</v>
      </c>
    </row>
    <row r="4935" spans="2:4" hidden="1" x14ac:dyDescent="0.3">
      <c r="B4935" t="s">
        <v>603</v>
      </c>
      <c r="C4935" t="str">
        <f>INDEX(nse!D:D,MATCH(B4935,nse!B:B,0))</f>
        <v>EQ</v>
      </c>
      <c r="D4935" t="str">
        <f>INDEX(nse!C:C,MATCH(B4935,nse!B:B,0))</f>
        <v>IOL Chemicals and Pharmaceuticals Limited</v>
      </c>
    </row>
    <row r="4936" spans="2:4" hidden="1" x14ac:dyDescent="0.3">
      <c r="B4936" t="s">
        <v>604</v>
      </c>
      <c r="C4936" t="str">
        <f>INDEX(nse!D:D,MATCH(B4936,nse!B:B,0))</f>
        <v>EQ</v>
      </c>
      <c r="D4936" t="str">
        <f>INDEX(nse!C:C,MATCH(B4936,nse!B:B,0))</f>
        <v>International Paper APPM Limited</v>
      </c>
    </row>
    <row r="4937" spans="2:4" hidden="1" x14ac:dyDescent="0.3">
      <c r="B4937" t="s">
        <v>65</v>
      </c>
      <c r="C4937" t="str">
        <f>INDEX(nse!D:D,MATCH(B4937,nse!B:B,0))</f>
        <v>EQ</v>
      </c>
      <c r="D4937" t="str">
        <f>INDEX(nse!C:C,MATCH(B4937,nse!B:B,0))</f>
        <v>IPCA Laboratories Limited</v>
      </c>
    </row>
    <row r="4938" spans="2:4" hidden="1" x14ac:dyDescent="0.3">
      <c r="B4938" t="s">
        <v>21</v>
      </c>
      <c r="C4938" t="str">
        <f>INDEX(nse!D:D,MATCH(B4938,nse!B:B,0))</f>
        <v>EQ</v>
      </c>
      <c r="D4938" t="str">
        <f>INDEX(nse!C:C,MATCH(B4938,nse!B:B,0))</f>
        <v>IRB Infrastructure Developers Limited</v>
      </c>
    </row>
    <row r="4939" spans="2:4" hidden="1" x14ac:dyDescent="0.3">
      <c r="B4939" t="s">
        <v>605</v>
      </c>
      <c r="C4939" t="str">
        <f>INDEX(nse!D:D,MATCH(B4939,nse!B:B,0))</f>
        <v>EQ</v>
      </c>
      <c r="D4939" t="str">
        <f>INDEX(nse!C:C,MATCH(B4939,nse!B:B,0))</f>
        <v>Intrasoft Technologies Limited</v>
      </c>
    </row>
    <row r="4940" spans="2:4" hidden="1" x14ac:dyDescent="0.3">
      <c r="B4940" t="s">
        <v>606</v>
      </c>
      <c r="C4940" t="str">
        <f>INDEX(nse!D:D,MATCH(B4940,nse!B:B,0))</f>
        <v>EQ</v>
      </c>
      <c r="D4940" t="str">
        <f>INDEX(nse!C:C,MATCH(B4940,nse!B:B,0))</f>
        <v>ISMT Limited</v>
      </c>
    </row>
    <row r="4941" spans="2:4" hidden="1" x14ac:dyDescent="0.3">
      <c r="B4941" t="s">
        <v>607</v>
      </c>
      <c r="C4941" t="str">
        <f>INDEX(nse!D:D,MATCH(B4941,nse!B:B,0))</f>
        <v>EQ</v>
      </c>
      <c r="D4941" t="str">
        <f>INDEX(nse!C:C,MATCH(B4941,nse!B:B,0))</f>
        <v>ITC Limited</v>
      </c>
    </row>
    <row r="4942" spans="2:4" hidden="1" x14ac:dyDescent="0.3">
      <c r="B4942" t="s">
        <v>3525</v>
      </c>
      <c r="C4942" t="str">
        <f>INDEX(nse!D:D,MATCH(B4942,nse!B:B,0))</f>
        <v>EQ</v>
      </c>
      <c r="D4942" t="str">
        <f>INDEX(nse!C:C,MATCH(B4942,nse!B:B,0))</f>
        <v>India Tourism Development Corporation Limited</v>
      </c>
    </row>
    <row r="4943" spans="2:4" hidden="1" x14ac:dyDescent="0.3">
      <c r="B4943" t="s">
        <v>608</v>
      </c>
      <c r="C4943" t="str">
        <f>INDEX(nse!D:D,MATCH(B4943,nse!B:B,0))</f>
        <v>EQ</v>
      </c>
      <c r="D4943" t="str">
        <f>INDEX(nse!C:C,MATCH(B4943,nse!B:B,0))</f>
        <v>ITD Cementation India Limited</v>
      </c>
    </row>
    <row r="4944" spans="2:4" hidden="1" x14ac:dyDescent="0.3">
      <c r="B4944" t="s">
        <v>609</v>
      </c>
      <c r="C4944" t="str">
        <f>INDEX(nse!D:D,MATCH(B4944,nse!B:B,0))</f>
        <v>EQ</v>
      </c>
      <c r="D4944" t="str">
        <f>INDEX(nse!C:C,MATCH(B4944,nse!B:B,0))</f>
        <v>ITI Limited</v>
      </c>
    </row>
    <row r="4945" spans="2:4" hidden="1" x14ac:dyDescent="0.3">
      <c r="B4945" t="s">
        <v>610</v>
      </c>
      <c r="C4945" t="str">
        <f>INDEX(nse!D:D,MATCH(B4945,nse!B:B,0))</f>
        <v>EQ</v>
      </c>
      <c r="D4945" t="str">
        <f>INDEX(nse!C:C,MATCH(B4945,nse!B:B,0))</f>
        <v>IL&amp;FS Investment Managers Limited</v>
      </c>
    </row>
    <row r="4946" spans="2:4" hidden="1" x14ac:dyDescent="0.3">
      <c r="B4946" t="s">
        <v>611</v>
      </c>
      <c r="C4946" t="str">
        <f>INDEX(nse!D:D,MATCH(B4946,nse!B:B,0))</f>
        <v>EQ</v>
      </c>
      <c r="D4946" t="str">
        <f>INDEX(nse!C:C,MATCH(B4946,nse!B:B,0))</f>
        <v>IVP Limited</v>
      </c>
    </row>
    <row r="4947" spans="2:4" hidden="1" x14ac:dyDescent="0.3">
      <c r="B4947" t="s">
        <v>612</v>
      </c>
      <c r="C4947" t="str">
        <f>INDEX(nse!D:D,MATCH(B4947,nse!B:B,0))</f>
        <v>EQ</v>
      </c>
      <c r="D4947" t="str">
        <f>INDEX(nse!C:C,MATCH(B4947,nse!B:B,0))</f>
        <v>IVRCL Limited</v>
      </c>
    </row>
    <row r="4948" spans="2:4" hidden="1" x14ac:dyDescent="0.3">
      <c r="B4948" t="s">
        <v>3533</v>
      </c>
      <c r="C4948" t="str">
        <f>INDEX(nse!D:D,MATCH(B4948,nse!B:B,0))</f>
        <v>EQ</v>
      </c>
      <c r="D4948" t="str">
        <f>INDEX(nse!C:C,MATCH(B4948,nse!B:B,0))</f>
        <v>IZMO Limited</v>
      </c>
    </row>
    <row r="4949" spans="2:4" hidden="1" x14ac:dyDescent="0.3">
      <c r="B4949" t="s">
        <v>69</v>
      </c>
      <c r="C4949" t="str">
        <f>INDEX(nse!D:D,MATCH(B4949,nse!B:B,0))</f>
        <v>EQ</v>
      </c>
      <c r="D4949" t="str">
        <f>INDEX(nse!C:C,MATCH(B4949,nse!B:B,0))</f>
        <v>The Jammu &amp; Kashmir Bank Limited</v>
      </c>
    </row>
    <row r="4950" spans="2:4" hidden="1" x14ac:dyDescent="0.3">
      <c r="B4950" t="s">
        <v>613</v>
      </c>
      <c r="C4950" t="str">
        <f>INDEX(nse!D:D,MATCH(B4950,nse!B:B,0))</f>
        <v>EQ</v>
      </c>
      <c r="D4950" t="str">
        <f>INDEX(nse!C:C,MATCH(B4950,nse!B:B,0))</f>
        <v>Jagran Prakashan Limited</v>
      </c>
    </row>
    <row r="4951" spans="2:4" hidden="1" x14ac:dyDescent="0.3">
      <c r="B4951" t="s">
        <v>614</v>
      </c>
      <c r="C4951" t="str">
        <f>INDEX(nse!D:D,MATCH(B4951,nse!B:B,0))</f>
        <v>EQ</v>
      </c>
      <c r="D4951" t="str">
        <f>INDEX(nse!C:C,MATCH(B4951,nse!B:B,0))</f>
        <v>Jagsonpal Pharmaceuticals Limited</v>
      </c>
    </row>
    <row r="4952" spans="2:4" hidden="1" x14ac:dyDescent="0.3">
      <c r="B4952" t="s">
        <v>615</v>
      </c>
      <c r="C4952" t="str">
        <f>INDEX(nse!D:D,MATCH(B4952,nse!B:B,0))</f>
        <v>EQ</v>
      </c>
      <c r="D4952" t="str">
        <f>INDEX(nse!C:C,MATCH(B4952,nse!B:B,0))</f>
        <v>Jai Balaji Industries Limited</v>
      </c>
    </row>
    <row r="4953" spans="2:4" hidden="1" x14ac:dyDescent="0.3">
      <c r="B4953" t="s">
        <v>616</v>
      </c>
      <c r="C4953" t="str">
        <f>INDEX(nse!D:D,MATCH(B4953,nse!B:B,0))</f>
        <v>EQ</v>
      </c>
      <c r="D4953" t="str">
        <f>INDEX(nse!C:C,MATCH(B4953,nse!B:B,0))</f>
        <v>Jai Corp Limited</v>
      </c>
    </row>
    <row r="4954" spans="2:4" hidden="1" x14ac:dyDescent="0.3">
      <c r="B4954" t="s">
        <v>617</v>
      </c>
      <c r="C4954" t="str">
        <f>INDEX(nse!D:D,MATCH(B4954,nse!B:B,0))</f>
        <v>EQ</v>
      </c>
      <c r="D4954" t="str">
        <f>INDEX(nse!C:C,MATCH(B4954,nse!B:B,0))</f>
        <v>Jaihind Projects Limited</v>
      </c>
    </row>
    <row r="4955" spans="2:4" hidden="1" x14ac:dyDescent="0.3">
      <c r="B4955" t="s">
        <v>1311</v>
      </c>
      <c r="C4955" t="str">
        <f>INDEX(nse!D:D,MATCH(B4955,nse!B:B,0))</f>
        <v>BE</v>
      </c>
      <c r="D4955" t="str">
        <f>INDEX(nse!C:C,MATCH(B4955,nse!B:B,0))</f>
        <v>Jain Studios Limited</v>
      </c>
    </row>
    <row r="4956" spans="2:4" hidden="1" x14ac:dyDescent="0.3">
      <c r="B4956" t="s">
        <v>618</v>
      </c>
      <c r="C4956" t="str">
        <f>INDEX(nse!D:D,MATCH(B4956,nse!B:B,0))</f>
        <v>EQ</v>
      </c>
      <c r="D4956" t="str">
        <f>INDEX(nse!C:C,MATCH(B4956,nse!B:B,0))</f>
        <v>Jamna Auto Industries Limited</v>
      </c>
    </row>
    <row r="4957" spans="2:4" hidden="1" x14ac:dyDescent="0.3">
      <c r="B4957" t="s">
        <v>619</v>
      </c>
      <c r="C4957" t="str">
        <f>INDEX(nse!D:D,MATCH(B4957,nse!B:B,0))</f>
        <v>EQ</v>
      </c>
      <c r="D4957" t="str">
        <f>INDEX(nse!C:C,MATCH(B4957,nse!B:B,0))</f>
        <v>Jayant Agro Organics Limited</v>
      </c>
    </row>
    <row r="4958" spans="2:4" hidden="1" x14ac:dyDescent="0.3">
      <c r="B4958" t="s">
        <v>620</v>
      </c>
      <c r="C4958" t="str">
        <f>INDEX(nse!D:D,MATCH(B4958,nse!B:B,0))</f>
        <v>EQ</v>
      </c>
      <c r="D4958" t="str">
        <f>INDEX(nse!C:C,MATCH(B4958,nse!B:B,0))</f>
        <v>Jay Bharat Maruti Limited</v>
      </c>
    </row>
    <row r="4959" spans="2:4" hidden="1" x14ac:dyDescent="0.3">
      <c r="B4959" t="s">
        <v>621</v>
      </c>
      <c r="C4959" t="str">
        <f>INDEX(nse!D:D,MATCH(B4959,nse!B:B,0))</f>
        <v>EQ</v>
      </c>
      <c r="D4959" t="str">
        <f>INDEX(nse!C:C,MATCH(B4959,nse!B:B,0))</f>
        <v>Jayaswal Neco Industries Limited</v>
      </c>
    </row>
    <row r="4960" spans="2:4" hidden="1" x14ac:dyDescent="0.3">
      <c r="B4960" t="s">
        <v>622</v>
      </c>
      <c r="C4960" t="str">
        <f>INDEX(nse!D:D,MATCH(B4960,nse!B:B,0))</f>
        <v>EQ</v>
      </c>
      <c r="D4960" t="str">
        <f>INDEX(nse!C:C,MATCH(B4960,nse!B:B,0))</f>
        <v>Jayshree Tea &amp; Industries Limited</v>
      </c>
    </row>
    <row r="4961" spans="2:4" hidden="1" x14ac:dyDescent="0.3">
      <c r="B4961" t="s">
        <v>623</v>
      </c>
      <c r="C4961" t="str">
        <f>INDEX(nse!D:D,MATCH(B4961,nse!B:B,0))</f>
        <v>EQ</v>
      </c>
      <c r="D4961" t="str">
        <f>INDEX(nse!C:C,MATCH(B4961,nse!B:B,0))</f>
        <v>JB Chemicals &amp; Pharmaceuticals Limited</v>
      </c>
    </row>
    <row r="4962" spans="2:4" hidden="1" x14ac:dyDescent="0.3">
      <c r="B4962" t="s">
        <v>624</v>
      </c>
      <c r="C4962" t="str">
        <f>INDEX(nse!D:D,MATCH(B4962,nse!B:B,0))</f>
        <v>EQ</v>
      </c>
      <c r="D4962" t="str">
        <f>INDEX(nse!C:C,MATCH(B4962,nse!B:B,0))</f>
        <v>JBF Industries Limited</v>
      </c>
    </row>
    <row r="4963" spans="2:4" hidden="1" x14ac:dyDescent="0.3">
      <c r="B4963" t="s">
        <v>625</v>
      </c>
      <c r="C4963" t="str">
        <f>INDEX(nse!D:D,MATCH(B4963,nse!B:B,0))</f>
        <v>EQ</v>
      </c>
      <c r="D4963" t="str">
        <f>INDEX(nse!C:C,MATCH(B4963,nse!B:B,0))</f>
        <v>JBM Auto Limited</v>
      </c>
    </row>
    <row r="4964" spans="2:4" hidden="1" x14ac:dyDescent="0.3">
      <c r="B4964" t="s">
        <v>3551</v>
      </c>
      <c r="C4964" t="str">
        <f>INDEX(nse!D:D,MATCH(B4964,nse!B:B,0))</f>
        <v>EQ</v>
      </c>
      <c r="D4964" t="str">
        <f>INDEX(nse!C:C,MATCH(B4964,nse!B:B,0))</f>
        <v>Johnson Controls – Hitachi Air Conditioning India Limited</v>
      </c>
    </row>
    <row r="4965" spans="2:4" hidden="1" x14ac:dyDescent="0.3">
      <c r="B4965" t="s">
        <v>626</v>
      </c>
      <c r="C4965" t="str">
        <f>INDEX(nse!D:D,MATCH(B4965,nse!B:B,0))</f>
        <v>BE</v>
      </c>
      <c r="D4965" t="str">
        <f>INDEX(nse!C:C,MATCH(B4965,nse!B:B,0))</f>
        <v>Jenson &amp; Nicholson (India) Limited</v>
      </c>
    </row>
    <row r="4966" spans="2:4" hidden="1" x14ac:dyDescent="0.3">
      <c r="B4966" t="s">
        <v>627</v>
      </c>
      <c r="C4966" t="str">
        <f>INDEX(nse!D:D,MATCH(B4966,nse!B:B,0))</f>
        <v>EQ</v>
      </c>
      <c r="D4966" t="str">
        <f>INDEX(nse!C:C,MATCH(B4966,nse!B:B,0))</f>
        <v>Jet Airways (India) Limited</v>
      </c>
    </row>
    <row r="4967" spans="2:4" hidden="1" x14ac:dyDescent="0.3">
      <c r="B4967" t="s">
        <v>628</v>
      </c>
      <c r="C4967" t="str">
        <f>INDEX(nse!D:D,MATCH(B4967,nse!B:B,0))</f>
        <v>BE</v>
      </c>
      <c r="D4967" t="str">
        <f>INDEX(nse!C:C,MATCH(B4967,nse!B:B,0))</f>
        <v>JHS Svendgaard Laboratories Limited</v>
      </c>
    </row>
    <row r="4968" spans="2:4" hidden="1" x14ac:dyDescent="0.3">
      <c r="B4968" t="s">
        <v>1312</v>
      </c>
      <c r="C4968" t="str">
        <f>INDEX(nse!D:D,MATCH(B4968,nse!B:B,0))</f>
        <v>BE</v>
      </c>
      <c r="D4968" t="str">
        <f>INDEX(nse!C:C,MATCH(B4968,nse!B:B,0))</f>
        <v>JIK Industries Limited</v>
      </c>
    </row>
    <row r="4969" spans="2:4" hidden="1" x14ac:dyDescent="0.3">
      <c r="B4969" t="s">
        <v>629</v>
      </c>
      <c r="C4969" t="str">
        <f>INDEX(nse!D:D,MATCH(B4969,nse!B:B,0))</f>
        <v>BE</v>
      </c>
      <c r="D4969" t="str">
        <f>INDEX(nse!C:C,MATCH(B4969,nse!B:B,0))</f>
        <v>Jindal Photo Limited</v>
      </c>
    </row>
    <row r="4970" spans="2:4" hidden="1" x14ac:dyDescent="0.3">
      <c r="B4970" t="s">
        <v>630</v>
      </c>
      <c r="C4970" t="str">
        <f>INDEX(nse!D:D,MATCH(B4970,nse!B:B,0))</f>
        <v>EQ</v>
      </c>
      <c r="D4970" t="str">
        <f>INDEX(nse!C:C,MATCH(B4970,nse!B:B,0))</f>
        <v>Jindal Poly Films Limited</v>
      </c>
    </row>
    <row r="4971" spans="2:4" hidden="1" x14ac:dyDescent="0.3">
      <c r="B4971" t="s">
        <v>631</v>
      </c>
      <c r="C4971" t="str">
        <f>INDEX(nse!D:D,MATCH(B4971,nse!B:B,0))</f>
        <v>EQ</v>
      </c>
      <c r="D4971" t="str">
        <f>INDEX(nse!C:C,MATCH(B4971,nse!B:B,0))</f>
        <v>Jindal Saw Limited</v>
      </c>
    </row>
    <row r="4972" spans="2:4" hidden="1" x14ac:dyDescent="0.3">
      <c r="B4972" t="s">
        <v>632</v>
      </c>
      <c r="C4972" t="str">
        <f>INDEX(nse!D:D,MATCH(B4972,nse!B:B,0))</f>
        <v>EQ</v>
      </c>
      <c r="D4972" t="str">
        <f>INDEX(nse!C:C,MATCH(B4972,nse!B:B,0))</f>
        <v>Jindal Steel &amp; Power Limited</v>
      </c>
    </row>
    <row r="4973" spans="2:4" hidden="1" x14ac:dyDescent="0.3">
      <c r="B4973" t="s">
        <v>633</v>
      </c>
      <c r="C4973" t="str">
        <f>INDEX(nse!D:D,MATCH(B4973,nse!B:B,0))</f>
        <v>EQ</v>
      </c>
      <c r="D4973" t="str">
        <f>INDEX(nse!C:C,MATCH(B4973,nse!B:B,0))</f>
        <v>Jindal Cotex Limited</v>
      </c>
    </row>
    <row r="4974" spans="2:4" hidden="1" x14ac:dyDescent="0.3">
      <c r="B4974" t="s">
        <v>634</v>
      </c>
      <c r="C4974" t="str">
        <f>INDEX(nse!D:D,MATCH(B4974,nse!B:B,0))</f>
        <v>EQ</v>
      </c>
      <c r="D4974" t="str">
        <f>INDEX(nse!C:C,MATCH(B4974,nse!B:B,0))</f>
        <v>Jindal Drilling And Industries Limited</v>
      </c>
    </row>
    <row r="4975" spans="2:4" hidden="1" x14ac:dyDescent="0.3">
      <c r="B4975" t="s">
        <v>635</v>
      </c>
      <c r="C4975" t="str">
        <f>INDEX(nse!D:D,MATCH(B4975,nse!B:B,0))</f>
        <v>EQ</v>
      </c>
      <c r="D4975" t="str">
        <f>INDEX(nse!C:C,MATCH(B4975,nse!B:B,0))</f>
        <v>Jindal Worldwide Limited</v>
      </c>
    </row>
    <row r="4976" spans="2:4" hidden="1" x14ac:dyDescent="0.3">
      <c r="B4976" t="s">
        <v>3565</v>
      </c>
      <c r="C4976" t="str">
        <f>INDEX(nse!D:D,MATCH(B4976,nse!B:B,0))</f>
        <v>EQ</v>
      </c>
      <c r="D4976" t="str">
        <f>INDEX(nse!C:C,MATCH(B4976,nse!B:B,0))</f>
        <v>Jain Irrigation Systems Limited</v>
      </c>
    </row>
    <row r="4977" spans="2:4" hidden="1" x14ac:dyDescent="0.3">
      <c r="B4977" t="s">
        <v>67</v>
      </c>
      <c r="C4977" t="str">
        <f>INDEX(nse!D:D,MATCH(B4977,nse!B:B,0))</f>
        <v>EQ</v>
      </c>
      <c r="D4977" t="str">
        <f>INDEX(nse!C:C,MATCH(B4977,nse!B:B,0))</f>
        <v>Jain Irrigation Systems Limited</v>
      </c>
    </row>
    <row r="4978" spans="2:4" hidden="1" x14ac:dyDescent="0.3">
      <c r="B4978" t="s">
        <v>3568</v>
      </c>
      <c r="C4978" t="str">
        <f>INDEX(nse!D:D,MATCH(B4978,nse!B:B,0))</f>
        <v>BE</v>
      </c>
      <c r="D4978" t="str">
        <f>INDEX(nse!C:C,MATCH(B4978,nse!B:B,0))</f>
        <v>JITF Infralogistics Limited</v>
      </c>
    </row>
    <row r="4979" spans="2:4" hidden="1" x14ac:dyDescent="0.3">
      <c r="B4979" t="s">
        <v>636</v>
      </c>
      <c r="C4979" t="str">
        <f>INDEX(nse!D:D,MATCH(B4979,nse!B:B,0))</f>
        <v>EQ</v>
      </c>
      <c r="D4979" t="str">
        <f>INDEX(nse!C:C,MATCH(B4979,nse!B:B,0))</f>
        <v>JK Cement Limited</v>
      </c>
    </row>
    <row r="4980" spans="2:4" hidden="1" x14ac:dyDescent="0.3">
      <c r="B4980" t="s">
        <v>637</v>
      </c>
      <c r="C4980" t="str">
        <f>INDEX(nse!D:D,MATCH(B4980,nse!B:B,0))</f>
        <v>EQ</v>
      </c>
      <c r="D4980" t="str">
        <f>INDEX(nse!C:C,MATCH(B4980,nse!B:B,0))</f>
        <v>J.Kumar Infraprojects Limited</v>
      </c>
    </row>
    <row r="4981" spans="2:4" hidden="1" x14ac:dyDescent="0.3">
      <c r="B4981" t="s">
        <v>638</v>
      </c>
      <c r="C4981" t="str">
        <f>INDEX(nse!D:D,MATCH(B4981,nse!B:B,0))</f>
        <v>EQ</v>
      </c>
      <c r="D4981" t="str">
        <f>INDEX(nse!C:C,MATCH(B4981,nse!B:B,0))</f>
        <v>JK Lakshmi Cement Limited</v>
      </c>
    </row>
    <row r="4982" spans="2:4" hidden="1" x14ac:dyDescent="0.3">
      <c r="B4982" t="s">
        <v>639</v>
      </c>
      <c r="C4982" t="str">
        <f>INDEX(nse!D:D,MATCH(B4982,nse!B:B,0))</f>
        <v>EQ</v>
      </c>
      <c r="D4982" t="str">
        <f>INDEX(nse!C:C,MATCH(B4982,nse!B:B,0))</f>
        <v>JK Paper Limited</v>
      </c>
    </row>
    <row r="4983" spans="2:4" hidden="1" x14ac:dyDescent="0.3">
      <c r="B4983" t="s">
        <v>640</v>
      </c>
      <c r="C4983" t="str">
        <f>INDEX(nse!D:D,MATCH(B4983,nse!B:B,0))</f>
        <v>EQ</v>
      </c>
      <c r="D4983" t="str">
        <f>INDEX(nse!C:C,MATCH(B4983,nse!B:B,0))</f>
        <v>JK Tyre &amp; Industries Limited</v>
      </c>
    </row>
    <row r="4984" spans="2:4" hidden="1" x14ac:dyDescent="0.3">
      <c r="B4984" t="s">
        <v>3576</v>
      </c>
      <c r="C4984" t="str">
        <f>INDEX(nse!D:D,MATCH(B4984,nse!B:B,0))</f>
        <v>EQ</v>
      </c>
      <c r="D4984" t="str">
        <f>INDEX(nse!C:C,MATCH(B4984,nse!B:B,0))</f>
        <v>Jullundur Motor Agency (Delhi) Limited</v>
      </c>
    </row>
    <row r="4985" spans="2:4" hidden="1" x14ac:dyDescent="0.3">
      <c r="B4985" t="s">
        <v>641</v>
      </c>
      <c r="C4985" t="str">
        <f>INDEX(nse!D:D,MATCH(B4985,nse!B:B,0))</f>
        <v>EQ</v>
      </c>
      <c r="D4985" t="str">
        <f>INDEX(nse!C:C,MATCH(B4985,nse!B:B,0))</f>
        <v>JMC Projects (India)  Limited</v>
      </c>
    </row>
    <row r="4986" spans="2:4" hidden="1" x14ac:dyDescent="0.3">
      <c r="B4986" t="s">
        <v>642</v>
      </c>
      <c r="C4986" t="str">
        <f>INDEX(nse!D:D,MATCH(B4986,nse!B:B,0))</f>
        <v>EQ</v>
      </c>
      <c r="D4986" t="str">
        <f>INDEX(nse!C:C,MATCH(B4986,nse!B:B,0))</f>
        <v>JM Financial Limited</v>
      </c>
    </row>
    <row r="4987" spans="2:4" hidden="1" x14ac:dyDescent="0.3">
      <c r="B4987" t="s">
        <v>643</v>
      </c>
      <c r="C4987" t="str">
        <f>INDEX(nse!D:D,MATCH(B4987,nse!B:B,0))</f>
        <v>EQ</v>
      </c>
      <c r="D4987" t="str">
        <f>INDEX(nse!C:C,MATCH(B4987,nse!B:B,0))</f>
        <v>JMT Auto Limited</v>
      </c>
    </row>
    <row r="4988" spans="2:4" hidden="1" x14ac:dyDescent="0.3">
      <c r="B4988" t="s">
        <v>644</v>
      </c>
      <c r="C4988" t="str">
        <f>INDEX(nse!D:D,MATCH(B4988,nse!B:B,0))</f>
        <v>EQ</v>
      </c>
      <c r="D4988" t="str">
        <f>INDEX(nse!C:C,MATCH(B4988,nse!B:B,0))</f>
        <v>Jocil Limited</v>
      </c>
    </row>
    <row r="4989" spans="2:4" hidden="1" x14ac:dyDescent="0.3">
      <c r="B4989" t="s">
        <v>68</v>
      </c>
      <c r="C4989" t="str">
        <f>INDEX(nse!D:D,MATCH(B4989,nse!B:B,0))</f>
        <v>EQ</v>
      </c>
      <c r="D4989" t="str">
        <f>INDEX(nse!C:C,MATCH(B4989,nse!B:B,0))</f>
        <v>Jaiprakash Associates Limited</v>
      </c>
    </row>
    <row r="4990" spans="2:4" hidden="1" x14ac:dyDescent="0.3">
      <c r="B4990" t="s">
        <v>645</v>
      </c>
      <c r="C4990" t="str">
        <f>INDEX(nse!D:D,MATCH(B4990,nse!B:B,0))</f>
        <v>EQ</v>
      </c>
      <c r="D4990" t="str">
        <f>INDEX(nse!C:C,MATCH(B4990,nse!B:B,0))</f>
        <v>Jaypee Infratech Limited</v>
      </c>
    </row>
    <row r="4991" spans="2:4" hidden="1" x14ac:dyDescent="0.3">
      <c r="B4991" t="s">
        <v>646</v>
      </c>
      <c r="C4991" t="str">
        <f>INDEX(nse!D:D,MATCH(B4991,nse!B:B,0))</f>
        <v>EQ</v>
      </c>
      <c r="D4991" t="str">
        <f>INDEX(nse!C:C,MATCH(B4991,nse!B:B,0))</f>
        <v>Jindal Poly Investment and Finance Company Limited</v>
      </c>
    </row>
    <row r="4992" spans="2:4" hidden="1" x14ac:dyDescent="0.3">
      <c r="B4992" t="s">
        <v>647</v>
      </c>
      <c r="C4992" t="str">
        <f>INDEX(nse!D:D,MATCH(B4992,nse!B:B,0))</f>
        <v>EQ</v>
      </c>
      <c r="D4992" t="str">
        <f>INDEX(nse!C:C,MATCH(B4992,nse!B:B,0))</f>
        <v>Jaiprakash Power Ventures Limited</v>
      </c>
    </row>
    <row r="4993" spans="2:4" hidden="1" x14ac:dyDescent="0.3">
      <c r="B4993" t="s">
        <v>648</v>
      </c>
      <c r="C4993" t="str">
        <f>INDEX(nse!D:D,MATCH(B4993,nse!B:B,0))</f>
        <v>EQ</v>
      </c>
      <c r="D4993" t="str">
        <f>INDEX(nse!C:C,MATCH(B4993,nse!B:B,0))</f>
        <v>Jindal Stainless Limited</v>
      </c>
    </row>
    <row r="4994" spans="2:4" hidden="1" x14ac:dyDescent="0.3">
      <c r="B4994" t="s">
        <v>3588</v>
      </c>
      <c r="C4994" t="str">
        <f>INDEX(nse!D:D,MATCH(B4994,nse!B:B,0))</f>
        <v>EQ</v>
      </c>
      <c r="D4994" t="str">
        <f>INDEX(nse!C:C,MATCH(B4994,nse!B:B,0))</f>
        <v>Jindal Stainless (Hisar) Limited</v>
      </c>
    </row>
    <row r="4995" spans="2:4" hidden="1" x14ac:dyDescent="0.3">
      <c r="B4995" t="s">
        <v>66</v>
      </c>
      <c r="C4995" t="str">
        <f>INDEX(nse!D:D,MATCH(B4995,nse!B:B,0))</f>
        <v>EQ</v>
      </c>
      <c r="D4995" t="str">
        <f>INDEX(nse!C:C,MATCH(B4995,nse!B:B,0))</f>
        <v>JSW Energy Limited</v>
      </c>
    </row>
    <row r="4996" spans="2:4" hidden="1" x14ac:dyDescent="0.3">
      <c r="B4996" t="s">
        <v>649</v>
      </c>
      <c r="C4996" t="str">
        <f>INDEX(nse!D:D,MATCH(B4996,nse!B:B,0))</f>
        <v>EQ</v>
      </c>
      <c r="D4996" t="str">
        <f>INDEX(nse!C:C,MATCH(B4996,nse!B:B,0))</f>
        <v>JSW Holdings Limited</v>
      </c>
    </row>
    <row r="4997" spans="2:4" hidden="1" x14ac:dyDescent="0.3">
      <c r="B4997" t="s">
        <v>650</v>
      </c>
      <c r="C4997" t="str">
        <f>INDEX(nse!D:D,MATCH(B4997,nse!B:B,0))</f>
        <v>EQ</v>
      </c>
      <c r="D4997" t="str">
        <f>INDEX(nse!C:C,MATCH(B4997,nse!B:B,0))</f>
        <v>JSW Steel Limited</v>
      </c>
    </row>
    <row r="4998" spans="2:4" hidden="1" x14ac:dyDescent="0.3">
      <c r="B4998" t="s">
        <v>651</v>
      </c>
      <c r="C4998" t="str">
        <f>INDEX(nse!D:D,MATCH(B4998,nse!B:B,0))</f>
        <v>EQ</v>
      </c>
      <c r="D4998" t="str">
        <f>INDEX(nse!C:C,MATCH(B4998,nse!B:B,0))</f>
        <v>Jubilant Life Sciences Limited</v>
      </c>
    </row>
    <row r="4999" spans="2:4" hidden="1" x14ac:dyDescent="0.3">
      <c r="B4999" t="s">
        <v>70</v>
      </c>
      <c r="C4999" t="str">
        <f>INDEX(nse!D:D,MATCH(B4999,nse!B:B,0))</f>
        <v>EQ</v>
      </c>
      <c r="D4999" t="str">
        <f>INDEX(nse!C:C,MATCH(B4999,nse!B:B,0))</f>
        <v>Jubilant Foodworks Limited</v>
      </c>
    </row>
    <row r="5000" spans="2:4" hidden="1" x14ac:dyDescent="0.3">
      <c r="B5000" t="s">
        <v>652</v>
      </c>
      <c r="C5000" t="str">
        <f>INDEX(nse!D:D,MATCH(B5000,nse!B:B,0))</f>
        <v>EQ</v>
      </c>
      <c r="D5000" t="str">
        <f>INDEX(nse!C:C,MATCH(B5000,nse!B:B,0))</f>
        <v>Jubilant Industries Limited</v>
      </c>
    </row>
    <row r="5001" spans="2:4" hidden="1" x14ac:dyDescent="0.3">
      <c r="B5001" t="s">
        <v>71</v>
      </c>
      <c r="C5001" t="str">
        <f>INDEX(nse!D:D,MATCH(B5001,nse!B:B,0))</f>
        <v>EQ</v>
      </c>
      <c r="D5001" t="str">
        <f>INDEX(nse!C:C,MATCH(B5001,nse!B:B,0))</f>
        <v>Just Dial Limited</v>
      </c>
    </row>
    <row r="5002" spans="2:4" hidden="1" x14ac:dyDescent="0.3">
      <c r="B5002" t="s">
        <v>653</v>
      </c>
      <c r="C5002" t="str">
        <f>INDEX(nse!D:D,MATCH(B5002,nse!B:B,0))</f>
        <v>EQ</v>
      </c>
      <c r="D5002" t="str">
        <f>INDEX(nse!C:C,MATCH(B5002,nse!B:B,0))</f>
        <v>JVL Agro Industries Limited</v>
      </c>
    </row>
    <row r="5003" spans="2:4" hidden="1" x14ac:dyDescent="0.3">
      <c r="B5003" t="s">
        <v>654</v>
      </c>
      <c r="C5003" t="str">
        <f>INDEX(nse!D:D,MATCH(B5003,nse!B:B,0))</f>
        <v>EQ</v>
      </c>
      <c r="D5003" t="str">
        <f>INDEX(nse!C:C,MATCH(B5003,nse!B:B,0))</f>
        <v>Jyothy Laboratories Limited</v>
      </c>
    </row>
    <row r="5004" spans="2:4" hidden="1" x14ac:dyDescent="0.3">
      <c r="B5004" t="s">
        <v>655</v>
      </c>
      <c r="C5004" t="str">
        <f>INDEX(nse!D:D,MATCH(B5004,nse!B:B,0))</f>
        <v>EQ</v>
      </c>
      <c r="D5004" t="str">
        <f>INDEX(nse!C:C,MATCH(B5004,nse!B:B,0))</f>
        <v>Jyoti Structures Limited</v>
      </c>
    </row>
    <row r="5005" spans="2:4" hidden="1" x14ac:dyDescent="0.3">
      <c r="B5005" t="s">
        <v>656</v>
      </c>
      <c r="C5005" t="str">
        <f>INDEX(nse!D:D,MATCH(B5005,nse!B:B,0))</f>
        <v>EQ</v>
      </c>
      <c r="D5005" t="str">
        <f>INDEX(nse!C:C,MATCH(B5005,nse!B:B,0))</f>
        <v>Kabra Extrusion Technik Limited</v>
      </c>
    </row>
    <row r="5006" spans="2:4" hidden="1" x14ac:dyDescent="0.3">
      <c r="B5006" t="s">
        <v>657</v>
      </c>
      <c r="C5006" t="str">
        <f>INDEX(nse!D:D,MATCH(B5006,nse!B:B,0))</f>
        <v>EQ</v>
      </c>
      <c r="D5006" t="str">
        <f>INDEX(nse!C:C,MATCH(B5006,nse!B:B,0))</f>
        <v>Kajaria Ceramics Limited</v>
      </c>
    </row>
    <row r="5007" spans="2:4" hidden="1" x14ac:dyDescent="0.3">
      <c r="B5007" t="s">
        <v>658</v>
      </c>
      <c r="C5007" t="str">
        <f>INDEX(nse!D:D,MATCH(B5007,nse!B:B,0))</f>
        <v>EQ</v>
      </c>
      <c r="D5007" t="str">
        <f>INDEX(nse!C:C,MATCH(B5007,nse!B:B,0))</f>
        <v>Kakatiya Cement Sugar &amp; Industries Limited</v>
      </c>
    </row>
    <row r="5008" spans="2:4" hidden="1" x14ac:dyDescent="0.3">
      <c r="B5008" t="s">
        <v>659</v>
      </c>
      <c r="C5008" t="str">
        <f>INDEX(nse!D:D,MATCH(B5008,nse!B:B,0))</f>
        <v>EQ</v>
      </c>
      <c r="D5008" t="str">
        <f>INDEX(nse!C:C,MATCH(B5008,nse!B:B,0))</f>
        <v>Kalpataru Power Transmission Limited</v>
      </c>
    </row>
    <row r="5009" spans="2:4" hidden="1" x14ac:dyDescent="0.3">
      <c r="B5009" t="s">
        <v>3605</v>
      </c>
      <c r="C5009" t="str">
        <f>INDEX(nse!D:D,MATCH(B5009,nse!B:B,0))</f>
        <v>BE</v>
      </c>
      <c r="D5009" t="str">
        <f>INDEX(nse!C:C,MATCH(B5009,nse!B:B,0))</f>
        <v>Kalyani Commercials Limited</v>
      </c>
    </row>
    <row r="5010" spans="2:4" hidden="1" x14ac:dyDescent="0.3">
      <c r="B5010" t="s">
        <v>660</v>
      </c>
      <c r="C5010" t="str">
        <f>INDEX(nse!D:D,MATCH(B5010,nse!B:B,0))</f>
        <v>BE</v>
      </c>
      <c r="D5010" t="str">
        <f>INDEX(nse!C:C,MATCH(B5010,nse!B:B,0))</f>
        <v>Kalyani Forge Limited</v>
      </c>
    </row>
    <row r="5011" spans="2:4" hidden="1" x14ac:dyDescent="0.3">
      <c r="B5011" t="s">
        <v>661</v>
      </c>
      <c r="C5011" t="str">
        <f>INDEX(nse!D:D,MATCH(B5011,nse!B:B,0))</f>
        <v>EQ</v>
      </c>
      <c r="D5011" t="str">
        <f>INDEX(nse!C:C,MATCH(B5011,nse!B:B,0))</f>
        <v>Kamat Hotels (I) Limited</v>
      </c>
    </row>
    <row r="5012" spans="2:4" hidden="1" x14ac:dyDescent="0.3">
      <c r="B5012" t="s">
        <v>3610</v>
      </c>
      <c r="C5012" t="str">
        <f>INDEX(nse!D:D,MATCH(B5012,nse!B:B,0))</f>
        <v>EQ</v>
      </c>
      <c r="D5012" t="str">
        <f>INDEX(nse!C:C,MATCH(B5012,nse!B:B,0))</f>
        <v>Kamdhenu Limited</v>
      </c>
    </row>
    <row r="5013" spans="2:4" hidden="1" x14ac:dyDescent="0.3">
      <c r="B5013" t="s">
        <v>1313</v>
      </c>
      <c r="C5013" t="str">
        <f>INDEX(nse!D:D,MATCH(B5013,nse!B:B,0))</f>
        <v>EQ</v>
      </c>
      <c r="D5013" t="str">
        <f>INDEX(nse!C:C,MATCH(B5013,nse!B:B,0))</f>
        <v>Kanani Industries Limited</v>
      </c>
    </row>
    <row r="5014" spans="2:4" hidden="1" x14ac:dyDescent="0.3">
      <c r="B5014" t="s">
        <v>662</v>
      </c>
      <c r="C5014" t="str">
        <f>INDEX(nse!D:D,MATCH(B5014,nse!B:B,0))</f>
        <v>EQ</v>
      </c>
      <c r="D5014" t="str">
        <f>INDEX(nse!C:C,MATCH(B5014,nse!B:B,0))</f>
        <v>Kanoria Chemicals &amp; Industries Limited</v>
      </c>
    </row>
    <row r="5015" spans="2:4" hidden="1" x14ac:dyDescent="0.3">
      <c r="B5015" t="s">
        <v>72</v>
      </c>
      <c r="C5015" t="str">
        <f>INDEX(nse!D:D,MATCH(B5015,nse!B:B,0))</f>
        <v>EQ</v>
      </c>
      <c r="D5015" t="str">
        <f>INDEX(nse!C:C,MATCH(B5015,nse!B:B,0))</f>
        <v>Kansai Nerolac Paints Limited</v>
      </c>
    </row>
    <row r="5016" spans="2:4" hidden="1" x14ac:dyDescent="0.3">
      <c r="B5016" t="s">
        <v>663</v>
      </c>
      <c r="C5016" t="str">
        <f>INDEX(nse!D:D,MATCH(B5016,nse!B:B,0))</f>
        <v>EQ</v>
      </c>
      <c r="D5016" t="str">
        <f>INDEX(nse!C:C,MATCH(B5016,nse!B:B,0))</f>
        <v>Karma Energy Limited</v>
      </c>
    </row>
    <row r="5017" spans="2:4" hidden="1" x14ac:dyDescent="0.3">
      <c r="B5017" t="s">
        <v>74</v>
      </c>
      <c r="C5017" t="str">
        <f>INDEX(nse!D:D,MATCH(B5017,nse!B:B,0))</f>
        <v>EQ</v>
      </c>
      <c r="D5017" t="str">
        <f>INDEX(nse!C:C,MATCH(B5017,nse!B:B,0))</f>
        <v>Karur Vysya Bank Limited</v>
      </c>
    </row>
    <row r="5018" spans="2:4" hidden="1" x14ac:dyDescent="0.3">
      <c r="B5018" t="s">
        <v>664</v>
      </c>
      <c r="C5018" t="str">
        <f>INDEX(nse!D:D,MATCH(B5018,nse!B:B,0))</f>
        <v>EQ</v>
      </c>
      <c r="D5018" t="str">
        <f>INDEX(nse!C:C,MATCH(B5018,nse!B:B,0))</f>
        <v>Kaushalya Infrastructure Development Corporation Limited</v>
      </c>
    </row>
    <row r="5019" spans="2:4" hidden="1" x14ac:dyDescent="0.3">
      <c r="B5019" t="s">
        <v>665</v>
      </c>
      <c r="C5019" t="str">
        <f>INDEX(nse!D:D,MATCH(B5019,nse!B:B,0))</f>
        <v>EQ</v>
      </c>
      <c r="D5019" t="str">
        <f>INDEX(nse!C:C,MATCH(B5019,nse!B:B,0))</f>
        <v>Kavveri Telecom Products Limited</v>
      </c>
    </row>
    <row r="5020" spans="2:4" hidden="1" x14ac:dyDescent="0.3">
      <c r="B5020" t="s">
        <v>3620</v>
      </c>
      <c r="C5020" t="str">
        <f>INDEX(nse!D:D,MATCH(B5020,nse!B:B,0))</f>
        <v>EQ</v>
      </c>
      <c r="D5020" t="str">
        <f>INDEX(nse!C:C,MATCH(B5020,nse!B:B,0))</f>
        <v>Kaya Limited</v>
      </c>
    </row>
    <row r="5021" spans="2:4" hidden="1" x14ac:dyDescent="0.3">
      <c r="B5021" t="s">
        <v>666</v>
      </c>
      <c r="C5021" t="str">
        <f>INDEX(nse!D:D,MATCH(B5021,nse!B:B,0))</f>
        <v>EQ</v>
      </c>
      <c r="D5021" t="str">
        <f>INDEX(nse!C:C,MATCH(B5021,nse!B:B,0))</f>
        <v>KCP Limited</v>
      </c>
    </row>
    <row r="5022" spans="2:4" hidden="1" x14ac:dyDescent="0.3">
      <c r="B5022" t="s">
        <v>667</v>
      </c>
      <c r="C5022" t="str">
        <f>INDEX(nse!D:D,MATCH(B5022,nse!B:B,0))</f>
        <v>EQ</v>
      </c>
      <c r="D5022" t="str">
        <f>INDEX(nse!C:C,MATCH(B5022,nse!B:B,0))</f>
        <v>KCP Sugar and Industries Corporation Limited</v>
      </c>
    </row>
    <row r="5023" spans="2:4" hidden="1" x14ac:dyDescent="0.3">
      <c r="B5023" t="s">
        <v>3625</v>
      </c>
      <c r="C5023" t="str">
        <f>INDEX(nse!D:D,MATCH(B5023,nse!B:B,0))</f>
        <v>EQ</v>
      </c>
      <c r="D5023" t="str">
        <f>INDEX(nse!C:C,MATCH(B5023,nse!B:B,0))</f>
        <v>KDDL Limited</v>
      </c>
    </row>
    <row r="5024" spans="2:4" hidden="1" x14ac:dyDescent="0.3">
      <c r="B5024" t="s">
        <v>668</v>
      </c>
      <c r="C5024" t="str">
        <f>INDEX(nse!D:D,MATCH(B5024,nse!B:B,0))</f>
        <v>EQ</v>
      </c>
      <c r="D5024" t="str">
        <f>INDEX(nse!C:C,MATCH(B5024,nse!B:B,0))</f>
        <v>KEC International Limited</v>
      </c>
    </row>
    <row r="5025" spans="2:4" hidden="1" x14ac:dyDescent="0.3">
      <c r="B5025" t="s">
        <v>669</v>
      </c>
      <c r="C5025" t="str">
        <f>INDEX(nse!D:D,MATCH(B5025,nse!B:B,0))</f>
        <v>EQ</v>
      </c>
      <c r="D5025" t="str">
        <f>INDEX(nse!C:C,MATCH(B5025,nse!B:B,0))</f>
        <v>Kirloskar Electric Company Limited</v>
      </c>
    </row>
    <row r="5026" spans="2:4" hidden="1" x14ac:dyDescent="0.3">
      <c r="B5026" t="s">
        <v>670</v>
      </c>
      <c r="C5026" t="str">
        <f>INDEX(nse!D:D,MATCH(B5026,nse!B:B,0))</f>
        <v>EQ</v>
      </c>
      <c r="D5026" t="str">
        <f>INDEX(nse!C:C,MATCH(B5026,nse!B:B,0))</f>
        <v>KEI Industries Limited</v>
      </c>
    </row>
    <row r="5027" spans="2:4" hidden="1" x14ac:dyDescent="0.3">
      <c r="B5027" t="s">
        <v>3631</v>
      </c>
      <c r="C5027" t="str">
        <f>INDEX(nse!D:D,MATCH(B5027,nse!B:B,0))</f>
        <v>EQ</v>
      </c>
      <c r="D5027" t="str">
        <f>INDEX(nse!C:C,MATCH(B5027,nse!B:B,0))</f>
        <v>Kellton Tech Solutions Limited</v>
      </c>
    </row>
    <row r="5028" spans="2:4" hidden="1" x14ac:dyDescent="0.3">
      <c r="B5028" t="s">
        <v>671</v>
      </c>
      <c r="C5028" t="str">
        <f>INDEX(nse!D:D,MATCH(B5028,nse!B:B,0))</f>
        <v>BE</v>
      </c>
      <c r="D5028" t="str">
        <f>INDEX(nse!C:C,MATCH(B5028,nse!B:B,0))</f>
        <v>Kernex Microsystems (India) Limited</v>
      </c>
    </row>
    <row r="5029" spans="2:4" hidden="1" x14ac:dyDescent="0.3">
      <c r="B5029" t="s">
        <v>671</v>
      </c>
      <c r="C5029" t="str">
        <f>INDEX(nse!D:D,MATCH(B5029,nse!B:B,0))</f>
        <v>BE</v>
      </c>
      <c r="D5029" t="str">
        <f>INDEX(nse!C:C,MATCH(B5029,nse!B:B,0))</f>
        <v>Kernex Microsystems (India) Limited</v>
      </c>
    </row>
    <row r="5030" spans="2:4" hidden="1" x14ac:dyDescent="0.3">
      <c r="B5030" t="s">
        <v>672</v>
      </c>
      <c r="C5030" t="str">
        <f>INDEX(nse!D:D,MATCH(B5030,nse!B:B,0))</f>
        <v>EQ</v>
      </c>
      <c r="D5030" t="str">
        <f>INDEX(nse!C:C,MATCH(B5030,nse!B:B,0))</f>
        <v>Kesar Enterprises Limited</v>
      </c>
    </row>
    <row r="5031" spans="2:4" hidden="1" x14ac:dyDescent="0.3">
      <c r="B5031" t="s">
        <v>673</v>
      </c>
      <c r="C5031" t="str">
        <f>INDEX(nse!D:D,MATCH(B5031,nse!B:B,0))</f>
        <v>EQ</v>
      </c>
      <c r="D5031" t="str">
        <f>INDEX(nse!C:C,MATCH(B5031,nse!B:B,0))</f>
        <v>Kesoram Industries Limited</v>
      </c>
    </row>
    <row r="5032" spans="2:4" hidden="1" x14ac:dyDescent="0.3">
      <c r="B5032" t="s">
        <v>1314</v>
      </c>
      <c r="C5032" t="str">
        <f>INDEX(nse!D:D,MATCH(B5032,nse!B:B,0))</f>
        <v>EQ</v>
      </c>
      <c r="D5032" t="str">
        <f>INDEX(nse!C:C,MATCH(B5032,nse!B:B,0))</f>
        <v>Keynote Corporate Services Limited</v>
      </c>
    </row>
    <row r="5033" spans="2:4" hidden="1" x14ac:dyDescent="0.3">
      <c r="B5033" t="s">
        <v>674</v>
      </c>
      <c r="C5033" t="str">
        <f>INDEX(nse!D:D,MATCH(B5033,nse!B:B,0))</f>
        <v>EQ</v>
      </c>
      <c r="D5033" t="str">
        <f>INDEX(nse!C:C,MATCH(B5033,nse!B:B,0))</f>
        <v>Karuturi Global Limited</v>
      </c>
    </row>
    <row r="5034" spans="2:4" hidden="1" x14ac:dyDescent="0.3">
      <c r="B5034" t="s">
        <v>675</v>
      </c>
      <c r="C5034" t="str">
        <f>INDEX(nse!D:D,MATCH(B5034,nse!B:B,0))</f>
        <v>BE</v>
      </c>
      <c r="D5034" t="str">
        <f>INDEX(nse!C:C,MATCH(B5034,nse!B:B,0))</f>
        <v>Khaitan Electricals Limited</v>
      </c>
    </row>
    <row r="5035" spans="2:4" hidden="1" x14ac:dyDescent="0.3">
      <c r="B5035" t="s">
        <v>1315</v>
      </c>
      <c r="C5035" t="str">
        <f>INDEX(nse!D:D,MATCH(B5035,nse!B:B,0))</f>
        <v>BE</v>
      </c>
      <c r="D5035" t="str">
        <f>INDEX(nse!C:C,MATCH(B5035,nse!B:B,0))</f>
        <v>Khaitan (India) Limited</v>
      </c>
    </row>
    <row r="5036" spans="2:4" hidden="1" x14ac:dyDescent="0.3">
      <c r="B5036" t="s">
        <v>676</v>
      </c>
      <c r="C5036" t="str">
        <f>INDEX(nse!D:D,MATCH(B5036,nse!B:B,0))</f>
        <v>EQ</v>
      </c>
      <c r="D5036" t="str">
        <f>INDEX(nse!C:C,MATCH(B5036,nse!B:B,0))</f>
        <v>Khandwala Securities Limited</v>
      </c>
    </row>
    <row r="5037" spans="2:4" hidden="1" x14ac:dyDescent="0.3">
      <c r="B5037" t="s">
        <v>677</v>
      </c>
      <c r="C5037" t="str">
        <f>INDEX(nse!D:D,MATCH(B5037,nse!B:B,0))</f>
        <v>EQ</v>
      </c>
      <c r="D5037" t="str">
        <f>INDEX(nse!C:C,MATCH(B5037,nse!B:B,0))</f>
        <v>Kalyani Investment Company Limited</v>
      </c>
    </row>
    <row r="5038" spans="2:4" hidden="1" x14ac:dyDescent="0.3">
      <c r="B5038" t="s">
        <v>678</v>
      </c>
      <c r="C5038" t="str">
        <f>INDEX(nse!D:D,MATCH(B5038,nse!B:B,0))</f>
        <v>BE</v>
      </c>
      <c r="D5038" t="str">
        <f>INDEX(nse!C:C,MATCH(B5038,nse!B:B,0))</f>
        <v>Kilitch Drugs (India) Limited</v>
      </c>
    </row>
    <row r="5039" spans="2:4" hidden="1" x14ac:dyDescent="0.3">
      <c r="B5039" t="s">
        <v>3644</v>
      </c>
      <c r="C5039" t="str">
        <f>INDEX(nse!D:D,MATCH(B5039,nse!B:B,0))</f>
        <v>EQ</v>
      </c>
      <c r="D5039" t="str">
        <f>INDEX(nse!C:C,MATCH(B5039,nse!B:B,0))</f>
        <v>Kingfa Science &amp; Technology (India) Limited</v>
      </c>
    </row>
    <row r="5040" spans="2:4" hidden="1" x14ac:dyDescent="0.3">
      <c r="B5040" t="s">
        <v>3647</v>
      </c>
      <c r="C5040" t="str">
        <f>INDEX(nse!D:D,MATCH(B5040,nse!B:B,0))</f>
        <v>EQ</v>
      </c>
      <c r="D5040" t="str">
        <f>INDEX(nse!C:C,MATCH(B5040,nse!B:B,0))</f>
        <v>KIOCL Limited</v>
      </c>
    </row>
    <row r="5041" spans="2:4" hidden="1" x14ac:dyDescent="0.3">
      <c r="B5041" t="s">
        <v>679</v>
      </c>
      <c r="C5041" t="str">
        <f>INDEX(nse!D:D,MATCH(B5041,nse!B:B,0))</f>
        <v>EQ</v>
      </c>
      <c r="D5041" t="str">
        <f>INDEX(nse!C:C,MATCH(B5041,nse!B:B,0))</f>
        <v>Kiri Industries Limited</v>
      </c>
    </row>
    <row r="5042" spans="2:4" hidden="1" x14ac:dyDescent="0.3">
      <c r="B5042" t="s">
        <v>680</v>
      </c>
      <c r="C5042" t="str">
        <f>INDEX(nse!D:D,MATCH(B5042,nse!B:B,0))</f>
        <v>EQ</v>
      </c>
      <c r="D5042" t="str">
        <f>INDEX(nse!C:C,MATCH(B5042,nse!B:B,0))</f>
        <v>Kirloskar Brothers Limited</v>
      </c>
    </row>
    <row r="5043" spans="2:4" hidden="1" x14ac:dyDescent="0.3">
      <c r="B5043" t="s">
        <v>681</v>
      </c>
      <c r="C5043" t="str">
        <f>INDEX(nse!D:D,MATCH(B5043,nse!B:B,0))</f>
        <v>EQ</v>
      </c>
      <c r="D5043" t="str">
        <f>INDEX(nse!C:C,MATCH(B5043,nse!B:B,0))</f>
        <v>Kirloskar Oil Engines Limited</v>
      </c>
    </row>
    <row r="5044" spans="2:4" hidden="1" x14ac:dyDescent="0.3">
      <c r="B5044" t="s">
        <v>682</v>
      </c>
      <c r="C5044" t="str">
        <f>INDEX(nse!D:D,MATCH(B5044,nse!B:B,0))</f>
        <v>EQ</v>
      </c>
      <c r="D5044" t="str">
        <f>INDEX(nse!C:C,MATCH(B5044,nse!B:B,0))</f>
        <v>Kirloskar Industries Limited</v>
      </c>
    </row>
    <row r="5045" spans="2:4" hidden="1" x14ac:dyDescent="0.3">
      <c r="B5045" t="s">
        <v>683</v>
      </c>
      <c r="C5045" t="str">
        <f>INDEX(nse!D:D,MATCH(B5045,nse!B:B,0))</f>
        <v>EQ</v>
      </c>
      <c r="D5045" t="str">
        <f>INDEX(nse!C:C,MATCH(B5045,nse!B:B,0))</f>
        <v>Kitex Garments Limited</v>
      </c>
    </row>
    <row r="5046" spans="2:4" hidden="1" x14ac:dyDescent="0.3">
      <c r="B5046" t="s">
        <v>684</v>
      </c>
      <c r="C5046" t="str">
        <f>INDEX(nse!D:D,MATCH(B5046,nse!B:B,0))</f>
        <v>EQ</v>
      </c>
      <c r="D5046" t="str">
        <f>INDEX(nse!C:C,MATCH(B5046,nse!B:B,0))</f>
        <v>Kewal Kiran Clothing Limited</v>
      </c>
    </row>
    <row r="5047" spans="2:4" hidden="1" x14ac:dyDescent="0.3">
      <c r="B5047" t="s">
        <v>685</v>
      </c>
      <c r="C5047" t="str">
        <f>INDEX(nse!D:D,MATCH(B5047,nse!B:B,0))</f>
        <v>EQ</v>
      </c>
      <c r="D5047" t="str">
        <f>INDEX(nse!C:C,MATCH(B5047,nse!B:B,0))</f>
        <v>K.M.Sugar Mills Limited</v>
      </c>
    </row>
    <row r="5048" spans="2:4" hidden="1" x14ac:dyDescent="0.3">
      <c r="B5048" t="s">
        <v>686</v>
      </c>
      <c r="C5048" t="str">
        <f>INDEX(nse!D:D,MATCH(B5048,nse!B:B,0))</f>
        <v>EQ</v>
      </c>
      <c r="D5048" t="str">
        <f>INDEX(nse!C:C,MATCH(B5048,nse!B:B,0))</f>
        <v>KNR Constructions Limited</v>
      </c>
    </row>
    <row r="5049" spans="2:4" hidden="1" x14ac:dyDescent="0.3">
      <c r="B5049" t="s">
        <v>687</v>
      </c>
      <c r="C5049" t="str">
        <f>INDEX(nse!D:D,MATCH(B5049,nse!B:B,0))</f>
        <v>EQ</v>
      </c>
      <c r="D5049" t="str">
        <f>INDEX(nse!C:C,MATCH(B5049,nse!B:B,0))</f>
        <v>Kohinoor Foods Limited</v>
      </c>
    </row>
    <row r="5050" spans="2:4" hidden="1" x14ac:dyDescent="0.3">
      <c r="B5050" t="s">
        <v>688</v>
      </c>
      <c r="C5050" t="str">
        <f>INDEX(nse!D:D,MATCH(B5050,nse!B:B,0))</f>
        <v>EQ</v>
      </c>
      <c r="D5050" t="str">
        <f>INDEX(nse!C:C,MATCH(B5050,nse!B:B,0))</f>
        <v>Kokuyo Camlin Limited</v>
      </c>
    </row>
    <row r="5051" spans="2:4" hidden="1" x14ac:dyDescent="0.3">
      <c r="B5051" t="s">
        <v>689</v>
      </c>
      <c r="C5051" t="str">
        <f>INDEX(nse!D:D,MATCH(B5051,nse!B:B,0))</f>
        <v>EQ</v>
      </c>
      <c r="D5051" t="str">
        <f>INDEX(nse!C:C,MATCH(B5051,nse!B:B,0))</f>
        <v>Kolte - Patil Developers Limited</v>
      </c>
    </row>
    <row r="5052" spans="2:4" hidden="1" x14ac:dyDescent="0.3">
      <c r="B5052" t="s">
        <v>690</v>
      </c>
      <c r="C5052" t="str">
        <f>INDEX(nse!D:D,MATCH(B5052,nse!B:B,0))</f>
        <v>EQ</v>
      </c>
      <c r="D5052" t="str">
        <f>INDEX(nse!C:C,MATCH(B5052,nse!B:B,0))</f>
        <v>Kopran Limited</v>
      </c>
    </row>
    <row r="5053" spans="2:4" hidden="1" x14ac:dyDescent="0.3">
      <c r="B5053" t="s">
        <v>691</v>
      </c>
      <c r="C5053" t="str">
        <f>INDEX(nse!D:D,MATCH(B5053,nse!B:B,0))</f>
        <v>EQ</v>
      </c>
      <c r="D5053" t="str">
        <f>INDEX(nse!C:C,MATCH(B5053,nse!B:B,0))</f>
        <v>Kotak Mahindra Bank Limited</v>
      </c>
    </row>
    <row r="5054" spans="2:4" hidden="1" x14ac:dyDescent="0.3">
      <c r="B5054" t="s">
        <v>692</v>
      </c>
      <c r="C5054" t="str">
        <f>INDEX(nse!D:D,MATCH(B5054,nse!B:B,0))</f>
        <v>EQ</v>
      </c>
      <c r="D5054" t="str">
        <f>INDEX(nse!C:C,MATCH(B5054,nse!B:B,0))</f>
        <v>Kothari Sugars And Chemicals Limited</v>
      </c>
    </row>
    <row r="5055" spans="2:4" hidden="1" x14ac:dyDescent="0.3">
      <c r="B5055" t="s">
        <v>693</v>
      </c>
      <c r="C5055" t="str">
        <f>INDEX(nse!D:D,MATCH(B5055,nse!B:B,0))</f>
        <v>EQ</v>
      </c>
      <c r="D5055" t="str">
        <f>INDEX(nse!C:C,MATCH(B5055,nse!B:B,0))</f>
        <v>Kothari Petrochemicals Limited</v>
      </c>
    </row>
    <row r="5056" spans="2:4" hidden="1" x14ac:dyDescent="0.3">
      <c r="B5056" t="s">
        <v>694</v>
      </c>
      <c r="C5056" t="str">
        <f>INDEX(nse!D:D,MATCH(B5056,nse!B:B,0))</f>
        <v>EQ</v>
      </c>
      <c r="D5056" t="str">
        <f>INDEX(nse!C:C,MATCH(B5056,nse!B:B,0))</f>
        <v>Kothari Products Limited</v>
      </c>
    </row>
    <row r="5057" spans="2:4" hidden="1" x14ac:dyDescent="0.3">
      <c r="B5057" t="s">
        <v>22</v>
      </c>
      <c r="C5057" t="str">
        <f>INDEX(nse!D:D,MATCH(B5057,nse!B:B,0))</f>
        <v>EQ</v>
      </c>
      <c r="D5057" t="str">
        <f>INDEX(nse!C:C,MATCH(B5057,nse!B:B,0))</f>
        <v>KPIT Technologies Limited</v>
      </c>
    </row>
    <row r="5058" spans="2:4" hidden="1" x14ac:dyDescent="0.3">
      <c r="B5058" t="s">
        <v>695</v>
      </c>
      <c r="C5058" t="str">
        <f>INDEX(nse!D:D,MATCH(B5058,nse!B:B,0))</f>
        <v>EQ</v>
      </c>
      <c r="D5058" t="str">
        <f>INDEX(nse!C:C,MATCH(B5058,nse!B:B,0))</f>
        <v>K.P.R. Mill Limited</v>
      </c>
    </row>
    <row r="5059" spans="2:4" hidden="1" x14ac:dyDescent="0.3">
      <c r="B5059" t="s">
        <v>113</v>
      </c>
      <c r="C5059" t="str">
        <f>INDEX(nse!D:D,MATCH(B5059,nse!B:B,0))</f>
        <v>EQ</v>
      </c>
      <c r="D5059" t="str">
        <f>INDEX(nse!C:C,MATCH(B5059,nse!B:B,0))</f>
        <v>KRBL Limited</v>
      </c>
    </row>
    <row r="5060" spans="2:4" hidden="1" x14ac:dyDescent="0.3">
      <c r="B5060" t="s">
        <v>1316</v>
      </c>
      <c r="C5060" t="str">
        <f>INDEX(nse!D:D,MATCH(B5060,nse!B:B,0))</f>
        <v>BE</v>
      </c>
      <c r="D5060" t="str">
        <f>INDEX(nse!C:C,MATCH(B5060,nse!B:B,0))</f>
        <v>Krebs Biochemicals and Industries Limited</v>
      </c>
    </row>
    <row r="5061" spans="2:4" hidden="1" x14ac:dyDescent="0.3">
      <c r="B5061" t="s">
        <v>3672</v>
      </c>
      <c r="C5061" t="str">
        <f>INDEX(nse!D:D,MATCH(B5061,nse!B:B,0))</f>
        <v>BE</v>
      </c>
      <c r="D5061" t="str">
        <f>INDEX(nse!C:C,MATCH(B5061,nse!B:B,0))</f>
        <v>Kridhan Infra Limited</v>
      </c>
    </row>
    <row r="5062" spans="2:4" hidden="1" x14ac:dyDescent="0.3">
      <c r="B5062" t="s">
        <v>696</v>
      </c>
      <c r="C5062" t="str">
        <f>INDEX(nse!D:D,MATCH(B5062,nse!B:B,0))</f>
        <v>EQ</v>
      </c>
      <c r="D5062" t="str">
        <f>INDEX(nse!C:C,MATCH(B5062,nse!B:B,0))</f>
        <v>KSB Pumps Limited</v>
      </c>
    </row>
    <row r="5063" spans="2:4" hidden="1" x14ac:dyDescent="0.3">
      <c r="B5063" t="s">
        <v>697</v>
      </c>
      <c r="C5063" t="str">
        <f>INDEX(nse!D:D,MATCH(B5063,nse!B:B,0))</f>
        <v>EQ</v>
      </c>
      <c r="D5063" t="str">
        <f>INDEX(nse!C:C,MATCH(B5063,nse!B:B,0))</f>
        <v>Kaveri Seed Company Limited</v>
      </c>
    </row>
    <row r="5064" spans="2:4" hidden="1" x14ac:dyDescent="0.3">
      <c r="B5064" t="s">
        <v>698</v>
      </c>
      <c r="C5064" t="str">
        <f>INDEX(nse!D:D,MATCH(B5064,nse!B:B,0))</f>
        <v>BE</v>
      </c>
      <c r="D5064" t="str">
        <f>INDEX(nse!C:C,MATCH(B5064,nse!B:B,0))</f>
        <v>KSS Limited</v>
      </c>
    </row>
    <row r="5065" spans="2:4" hidden="1" x14ac:dyDescent="0.3">
      <c r="B5065" t="s">
        <v>699</v>
      </c>
      <c r="C5065" t="str">
        <f>INDEX(nse!D:D,MATCH(B5065,nse!B:B,0))</f>
        <v>BE</v>
      </c>
      <c r="D5065" t="str">
        <f>INDEX(nse!C:C,MATCH(B5065,nse!B:B,0))</f>
        <v>KSK Energy Ventures Limited</v>
      </c>
    </row>
    <row r="5066" spans="2:4" hidden="1" x14ac:dyDescent="0.3">
      <c r="B5066" t="s">
        <v>700</v>
      </c>
      <c r="C5066" t="str">
        <f>INDEX(nse!D:D,MATCH(B5066,nse!B:B,0))</f>
        <v>EQ</v>
      </c>
      <c r="D5066" t="str">
        <f>INDEX(nse!C:C,MATCH(B5066,nse!B:B,0))</f>
        <v>Kalyani Steels Limited</v>
      </c>
    </row>
    <row r="5067" spans="2:4" hidden="1" x14ac:dyDescent="0.3">
      <c r="B5067" t="s">
        <v>701</v>
      </c>
      <c r="C5067" t="str">
        <f>INDEX(nse!D:D,MATCH(B5067,nse!B:B,0))</f>
        <v>EQ</v>
      </c>
      <c r="D5067" t="str">
        <f>INDEX(nse!C:C,MATCH(B5067,nse!B:B,0))</f>
        <v>Kesar Terminals &amp; Infrastructure Limited</v>
      </c>
    </row>
    <row r="5068" spans="2:4" hidden="1" x14ac:dyDescent="0.3">
      <c r="B5068" t="s">
        <v>73</v>
      </c>
      <c r="C5068" t="str">
        <f>INDEX(nse!D:D,MATCH(B5068,nse!B:B,0))</f>
        <v>EQ</v>
      </c>
      <c r="D5068" t="str">
        <f>INDEX(nse!C:C,MATCH(B5068,nse!B:B,0))</f>
        <v>The Karnataka Bank Limited</v>
      </c>
    </row>
    <row r="5069" spans="2:4" hidden="1" x14ac:dyDescent="0.3">
      <c r="B5069" t="s">
        <v>702</v>
      </c>
      <c r="C5069" t="str">
        <f>INDEX(nse!D:D,MATCH(B5069,nse!B:B,0))</f>
        <v>EQ</v>
      </c>
      <c r="D5069" t="str">
        <f>INDEX(nse!C:C,MATCH(B5069,nse!B:B,0))</f>
        <v>kwality limited</v>
      </c>
    </row>
    <row r="5070" spans="2:4" hidden="1" x14ac:dyDescent="0.3">
      <c r="B5070" t="s">
        <v>75</v>
      </c>
      <c r="C5070" t="str">
        <f>INDEX(nse!D:D,MATCH(B5070,nse!B:B,0))</f>
        <v>EQ</v>
      </c>
      <c r="D5070" t="str">
        <f>INDEX(nse!C:C,MATCH(B5070,nse!B:B,0))</f>
        <v>L&amp;T Finance Holdings Limited</v>
      </c>
    </row>
    <row r="5071" spans="2:4" hidden="1" x14ac:dyDescent="0.3">
      <c r="B5071" t="s">
        <v>703</v>
      </c>
      <c r="C5071" t="str">
        <f>INDEX(nse!D:D,MATCH(B5071,nse!B:B,0))</f>
        <v>EQ</v>
      </c>
      <c r="D5071" t="str">
        <f>INDEX(nse!C:C,MATCH(B5071,nse!B:B,0))</f>
        <v>Lakshmi Precision Screws Limited</v>
      </c>
    </row>
    <row r="5072" spans="2:4" hidden="1" x14ac:dyDescent="0.3">
      <c r="B5072" t="s">
        <v>704</v>
      </c>
      <c r="C5072" t="str">
        <f>INDEX(nse!D:D,MATCH(B5072,nse!B:B,0))</f>
        <v>EQ</v>
      </c>
      <c r="D5072" t="str">
        <f>INDEX(nse!C:C,MATCH(B5072,nse!B:B,0))</f>
        <v>Lakshmi Energy and Foods Limited</v>
      </c>
    </row>
    <row r="5073" spans="2:4" hidden="1" x14ac:dyDescent="0.3">
      <c r="B5073" t="s">
        <v>705</v>
      </c>
      <c r="C5073" t="str">
        <f>INDEX(nse!D:D,MATCH(B5073,nse!B:B,0))</f>
        <v>EQ</v>
      </c>
      <c r="D5073" t="str">
        <f>INDEX(nse!C:C,MATCH(B5073,nse!B:B,0))</f>
        <v>Lakshmi Vilas Bank Limited</v>
      </c>
    </row>
    <row r="5074" spans="2:4" hidden="1" x14ac:dyDescent="0.3">
      <c r="B5074" t="s">
        <v>3687</v>
      </c>
      <c r="C5074" t="str">
        <f>INDEX(nse!D:D,MATCH(B5074,nse!B:B,0))</f>
        <v>EQ</v>
      </c>
      <c r="D5074" t="str">
        <f>INDEX(nse!C:C,MATCH(B5074,nse!B:B,0))</f>
        <v>Dr. Lal Path Labs Ltd.</v>
      </c>
    </row>
    <row r="5075" spans="2:4" hidden="1" x14ac:dyDescent="0.3">
      <c r="B5075" t="s">
        <v>3690</v>
      </c>
      <c r="C5075" t="str">
        <f>INDEX(nse!D:D,MATCH(B5075,nse!B:B,0))</f>
        <v>EQ</v>
      </c>
      <c r="D5075" t="str">
        <f>INDEX(nse!C:C,MATCH(B5075,nse!B:B,0))</f>
        <v>Lambodhara Textiles Limited</v>
      </c>
    </row>
    <row r="5076" spans="2:4" hidden="1" x14ac:dyDescent="0.3">
      <c r="B5076" t="s">
        <v>706</v>
      </c>
      <c r="C5076" t="str">
        <f>INDEX(nse!D:D,MATCH(B5076,nse!B:B,0))</f>
        <v>EQ</v>
      </c>
      <c r="D5076" t="str">
        <f>INDEX(nse!C:C,MATCH(B5076,nse!B:B,0))</f>
        <v>La Opala RG Limited</v>
      </c>
    </row>
    <row r="5077" spans="2:4" hidden="1" x14ac:dyDescent="0.3">
      <c r="B5077" t="s">
        <v>3694</v>
      </c>
      <c r="C5077" t="str">
        <f>INDEX(nse!D:D,MATCH(B5077,nse!B:B,0))</f>
        <v>EQ</v>
      </c>
      <c r="D5077" t="str">
        <f>INDEX(nse!C:C,MATCH(B5077,nse!B:B,0))</f>
        <v>Laurus Labs Limited</v>
      </c>
    </row>
    <row r="5078" spans="2:4" hidden="1" x14ac:dyDescent="0.3">
      <c r="B5078" t="s">
        <v>707</v>
      </c>
      <c r="C5078" t="str">
        <f>INDEX(nse!D:D,MATCH(B5078,nse!B:B,0))</f>
        <v>EQ</v>
      </c>
      <c r="D5078" t="str">
        <f>INDEX(nse!C:C,MATCH(B5078,nse!B:B,0))</f>
        <v>Lakshmi Machine Works Limited</v>
      </c>
    </row>
    <row r="5079" spans="2:4" hidden="1" x14ac:dyDescent="0.3">
      <c r="B5079" t="s">
        <v>1317</v>
      </c>
      <c r="C5079" t="str">
        <f>INDEX(nse!D:D,MATCH(B5079,nse!B:B,0))</f>
        <v>BE</v>
      </c>
      <c r="D5079" t="str">
        <f>INDEX(nse!C:C,MATCH(B5079,nse!B:B,0))</f>
        <v>LCC Infotech Limited</v>
      </c>
    </row>
    <row r="5080" spans="2:4" hidden="1" x14ac:dyDescent="0.3">
      <c r="B5080" t="s">
        <v>3699</v>
      </c>
      <c r="C5080" t="str">
        <f>INDEX(nse!D:D,MATCH(B5080,nse!B:B,0))</f>
        <v>BE</v>
      </c>
      <c r="D5080" t="str">
        <f>INDEX(nse!C:C,MATCH(B5080,nse!B:B,0))</f>
        <v>Lakshmi Finance &amp; Industrial Corporation Limited</v>
      </c>
    </row>
    <row r="5081" spans="2:4" hidden="1" x14ac:dyDescent="0.3">
      <c r="B5081" t="s">
        <v>708</v>
      </c>
      <c r="C5081" t="str">
        <f>INDEX(nse!D:D,MATCH(B5081,nse!B:B,0))</f>
        <v>EQ</v>
      </c>
      <c r="D5081" t="str">
        <f>INDEX(nse!C:C,MATCH(B5081,nse!B:B,0))</f>
        <v>LG Balakrishnan &amp; Bros Limited</v>
      </c>
    </row>
    <row r="5082" spans="2:4" hidden="1" x14ac:dyDescent="0.3">
      <c r="B5082" t="s">
        <v>709</v>
      </c>
      <c r="C5082" t="str">
        <f>INDEX(nse!D:D,MATCH(B5082,nse!B:B,0))</f>
        <v>BE</v>
      </c>
      <c r="D5082" t="str">
        <f>INDEX(nse!C:C,MATCH(B5082,nse!B:B,0))</f>
        <v>LGB Forge Limited</v>
      </c>
    </row>
    <row r="5083" spans="2:4" hidden="1" x14ac:dyDescent="0.3">
      <c r="B5083" t="s">
        <v>710</v>
      </c>
      <c r="C5083" t="str">
        <f>INDEX(nse!D:D,MATCH(B5083,nse!B:B,0))</f>
        <v>EQ</v>
      </c>
      <c r="D5083" t="str">
        <f>INDEX(nse!C:C,MATCH(B5083,nse!B:B,0))</f>
        <v>Liberty Shoes Limited</v>
      </c>
    </row>
    <row r="5084" spans="2:4" hidden="1" x14ac:dyDescent="0.3">
      <c r="B5084" t="s">
        <v>711</v>
      </c>
      <c r="C5084" t="str">
        <f>INDEX(nse!D:D,MATCH(B5084,nse!B:B,0))</f>
        <v>EQ</v>
      </c>
      <c r="D5084" t="str">
        <f>INDEX(nse!C:C,MATCH(B5084,nse!B:B,0))</f>
        <v>LIC Housing Finance Limited</v>
      </c>
    </row>
    <row r="5085" spans="2:4" hidden="1" x14ac:dyDescent="0.3">
      <c r="B5085" t="s">
        <v>3706</v>
      </c>
      <c r="C5085" t="str">
        <f>INDEX(nse!D:D,MATCH(B5085,nse!B:B,0))</f>
        <v>EQ</v>
      </c>
      <c r="D5085" t="str">
        <f>INDEX(nse!C:C,MATCH(B5085,nse!B:B,0))</f>
        <v>Lincoln Pharmaceuticals Limited</v>
      </c>
    </row>
    <row r="5086" spans="2:4" hidden="1" x14ac:dyDescent="0.3">
      <c r="B5086" t="s">
        <v>3709</v>
      </c>
      <c r="C5086" t="str">
        <f>INDEX(nse!D:D,MATCH(B5086,nse!B:B,0))</f>
        <v>EQ</v>
      </c>
      <c r="D5086" t="str">
        <f>INDEX(nse!C:C,MATCH(B5086,nse!B:B,0))</f>
        <v>Linc Pen &amp; Plastics Limited</v>
      </c>
    </row>
    <row r="5087" spans="2:4" hidden="1" x14ac:dyDescent="0.3">
      <c r="B5087" t="s">
        <v>712</v>
      </c>
      <c r="C5087" t="str">
        <f>INDEX(nse!D:D,MATCH(B5087,nse!B:B,0))</f>
        <v>EQ</v>
      </c>
      <c r="D5087" t="str">
        <f>INDEX(nse!C:C,MATCH(B5087,nse!B:B,0))</f>
        <v>Linde India Limited</v>
      </c>
    </row>
    <row r="5088" spans="2:4" hidden="1" x14ac:dyDescent="0.3">
      <c r="B5088" t="s">
        <v>713</v>
      </c>
      <c r="C5088" t="str">
        <f>INDEX(nse!D:D,MATCH(B5088,nse!B:B,0))</f>
        <v>EQ</v>
      </c>
      <c r="D5088" t="str">
        <f>INDEX(nse!C:C,MATCH(B5088,nse!B:B,0))</f>
        <v>Lanco Infratech Limited</v>
      </c>
    </row>
    <row r="5089" spans="2:4" hidden="1" x14ac:dyDescent="0.3">
      <c r="B5089" t="s">
        <v>714</v>
      </c>
      <c r="C5089" t="str">
        <f>INDEX(nse!D:D,MATCH(B5089,nse!B:B,0))</f>
        <v>EQ</v>
      </c>
      <c r="D5089" t="str">
        <f>INDEX(nse!C:C,MATCH(B5089,nse!B:B,0))</f>
        <v>Lloyd Electric &amp; Engineering Limited</v>
      </c>
    </row>
    <row r="5090" spans="2:4" hidden="1" x14ac:dyDescent="0.3">
      <c r="B5090" t="s">
        <v>715</v>
      </c>
      <c r="C5090" t="str">
        <f>INDEX(nse!D:D,MATCH(B5090,nse!B:B,0))</f>
        <v>EQ</v>
      </c>
      <c r="D5090" t="str">
        <f>INDEX(nse!C:C,MATCH(B5090,nse!B:B,0))</f>
        <v>LML Limited</v>
      </c>
    </row>
    <row r="5091" spans="2:4" hidden="1" x14ac:dyDescent="0.3">
      <c r="B5091" t="s">
        <v>716</v>
      </c>
      <c r="C5091" t="str">
        <f>INDEX(nse!D:D,MATCH(B5091,nse!B:B,0))</f>
        <v>EQ</v>
      </c>
      <c r="D5091" t="str">
        <f>INDEX(nse!C:C,MATCH(B5091,nse!B:B,0))</f>
        <v>Lokesh Machines Limited</v>
      </c>
    </row>
    <row r="5092" spans="2:4" hidden="1" x14ac:dyDescent="0.3">
      <c r="B5092" t="s">
        <v>717</v>
      </c>
      <c r="C5092" t="str">
        <f>INDEX(nse!D:D,MATCH(B5092,nse!B:B,0))</f>
        <v>EQ</v>
      </c>
      <c r="D5092" t="str">
        <f>INDEX(nse!C:C,MATCH(B5092,nse!B:B,0))</f>
        <v>Lotus Eye Care Hospital Limited</v>
      </c>
    </row>
    <row r="5093" spans="2:4" hidden="1" x14ac:dyDescent="0.3">
      <c r="B5093" t="s">
        <v>718</v>
      </c>
      <c r="C5093" t="str">
        <f>INDEX(nse!D:D,MATCH(B5093,nse!B:B,0))</f>
        <v>EQ</v>
      </c>
      <c r="D5093" t="str">
        <f>INDEX(nse!C:C,MATCH(B5093,nse!B:B,0))</f>
        <v>Lovable Lingerie Limited</v>
      </c>
    </row>
    <row r="5094" spans="2:4" hidden="1" x14ac:dyDescent="0.3">
      <c r="B5094" t="s">
        <v>719</v>
      </c>
      <c r="C5094" t="str">
        <f>INDEX(nse!D:D,MATCH(B5094,nse!B:B,0))</f>
        <v>EQ</v>
      </c>
      <c r="D5094" t="str">
        <f>INDEX(nse!C:C,MATCH(B5094,nse!B:B,0))</f>
        <v>Landmark Property Development Company Limited</v>
      </c>
    </row>
    <row r="5095" spans="2:4" hidden="1" x14ac:dyDescent="0.3">
      <c r="B5095" t="s">
        <v>3720</v>
      </c>
      <c r="C5095" t="str">
        <f>INDEX(nse!D:D,MATCH(B5095,nse!B:B,0))</f>
        <v>EQ</v>
      </c>
      <c r="D5095" t="str">
        <f>INDEX(nse!C:C,MATCH(B5095,nse!B:B,0))</f>
        <v>Lloyds Steels Industries Limited</v>
      </c>
    </row>
    <row r="5096" spans="2:4" hidden="1" x14ac:dyDescent="0.3">
      <c r="B5096" t="s">
        <v>127</v>
      </c>
      <c r="C5096" t="str">
        <f>INDEX(nse!D:D,MATCH(B5096,nse!B:B,0))</f>
        <v>EQ</v>
      </c>
      <c r="D5096" t="str">
        <f>INDEX(nse!C:C,MATCH(B5096,nse!B:B,0))</f>
        <v>Larsen &amp; Toubro Limited</v>
      </c>
    </row>
    <row r="5097" spans="2:4" hidden="1" x14ac:dyDescent="0.3">
      <c r="B5097" t="s">
        <v>3724</v>
      </c>
      <c r="C5097" t="str">
        <f>INDEX(nse!D:D,MATCH(B5097,nse!B:B,0))</f>
        <v>EQ</v>
      </c>
      <c r="D5097" t="str">
        <f>INDEX(nse!C:C,MATCH(B5097,nse!B:B,0))</f>
        <v>Larsen &amp; Toubro Infotech Limited</v>
      </c>
    </row>
    <row r="5098" spans="2:4" hidden="1" x14ac:dyDescent="0.3">
      <c r="B5098" t="s">
        <v>3727</v>
      </c>
      <c r="C5098" t="str">
        <f>INDEX(nse!D:D,MATCH(B5098,nse!B:B,0))</f>
        <v>EQ</v>
      </c>
      <c r="D5098" t="str">
        <f>INDEX(nse!C:C,MATCH(B5098,nse!B:B,0))</f>
        <v>L&amp;T Technology Services Limited</v>
      </c>
    </row>
    <row r="5099" spans="2:4" hidden="1" x14ac:dyDescent="0.3">
      <c r="B5099" t="s">
        <v>720</v>
      </c>
      <c r="C5099" t="str">
        <f>INDEX(nse!D:D,MATCH(B5099,nse!B:B,0))</f>
        <v>EQ</v>
      </c>
      <c r="D5099" t="str">
        <f>INDEX(nse!C:C,MATCH(B5099,nse!B:B,0))</f>
        <v>Lumax Industries Limited</v>
      </c>
    </row>
    <row r="5100" spans="2:4" hidden="1" x14ac:dyDescent="0.3">
      <c r="B5100" t="s">
        <v>721</v>
      </c>
      <c r="C5100" t="str">
        <f>INDEX(nse!D:D,MATCH(B5100,nse!B:B,0))</f>
        <v>EQ</v>
      </c>
      <c r="D5100" t="str">
        <f>INDEX(nse!C:C,MATCH(B5100,nse!B:B,0))</f>
        <v>Lumax Auto Technologies Limited</v>
      </c>
    </row>
    <row r="5101" spans="2:4" hidden="1" x14ac:dyDescent="0.3">
      <c r="B5101" t="s">
        <v>722</v>
      </c>
      <c r="C5101" t="str">
        <f>INDEX(nse!D:D,MATCH(B5101,nse!B:B,0))</f>
        <v>EQ</v>
      </c>
      <c r="D5101" t="str">
        <f>INDEX(nse!C:C,MATCH(B5101,nse!B:B,0))</f>
        <v>Lupin Limited</v>
      </c>
    </row>
    <row r="5102" spans="2:4" hidden="1" x14ac:dyDescent="0.3">
      <c r="B5102" t="s">
        <v>3733</v>
      </c>
      <c r="C5102" t="str">
        <f>INDEX(nse!D:D,MATCH(B5102,nse!B:B,0))</f>
        <v>EQ</v>
      </c>
      <c r="D5102" t="str">
        <f>INDEX(nse!C:C,MATCH(B5102,nse!B:B,0))</f>
        <v>Lux Industries Limited</v>
      </c>
    </row>
    <row r="5103" spans="2:4" hidden="1" x14ac:dyDescent="0.3">
      <c r="B5103" t="s">
        <v>3736</v>
      </c>
      <c r="C5103" t="str">
        <f>INDEX(nse!D:D,MATCH(B5103,nse!B:B,0))</f>
        <v>BE</v>
      </c>
      <c r="D5103" t="str">
        <f>INDEX(nse!C:C,MATCH(B5103,nse!B:B,0))</f>
        <v>Lycos Internet Limited</v>
      </c>
    </row>
    <row r="5104" spans="2:4" hidden="1" x14ac:dyDescent="0.3">
      <c r="B5104" t="s">
        <v>723</v>
      </c>
      <c r="C5104" t="str">
        <f>INDEX(nse!D:D,MATCH(B5104,nse!B:B,0))</f>
        <v>EQ</v>
      </c>
      <c r="D5104" t="str">
        <f>INDEX(nse!C:C,MATCH(B5104,nse!B:B,0))</f>
        <v>Lyka Labs Limited</v>
      </c>
    </row>
    <row r="5105" spans="2:4" hidden="1" x14ac:dyDescent="0.3">
      <c r="B5105" t="s">
        <v>724</v>
      </c>
      <c r="C5105" t="str">
        <f>INDEX(nse!D:D,MATCH(B5105,nse!B:B,0))</f>
        <v>EQ</v>
      </c>
      <c r="D5105" t="str">
        <f>INDEX(nse!C:C,MATCH(B5105,nse!B:B,0))</f>
        <v>Lypsa Gems &amp; Jewellery Limited</v>
      </c>
    </row>
    <row r="5106" spans="2:4" hidden="1" x14ac:dyDescent="0.3">
      <c r="B5106" t="s">
        <v>725</v>
      </c>
      <c r="C5106" t="str">
        <f>INDEX(nse!D:D,MATCH(B5106,nse!B:B,0))</f>
        <v>EQ</v>
      </c>
      <c r="D5106" t="str">
        <f>INDEX(nse!C:C,MATCH(B5106,nse!B:B,0))</f>
        <v>Mahindra &amp; Mahindra Limited</v>
      </c>
    </row>
    <row r="5107" spans="2:4" hidden="1" x14ac:dyDescent="0.3">
      <c r="B5107" t="s">
        <v>76</v>
      </c>
      <c r="C5107" t="str">
        <f>INDEX(nse!D:D,MATCH(B5107,nse!B:B,0))</f>
        <v>EQ</v>
      </c>
      <c r="D5107" t="str">
        <f>INDEX(nse!C:C,MATCH(B5107,nse!B:B,0))</f>
        <v>Mahindra &amp; Mahindra Financial Services Limited</v>
      </c>
    </row>
    <row r="5108" spans="2:4" hidden="1" x14ac:dyDescent="0.3">
      <c r="B5108" t="s">
        <v>726</v>
      </c>
      <c r="C5108" t="str">
        <f>INDEX(nse!D:D,MATCH(B5108,nse!B:B,0))</f>
        <v>EQ</v>
      </c>
      <c r="D5108" t="str">
        <f>INDEX(nse!C:C,MATCH(B5108,nse!B:B,0))</f>
        <v>Maan Aluminium Limited</v>
      </c>
    </row>
    <row r="5109" spans="2:4" hidden="1" x14ac:dyDescent="0.3">
      <c r="B5109" t="s">
        <v>727</v>
      </c>
      <c r="C5109" t="str">
        <f>INDEX(nse!D:D,MATCH(B5109,nse!B:B,0))</f>
        <v>EQ</v>
      </c>
      <c r="D5109" t="str">
        <f>INDEX(nse!C:C,MATCH(B5109,nse!B:B,0))</f>
        <v>Madhav Marbles and Granites Limited</v>
      </c>
    </row>
    <row r="5110" spans="2:4" hidden="1" x14ac:dyDescent="0.3">
      <c r="B5110" t="s">
        <v>728</v>
      </c>
      <c r="C5110" t="str">
        <f>INDEX(nse!D:D,MATCH(B5110,nse!B:B,0))</f>
        <v>EQ</v>
      </c>
      <c r="D5110" t="str">
        <f>INDEX(nse!C:C,MATCH(B5110,nse!B:B,0))</f>
        <v>Madhucon Projects Limited</v>
      </c>
    </row>
    <row r="5111" spans="2:4" hidden="1" x14ac:dyDescent="0.3">
      <c r="B5111" t="s">
        <v>729</v>
      </c>
      <c r="C5111" t="str">
        <f>INDEX(nse!D:D,MATCH(B5111,nse!B:B,0))</f>
        <v>BE</v>
      </c>
      <c r="D5111" t="str">
        <f>INDEX(nse!C:C,MATCH(B5111,nse!B:B,0))</f>
        <v>Madras Fertilizers Limited</v>
      </c>
    </row>
    <row r="5112" spans="2:4" hidden="1" x14ac:dyDescent="0.3">
      <c r="B5112" t="s">
        <v>730</v>
      </c>
      <c r="C5112" t="str">
        <f>INDEX(nse!D:D,MATCH(B5112,nse!B:B,0))</f>
        <v>EQ</v>
      </c>
      <c r="D5112" t="str">
        <f>INDEX(nse!C:C,MATCH(B5112,nse!B:B,0))</f>
        <v>Magma Fincorp Limited</v>
      </c>
    </row>
    <row r="5113" spans="2:4" hidden="1" x14ac:dyDescent="0.3">
      <c r="B5113" t="s">
        <v>731</v>
      </c>
      <c r="C5113" t="str">
        <f>INDEX(nse!D:D,MATCH(B5113,nse!B:B,0))</f>
        <v>EQ</v>
      </c>
      <c r="D5113" t="str">
        <f>INDEX(nse!C:C,MATCH(B5113,nse!B:B,0))</f>
        <v>Magnum Ventures Limited</v>
      </c>
    </row>
    <row r="5114" spans="2:4" hidden="1" x14ac:dyDescent="0.3">
      <c r="B5114" t="s">
        <v>732</v>
      </c>
      <c r="C5114" t="str">
        <f>INDEX(nse!D:D,MATCH(B5114,nse!B:B,0))</f>
        <v>EQ</v>
      </c>
      <c r="D5114" t="str">
        <f>INDEX(nse!C:C,MATCH(B5114,nse!B:B,0))</f>
        <v>Bank of Maharashtra</v>
      </c>
    </row>
    <row r="5115" spans="2:4" hidden="1" x14ac:dyDescent="0.3">
      <c r="B5115" t="s">
        <v>3750</v>
      </c>
      <c r="C5115" t="str">
        <f>INDEX(nse!D:D,MATCH(B5115,nse!B:B,0))</f>
        <v>EQ</v>
      </c>
      <c r="D5115" t="str">
        <f>INDEX(nse!C:C,MATCH(B5115,nse!B:B,0))</f>
        <v>Mahamaya Steel Industries Limited</v>
      </c>
    </row>
    <row r="5116" spans="2:4" hidden="1" x14ac:dyDescent="0.3">
      <c r="B5116" t="s">
        <v>733</v>
      </c>
      <c r="C5116" t="str">
        <f>INDEX(nse!D:D,MATCH(B5116,nse!B:B,0))</f>
        <v>EQ</v>
      </c>
      <c r="D5116" t="str">
        <f>INDEX(nse!C:C,MATCH(B5116,nse!B:B,0))</f>
        <v>Mahindra CIE Automotive Limited</v>
      </c>
    </row>
    <row r="5117" spans="2:4" hidden="1" x14ac:dyDescent="0.3">
      <c r="B5117" t="s">
        <v>734</v>
      </c>
      <c r="C5117" t="str">
        <f>INDEX(nse!D:D,MATCH(B5117,nse!B:B,0))</f>
        <v>EQ</v>
      </c>
      <c r="D5117" t="str">
        <f>INDEX(nse!C:C,MATCH(B5117,nse!B:B,0))</f>
        <v>Mahindra Lifespace Developers Limited</v>
      </c>
    </row>
    <row r="5118" spans="2:4" hidden="1" x14ac:dyDescent="0.3">
      <c r="B5118" t="s">
        <v>735</v>
      </c>
      <c r="C5118" t="str">
        <f>INDEX(nse!D:D,MATCH(B5118,nse!B:B,0))</f>
        <v>EQ</v>
      </c>
      <c r="D5118" t="str">
        <f>INDEX(nse!C:C,MATCH(B5118,nse!B:B,0))</f>
        <v>Maharashtra Scooters Limited</v>
      </c>
    </row>
    <row r="5119" spans="2:4" hidden="1" x14ac:dyDescent="0.3">
      <c r="B5119" t="s">
        <v>736</v>
      </c>
      <c r="C5119" t="str">
        <f>INDEX(nse!D:D,MATCH(B5119,nse!B:B,0))</f>
        <v>EQ</v>
      </c>
      <c r="D5119" t="str">
        <f>INDEX(nse!C:C,MATCH(B5119,nse!B:B,0))</f>
        <v>Maharashtra Seamless Limited</v>
      </c>
    </row>
    <row r="5120" spans="2:4" hidden="1" x14ac:dyDescent="0.3">
      <c r="B5120" t="s">
        <v>737</v>
      </c>
      <c r="C5120" t="str">
        <f>INDEX(nse!D:D,MATCH(B5120,nse!B:B,0))</f>
        <v>EQ</v>
      </c>
      <c r="D5120" t="str">
        <f>INDEX(nse!C:C,MATCH(B5120,nse!B:B,0))</f>
        <v>Maithan Alloys Limited</v>
      </c>
    </row>
    <row r="5121" spans="2:4" hidden="1" x14ac:dyDescent="0.3">
      <c r="B5121" t="s">
        <v>3758</v>
      </c>
      <c r="C5121" t="str">
        <f>INDEX(nse!D:D,MATCH(B5121,nse!B:B,0))</f>
        <v>EQ</v>
      </c>
      <c r="D5121" t="str">
        <f>INDEX(nse!C:C,MATCH(B5121,nse!B:B,0))</f>
        <v>Majesco Limited</v>
      </c>
    </row>
    <row r="5122" spans="2:4" hidden="1" x14ac:dyDescent="0.3">
      <c r="B5122" t="s">
        <v>738</v>
      </c>
      <c r="C5122" t="str">
        <f>INDEX(nse!D:D,MATCH(B5122,nse!B:B,0))</f>
        <v>EQ</v>
      </c>
      <c r="D5122" t="str">
        <f>INDEX(nse!C:C,MATCH(B5122,nse!B:B,0))</f>
        <v>Malu Paper Mills Limited</v>
      </c>
    </row>
    <row r="5123" spans="2:4" hidden="1" x14ac:dyDescent="0.3">
      <c r="B5123" t="s">
        <v>739</v>
      </c>
      <c r="C5123" t="str">
        <f>INDEX(nse!D:D,MATCH(B5123,nse!B:B,0))</f>
        <v>BE</v>
      </c>
      <c r="D5123" t="str">
        <f>INDEX(nse!C:C,MATCH(B5123,nse!B:B,0))</f>
        <v>Malwa Cotton Spg. Mills Limited</v>
      </c>
    </row>
    <row r="5124" spans="2:4" hidden="1" x14ac:dyDescent="0.3">
      <c r="B5124" t="s">
        <v>3763</v>
      </c>
      <c r="C5124" t="str">
        <f>INDEX(nse!D:D,MATCH(B5124,nse!B:B,0))</f>
        <v>BE</v>
      </c>
      <c r="D5124" t="str">
        <f>INDEX(nse!C:C,MATCH(B5124,nse!B:B,0))</f>
        <v>Manaksia Aluminium Company Limited</v>
      </c>
    </row>
    <row r="5125" spans="2:4" hidden="1" x14ac:dyDescent="0.3">
      <c r="B5125" t="s">
        <v>3766</v>
      </c>
      <c r="C5125" t="str">
        <f>INDEX(nse!D:D,MATCH(B5125,nse!B:B,0))</f>
        <v>EQ</v>
      </c>
      <c r="D5125" t="str">
        <f>INDEX(nse!C:C,MATCH(B5125,nse!B:B,0))</f>
        <v>Manaksia Coated Metals &amp; Industries Limited</v>
      </c>
    </row>
    <row r="5126" spans="2:4" hidden="1" x14ac:dyDescent="0.3">
      <c r="B5126" t="s">
        <v>3769</v>
      </c>
      <c r="C5126" t="str">
        <f>INDEX(nse!D:D,MATCH(B5126,nse!B:B,0))</f>
        <v>BE</v>
      </c>
      <c r="D5126" t="str">
        <f>INDEX(nse!C:C,MATCH(B5126,nse!B:B,0))</f>
        <v>Manaksia Industries Limited</v>
      </c>
    </row>
    <row r="5127" spans="2:4" hidden="1" x14ac:dyDescent="0.3">
      <c r="B5127" t="s">
        <v>740</v>
      </c>
      <c r="C5127" t="str">
        <f>INDEX(nse!D:D,MATCH(B5127,nse!B:B,0))</f>
        <v>EQ</v>
      </c>
      <c r="D5127" t="str">
        <f>INDEX(nse!C:C,MATCH(B5127,nse!B:B,0))</f>
        <v>Manaksia Limited</v>
      </c>
    </row>
    <row r="5128" spans="2:4" hidden="1" x14ac:dyDescent="0.3">
      <c r="B5128" t="s">
        <v>3773</v>
      </c>
      <c r="C5128" t="str">
        <f>INDEX(nse!D:D,MATCH(B5128,nse!B:B,0))</f>
        <v>EQ</v>
      </c>
      <c r="D5128" t="str">
        <f>INDEX(nse!C:C,MATCH(B5128,nse!B:B,0))</f>
        <v>Manaksia Steels Limited</v>
      </c>
    </row>
    <row r="5129" spans="2:4" hidden="1" x14ac:dyDescent="0.3">
      <c r="B5129" t="s">
        <v>741</v>
      </c>
      <c r="C5129" t="str">
        <f>INDEX(nse!D:D,MATCH(B5129,nse!B:B,0))</f>
        <v>EQ</v>
      </c>
      <c r="D5129" t="str">
        <f>INDEX(nse!C:C,MATCH(B5129,nse!B:B,0))</f>
        <v>Manali Petrochemicals Limited</v>
      </c>
    </row>
    <row r="5130" spans="2:4" hidden="1" x14ac:dyDescent="0.3">
      <c r="B5130" t="s">
        <v>3777</v>
      </c>
      <c r="C5130" t="str">
        <f>INDEX(nse!D:D,MATCH(B5130,nse!B:B,0))</f>
        <v>EQ</v>
      </c>
      <c r="D5130" t="str">
        <f>INDEX(nse!C:C,MATCH(B5130,nse!B:B,0))</f>
        <v>Manappuram Finance Limited</v>
      </c>
    </row>
    <row r="5131" spans="2:4" hidden="1" x14ac:dyDescent="0.3">
      <c r="B5131" t="s">
        <v>742</v>
      </c>
      <c r="C5131" t="str">
        <f>INDEX(nse!D:D,MATCH(B5131,nse!B:B,0))</f>
        <v>EQ</v>
      </c>
      <c r="D5131" t="str">
        <f>INDEX(nse!C:C,MATCH(B5131,nse!B:B,0))</f>
        <v>Mandhana Industries Limited</v>
      </c>
    </row>
    <row r="5132" spans="2:4" hidden="1" x14ac:dyDescent="0.3">
      <c r="B5132" t="s">
        <v>743</v>
      </c>
      <c r="C5132" t="str">
        <f>INDEX(nse!D:D,MATCH(B5132,nse!B:B,0))</f>
        <v>EQ</v>
      </c>
      <c r="D5132" t="str">
        <f>INDEX(nse!C:C,MATCH(B5132,nse!B:B,0))</f>
        <v>Mangalam Drugs And Organics Limited</v>
      </c>
    </row>
    <row r="5133" spans="2:4" hidden="1" x14ac:dyDescent="0.3">
      <c r="B5133" t="s">
        <v>744</v>
      </c>
      <c r="C5133" t="str">
        <f>INDEX(nse!D:D,MATCH(B5133,nse!B:B,0))</f>
        <v>EQ</v>
      </c>
      <c r="D5133" t="str">
        <f>INDEX(nse!C:C,MATCH(B5133,nse!B:B,0))</f>
        <v>Mangalore Chemicals &amp; Fertilizers Limited</v>
      </c>
    </row>
    <row r="5134" spans="2:4" hidden="1" x14ac:dyDescent="0.3">
      <c r="B5134" t="s">
        <v>745</v>
      </c>
      <c r="C5134" t="str">
        <f>INDEX(nse!D:D,MATCH(B5134,nse!B:B,0))</f>
        <v>EQ</v>
      </c>
      <c r="D5134" t="str">
        <f>INDEX(nse!C:C,MATCH(B5134,nse!B:B,0))</f>
        <v>Mangalam Cement Limited</v>
      </c>
    </row>
    <row r="5135" spans="2:4" hidden="1" x14ac:dyDescent="0.3">
      <c r="B5135" t="s">
        <v>746</v>
      </c>
      <c r="C5135" t="str">
        <f>INDEX(nse!D:D,MATCH(B5135,nse!B:B,0))</f>
        <v>EQ</v>
      </c>
      <c r="D5135" t="str">
        <f>INDEX(nse!C:C,MATCH(B5135,nse!B:B,0))</f>
        <v>Mangalam Timber Products Limited</v>
      </c>
    </row>
    <row r="5136" spans="2:4" hidden="1" x14ac:dyDescent="0.3">
      <c r="B5136" t="s">
        <v>747</v>
      </c>
      <c r="C5136" t="str">
        <f>INDEX(nse!D:D,MATCH(B5136,nse!B:B,0))</f>
        <v>EQ</v>
      </c>
      <c r="D5136" t="str">
        <f>INDEX(nse!C:C,MATCH(B5136,nse!B:B,0))</f>
        <v>Man Industries (India) Limited</v>
      </c>
    </row>
    <row r="5137" spans="2:4" hidden="1" x14ac:dyDescent="0.3">
      <c r="B5137" t="s">
        <v>748</v>
      </c>
      <c r="C5137" t="str">
        <f>INDEX(nse!D:D,MATCH(B5137,nse!B:B,0))</f>
        <v>EQ</v>
      </c>
      <c r="D5137" t="str">
        <f>INDEX(nse!C:C,MATCH(B5137,nse!B:B,0))</f>
        <v>Man Infraconstruction Limited</v>
      </c>
    </row>
    <row r="5138" spans="2:4" hidden="1" x14ac:dyDescent="0.3">
      <c r="B5138" t="s">
        <v>3787</v>
      </c>
      <c r="C5138" t="str">
        <f>INDEX(nse!D:D,MATCH(B5138,nse!B:B,0))</f>
        <v>EQ</v>
      </c>
      <c r="D5138" t="str">
        <f>INDEX(nse!C:C,MATCH(B5138,nse!B:B,0))</f>
        <v>Manpasand Beverages Limited</v>
      </c>
    </row>
    <row r="5139" spans="2:4" hidden="1" x14ac:dyDescent="0.3">
      <c r="B5139" t="s">
        <v>749</v>
      </c>
      <c r="C5139" t="str">
        <f>INDEX(nse!D:D,MATCH(B5139,nse!B:B,0))</f>
        <v>EQ</v>
      </c>
      <c r="D5139" t="str">
        <f>INDEX(nse!C:C,MATCH(B5139,nse!B:B,0))</f>
        <v>Manugraph India Limited</v>
      </c>
    </row>
    <row r="5140" spans="2:4" hidden="1" x14ac:dyDescent="0.3">
      <c r="B5140" t="s">
        <v>750</v>
      </c>
      <c r="C5140" t="str">
        <f>INDEX(nse!D:D,MATCH(B5140,nse!B:B,0))</f>
        <v>EQ</v>
      </c>
      <c r="D5140" t="str">
        <f>INDEX(nse!C:C,MATCH(B5140,nse!B:B,0))</f>
        <v>Maral Overseas Limited</v>
      </c>
    </row>
    <row r="5141" spans="2:4" hidden="1" x14ac:dyDescent="0.3">
      <c r="B5141" t="s">
        <v>3792</v>
      </c>
      <c r="C5141" t="str">
        <f>INDEX(nse!D:D,MATCH(B5141,nse!B:B,0))</f>
        <v>EQ</v>
      </c>
      <c r="D5141" t="str">
        <f>INDEX(nse!C:C,MATCH(B5141,nse!B:B,0))</f>
        <v>Marathon Nextgen Realty Limited</v>
      </c>
    </row>
    <row r="5142" spans="2:4" hidden="1" x14ac:dyDescent="0.3">
      <c r="B5142" t="s">
        <v>751</v>
      </c>
      <c r="C5142" t="str">
        <f>INDEX(nse!D:D,MATCH(B5142,nse!B:B,0))</f>
        <v>EQ</v>
      </c>
      <c r="D5142" t="str">
        <f>INDEX(nse!C:C,MATCH(B5142,nse!B:B,0))</f>
        <v>Marico Limited</v>
      </c>
    </row>
    <row r="5143" spans="2:4" hidden="1" x14ac:dyDescent="0.3">
      <c r="B5143" t="s">
        <v>752</v>
      </c>
      <c r="C5143" t="str">
        <f>INDEX(nse!D:D,MATCH(B5143,nse!B:B,0))</f>
        <v>EQ</v>
      </c>
      <c r="D5143" t="str">
        <f>INDEX(nse!C:C,MATCH(B5143,nse!B:B,0))</f>
        <v>Marksans Pharma Limited</v>
      </c>
    </row>
    <row r="5144" spans="2:4" hidden="1" x14ac:dyDescent="0.3">
      <c r="B5144" t="s">
        <v>753</v>
      </c>
      <c r="C5144" t="str">
        <f>INDEX(nse!D:D,MATCH(B5144,nse!B:B,0))</f>
        <v>EQ</v>
      </c>
      <c r="D5144" t="str">
        <f>INDEX(nse!C:C,MATCH(B5144,nse!B:B,0))</f>
        <v>Maruti Suzuki India Limited</v>
      </c>
    </row>
    <row r="5145" spans="2:4" hidden="1" x14ac:dyDescent="0.3">
      <c r="B5145" t="s">
        <v>3798</v>
      </c>
      <c r="C5145" t="str">
        <f>INDEX(nse!D:D,MATCH(B5145,nse!B:B,0))</f>
        <v>BE</v>
      </c>
      <c r="D5145" t="str">
        <f>INDEX(nse!C:C,MATCH(B5145,nse!B:B,0))</f>
        <v>Mask Investments Limited</v>
      </c>
    </row>
    <row r="5146" spans="2:4" hidden="1" x14ac:dyDescent="0.3">
      <c r="B5146" t="s">
        <v>754</v>
      </c>
      <c r="C5146" t="str">
        <f>INDEX(nse!D:D,MATCH(B5146,nse!B:B,0))</f>
        <v>EQ</v>
      </c>
      <c r="D5146" t="str">
        <f>INDEX(nse!C:C,MATCH(B5146,nse!B:B,0))</f>
        <v>Mastek Limited</v>
      </c>
    </row>
    <row r="5147" spans="2:4" hidden="1" x14ac:dyDescent="0.3">
      <c r="B5147" t="s">
        <v>755</v>
      </c>
      <c r="C5147" t="str">
        <f>INDEX(nse!D:D,MATCH(B5147,nse!B:B,0))</f>
        <v>EQ</v>
      </c>
      <c r="D5147" t="str">
        <f>INDEX(nse!C:C,MATCH(B5147,nse!B:B,0))</f>
        <v>Mawana Sugars Limited</v>
      </c>
    </row>
    <row r="5148" spans="2:4" hidden="1" x14ac:dyDescent="0.3">
      <c r="B5148" t="s">
        <v>3803</v>
      </c>
      <c r="C5148" t="str">
        <f>INDEX(nse!D:D,MATCH(B5148,nse!B:B,0))</f>
        <v>EQ</v>
      </c>
      <c r="D5148" t="str">
        <f>INDEX(nse!C:C,MATCH(B5148,nse!B:B,0))</f>
        <v>Max India Limited</v>
      </c>
    </row>
    <row r="5149" spans="2:4" hidden="1" x14ac:dyDescent="0.3">
      <c r="B5149" t="s">
        <v>3805</v>
      </c>
      <c r="C5149" t="str">
        <f>INDEX(nse!D:D,MATCH(B5149,nse!B:B,0))</f>
        <v>EQ</v>
      </c>
      <c r="D5149" t="str">
        <f>INDEX(nse!C:C,MATCH(B5149,nse!B:B,0))</f>
        <v>Max Ventures and Industries Limited</v>
      </c>
    </row>
    <row r="5150" spans="2:4" hidden="1" x14ac:dyDescent="0.3">
      <c r="B5150" t="s">
        <v>756</v>
      </c>
      <c r="C5150" t="str">
        <f>INDEX(nse!D:D,MATCH(B5150,nse!B:B,0))</f>
        <v>EQ</v>
      </c>
      <c r="D5150" t="str">
        <f>INDEX(nse!C:C,MATCH(B5150,nse!B:B,0))</f>
        <v>Mayur Uniquoters Ltd</v>
      </c>
    </row>
    <row r="5151" spans="2:4" hidden="1" x14ac:dyDescent="0.3">
      <c r="B5151" t="s">
        <v>3809</v>
      </c>
      <c r="C5151" t="str">
        <f>INDEX(nse!D:D,MATCH(B5151,nse!B:B,0))</f>
        <v>EQ</v>
      </c>
      <c r="D5151" t="str">
        <f>INDEX(nse!C:C,MATCH(B5151,nse!B:B,0))</f>
        <v>Mazda Limited</v>
      </c>
    </row>
    <row r="5152" spans="2:4" hidden="1" x14ac:dyDescent="0.3">
      <c r="B5152" t="s">
        <v>757</v>
      </c>
      <c r="C5152" t="str">
        <f>INDEX(nse!D:D,MATCH(B5152,nse!B:B,0))</f>
        <v>EQ</v>
      </c>
      <c r="D5152" t="str">
        <f>INDEX(nse!C:C,MATCH(B5152,nse!B:B,0))</f>
        <v>Mcnally Bharat Engineering Company Limited</v>
      </c>
    </row>
    <row r="5153" spans="2:4" hidden="1" x14ac:dyDescent="0.3">
      <c r="B5153" t="s">
        <v>758</v>
      </c>
      <c r="C5153" t="str">
        <f>INDEX(nse!D:D,MATCH(B5153,nse!B:B,0))</f>
        <v>EQ</v>
      </c>
      <c r="D5153" t="str">
        <f>INDEX(nse!C:C,MATCH(B5153,nse!B:B,0))</f>
        <v>MBL Infrastructures Limited</v>
      </c>
    </row>
    <row r="5154" spans="2:4" hidden="1" x14ac:dyDescent="0.3">
      <c r="B5154" t="s">
        <v>759</v>
      </c>
      <c r="C5154" t="str">
        <f>INDEX(nse!D:D,MATCH(B5154,nse!B:B,0))</f>
        <v>EQ</v>
      </c>
      <c r="D5154" t="str">
        <f>INDEX(nse!C:C,MATCH(B5154,nse!B:B,0))</f>
        <v>McDowell Holdings Limited</v>
      </c>
    </row>
    <row r="5155" spans="2:4" hidden="1" x14ac:dyDescent="0.3">
      <c r="B5155" t="s">
        <v>760</v>
      </c>
      <c r="C5155" t="str">
        <f>INDEX(nse!D:D,MATCH(B5155,nse!B:B,0))</f>
        <v>EQ</v>
      </c>
      <c r="D5155" t="str">
        <f>INDEX(nse!C:C,MATCH(B5155,nse!B:B,0))</f>
        <v>United Spirits Limited</v>
      </c>
    </row>
    <row r="5156" spans="2:4" hidden="1" x14ac:dyDescent="0.3">
      <c r="B5156" t="s">
        <v>761</v>
      </c>
      <c r="C5156" t="str">
        <f>INDEX(nse!D:D,MATCH(B5156,nse!B:B,0))</f>
        <v>EQ</v>
      </c>
      <c r="D5156" t="str">
        <f>INDEX(nse!C:C,MATCH(B5156,nse!B:B,0))</f>
        <v>Mcleod Russel India Limited</v>
      </c>
    </row>
    <row r="5157" spans="2:4" hidden="1" x14ac:dyDescent="0.3">
      <c r="B5157" t="s">
        <v>3817</v>
      </c>
      <c r="C5157" t="str">
        <f>INDEX(nse!D:D,MATCH(B5157,nse!B:B,0))</f>
        <v>EQ</v>
      </c>
      <c r="D5157" t="str">
        <f>INDEX(nse!C:C,MATCH(B5157,nse!B:B,0))</f>
        <v>Multi Commodity Exchange of India Limited</v>
      </c>
    </row>
    <row r="5158" spans="2:4" hidden="1" x14ac:dyDescent="0.3">
      <c r="B5158" t="s">
        <v>762</v>
      </c>
      <c r="C5158" t="str">
        <f>INDEX(nse!D:D,MATCH(B5158,nse!B:B,0))</f>
        <v>EQ</v>
      </c>
      <c r="D5158" t="str">
        <f>INDEX(nse!C:C,MATCH(B5158,nse!B:B,0))</f>
        <v>Megasoft Limited</v>
      </c>
    </row>
    <row r="5159" spans="2:4" hidden="1" x14ac:dyDescent="0.3">
      <c r="B5159" t="s">
        <v>763</v>
      </c>
      <c r="C5159" t="str">
        <f>INDEX(nse!D:D,MATCH(B5159,nse!B:B,0))</f>
        <v>EQ</v>
      </c>
      <c r="D5159" t="str">
        <f>INDEX(nse!C:C,MATCH(B5159,nse!B:B,0))</f>
        <v>Meghmani Organics Limited</v>
      </c>
    </row>
    <row r="5160" spans="2:4" hidden="1" x14ac:dyDescent="0.3">
      <c r="B5160" t="s">
        <v>1318</v>
      </c>
      <c r="C5160" t="str">
        <f>INDEX(nse!D:D,MATCH(B5160,nse!B:B,0))</f>
        <v>BE</v>
      </c>
      <c r="D5160" t="str">
        <f>INDEX(nse!C:C,MATCH(B5160,nse!B:B,0))</f>
        <v>Melstar Information Technologies Limited</v>
      </c>
    </row>
    <row r="5161" spans="2:4" hidden="1" x14ac:dyDescent="0.3">
      <c r="B5161" t="s">
        <v>3823</v>
      </c>
      <c r="C5161" t="str">
        <f>INDEX(nse!D:D,MATCH(B5161,nse!B:B,0))</f>
        <v>EQ</v>
      </c>
      <c r="D5161" t="str">
        <f>INDEX(nse!C:C,MATCH(B5161,nse!B:B,0))</f>
        <v>Menon Bearings Limited</v>
      </c>
    </row>
    <row r="5162" spans="2:4" hidden="1" x14ac:dyDescent="0.3">
      <c r="B5162" t="s">
        <v>3826</v>
      </c>
      <c r="C5162" t="str">
        <f>INDEX(nse!D:D,MATCH(B5162,nse!B:B,0))</f>
        <v>EQ</v>
      </c>
      <c r="D5162" t="str">
        <f>INDEX(nse!C:C,MATCH(B5162,nse!B:B,0))</f>
        <v>MEP Infrastructure Developers Limited</v>
      </c>
    </row>
    <row r="5163" spans="2:4" hidden="1" x14ac:dyDescent="0.3">
      <c r="B5163" t="s">
        <v>764</v>
      </c>
      <c r="C5163" t="str">
        <f>INDEX(nse!D:D,MATCH(B5163,nse!B:B,0))</f>
        <v>EQ</v>
      </c>
      <c r="D5163" t="str">
        <f>INDEX(nse!C:C,MATCH(B5163,nse!B:B,0))</f>
        <v>Mercator Limited</v>
      </c>
    </row>
    <row r="5164" spans="2:4" hidden="1" x14ac:dyDescent="0.3">
      <c r="B5164" t="s">
        <v>765</v>
      </c>
      <c r="C5164" t="str">
        <f>INDEX(nse!D:D,MATCH(B5164,nse!B:B,0))</f>
        <v>EQ</v>
      </c>
      <c r="D5164" t="str">
        <f>INDEX(nse!C:C,MATCH(B5164,nse!B:B,0))</f>
        <v>Merck Limited</v>
      </c>
    </row>
    <row r="5165" spans="2:4" hidden="1" x14ac:dyDescent="0.3">
      <c r="B5165" t="s">
        <v>3831</v>
      </c>
      <c r="C5165" t="str">
        <f>INDEX(nse!D:D,MATCH(B5165,nse!B:B,0))</f>
        <v>EQ</v>
      </c>
      <c r="D5165" t="str">
        <f>INDEX(nse!C:C,MATCH(B5165,nse!B:B,0))</f>
        <v>Metalyst Forgings Limited</v>
      </c>
    </row>
    <row r="5166" spans="2:4" hidden="1" x14ac:dyDescent="0.3">
      <c r="B5166" t="s">
        <v>766</v>
      </c>
      <c r="C5166" t="str">
        <f>INDEX(nse!D:D,MATCH(B5166,nse!B:B,0))</f>
        <v>BE</v>
      </c>
      <c r="D5166" t="str">
        <f>INDEX(nse!C:C,MATCH(B5166,nse!B:B,0))</f>
        <v>Metkore Alloys &amp; Industries Limited</v>
      </c>
    </row>
    <row r="5167" spans="2:4" hidden="1" x14ac:dyDescent="0.3">
      <c r="B5167" t="s">
        <v>3835</v>
      </c>
      <c r="C5167" t="str">
        <f>INDEX(nse!D:D,MATCH(B5167,nse!B:B,0))</f>
        <v>EQ</v>
      </c>
      <c r="D5167" t="str">
        <f>INDEX(nse!C:C,MATCH(B5167,nse!B:B,0))</f>
        <v>Max Financial Services Limited</v>
      </c>
    </row>
    <row r="5168" spans="2:4" hidden="1" x14ac:dyDescent="0.3">
      <c r="B5168" t="s">
        <v>3838</v>
      </c>
      <c r="C5168" t="str">
        <f>INDEX(nse!D:D,MATCH(B5168,nse!B:B,0))</f>
        <v>EQ</v>
      </c>
      <c r="D5168" t="str">
        <f>INDEX(nse!C:C,MATCH(B5168,nse!B:B,0))</f>
        <v>Mahanagar Gas Limited</v>
      </c>
    </row>
    <row r="5169" spans="2:4" hidden="1" x14ac:dyDescent="0.3">
      <c r="B5169" t="s">
        <v>767</v>
      </c>
      <c r="C5169" t="str">
        <f>INDEX(nse!D:D,MATCH(B5169,nse!B:B,0))</f>
        <v>EQ</v>
      </c>
      <c r="D5169" t="str">
        <f>INDEX(nse!C:C,MATCH(B5169,nse!B:B,0))</f>
        <v>Mahindra Holidays &amp; Resorts India Limited</v>
      </c>
    </row>
    <row r="5170" spans="2:4" hidden="1" x14ac:dyDescent="0.3">
      <c r="B5170" t="s">
        <v>768</v>
      </c>
      <c r="C5170" t="str">
        <f>INDEX(nse!D:D,MATCH(B5170,nse!B:B,0))</f>
        <v>EQ</v>
      </c>
      <c r="D5170" t="str">
        <f>INDEX(nse!C:C,MATCH(B5170,nse!B:B,0))</f>
        <v>MIC Electronics Limited</v>
      </c>
    </row>
    <row r="5171" spans="2:4" hidden="1" x14ac:dyDescent="0.3">
      <c r="B5171" t="s">
        <v>769</v>
      </c>
      <c r="C5171" t="str">
        <f>INDEX(nse!D:D,MATCH(B5171,nse!B:B,0))</f>
        <v>EQ</v>
      </c>
      <c r="D5171" t="str">
        <f>INDEX(nse!C:C,MATCH(B5171,nse!B:B,0))</f>
        <v>Minda Corporation Limited</v>
      </c>
    </row>
    <row r="5172" spans="2:4" hidden="1" x14ac:dyDescent="0.3">
      <c r="B5172" t="s">
        <v>770</v>
      </c>
      <c r="C5172" t="str">
        <f>INDEX(nse!D:D,MATCH(B5172,nse!B:B,0))</f>
        <v>EQ</v>
      </c>
      <c r="D5172" t="str">
        <f>INDEX(nse!C:C,MATCH(B5172,nse!B:B,0))</f>
        <v>Minda Industries Limited</v>
      </c>
    </row>
    <row r="5173" spans="2:4" hidden="1" x14ac:dyDescent="0.3">
      <c r="B5173" t="s">
        <v>3845</v>
      </c>
      <c r="C5173" t="str">
        <f>INDEX(nse!D:D,MATCH(B5173,nse!B:B,0))</f>
        <v>EQ</v>
      </c>
      <c r="D5173" t="str">
        <f>INDEX(nse!C:C,MATCH(B5173,nse!B:B,0))</f>
        <v>Mindteck (India) Limited</v>
      </c>
    </row>
    <row r="5174" spans="2:4" hidden="1" x14ac:dyDescent="0.3">
      <c r="B5174" t="s">
        <v>77</v>
      </c>
      <c r="C5174" t="str">
        <f>INDEX(nse!D:D,MATCH(B5174,nse!B:B,0))</f>
        <v>EQ</v>
      </c>
      <c r="D5174" t="str">
        <f>INDEX(nse!C:C,MATCH(B5174,nse!B:B,0))</f>
        <v>MindTree Limited</v>
      </c>
    </row>
    <row r="5175" spans="2:4" hidden="1" x14ac:dyDescent="0.3">
      <c r="B5175" t="s">
        <v>771</v>
      </c>
      <c r="C5175" t="str">
        <f>INDEX(nse!D:D,MATCH(B5175,nse!B:B,0))</f>
        <v>EQ</v>
      </c>
      <c r="D5175" t="str">
        <f>INDEX(nse!C:C,MATCH(B5175,nse!B:B,0))</f>
        <v>MIRC Electronics Limited</v>
      </c>
    </row>
    <row r="5176" spans="2:4" hidden="1" x14ac:dyDescent="0.3">
      <c r="B5176" t="s">
        <v>772</v>
      </c>
      <c r="C5176" t="str">
        <f>INDEX(nse!D:D,MATCH(B5176,nse!B:B,0))</f>
        <v>EQ</v>
      </c>
      <c r="D5176" t="str">
        <f>INDEX(nse!C:C,MATCH(B5176,nse!B:B,0))</f>
        <v>Mirza International Limited</v>
      </c>
    </row>
    <row r="5177" spans="2:4" hidden="1" x14ac:dyDescent="0.3">
      <c r="B5177" t="s">
        <v>773</v>
      </c>
      <c r="C5177" t="str">
        <f>INDEX(nse!D:D,MATCH(B5177,nse!B:B,0))</f>
        <v>EQ</v>
      </c>
      <c r="D5177" t="str">
        <f>INDEX(nse!C:C,MATCH(B5177,nse!B:B,0))</f>
        <v>MM Forgings Limited</v>
      </c>
    </row>
    <row r="5178" spans="2:4" hidden="1" x14ac:dyDescent="0.3">
      <c r="B5178" t="s">
        <v>774</v>
      </c>
      <c r="C5178" t="str">
        <f>INDEX(nse!D:D,MATCH(B5178,nse!B:B,0))</f>
        <v>EQ</v>
      </c>
      <c r="D5178" t="str">
        <f>INDEX(nse!C:C,MATCH(B5178,nse!B:B,0))</f>
        <v>MMTC Limited</v>
      </c>
    </row>
    <row r="5179" spans="2:4" hidden="1" x14ac:dyDescent="0.3">
      <c r="B5179" t="s">
        <v>775</v>
      </c>
      <c r="C5179" t="str">
        <f>INDEX(nse!D:D,MATCH(B5179,nse!B:B,0))</f>
        <v>EQ</v>
      </c>
      <c r="D5179" t="str">
        <f>INDEX(nse!C:C,MATCH(B5179,nse!B:B,0))</f>
        <v>Mohit Industries Limited</v>
      </c>
    </row>
    <row r="5180" spans="2:4" hidden="1" x14ac:dyDescent="0.3">
      <c r="B5180" t="s">
        <v>776</v>
      </c>
      <c r="C5180" t="str">
        <f>INDEX(nse!D:D,MATCH(B5180,nse!B:B,0))</f>
        <v>EQ</v>
      </c>
      <c r="D5180" t="str">
        <f>INDEX(nse!C:C,MATCH(B5180,nse!B:B,0))</f>
        <v>MOIL Limited</v>
      </c>
    </row>
    <row r="5181" spans="2:4" hidden="1" x14ac:dyDescent="0.3">
      <c r="B5181" t="s">
        <v>3855</v>
      </c>
      <c r="C5181" t="str">
        <f>INDEX(nse!D:D,MATCH(B5181,nse!B:B,0))</f>
        <v>EQ</v>
      </c>
      <c r="D5181" t="str">
        <f>INDEX(nse!C:C,MATCH(B5181,nse!B:B,0))</f>
        <v>Mold-Tek Technologies Limited</v>
      </c>
    </row>
    <row r="5182" spans="2:4" hidden="1" x14ac:dyDescent="0.3">
      <c r="B5182" t="s">
        <v>3858</v>
      </c>
      <c r="C5182" t="str">
        <f>INDEX(nse!D:D,MATCH(B5182,nse!B:B,0))</f>
        <v>EQ</v>
      </c>
      <c r="D5182" t="str">
        <f>INDEX(nse!C:C,MATCH(B5182,nse!B:B,0))</f>
        <v>Mold-Tek Packaging Limited</v>
      </c>
    </row>
    <row r="5183" spans="2:4" hidden="1" x14ac:dyDescent="0.3">
      <c r="B5183" t="s">
        <v>777</v>
      </c>
      <c r="C5183" t="str">
        <f>INDEX(nse!D:D,MATCH(B5183,nse!B:B,0))</f>
        <v>EQ</v>
      </c>
      <c r="D5183" t="str">
        <f>INDEX(nse!C:C,MATCH(B5183,nse!B:B,0))</f>
        <v>Monnet Ispat and Energy Limited</v>
      </c>
    </row>
    <row r="5184" spans="2:4" hidden="1" x14ac:dyDescent="0.3">
      <c r="B5184" t="s">
        <v>778</v>
      </c>
      <c r="C5184" t="str">
        <f>INDEX(nse!D:D,MATCH(B5184,nse!B:B,0))</f>
        <v>EQ</v>
      </c>
      <c r="D5184" t="str">
        <f>INDEX(nse!C:C,MATCH(B5184,nse!B:B,0))</f>
        <v>Monsanto India Limited</v>
      </c>
    </row>
    <row r="5185" spans="2:4" hidden="1" x14ac:dyDescent="0.3">
      <c r="B5185" t="s">
        <v>3863</v>
      </c>
      <c r="C5185" t="str">
        <f>INDEX(nse!D:D,MATCH(B5185,nse!B:B,0))</f>
        <v>EQ</v>
      </c>
      <c r="D5185" t="str">
        <f>INDEX(nse!C:C,MATCH(B5185,nse!B:B,0))</f>
        <v>Monte Carlo Fashions Limited</v>
      </c>
    </row>
    <row r="5186" spans="2:4" hidden="1" x14ac:dyDescent="0.3">
      <c r="B5186" t="s">
        <v>779</v>
      </c>
      <c r="C5186" t="str">
        <f>INDEX(nse!D:D,MATCH(B5186,nse!B:B,0))</f>
        <v>EQ</v>
      </c>
      <c r="D5186" t="str">
        <f>INDEX(nse!C:C,MATCH(B5186,nse!B:B,0))</f>
        <v>Morarjee Textiles Limited</v>
      </c>
    </row>
    <row r="5187" spans="2:4" hidden="1" x14ac:dyDescent="0.3">
      <c r="B5187" t="s">
        <v>780</v>
      </c>
      <c r="C5187" t="str">
        <f>INDEX(nse!D:D,MATCH(B5187,nse!B:B,0))</f>
        <v>EQ</v>
      </c>
      <c r="D5187" t="str">
        <f>INDEX(nse!C:C,MATCH(B5187,nse!B:B,0))</f>
        <v>Morepen Laboratories Limited</v>
      </c>
    </row>
    <row r="5188" spans="2:4" hidden="1" x14ac:dyDescent="0.3">
      <c r="B5188" t="s">
        <v>781</v>
      </c>
      <c r="C5188" t="str">
        <f>INDEX(nse!D:D,MATCH(B5188,nse!B:B,0))</f>
        <v>EQ</v>
      </c>
      <c r="D5188" t="str">
        <f>INDEX(nse!C:C,MATCH(B5188,nse!B:B,0))</f>
        <v>Moser-Baer (I) Limited</v>
      </c>
    </row>
    <row r="5189" spans="2:4" hidden="1" x14ac:dyDescent="0.3">
      <c r="B5189" t="s">
        <v>78</v>
      </c>
      <c r="C5189" t="str">
        <f>INDEX(nse!D:D,MATCH(B5189,nse!B:B,0))</f>
        <v>EQ</v>
      </c>
      <c r="D5189" t="str">
        <f>INDEX(nse!C:C,MATCH(B5189,nse!B:B,0))</f>
        <v>Motherson Sumi Systems Limited</v>
      </c>
    </row>
    <row r="5190" spans="2:4" hidden="1" x14ac:dyDescent="0.3">
      <c r="B5190" t="s">
        <v>782</v>
      </c>
      <c r="C5190" t="str">
        <f>INDEX(nse!D:D,MATCH(B5190,nse!B:B,0))</f>
        <v>EQ</v>
      </c>
      <c r="D5190" t="str">
        <f>INDEX(nse!C:C,MATCH(B5190,nse!B:B,0))</f>
        <v>Motilal Oswal Financial Services Limited</v>
      </c>
    </row>
    <row r="5191" spans="2:4" hidden="1" x14ac:dyDescent="0.3">
      <c r="B5191" t="s">
        <v>783</v>
      </c>
      <c r="C5191" t="str">
        <f>INDEX(nse!D:D,MATCH(B5191,nse!B:B,0))</f>
        <v>BE</v>
      </c>
      <c r="D5191" t="str">
        <f>INDEX(nse!C:C,MATCH(B5191,nse!B:B,0))</f>
        <v>The Motor &amp; General Finance Limited</v>
      </c>
    </row>
    <row r="5192" spans="2:4" hidden="1" x14ac:dyDescent="0.3">
      <c r="B5192" t="s">
        <v>79</v>
      </c>
      <c r="C5192" t="str">
        <f>INDEX(nse!D:D,MATCH(B5192,nse!B:B,0))</f>
        <v>EQ</v>
      </c>
      <c r="D5192" t="str">
        <f>INDEX(nse!C:C,MATCH(B5192,nse!B:B,0))</f>
        <v>MphasiS Limited</v>
      </c>
    </row>
    <row r="5193" spans="2:4" hidden="1" x14ac:dyDescent="0.3">
      <c r="B5193" t="s">
        <v>784</v>
      </c>
      <c r="C5193" t="str">
        <f>INDEX(nse!D:D,MATCH(B5193,nse!B:B,0))</f>
        <v>EQ</v>
      </c>
      <c r="D5193" t="str">
        <f>INDEX(nse!C:C,MATCH(B5193,nse!B:B,0))</f>
        <v>MPS Limited</v>
      </c>
    </row>
    <row r="5194" spans="2:4" hidden="1" x14ac:dyDescent="0.3">
      <c r="B5194" t="s">
        <v>23</v>
      </c>
      <c r="C5194" t="str">
        <f>INDEX(nse!D:D,MATCH(B5194,nse!B:B,0))</f>
        <v>EQ</v>
      </c>
      <c r="D5194" t="str">
        <f>INDEX(nse!C:C,MATCH(B5194,nse!B:B,0))</f>
        <v>MRF Limited</v>
      </c>
    </row>
    <row r="5195" spans="2:4" hidden="1" x14ac:dyDescent="0.3">
      <c r="B5195" t="s">
        <v>785</v>
      </c>
      <c r="C5195" t="str">
        <f>INDEX(nse!D:D,MATCH(B5195,nse!B:B,0))</f>
        <v>EQ</v>
      </c>
      <c r="D5195" t="str">
        <f>INDEX(nse!C:C,MATCH(B5195,nse!B:B,0))</f>
        <v>MRO-TEK Realty Limited</v>
      </c>
    </row>
    <row r="5196" spans="2:4" hidden="1" x14ac:dyDescent="0.3">
      <c r="B5196" t="s">
        <v>786</v>
      </c>
      <c r="C5196" t="str">
        <f>INDEX(nse!D:D,MATCH(B5196,nse!B:B,0))</f>
        <v>EQ</v>
      </c>
      <c r="D5196" t="str">
        <f>INDEX(nse!C:C,MATCH(B5196,nse!B:B,0))</f>
        <v>Mangalore Refinery and Petrochemicals Limited</v>
      </c>
    </row>
    <row r="5197" spans="2:4" hidden="1" x14ac:dyDescent="0.3">
      <c r="B5197" t="s">
        <v>787</v>
      </c>
      <c r="C5197" t="str">
        <f>INDEX(nse!D:D,MATCH(B5197,nse!B:B,0))</f>
        <v>EQ</v>
      </c>
      <c r="D5197" t="str">
        <f>INDEX(nse!C:C,MATCH(B5197,nse!B:B,0))</f>
        <v>MSP Steel &amp; Power Limited</v>
      </c>
    </row>
    <row r="5198" spans="2:4" hidden="1" x14ac:dyDescent="0.3">
      <c r="B5198" t="s">
        <v>788</v>
      </c>
      <c r="C5198" t="str">
        <f>INDEX(nse!D:D,MATCH(B5198,nse!B:B,0))</f>
        <v>EQ</v>
      </c>
      <c r="D5198" t="str">
        <f>INDEX(nse!C:C,MATCH(B5198,nse!B:B,0))</f>
        <v>MT Educare Limited</v>
      </c>
    </row>
    <row r="5199" spans="2:4" hidden="1" x14ac:dyDescent="0.3">
      <c r="B5199" t="s">
        <v>789</v>
      </c>
      <c r="C5199" t="str">
        <f>INDEX(nse!D:D,MATCH(B5199,nse!B:B,0))</f>
        <v>EQ</v>
      </c>
      <c r="D5199" t="str">
        <f>INDEX(nse!C:C,MATCH(B5199,nse!B:B,0))</f>
        <v>Mahanagar Telephone Nigam Limited</v>
      </c>
    </row>
    <row r="5200" spans="2:4" hidden="1" x14ac:dyDescent="0.3">
      <c r="B5200" t="s">
        <v>790</v>
      </c>
      <c r="C5200" t="str">
        <f>INDEX(nse!D:D,MATCH(B5200,nse!B:B,0))</f>
        <v>EQ</v>
      </c>
      <c r="D5200" t="str">
        <f>INDEX(nse!C:C,MATCH(B5200,nse!B:B,0))</f>
        <v>Mukand Engineers Limited</v>
      </c>
    </row>
    <row r="5201" spans="2:4" hidden="1" x14ac:dyDescent="0.3">
      <c r="B5201" t="s">
        <v>791</v>
      </c>
      <c r="C5201" t="str">
        <f>INDEX(nse!D:D,MATCH(B5201,nse!B:B,0))</f>
        <v>EQ</v>
      </c>
      <c r="D5201" t="str">
        <f>INDEX(nse!C:C,MATCH(B5201,nse!B:B,0))</f>
        <v>Mukand Limited</v>
      </c>
    </row>
    <row r="5202" spans="2:4" hidden="1" x14ac:dyDescent="0.3">
      <c r="B5202" t="s">
        <v>792</v>
      </c>
      <c r="C5202" t="str">
        <f>INDEX(nse!D:D,MATCH(B5202,nse!B:B,0))</f>
        <v>EQ</v>
      </c>
      <c r="D5202" t="str">
        <f>INDEX(nse!C:C,MATCH(B5202,nse!B:B,0))</f>
        <v>Mukta Arts Limited</v>
      </c>
    </row>
    <row r="5203" spans="2:4" hidden="1" x14ac:dyDescent="0.3">
      <c r="B5203" t="s">
        <v>793</v>
      </c>
      <c r="C5203" t="str">
        <f>INDEX(nse!D:D,MATCH(B5203,nse!B:B,0))</f>
        <v>EQ</v>
      </c>
      <c r="D5203" t="str">
        <f>INDEX(nse!C:C,MATCH(B5203,nse!B:B,0))</f>
        <v>Munjal Auto Industries Limited</v>
      </c>
    </row>
    <row r="5204" spans="2:4" hidden="1" x14ac:dyDescent="0.3">
      <c r="B5204" t="s">
        <v>794</v>
      </c>
      <c r="C5204" t="str">
        <f>INDEX(nse!D:D,MATCH(B5204,nse!B:B,0))</f>
        <v>EQ</v>
      </c>
      <c r="D5204" t="str">
        <f>INDEX(nse!C:C,MATCH(B5204,nse!B:B,0))</f>
        <v>Munjal Showa Limited</v>
      </c>
    </row>
    <row r="5205" spans="2:4" hidden="1" x14ac:dyDescent="0.3">
      <c r="B5205" t="s">
        <v>795</v>
      </c>
      <c r="C5205" t="str">
        <f>INDEX(nse!D:D,MATCH(B5205,nse!B:B,0))</f>
        <v>BE</v>
      </c>
      <c r="D5205" t="str">
        <f>INDEX(nse!C:C,MATCH(B5205,nse!B:B,0))</f>
        <v>Murudeshwar Ceramics Limited</v>
      </c>
    </row>
    <row r="5206" spans="2:4" hidden="1" x14ac:dyDescent="0.3">
      <c r="B5206" t="s">
        <v>3887</v>
      </c>
      <c r="C5206" t="str">
        <f>INDEX(nse!D:D,MATCH(B5206,nse!B:B,0))</f>
        <v>EQ</v>
      </c>
      <c r="D5206" t="str">
        <f>INDEX(nse!C:C,MATCH(B5206,nse!B:B,0))</f>
        <v>Muthoot Capital Services Limited</v>
      </c>
    </row>
    <row r="5207" spans="2:4" hidden="1" x14ac:dyDescent="0.3">
      <c r="B5207" t="s">
        <v>796</v>
      </c>
      <c r="C5207" t="str">
        <f>INDEX(nse!D:D,MATCH(B5207,nse!B:B,0))</f>
        <v>EQ</v>
      </c>
      <c r="D5207" t="str">
        <f>INDEX(nse!C:C,MATCH(B5207,nse!B:B,0))</f>
        <v>Muthoot Finance Limited</v>
      </c>
    </row>
    <row r="5208" spans="2:4" hidden="1" x14ac:dyDescent="0.3">
      <c r="B5208" t="s">
        <v>797</v>
      </c>
      <c r="C5208" t="str">
        <f>INDEX(nse!D:D,MATCH(B5208,nse!B:B,0))</f>
        <v>EQ</v>
      </c>
      <c r="D5208" t="str">
        <f>INDEX(nse!C:C,MATCH(B5208,nse!B:B,0))</f>
        <v>MVL Limited</v>
      </c>
    </row>
    <row r="5209" spans="2:4" hidden="1" x14ac:dyDescent="0.3">
      <c r="B5209" t="s">
        <v>3892</v>
      </c>
      <c r="C5209" t="str">
        <f>INDEX(nse!D:D,MATCH(B5209,nse!B:B,0))</f>
        <v>EQ</v>
      </c>
      <c r="D5209" t="str">
        <f>INDEX(nse!C:C,MATCH(B5209,nse!B:B,0))</f>
        <v>Nagarjuna Agrichem Limited</v>
      </c>
    </row>
    <row r="5210" spans="2:4" hidden="1" x14ac:dyDescent="0.3">
      <c r="B5210" t="s">
        <v>3895</v>
      </c>
      <c r="C5210" t="str">
        <f>INDEX(nse!D:D,MATCH(B5210,nse!B:B,0))</f>
        <v>EQ</v>
      </c>
      <c r="D5210" t="str">
        <f>INDEX(nse!C:C,MATCH(B5210,nse!B:B,0))</f>
        <v>Nagarjuna Fertilizers and Chemicals Limited</v>
      </c>
    </row>
    <row r="5211" spans="2:4" hidden="1" x14ac:dyDescent="0.3">
      <c r="B5211" t="s">
        <v>798</v>
      </c>
      <c r="C5211" t="str">
        <f>INDEX(nse!D:D,MATCH(B5211,nse!B:B,0))</f>
        <v>EQ</v>
      </c>
      <c r="D5211" t="str">
        <f>INDEX(nse!C:C,MATCH(B5211,nse!B:B,0))</f>
        <v>Nagarjuna Oil Refinery Limited</v>
      </c>
    </row>
    <row r="5212" spans="2:4" hidden="1" x14ac:dyDescent="0.3">
      <c r="B5212" t="s">
        <v>1319</v>
      </c>
      <c r="C5212" t="str">
        <f>INDEX(nse!D:D,MATCH(B5212,nse!B:B,0))</f>
        <v>EQ</v>
      </c>
      <c r="D5212" t="str">
        <f>INDEX(nse!C:C,MATCH(B5212,nse!B:B,0))</f>
        <v>Nagreeka Capital &amp; Infrastructure Limited</v>
      </c>
    </row>
    <row r="5213" spans="2:4" hidden="1" x14ac:dyDescent="0.3">
      <c r="B5213" t="s">
        <v>1320</v>
      </c>
      <c r="C5213" t="str">
        <f>INDEX(nse!D:D,MATCH(B5213,nse!B:B,0))</f>
        <v>EQ</v>
      </c>
      <c r="D5213" t="str">
        <f>INDEX(nse!C:C,MATCH(B5213,nse!B:B,0))</f>
        <v>Nagreeka Exports Limited</v>
      </c>
    </row>
    <row r="5214" spans="2:4" hidden="1" x14ac:dyDescent="0.3">
      <c r="B5214" t="s">
        <v>799</v>
      </c>
      <c r="C5214" t="str">
        <f>INDEX(nse!D:D,MATCH(B5214,nse!B:B,0))</f>
        <v>EQ</v>
      </c>
      <c r="D5214" t="str">
        <f>INDEX(nse!C:C,MATCH(B5214,nse!B:B,0))</f>
        <v>Nahar Capital and Financial Services Limited</v>
      </c>
    </row>
    <row r="5215" spans="2:4" hidden="1" x14ac:dyDescent="0.3">
      <c r="B5215" t="s">
        <v>800</v>
      </c>
      <c r="C5215" t="str">
        <f>INDEX(nse!D:D,MATCH(B5215,nse!B:B,0))</f>
        <v>EQ</v>
      </c>
      <c r="D5215" t="str">
        <f>INDEX(nse!C:C,MATCH(B5215,nse!B:B,0))</f>
        <v>Nahar Industrial Enterprises Limited</v>
      </c>
    </row>
    <row r="5216" spans="2:4" hidden="1" x14ac:dyDescent="0.3">
      <c r="B5216" t="s">
        <v>801</v>
      </c>
      <c r="C5216" t="str">
        <f>INDEX(nse!D:D,MATCH(B5216,nse!B:B,0))</f>
        <v>EQ</v>
      </c>
      <c r="D5216" t="str">
        <f>INDEX(nse!C:C,MATCH(B5216,nse!B:B,0))</f>
        <v>Nahar Poly Films Limited</v>
      </c>
    </row>
    <row r="5217" spans="2:4" hidden="1" x14ac:dyDescent="0.3">
      <c r="B5217" t="s">
        <v>802</v>
      </c>
      <c r="C5217" t="str">
        <f>INDEX(nse!D:D,MATCH(B5217,nse!B:B,0))</f>
        <v>EQ</v>
      </c>
      <c r="D5217" t="str">
        <f>INDEX(nse!C:C,MATCH(B5217,nse!B:B,0))</f>
        <v>Nahar Spinning Mills Limited</v>
      </c>
    </row>
    <row r="5218" spans="2:4" hidden="1" x14ac:dyDescent="0.3">
      <c r="B5218" t="s">
        <v>803</v>
      </c>
      <c r="C5218" t="str">
        <f>INDEX(nse!D:D,MATCH(B5218,nse!B:B,0))</f>
        <v>BE</v>
      </c>
      <c r="D5218" t="str">
        <f>INDEX(nse!C:C,MATCH(B5218,nse!B:B,0))</f>
        <v>Nakoda Limited</v>
      </c>
    </row>
    <row r="5219" spans="2:4" hidden="1" x14ac:dyDescent="0.3">
      <c r="B5219" t="s">
        <v>804</v>
      </c>
      <c r="C5219" t="str">
        <f>INDEX(nse!D:D,MATCH(B5219,nse!B:B,0))</f>
        <v>EQ</v>
      </c>
      <c r="D5219" t="str">
        <f>INDEX(nse!C:C,MATCH(B5219,nse!B:B,0))</f>
        <v>Natco Pharma Limited</v>
      </c>
    </row>
    <row r="5220" spans="2:4" hidden="1" x14ac:dyDescent="0.3">
      <c r="B5220" t="s">
        <v>805</v>
      </c>
      <c r="C5220" t="str">
        <f>INDEX(nse!D:D,MATCH(B5220,nse!B:B,0))</f>
        <v>EQ</v>
      </c>
      <c r="D5220" t="str">
        <f>INDEX(nse!C:C,MATCH(B5220,nse!B:B,0))</f>
        <v>Nath Bio-Genes (India) Limited</v>
      </c>
    </row>
    <row r="5221" spans="2:4" hidden="1" x14ac:dyDescent="0.3">
      <c r="B5221" t="s">
        <v>806</v>
      </c>
      <c r="C5221" t="str">
        <f>INDEX(nse!D:D,MATCH(B5221,nse!B:B,0))</f>
        <v>EQ</v>
      </c>
      <c r="D5221" t="str">
        <f>INDEX(nse!C:C,MATCH(B5221,nse!B:B,0))</f>
        <v>National Aluminium Company Limited</v>
      </c>
    </row>
    <row r="5222" spans="2:4" hidden="1" x14ac:dyDescent="0.3">
      <c r="B5222" t="s">
        <v>807</v>
      </c>
      <c r="C5222" t="str">
        <f>INDEX(nse!D:D,MATCH(B5222,nse!B:B,0))</f>
        <v>BE</v>
      </c>
      <c r="D5222" t="str">
        <f>INDEX(nse!C:C,MATCH(B5222,nse!B:B,0))</f>
        <v>National Steel And Agro Industries Limited</v>
      </c>
    </row>
    <row r="5223" spans="2:4" hidden="1" x14ac:dyDescent="0.3">
      <c r="B5223" t="s">
        <v>808</v>
      </c>
      <c r="C5223" t="str">
        <f>INDEX(nse!D:D,MATCH(B5223,nse!B:B,0))</f>
        <v>EQ</v>
      </c>
      <c r="D5223" t="str">
        <f>INDEX(nse!C:C,MATCH(B5223,nse!B:B,0))</f>
        <v>Info Edge (India) Limited</v>
      </c>
    </row>
    <row r="5224" spans="2:4" hidden="1" x14ac:dyDescent="0.3">
      <c r="B5224" t="s">
        <v>809</v>
      </c>
      <c r="C5224" t="str">
        <f>INDEX(nse!D:D,MATCH(B5224,nse!B:B,0))</f>
        <v>EQ</v>
      </c>
      <c r="D5224" t="str">
        <f>INDEX(nse!C:C,MATCH(B5224,nse!B:B,0))</f>
        <v>Navin Fluorine International Limited</v>
      </c>
    </row>
    <row r="5225" spans="2:4" hidden="1" x14ac:dyDescent="0.3">
      <c r="B5225" t="s">
        <v>3912</v>
      </c>
      <c r="C5225" t="str">
        <f>INDEX(nse!D:D,MATCH(B5225,nse!B:B,0))</f>
        <v>EQ</v>
      </c>
      <c r="D5225" t="str">
        <f>INDEX(nse!C:C,MATCH(B5225,nse!B:B,0))</f>
        <v>Navkar Corporation Limited</v>
      </c>
    </row>
    <row r="5226" spans="2:4" hidden="1" x14ac:dyDescent="0.3">
      <c r="B5226" t="s">
        <v>810</v>
      </c>
      <c r="C5226" t="str">
        <f>INDEX(nse!D:D,MATCH(B5226,nse!B:B,0))</f>
        <v>EQ</v>
      </c>
      <c r="D5226" t="str">
        <f>INDEX(nse!C:C,MATCH(B5226,nse!B:B,0))</f>
        <v>Navneet Education Limited</v>
      </c>
    </row>
    <row r="5227" spans="2:4" hidden="1" x14ac:dyDescent="0.3">
      <c r="B5227" t="s">
        <v>811</v>
      </c>
      <c r="C5227" t="str">
        <f>INDEX(nse!D:D,MATCH(B5227,nse!B:B,0))</f>
        <v>EQ</v>
      </c>
      <c r="D5227" t="str">
        <f>INDEX(nse!C:C,MATCH(B5227,nse!B:B,0))</f>
        <v>NBCC (India) Limited</v>
      </c>
    </row>
    <row r="5228" spans="2:4" hidden="1" x14ac:dyDescent="0.3">
      <c r="B5228" t="s">
        <v>3918</v>
      </c>
      <c r="C5228" t="str">
        <f>INDEX(nse!D:D,MATCH(B5228,nse!B:B,0))</f>
        <v>BE</v>
      </c>
      <c r="D5228" t="str">
        <f>INDEX(nse!C:C,MATCH(B5228,nse!B:B,0))</f>
        <v>N. B. I. Industrial Finance Company Limited</v>
      </c>
    </row>
    <row r="5229" spans="2:4" hidden="1" x14ac:dyDescent="0.3">
      <c r="B5229" t="s">
        <v>812</v>
      </c>
      <c r="C5229" t="str">
        <f>INDEX(nse!D:D,MATCH(B5229,nse!B:B,0))</f>
        <v>EQ</v>
      </c>
      <c r="D5229" t="str">
        <f>INDEX(nse!C:C,MATCH(B5229,nse!B:B,0))</f>
        <v>Nava Bharat Ventures Limited</v>
      </c>
    </row>
    <row r="5230" spans="2:4" hidden="1" x14ac:dyDescent="0.3">
      <c r="B5230" t="s">
        <v>813</v>
      </c>
      <c r="C5230" t="str">
        <f>INDEX(nse!D:D,MATCH(B5230,nse!B:B,0))</f>
        <v>EQ</v>
      </c>
      <c r="D5230" t="str">
        <f>INDEX(nse!C:C,MATCH(B5230,nse!B:B,0))</f>
        <v>NCC Limited</v>
      </c>
    </row>
    <row r="5231" spans="2:4" hidden="1" x14ac:dyDescent="0.3">
      <c r="B5231" t="s">
        <v>814</v>
      </c>
      <c r="C5231" t="str">
        <f>INDEX(nse!D:D,MATCH(B5231,nse!B:B,0))</f>
        <v>EQ</v>
      </c>
      <c r="D5231" t="str">
        <f>INDEX(nse!C:C,MATCH(B5231,nse!B:B,0))</f>
        <v>NCL Industries Limited</v>
      </c>
    </row>
    <row r="5232" spans="2:4" hidden="1" x14ac:dyDescent="0.3">
      <c r="B5232" t="s">
        <v>3924</v>
      </c>
      <c r="C5232" t="str">
        <f>INDEX(nse!D:D,MATCH(B5232,nse!B:B,0))</f>
        <v>EQ</v>
      </c>
      <c r="D5232" t="str">
        <f>INDEX(nse!C:C,MATCH(B5232,nse!B:B,0))</f>
        <v>Naga Dhunseri Group Limited</v>
      </c>
    </row>
    <row r="5233" spans="2:4" hidden="1" x14ac:dyDescent="0.3">
      <c r="B5233" t="s">
        <v>815</v>
      </c>
      <c r="C5233" t="str">
        <f>INDEX(nse!D:D,MATCH(B5233,nse!B:B,0))</f>
        <v>EQ</v>
      </c>
      <c r="D5233" t="str">
        <f>INDEX(nse!C:C,MATCH(B5233,nse!B:B,0))</f>
        <v>Nandan Denim Limited</v>
      </c>
    </row>
    <row r="5234" spans="2:4" hidden="1" x14ac:dyDescent="0.3">
      <c r="B5234" t="s">
        <v>816</v>
      </c>
      <c r="C5234" t="str">
        <f>INDEX(nse!D:D,MATCH(B5234,nse!B:B,0))</f>
        <v>EQ</v>
      </c>
      <c r="D5234" t="str">
        <f>INDEX(nse!C:C,MATCH(B5234,nse!B:B,0))</f>
        <v>New Delhi Television Limited</v>
      </c>
    </row>
    <row r="5235" spans="2:4" hidden="1" x14ac:dyDescent="0.3">
      <c r="B5235" t="s">
        <v>3929</v>
      </c>
      <c r="C5235" t="str">
        <f>INDEX(nse!D:D,MATCH(B5235,nse!B:B,0))</f>
        <v>EQ</v>
      </c>
      <c r="D5235" t="str">
        <f>INDEX(nse!C:C,MATCH(B5235,nse!B:B,0))</f>
        <v>North Eastern Carrying Corporation Limited</v>
      </c>
    </row>
    <row r="5236" spans="2:4" hidden="1" x14ac:dyDescent="0.3">
      <c r="B5236" t="s">
        <v>817</v>
      </c>
      <c r="C5236" t="str">
        <f>INDEX(nse!D:D,MATCH(B5236,nse!B:B,0))</f>
        <v>EQ</v>
      </c>
      <c r="D5236" t="str">
        <f>INDEX(nse!C:C,MATCH(B5236,nse!B:B,0))</f>
        <v>Nectar Lifesciences Limited</v>
      </c>
    </row>
    <row r="5237" spans="2:4" hidden="1" x14ac:dyDescent="0.3">
      <c r="B5237" t="s">
        <v>818</v>
      </c>
      <c r="C5237" t="str">
        <f>INDEX(nse!D:D,MATCH(B5237,nse!B:B,0))</f>
        <v>EQ</v>
      </c>
      <c r="D5237" t="str">
        <f>INDEX(nse!C:C,MATCH(B5237,nse!B:B,0))</f>
        <v>Nelcast Limited</v>
      </c>
    </row>
    <row r="5238" spans="2:4" hidden="1" x14ac:dyDescent="0.3">
      <c r="B5238" t="s">
        <v>819</v>
      </c>
      <c r="C5238" t="str">
        <f>INDEX(nse!D:D,MATCH(B5238,nse!B:B,0))</f>
        <v>EQ</v>
      </c>
      <c r="D5238" t="str">
        <f>INDEX(nse!C:C,MATCH(B5238,nse!B:B,0))</f>
        <v>NELCO Limited</v>
      </c>
    </row>
    <row r="5239" spans="2:4" hidden="1" x14ac:dyDescent="0.3">
      <c r="B5239" t="s">
        <v>820</v>
      </c>
      <c r="C5239" t="str">
        <f>INDEX(nse!D:D,MATCH(B5239,nse!B:B,0))</f>
        <v>EQ</v>
      </c>
      <c r="D5239" t="str">
        <f>INDEX(nse!C:C,MATCH(B5239,nse!B:B,0))</f>
        <v>Nesco Limited</v>
      </c>
    </row>
    <row r="5240" spans="2:4" hidden="1" x14ac:dyDescent="0.3">
      <c r="B5240" t="s">
        <v>3936</v>
      </c>
      <c r="C5240" t="str">
        <f>INDEX(nse!D:D,MATCH(B5240,nse!B:B,0))</f>
        <v>EQ</v>
      </c>
      <c r="D5240" t="str">
        <f>INDEX(nse!C:C,MATCH(B5240,nse!B:B,0))</f>
        <v>Nestle India Limited</v>
      </c>
    </row>
    <row r="5241" spans="2:4" hidden="1" x14ac:dyDescent="0.3">
      <c r="B5241" t="s">
        <v>821</v>
      </c>
      <c r="C5241" t="str">
        <f>INDEX(nse!D:D,MATCH(B5241,nse!B:B,0))</f>
        <v>BE</v>
      </c>
      <c r="D5241" t="str">
        <f>INDEX(nse!C:C,MATCH(B5241,nse!B:B,0))</f>
        <v>Net 4 India Limited</v>
      </c>
    </row>
    <row r="5242" spans="2:4" hidden="1" x14ac:dyDescent="0.3">
      <c r="B5242" t="s">
        <v>822</v>
      </c>
      <c r="C5242" t="str">
        <f>INDEX(nse!D:D,MATCH(B5242,nse!B:B,0))</f>
        <v>EQ</v>
      </c>
      <c r="D5242" t="str">
        <f>INDEX(nse!C:C,MATCH(B5242,nse!B:B,0))</f>
        <v>Network18 Media &amp; Investments Limited</v>
      </c>
    </row>
    <row r="5243" spans="2:4" hidden="1" x14ac:dyDescent="0.3">
      <c r="B5243" t="s">
        <v>823</v>
      </c>
      <c r="C5243" t="str">
        <f>INDEX(nse!D:D,MATCH(B5243,nse!B:B,0))</f>
        <v>EQ</v>
      </c>
      <c r="D5243" t="str">
        <f>INDEX(nse!C:C,MATCH(B5243,nse!B:B,0))</f>
        <v>Neuland Laboratories Limited</v>
      </c>
    </row>
    <row r="5244" spans="2:4" hidden="1" x14ac:dyDescent="0.3">
      <c r="B5244" t="s">
        <v>824</v>
      </c>
      <c r="C5244" t="str">
        <f>INDEX(nse!D:D,MATCH(B5244,nse!B:B,0))</f>
        <v>BE</v>
      </c>
      <c r="D5244" t="str">
        <f>INDEX(nse!C:C,MATCH(B5244,nse!B:B,0))</f>
        <v>Next Mediaworks Limited</v>
      </c>
    </row>
    <row r="5245" spans="2:4" hidden="1" x14ac:dyDescent="0.3">
      <c r="B5245" t="s">
        <v>825</v>
      </c>
      <c r="C5245" t="str">
        <f>INDEX(nse!D:D,MATCH(B5245,nse!B:B,0))</f>
        <v>EQ</v>
      </c>
      <c r="D5245" t="str">
        <f>INDEX(nse!C:C,MATCH(B5245,nse!B:B,0))</f>
        <v>National Fertilizers Limited</v>
      </c>
    </row>
    <row r="5246" spans="2:4" hidden="1" x14ac:dyDescent="0.3">
      <c r="B5246" t="s">
        <v>3944</v>
      </c>
      <c r="C5246" t="str">
        <f>INDEX(nse!D:D,MATCH(B5246,nse!B:B,0))</f>
        <v>EQ</v>
      </c>
      <c r="D5246" t="str">
        <f>INDEX(nse!C:C,MATCH(B5246,nse!B:B,0))</f>
        <v>Narayana Hrudayalaya Ltd.</v>
      </c>
    </row>
    <row r="5247" spans="2:4" hidden="1" x14ac:dyDescent="0.3">
      <c r="B5247" t="s">
        <v>24</v>
      </c>
      <c r="C5247" t="str">
        <f>INDEX(nse!D:D,MATCH(B5247,nse!B:B,0))</f>
        <v>EQ</v>
      </c>
      <c r="D5247" t="str">
        <f>INDEX(nse!C:C,MATCH(B5247,nse!B:B,0))</f>
        <v>NHPC Limited</v>
      </c>
    </row>
    <row r="5248" spans="2:4" hidden="1" x14ac:dyDescent="0.3">
      <c r="B5248" t="s">
        <v>826</v>
      </c>
      <c r="C5248" t="str">
        <f>INDEX(nse!D:D,MATCH(B5248,nse!B:B,0))</f>
        <v>EQ</v>
      </c>
      <c r="D5248" t="str">
        <f>INDEX(nse!C:C,MATCH(B5248,nse!B:B,0))</f>
        <v>NRB Industrial Bearings Limited</v>
      </c>
    </row>
    <row r="5249" spans="2:4" hidden="1" x14ac:dyDescent="0.3">
      <c r="B5249" t="s">
        <v>827</v>
      </c>
      <c r="C5249" t="str">
        <f>INDEX(nse!D:D,MATCH(B5249,nse!B:B,0))</f>
        <v>BE</v>
      </c>
      <c r="D5249" t="str">
        <f>INDEX(nse!C:C,MATCH(B5249,nse!B:B,0))</f>
        <v>Nicco Corporation Limited</v>
      </c>
    </row>
    <row r="5250" spans="2:4" hidden="1" x14ac:dyDescent="0.3">
      <c r="B5250" t="s">
        <v>828</v>
      </c>
      <c r="C5250" t="str">
        <f>INDEX(nse!D:D,MATCH(B5250,nse!B:B,0))</f>
        <v>EQ</v>
      </c>
      <c r="D5250" t="str">
        <f>INDEX(nse!C:C,MATCH(B5250,nse!B:B,0))</f>
        <v>NIIT Limited</v>
      </c>
    </row>
    <row r="5251" spans="2:4" hidden="1" x14ac:dyDescent="0.3">
      <c r="B5251" t="s">
        <v>829</v>
      </c>
      <c r="C5251" t="str">
        <f>INDEX(nse!D:D,MATCH(B5251,nse!B:B,0))</f>
        <v>EQ</v>
      </c>
      <c r="D5251" t="str">
        <f>INDEX(nse!C:C,MATCH(B5251,nse!B:B,0))</f>
        <v>NIIT Technologies Limited</v>
      </c>
    </row>
    <row r="5252" spans="2:4" hidden="1" x14ac:dyDescent="0.3">
      <c r="B5252" t="s">
        <v>3952</v>
      </c>
      <c r="C5252" t="str">
        <f>INDEX(nse!D:D,MATCH(B5252,nse!B:B,0))</f>
        <v>EQ</v>
      </c>
      <c r="D5252" t="str">
        <f>INDEX(nse!C:C,MATCH(B5252,nse!B:B,0))</f>
        <v>Nila Infrastructures Limited</v>
      </c>
    </row>
    <row r="5253" spans="2:4" hidden="1" x14ac:dyDescent="0.3">
      <c r="B5253" t="s">
        <v>830</v>
      </c>
      <c r="C5253" t="str">
        <f>INDEX(nse!D:D,MATCH(B5253,nse!B:B,0))</f>
        <v>EQ</v>
      </c>
      <c r="D5253" t="str">
        <f>INDEX(nse!C:C,MATCH(B5253,nse!B:B,0))</f>
        <v>Nilkamal Limited</v>
      </c>
    </row>
    <row r="5254" spans="2:4" hidden="1" x14ac:dyDescent="0.3">
      <c r="B5254" t="s">
        <v>831</v>
      </c>
      <c r="C5254" t="str">
        <f>INDEX(nse!D:D,MATCH(B5254,nse!B:B,0))</f>
        <v>EQ</v>
      </c>
      <c r="D5254" t="str">
        <f>INDEX(nse!C:C,MATCH(B5254,nse!B:B,0))</f>
        <v>Indo-National Limited</v>
      </c>
    </row>
    <row r="5255" spans="2:4" hidden="1" x14ac:dyDescent="0.3">
      <c r="B5255" t="s">
        <v>3958</v>
      </c>
      <c r="C5255" t="str">
        <f>INDEX(nse!D:D,MATCH(B5255,nse!B:B,0))</f>
        <v>BE</v>
      </c>
      <c r="D5255" t="str">
        <f>INDEX(nse!C:C,MATCH(B5255,nse!B:B,0))</f>
        <v>Niraj Ispat Industries Limited</v>
      </c>
    </row>
    <row r="5256" spans="2:4" hidden="1" x14ac:dyDescent="0.3">
      <c r="B5256" t="s">
        <v>832</v>
      </c>
      <c r="C5256" t="str">
        <f>INDEX(nse!D:D,MATCH(B5256,nse!B:B,0))</f>
        <v>EQ</v>
      </c>
      <c r="D5256" t="str">
        <f>INDEX(nse!C:C,MATCH(B5256,nse!B:B,0))</f>
        <v>Nitco Limited</v>
      </c>
    </row>
    <row r="5257" spans="2:4" hidden="1" x14ac:dyDescent="0.3">
      <c r="B5257" t="s">
        <v>833</v>
      </c>
      <c r="C5257" t="str">
        <f>INDEX(nse!D:D,MATCH(B5257,nse!B:B,0))</f>
        <v>EQ</v>
      </c>
      <c r="D5257" t="str">
        <f>INDEX(nse!C:C,MATCH(B5257,nse!B:B,0))</f>
        <v>Nitesh Estates Limited</v>
      </c>
    </row>
    <row r="5258" spans="2:4" hidden="1" x14ac:dyDescent="0.3">
      <c r="B5258" t="s">
        <v>834</v>
      </c>
      <c r="C5258" t="str">
        <f>INDEX(nse!D:D,MATCH(B5258,nse!B:B,0))</f>
        <v>EQ</v>
      </c>
      <c r="D5258" t="str">
        <f>INDEX(nse!C:C,MATCH(B5258,nse!B:B,0))</f>
        <v>Nitin Fire Protection Industries Limited</v>
      </c>
    </row>
    <row r="5259" spans="2:4" hidden="1" x14ac:dyDescent="0.3">
      <c r="B5259" t="s">
        <v>835</v>
      </c>
      <c r="C5259" t="str">
        <f>INDEX(nse!D:D,MATCH(B5259,nse!B:B,0))</f>
        <v>EQ</v>
      </c>
      <c r="D5259" t="str">
        <f>INDEX(nse!C:C,MATCH(B5259,nse!B:B,0))</f>
        <v>Nitin Spinners Limited</v>
      </c>
    </row>
    <row r="5260" spans="2:4" hidden="1" x14ac:dyDescent="0.3">
      <c r="B5260" t="s">
        <v>1321</v>
      </c>
      <c r="C5260" t="str">
        <f>INDEX(nse!D:D,MATCH(B5260,nse!B:B,0))</f>
        <v>EQ</v>
      </c>
      <c r="D5260" t="str">
        <f>INDEX(nse!C:C,MATCH(B5260,nse!B:B,0))</f>
        <v>NK Industries Limited</v>
      </c>
    </row>
    <row r="5261" spans="2:4" hidden="1" x14ac:dyDescent="0.3">
      <c r="B5261" t="s">
        <v>3966</v>
      </c>
      <c r="C5261" t="str">
        <f>INDEX(nse!D:D,MATCH(B5261,nse!B:B,0))</f>
        <v>EQ</v>
      </c>
      <c r="D5261" t="str">
        <f>INDEX(nse!C:C,MATCH(B5261,nse!B:B,0))</f>
        <v>NLC India Limited</v>
      </c>
    </row>
    <row r="5262" spans="2:4" hidden="1" x14ac:dyDescent="0.3">
      <c r="B5262" t="s">
        <v>114</v>
      </c>
      <c r="C5262" t="str">
        <f>INDEX(nse!D:D,MATCH(B5262,nse!B:B,0))</f>
        <v>EQ</v>
      </c>
      <c r="D5262" t="str">
        <f>INDEX(nse!C:C,MATCH(B5262,nse!B:B,0))</f>
        <v>NMDC Limited</v>
      </c>
    </row>
    <row r="5263" spans="2:4" hidden="1" x14ac:dyDescent="0.3">
      <c r="B5263" t="s">
        <v>836</v>
      </c>
      <c r="C5263" t="str">
        <f>INDEX(nse!D:D,MATCH(B5263,nse!B:B,0))</f>
        <v>EQ</v>
      </c>
      <c r="D5263" t="str">
        <f>INDEX(nse!C:C,MATCH(B5263,nse!B:B,0))</f>
        <v>NOCIL Limited</v>
      </c>
    </row>
    <row r="5264" spans="2:4" hidden="1" x14ac:dyDescent="0.3">
      <c r="B5264" t="s">
        <v>1322</v>
      </c>
      <c r="C5264" t="str">
        <f>INDEX(nse!D:D,MATCH(B5264,nse!B:B,0))</f>
        <v>BE</v>
      </c>
      <c r="D5264" t="str">
        <f>INDEX(nse!C:C,MATCH(B5264,nse!B:B,0))</f>
        <v>Noesis Industries Limited</v>
      </c>
    </row>
    <row r="5265" spans="2:4" hidden="1" x14ac:dyDescent="0.3">
      <c r="B5265" t="s">
        <v>837</v>
      </c>
      <c r="C5265" t="str">
        <f>INDEX(nse!D:D,MATCH(B5265,nse!B:B,0))</f>
        <v>EQ</v>
      </c>
      <c r="D5265" t="str">
        <f>INDEX(nse!C:C,MATCH(B5265,nse!B:B,0))</f>
        <v>Noida Toll Bridge Company Limited</v>
      </c>
    </row>
    <row r="5266" spans="2:4" hidden="1" x14ac:dyDescent="0.3">
      <c r="B5266" t="s">
        <v>1323</v>
      </c>
      <c r="C5266" t="str">
        <f>INDEX(nse!D:D,MATCH(B5266,nse!B:B,0))</f>
        <v>EQ</v>
      </c>
      <c r="D5266" t="str">
        <f>INDEX(nse!C:C,MATCH(B5266,nse!B:B,0))</f>
        <v>Norben Tea &amp; Exports Limited</v>
      </c>
    </row>
    <row r="5267" spans="2:4" hidden="1" x14ac:dyDescent="0.3">
      <c r="B5267" t="s">
        <v>3974</v>
      </c>
      <c r="C5267" t="str">
        <f>INDEX(nse!D:D,MATCH(B5267,nse!B:B,0))</f>
        <v>EQ</v>
      </c>
      <c r="D5267" t="str">
        <f>INDEX(nse!C:C,MATCH(B5267,nse!B:B,0))</f>
        <v>N R Agarwal Industries Limited</v>
      </c>
    </row>
    <row r="5268" spans="2:4" hidden="1" x14ac:dyDescent="0.3">
      <c r="B5268" t="s">
        <v>838</v>
      </c>
      <c r="C5268" t="str">
        <f>INDEX(nse!D:D,MATCH(B5268,nse!B:B,0))</f>
        <v>EQ</v>
      </c>
      <c r="D5268" t="str">
        <f>INDEX(nse!C:C,MATCH(B5268,nse!B:B,0))</f>
        <v>NRB Bearing Limited</v>
      </c>
    </row>
    <row r="5269" spans="2:4" hidden="1" x14ac:dyDescent="0.3">
      <c r="B5269" t="s">
        <v>839</v>
      </c>
      <c r="C5269" t="str">
        <f>INDEX(nse!D:D,MATCH(B5269,nse!B:B,0))</f>
        <v>EQ</v>
      </c>
      <c r="D5269" t="str">
        <f>INDEX(nse!C:C,MATCH(B5269,nse!B:B,0))</f>
        <v>Nalwa Sons Investments Limited</v>
      </c>
    </row>
    <row r="5270" spans="2:4" hidden="1" x14ac:dyDescent="0.3">
      <c r="B5270" t="s">
        <v>3979</v>
      </c>
      <c r="C5270" t="str">
        <f>INDEX(nse!D:D,MATCH(B5270,nse!B:B,0))</f>
        <v>EQ</v>
      </c>
      <c r="D5270" t="str">
        <f>INDEX(nse!C:C,MATCH(B5270,nse!B:B,0))</f>
        <v>Neueon Towers Limited</v>
      </c>
    </row>
    <row r="5271" spans="2:4" hidden="1" x14ac:dyDescent="0.3">
      <c r="B5271" t="s">
        <v>840</v>
      </c>
      <c r="C5271" t="str">
        <f>INDEX(nse!D:D,MATCH(B5271,nse!B:B,0))</f>
        <v>EQ</v>
      </c>
      <c r="D5271" t="str">
        <f>INDEX(nse!C:C,MATCH(B5271,nse!B:B,0))</f>
        <v>NTPC Limited</v>
      </c>
    </row>
    <row r="5272" spans="2:4" hidden="1" x14ac:dyDescent="0.3">
      <c r="B5272" t="s">
        <v>841</v>
      </c>
      <c r="C5272" t="str">
        <f>INDEX(nse!D:D,MATCH(B5272,nse!B:B,0))</f>
        <v>EQ</v>
      </c>
      <c r="D5272" t="str">
        <f>INDEX(nse!C:C,MATCH(B5272,nse!B:B,0))</f>
        <v>Nucleus Software Exports Limited</v>
      </c>
    </row>
    <row r="5273" spans="2:4" hidden="1" x14ac:dyDescent="0.3">
      <c r="B5273" t="s">
        <v>842</v>
      </c>
      <c r="C5273" t="str">
        <f>INDEX(nse!D:D,MATCH(B5273,nse!B:B,0))</f>
        <v>EQ</v>
      </c>
      <c r="D5273" t="str">
        <f>INDEX(nse!C:C,MATCH(B5273,nse!B:B,0))</f>
        <v>Nu Tek India Limited</v>
      </c>
    </row>
    <row r="5274" spans="2:4" hidden="1" x14ac:dyDescent="0.3">
      <c r="B5274" t="s">
        <v>843</v>
      </c>
      <c r="C5274" t="str">
        <f>INDEX(nse!D:D,MATCH(B5274,nse!B:B,0))</f>
        <v>EQ</v>
      </c>
      <c r="D5274" t="str">
        <f>INDEX(nse!C:C,MATCH(B5274,nse!B:B,0))</f>
        <v>Oberoi Realty Limited</v>
      </c>
    </row>
    <row r="5275" spans="2:4" hidden="1" x14ac:dyDescent="0.3">
      <c r="B5275" t="s">
        <v>3986</v>
      </c>
      <c r="C5275" t="str">
        <f>INDEX(nse!D:D,MATCH(B5275,nse!B:B,0))</f>
        <v>EQ</v>
      </c>
      <c r="D5275" t="str">
        <f>INDEX(nse!C:C,MATCH(B5275,nse!B:B,0))</f>
        <v>Oriental Carbon &amp; Chemicals Limited</v>
      </c>
    </row>
    <row r="5276" spans="2:4" hidden="1" x14ac:dyDescent="0.3">
      <c r="B5276" t="s">
        <v>844</v>
      </c>
      <c r="C5276" t="str">
        <f>INDEX(nse!D:D,MATCH(B5276,nse!B:B,0))</f>
        <v>EQ</v>
      </c>
      <c r="D5276" t="str">
        <f>INDEX(nse!C:C,MATCH(B5276,nse!B:B,0))</f>
        <v>OCL India Limited</v>
      </c>
    </row>
    <row r="5277" spans="2:4" hidden="1" x14ac:dyDescent="0.3">
      <c r="B5277" t="s">
        <v>25</v>
      </c>
      <c r="C5277" t="str">
        <f>INDEX(nse!D:D,MATCH(B5277,nse!B:B,0))</f>
        <v>EQ</v>
      </c>
      <c r="D5277" t="str">
        <f>INDEX(nse!C:C,MATCH(B5277,nse!B:B,0))</f>
        <v>Oracle Financial Services Software Limited</v>
      </c>
    </row>
    <row r="5278" spans="2:4" hidden="1" x14ac:dyDescent="0.3">
      <c r="B5278" t="s">
        <v>80</v>
      </c>
      <c r="C5278" t="str">
        <f>INDEX(nse!D:D,MATCH(B5278,nse!B:B,0))</f>
        <v>EQ</v>
      </c>
      <c r="D5278" t="str">
        <f>INDEX(nse!C:C,MATCH(B5278,nse!B:B,0))</f>
        <v>Oil India Limited</v>
      </c>
    </row>
    <row r="5279" spans="2:4" hidden="1" x14ac:dyDescent="0.3">
      <c r="B5279" t="s">
        <v>845</v>
      </c>
      <c r="C5279" t="str">
        <f>INDEX(nse!D:D,MATCH(B5279,nse!B:B,0))</f>
        <v>EQ</v>
      </c>
      <c r="D5279" t="str">
        <f>INDEX(nse!C:C,MATCH(B5279,nse!B:B,0))</f>
        <v>Oil Country Tubular Limited</v>
      </c>
    </row>
    <row r="5280" spans="2:4" hidden="1" x14ac:dyDescent="0.3">
      <c r="B5280" t="s">
        <v>846</v>
      </c>
      <c r="C5280" t="str">
        <f>INDEX(nse!D:D,MATCH(B5280,nse!B:B,0))</f>
        <v>BE</v>
      </c>
      <c r="D5280" t="str">
        <f>INDEX(nse!C:C,MATCH(B5280,nse!B:B,0))</f>
        <v>OCL Iron and Steel Limited</v>
      </c>
    </row>
    <row r="5281" spans="2:4" hidden="1" x14ac:dyDescent="0.3">
      <c r="B5281" t="s">
        <v>847</v>
      </c>
      <c r="C5281" t="str">
        <f>INDEX(nse!D:D,MATCH(B5281,nse!B:B,0))</f>
        <v>EQ</v>
      </c>
      <c r="D5281" t="str">
        <f>INDEX(nse!C:C,MATCH(B5281,nse!B:B,0))</f>
        <v>Omax Autos Limited</v>
      </c>
    </row>
    <row r="5282" spans="2:4" hidden="1" x14ac:dyDescent="0.3">
      <c r="B5282" t="s">
        <v>848</v>
      </c>
      <c r="C5282" t="str">
        <f>INDEX(nse!D:D,MATCH(B5282,nse!B:B,0))</f>
        <v>EQ</v>
      </c>
      <c r="D5282" t="str">
        <f>INDEX(nse!C:C,MATCH(B5282,nse!B:B,0))</f>
        <v>Omaxe Limited</v>
      </c>
    </row>
    <row r="5283" spans="2:4" hidden="1" x14ac:dyDescent="0.3">
      <c r="B5283" t="s">
        <v>849</v>
      </c>
      <c r="C5283" t="str">
        <f>INDEX(nse!D:D,MATCH(B5283,nse!B:B,0))</f>
        <v>EQ</v>
      </c>
      <c r="D5283" t="str">
        <f>INDEX(nse!C:C,MATCH(B5283,nse!B:B,0))</f>
        <v>Omkar Speciality Chemicals Limited</v>
      </c>
    </row>
    <row r="5284" spans="2:4" hidden="1" x14ac:dyDescent="0.3">
      <c r="B5284" t="s">
        <v>850</v>
      </c>
      <c r="C5284" t="str">
        <f>INDEX(nse!D:D,MATCH(B5284,nse!B:B,0))</f>
        <v>EQ</v>
      </c>
      <c r="D5284" t="str">
        <f>INDEX(nse!C:C,MATCH(B5284,nse!B:B,0))</f>
        <v>OM Metals Infraprojects Limited</v>
      </c>
    </row>
    <row r="5285" spans="2:4" hidden="1" x14ac:dyDescent="0.3">
      <c r="B5285" t="s">
        <v>851</v>
      </c>
      <c r="C5285" t="str">
        <f>INDEX(nse!D:D,MATCH(B5285,nse!B:B,0))</f>
        <v>BE</v>
      </c>
      <c r="D5285" t="str">
        <f>INDEX(nse!C:C,MATCH(B5285,nse!B:B,0))</f>
        <v>Onelife Capital Advisors Limited</v>
      </c>
    </row>
    <row r="5286" spans="2:4" hidden="1" x14ac:dyDescent="0.3">
      <c r="B5286" t="s">
        <v>852</v>
      </c>
      <c r="C5286" t="str">
        <f>INDEX(nse!D:D,MATCH(B5286,nse!B:B,0))</f>
        <v>EQ</v>
      </c>
      <c r="D5286" t="str">
        <f>INDEX(nse!C:C,MATCH(B5286,nse!B:B,0))</f>
        <v>Oil &amp; Natural Gas Corporation Limited</v>
      </c>
    </row>
    <row r="5287" spans="2:4" hidden="1" x14ac:dyDescent="0.3">
      <c r="B5287" t="s">
        <v>853</v>
      </c>
      <c r="C5287" t="str">
        <f>INDEX(nse!D:D,MATCH(B5287,nse!B:B,0))</f>
        <v>EQ</v>
      </c>
      <c r="D5287" t="str">
        <f>INDEX(nse!C:C,MATCH(B5287,nse!B:B,0))</f>
        <v>OnMobile Global Limited</v>
      </c>
    </row>
    <row r="5288" spans="2:4" hidden="1" x14ac:dyDescent="0.3">
      <c r="B5288" t="s">
        <v>854</v>
      </c>
      <c r="C5288" t="str">
        <f>INDEX(nse!D:D,MATCH(B5288,nse!B:B,0))</f>
        <v>BE</v>
      </c>
      <c r="D5288" t="str">
        <f>INDEX(nse!C:C,MATCH(B5288,nse!B:B,0))</f>
        <v>Onward Technologies Limited</v>
      </c>
    </row>
    <row r="5289" spans="2:4" hidden="1" x14ac:dyDescent="0.3">
      <c r="B5289" t="s">
        <v>855</v>
      </c>
      <c r="C5289" t="str">
        <f>INDEX(nse!D:D,MATCH(B5289,nse!B:B,0))</f>
        <v>EQ</v>
      </c>
      <c r="D5289" t="str">
        <f>INDEX(nse!C:C,MATCH(B5289,nse!B:B,0))</f>
        <v>Opto Circuits (India) Limited</v>
      </c>
    </row>
    <row r="5290" spans="2:4" hidden="1" x14ac:dyDescent="0.3">
      <c r="B5290" t="s">
        <v>856</v>
      </c>
      <c r="C5290" t="str">
        <f>INDEX(nse!D:D,MATCH(B5290,nse!B:B,0))</f>
        <v>BE</v>
      </c>
      <c r="D5290" t="str">
        <f>INDEX(nse!C:C,MATCH(B5290,nse!B:B,0))</f>
        <v>Orbit Corporation Limited</v>
      </c>
    </row>
    <row r="5291" spans="2:4" hidden="1" x14ac:dyDescent="0.3">
      <c r="B5291" t="s">
        <v>856</v>
      </c>
      <c r="C5291" t="str">
        <f>INDEX(nse!D:D,MATCH(B5291,nse!B:B,0))</f>
        <v>BE</v>
      </c>
      <c r="D5291" t="str">
        <f>INDEX(nse!C:C,MATCH(B5291,nse!B:B,0))</f>
        <v>Orbit Corporation Limited</v>
      </c>
    </row>
    <row r="5292" spans="2:4" hidden="1" x14ac:dyDescent="0.3">
      <c r="B5292" t="s">
        <v>857</v>
      </c>
      <c r="C5292" t="str">
        <f>INDEX(nse!D:D,MATCH(B5292,nse!B:B,0))</f>
        <v>EQ</v>
      </c>
      <c r="D5292" t="str">
        <f>INDEX(nse!C:C,MATCH(B5292,nse!B:B,0))</f>
        <v>Orbit Exports Limited</v>
      </c>
    </row>
    <row r="5293" spans="2:4" hidden="1" x14ac:dyDescent="0.3">
      <c r="B5293" t="s">
        <v>4005</v>
      </c>
      <c r="C5293" t="str">
        <f>INDEX(nse!D:D,MATCH(B5293,nse!B:B,0))</f>
        <v>EQ</v>
      </c>
      <c r="D5293" t="str">
        <f>INDEX(nse!C:C,MATCH(B5293,nse!B:B,0))</f>
        <v>Orchid Pharma Limited</v>
      </c>
    </row>
    <row r="5294" spans="2:4" hidden="1" x14ac:dyDescent="0.3">
      <c r="B5294" t="s">
        <v>4008</v>
      </c>
      <c r="C5294" t="str">
        <f>INDEX(nse!D:D,MATCH(B5294,nse!B:B,0))</f>
        <v>EQ</v>
      </c>
      <c r="D5294" t="str">
        <f>INDEX(nse!C:C,MATCH(B5294,nse!B:B,0))</f>
        <v>Oricon Enterprises Limited</v>
      </c>
    </row>
    <row r="5295" spans="2:4" hidden="1" x14ac:dyDescent="0.3">
      <c r="B5295" t="s">
        <v>858</v>
      </c>
      <c r="C5295" t="str">
        <f>INDEX(nse!D:D,MATCH(B5295,nse!B:B,0))</f>
        <v>EQ</v>
      </c>
      <c r="D5295" t="str">
        <f>INDEX(nse!C:C,MATCH(B5295,nse!B:B,0))</f>
        <v>Orient Abrasives Limited</v>
      </c>
    </row>
    <row r="5296" spans="2:4" hidden="1" x14ac:dyDescent="0.3">
      <c r="B5296" t="s">
        <v>1324</v>
      </c>
      <c r="C5296" t="str">
        <f>INDEX(nse!D:D,MATCH(B5296,nse!B:B,0))</f>
        <v>BE</v>
      </c>
      <c r="D5296" t="str">
        <f>INDEX(nse!C:C,MATCH(B5296,nse!B:B,0))</f>
        <v>Oriental Trimex Limited</v>
      </c>
    </row>
    <row r="5297" spans="2:4" hidden="1" x14ac:dyDescent="0.3">
      <c r="B5297" t="s">
        <v>81</v>
      </c>
      <c r="C5297" t="str">
        <f>INDEX(nse!D:D,MATCH(B5297,nse!B:B,0))</f>
        <v>EQ</v>
      </c>
      <c r="D5297" t="str">
        <f>INDEX(nse!C:C,MATCH(B5297,nse!B:B,0))</f>
        <v>Oriental Bank of Commerce</v>
      </c>
    </row>
    <row r="5298" spans="2:4" hidden="1" x14ac:dyDescent="0.3">
      <c r="B5298" t="s">
        <v>859</v>
      </c>
      <c r="C5298" t="str">
        <f>INDEX(nse!D:D,MATCH(B5298,nse!B:B,0))</f>
        <v>EQ</v>
      </c>
      <c r="D5298" t="str">
        <f>INDEX(nse!C:C,MATCH(B5298,nse!B:B,0))</f>
        <v>Orient Bell Limited</v>
      </c>
    </row>
    <row r="5299" spans="2:4" hidden="1" x14ac:dyDescent="0.3">
      <c r="B5299" t="s">
        <v>860</v>
      </c>
      <c r="C5299" t="str">
        <f>INDEX(nse!D:D,MATCH(B5299,nse!B:B,0))</f>
        <v>EQ</v>
      </c>
      <c r="D5299" t="str">
        <f>INDEX(nse!C:C,MATCH(B5299,nse!B:B,0))</f>
        <v>Orient Cement Limited</v>
      </c>
    </row>
    <row r="5300" spans="2:4" hidden="1" x14ac:dyDescent="0.3">
      <c r="B5300" t="s">
        <v>861</v>
      </c>
      <c r="C5300" t="str">
        <f>INDEX(nse!D:D,MATCH(B5300,nse!B:B,0))</f>
        <v>EQ</v>
      </c>
      <c r="D5300" t="str">
        <f>INDEX(nse!C:C,MATCH(B5300,nse!B:B,0))</f>
        <v>Oriental Hotels Limited</v>
      </c>
    </row>
    <row r="5301" spans="2:4" hidden="1" x14ac:dyDescent="0.3">
      <c r="B5301" t="s">
        <v>862</v>
      </c>
      <c r="C5301" t="str">
        <f>INDEX(nse!D:D,MATCH(B5301,nse!B:B,0))</f>
        <v>EQ</v>
      </c>
      <c r="D5301" t="str">
        <f>INDEX(nse!C:C,MATCH(B5301,nse!B:B,0))</f>
        <v>Orient Press Limited</v>
      </c>
    </row>
    <row r="5302" spans="2:4" hidden="1" x14ac:dyDescent="0.3">
      <c r="B5302" t="s">
        <v>863</v>
      </c>
      <c r="C5302" t="str">
        <f>INDEX(nse!D:D,MATCH(B5302,nse!B:B,0))</f>
        <v>EQ</v>
      </c>
      <c r="D5302" t="str">
        <f>INDEX(nse!C:C,MATCH(B5302,nse!B:B,0))</f>
        <v>Orient Paper &amp; Industries Limited</v>
      </c>
    </row>
    <row r="5303" spans="2:4" hidden="1" x14ac:dyDescent="0.3">
      <c r="B5303" t="s">
        <v>864</v>
      </c>
      <c r="C5303" t="str">
        <f>INDEX(nse!D:D,MATCH(B5303,nse!B:B,0))</f>
        <v>EQ</v>
      </c>
      <c r="D5303" t="str">
        <f>INDEX(nse!C:C,MATCH(B5303,nse!B:B,0))</f>
        <v>Orient Refractories Limited</v>
      </c>
    </row>
    <row r="5304" spans="2:4" hidden="1" x14ac:dyDescent="0.3">
      <c r="B5304" t="s">
        <v>865</v>
      </c>
      <c r="C5304" t="str">
        <f>INDEX(nse!D:D,MATCH(B5304,nse!B:B,0))</f>
        <v>EQ</v>
      </c>
      <c r="D5304" t="str">
        <f>INDEX(nse!C:C,MATCH(B5304,nse!B:B,0))</f>
        <v>The Orissa Minerals Development Company Limited</v>
      </c>
    </row>
    <row r="5305" spans="2:4" hidden="1" x14ac:dyDescent="0.3">
      <c r="B5305" t="s">
        <v>4021</v>
      </c>
      <c r="C5305" t="str">
        <f>INDEX(nse!D:D,MATCH(B5305,nse!B:B,0))</f>
        <v>EQ</v>
      </c>
      <c r="D5305" t="str">
        <f>INDEX(nse!C:C,MATCH(B5305,nse!B:B,0))</f>
        <v>Ortel Communications Limited</v>
      </c>
    </row>
    <row r="5306" spans="2:4" hidden="1" x14ac:dyDescent="0.3">
      <c r="B5306" t="s">
        <v>4024</v>
      </c>
      <c r="C5306" t="str">
        <f>INDEX(nse!D:D,MATCH(B5306,nse!B:B,0))</f>
        <v>BE</v>
      </c>
      <c r="D5306" t="str">
        <f>INDEX(nse!C:C,MATCH(B5306,nse!B:B,0))</f>
        <v>Ortin Laboratories Limited</v>
      </c>
    </row>
    <row r="5307" spans="2:4" hidden="1" x14ac:dyDescent="0.3">
      <c r="B5307" t="s">
        <v>866</v>
      </c>
      <c r="C5307" t="str">
        <f>INDEX(nse!D:D,MATCH(B5307,nse!B:B,0))</f>
        <v>BE</v>
      </c>
      <c r="D5307" t="str">
        <f>INDEX(nse!C:C,MATCH(B5307,nse!B:B,0))</f>
        <v>PAE Limited</v>
      </c>
    </row>
    <row r="5308" spans="2:4" hidden="1" x14ac:dyDescent="0.3">
      <c r="B5308" t="s">
        <v>867</v>
      </c>
      <c r="C5308" t="str">
        <f>INDEX(nse!D:D,MATCH(B5308,nse!B:B,0))</f>
        <v>EQ</v>
      </c>
      <c r="D5308" t="str">
        <f>INDEX(nse!C:C,MATCH(B5308,nse!B:B,0))</f>
        <v>Page Industries Limited</v>
      </c>
    </row>
    <row r="5309" spans="2:4" hidden="1" x14ac:dyDescent="0.3">
      <c r="B5309" t="s">
        <v>4029</v>
      </c>
      <c r="C5309" t="str">
        <f>INDEX(nse!D:D,MATCH(B5309,nse!B:B,0))</f>
        <v>BE</v>
      </c>
      <c r="D5309" t="str">
        <f>INDEX(nse!C:C,MATCH(B5309,nse!B:B,0))</f>
        <v>Palred Technologies Limited</v>
      </c>
    </row>
    <row r="5310" spans="2:4" hidden="1" x14ac:dyDescent="0.3">
      <c r="B5310" t="s">
        <v>868</v>
      </c>
      <c r="C5310" t="str">
        <f>INDEX(nse!D:D,MATCH(B5310,nse!B:B,0))</f>
        <v>EQ</v>
      </c>
      <c r="D5310" t="str">
        <f>INDEX(nse!C:C,MATCH(B5310,nse!B:B,0))</f>
        <v>Panacea Biotec Limited</v>
      </c>
    </row>
    <row r="5311" spans="2:4" hidden="1" x14ac:dyDescent="0.3">
      <c r="B5311" t="s">
        <v>869</v>
      </c>
      <c r="C5311" t="str">
        <f>INDEX(nse!D:D,MATCH(B5311,nse!B:B,0))</f>
        <v>EQ</v>
      </c>
      <c r="D5311" t="str">
        <f>INDEX(nse!C:C,MATCH(B5311,nse!B:B,0))</f>
        <v>Panama Petrochem Limited</v>
      </c>
    </row>
    <row r="5312" spans="2:4" hidden="1" x14ac:dyDescent="0.3">
      <c r="B5312" t="s">
        <v>870</v>
      </c>
      <c r="C5312" t="str">
        <f>INDEX(nse!D:D,MATCH(B5312,nse!B:B,0))</f>
        <v>EQ</v>
      </c>
      <c r="D5312" t="str">
        <f>INDEX(nse!C:C,MATCH(B5312,nse!B:B,0))</f>
        <v>Panoramic Universal Limited</v>
      </c>
    </row>
    <row r="5313" spans="2:4" hidden="1" x14ac:dyDescent="0.3">
      <c r="B5313" t="s">
        <v>871</v>
      </c>
      <c r="C5313" t="str">
        <f>INDEX(nse!D:D,MATCH(B5313,nse!B:B,0))</f>
        <v>EQ</v>
      </c>
      <c r="D5313" t="str">
        <f>INDEX(nse!C:C,MATCH(B5313,nse!B:B,0))</f>
        <v>Huhtamaki PPL Limited</v>
      </c>
    </row>
    <row r="5314" spans="2:4" hidden="1" x14ac:dyDescent="0.3">
      <c r="B5314" t="s">
        <v>872</v>
      </c>
      <c r="C5314" t="str">
        <f>INDEX(nse!D:D,MATCH(B5314,nse!B:B,0))</f>
        <v>EQ</v>
      </c>
      <c r="D5314" t="str">
        <f>INDEX(nse!C:C,MATCH(B5314,nse!B:B,0))</f>
        <v>Parabolic Drugs Limited</v>
      </c>
    </row>
    <row r="5315" spans="2:4" hidden="1" x14ac:dyDescent="0.3">
      <c r="B5315" t="s">
        <v>873</v>
      </c>
      <c r="C5315" t="str">
        <f>INDEX(nse!D:D,MATCH(B5315,nse!B:B,0))</f>
        <v>BE</v>
      </c>
      <c r="D5315" t="str">
        <f>INDEX(nse!C:C,MATCH(B5315,nse!B:B,0))</f>
        <v>Paramount Communications Limited</v>
      </c>
    </row>
    <row r="5316" spans="2:4" hidden="1" x14ac:dyDescent="0.3">
      <c r="B5316" t="s">
        <v>4037</v>
      </c>
      <c r="C5316" t="str">
        <f>INDEX(nse!D:D,MATCH(B5316,nse!B:B,0))</f>
        <v>EQ</v>
      </c>
      <c r="D5316" t="str">
        <f>INDEX(nse!C:C,MATCH(B5316,nse!B:B,0))</f>
        <v>Parag Milk Foods Limited</v>
      </c>
    </row>
    <row r="5317" spans="2:4" hidden="1" x14ac:dyDescent="0.3">
      <c r="B5317" t="s">
        <v>874</v>
      </c>
      <c r="C5317" t="str">
        <f>INDEX(nse!D:D,MATCH(B5317,nse!B:B,0))</f>
        <v>EQ</v>
      </c>
      <c r="D5317" t="str">
        <f>INDEX(nse!C:C,MATCH(B5317,nse!B:B,0))</f>
        <v>Parsvnath Developers Limited</v>
      </c>
    </row>
    <row r="5318" spans="2:4" hidden="1" x14ac:dyDescent="0.3">
      <c r="B5318" t="s">
        <v>875</v>
      </c>
      <c r="C5318" t="str">
        <f>INDEX(nse!D:D,MATCH(B5318,nse!B:B,0))</f>
        <v>EQ</v>
      </c>
      <c r="D5318" t="str">
        <f>INDEX(nse!C:C,MATCH(B5318,nse!B:B,0))</f>
        <v>Patel Engineering Limited</v>
      </c>
    </row>
    <row r="5319" spans="2:4" hidden="1" x14ac:dyDescent="0.3">
      <c r="B5319" t="s">
        <v>876</v>
      </c>
      <c r="C5319" t="str">
        <f>INDEX(nse!D:D,MATCH(B5319,nse!B:B,0))</f>
        <v>EQ</v>
      </c>
      <c r="D5319" t="str">
        <f>INDEX(nse!C:C,MATCH(B5319,nse!B:B,0))</f>
        <v>Patel Integrated Logistics Limited</v>
      </c>
    </row>
    <row r="5320" spans="2:4" hidden="1" x14ac:dyDescent="0.3">
      <c r="B5320" t="s">
        <v>877</v>
      </c>
      <c r="C5320" t="str">
        <f>INDEX(nse!D:D,MATCH(B5320,nse!B:B,0))</f>
        <v>EQ</v>
      </c>
      <c r="D5320" t="str">
        <f>INDEX(nse!C:C,MATCH(B5320,nse!B:B,0))</f>
        <v>Patspin India Limited</v>
      </c>
    </row>
    <row r="5321" spans="2:4" hidden="1" x14ac:dyDescent="0.3">
      <c r="B5321" t="s">
        <v>878</v>
      </c>
      <c r="C5321" t="str">
        <f>INDEX(nse!D:D,MATCH(B5321,nse!B:B,0))</f>
        <v>EQ</v>
      </c>
      <c r="D5321" t="str">
        <f>INDEX(nse!C:C,MATCH(B5321,nse!B:B,0))</f>
        <v>PBA Infrastructure Limited</v>
      </c>
    </row>
    <row r="5322" spans="2:4" hidden="1" x14ac:dyDescent="0.3">
      <c r="B5322" t="s">
        <v>879</v>
      </c>
      <c r="C5322" t="str">
        <f>INDEX(nse!D:D,MATCH(B5322,nse!B:B,0))</f>
        <v>EQ</v>
      </c>
      <c r="D5322" t="str">
        <f>INDEX(nse!C:C,MATCH(B5322,nse!B:B,0))</f>
        <v>PC Jeweller Limited</v>
      </c>
    </row>
    <row r="5323" spans="2:4" hidden="1" x14ac:dyDescent="0.3">
      <c r="B5323" t="s">
        <v>4046</v>
      </c>
      <c r="C5323" t="str">
        <f>INDEX(nse!D:D,MATCH(B5323,nse!B:B,0))</f>
        <v>EQ</v>
      </c>
      <c r="D5323" t="str">
        <f>INDEX(nse!C:C,MATCH(B5323,nse!B:B,0))</f>
        <v>Pudumjee Paper Products Limited</v>
      </c>
    </row>
    <row r="5324" spans="2:4" hidden="1" x14ac:dyDescent="0.3">
      <c r="B5324" t="s">
        <v>880</v>
      </c>
      <c r="C5324" t="str">
        <f>INDEX(nse!D:D,MATCH(B5324,nse!B:B,0))</f>
        <v>EQ</v>
      </c>
      <c r="D5324" t="str">
        <f>INDEX(nse!C:C,MATCH(B5324,nse!B:B,0))</f>
        <v>Parenteral Drugs (India) Limited</v>
      </c>
    </row>
    <row r="5325" spans="2:4" hidden="1" x14ac:dyDescent="0.3">
      <c r="B5325" t="s">
        <v>881</v>
      </c>
      <c r="C5325" t="str">
        <f>INDEX(nse!D:D,MATCH(B5325,nse!B:B,0))</f>
        <v>EQ</v>
      </c>
      <c r="D5325" t="str">
        <f>INDEX(nse!C:C,MATCH(B5325,nse!B:B,0))</f>
        <v>PDS Multinational Fashions Limited</v>
      </c>
    </row>
    <row r="5326" spans="2:4" hidden="1" x14ac:dyDescent="0.3">
      <c r="B5326" t="s">
        <v>1325</v>
      </c>
      <c r="C5326" t="str">
        <f>INDEX(nse!D:D,MATCH(B5326,nse!B:B,0))</f>
        <v>EQ</v>
      </c>
      <c r="D5326" t="str">
        <f>INDEX(nse!C:C,MATCH(B5326,nse!B:B,0))</f>
        <v>Pudumjee Industries Limited</v>
      </c>
    </row>
    <row r="5327" spans="2:4" hidden="1" x14ac:dyDescent="0.3">
      <c r="B5327" t="s">
        <v>882</v>
      </c>
      <c r="C5327" t="str">
        <f>INDEX(nse!D:D,MATCH(B5327,nse!B:B,0))</f>
        <v>EQ</v>
      </c>
      <c r="D5327" t="str">
        <f>INDEX(nse!C:C,MATCH(B5327,nse!B:B,0))</f>
        <v>Pudumjee Pulp &amp; Paper Mills Limited</v>
      </c>
    </row>
    <row r="5328" spans="2:4" hidden="1" x14ac:dyDescent="0.3">
      <c r="B5328" t="s">
        <v>883</v>
      </c>
      <c r="C5328" t="str">
        <f>INDEX(nse!D:D,MATCH(B5328,nse!B:B,0))</f>
        <v>BE</v>
      </c>
      <c r="D5328" t="str">
        <f>INDEX(nse!C:C,MATCH(B5328,nse!B:B,0))</f>
        <v>Pearl Polymers Limited</v>
      </c>
    </row>
    <row r="5329" spans="2:4" hidden="1" x14ac:dyDescent="0.3">
      <c r="B5329" t="s">
        <v>84</v>
      </c>
      <c r="C5329" t="str">
        <f>INDEX(nse!D:D,MATCH(B5329,nse!B:B,0))</f>
        <v>EQ</v>
      </c>
      <c r="D5329" t="str">
        <f>INDEX(nse!C:C,MATCH(B5329,nse!B:B,0))</f>
        <v>Piramal Enterprises Limited</v>
      </c>
    </row>
    <row r="5330" spans="2:4" hidden="1" x14ac:dyDescent="0.3">
      <c r="B5330" t="s">
        <v>884</v>
      </c>
      <c r="C5330" t="str">
        <f>INDEX(nse!D:D,MATCH(B5330,nse!B:B,0))</f>
        <v>EQ</v>
      </c>
      <c r="D5330" t="str">
        <f>INDEX(nse!C:C,MATCH(B5330,nse!B:B,0))</f>
        <v>Pennar Industries Limited</v>
      </c>
    </row>
    <row r="5331" spans="2:4" hidden="1" x14ac:dyDescent="0.3">
      <c r="B5331" t="s">
        <v>885</v>
      </c>
      <c r="C5331" t="str">
        <f>INDEX(nse!D:D,MATCH(B5331,nse!B:B,0))</f>
        <v>EQ</v>
      </c>
      <c r="D5331" t="str">
        <f>INDEX(nse!C:C,MATCH(B5331,nse!B:B,0))</f>
        <v>Peninsula Land Limited</v>
      </c>
    </row>
    <row r="5332" spans="2:4" hidden="1" x14ac:dyDescent="0.3">
      <c r="B5332" t="s">
        <v>4057</v>
      </c>
      <c r="C5332" t="str">
        <f>INDEX(nse!D:D,MATCH(B5332,nse!B:B,0))</f>
        <v>EQ</v>
      </c>
      <c r="D5332" t="str">
        <f>INDEX(nse!C:C,MATCH(B5332,nse!B:B,0))</f>
        <v>Pennar Engineered Building Systems Limited</v>
      </c>
    </row>
    <row r="5333" spans="2:4" hidden="1" x14ac:dyDescent="0.3">
      <c r="B5333" t="s">
        <v>886</v>
      </c>
      <c r="C5333" t="str">
        <f>INDEX(nse!D:D,MATCH(B5333,nse!B:B,0))</f>
        <v>EQ</v>
      </c>
      <c r="D5333" t="str">
        <f>INDEX(nse!C:C,MATCH(B5333,nse!B:B,0))</f>
        <v>Persistent Systems Limited</v>
      </c>
    </row>
    <row r="5334" spans="2:4" hidden="1" x14ac:dyDescent="0.3">
      <c r="B5334" t="s">
        <v>887</v>
      </c>
      <c r="C5334" t="str">
        <f>INDEX(nse!D:D,MATCH(B5334,nse!B:B,0))</f>
        <v>BE</v>
      </c>
      <c r="D5334" t="str">
        <f>INDEX(nse!C:C,MATCH(B5334,nse!B:B,0))</f>
        <v>Petron Engineering Construction Limited</v>
      </c>
    </row>
    <row r="5335" spans="2:4" hidden="1" x14ac:dyDescent="0.3">
      <c r="B5335" t="s">
        <v>82</v>
      </c>
      <c r="C5335" t="str">
        <f>INDEX(nse!D:D,MATCH(B5335,nse!B:B,0))</f>
        <v>EQ</v>
      </c>
      <c r="D5335" t="str">
        <f>INDEX(nse!C:C,MATCH(B5335,nse!B:B,0))</f>
        <v>Petronet LNG Limited</v>
      </c>
    </row>
    <row r="5336" spans="2:4" hidden="1" x14ac:dyDescent="0.3">
      <c r="B5336" t="s">
        <v>85</v>
      </c>
      <c r="C5336" t="str">
        <f>INDEX(nse!D:D,MATCH(B5336,nse!B:B,0))</f>
        <v>EQ</v>
      </c>
      <c r="D5336" t="str">
        <f>INDEX(nse!C:C,MATCH(B5336,nse!B:B,0))</f>
        <v>Power Finance Corporation Limited</v>
      </c>
    </row>
    <row r="5337" spans="2:4" hidden="1" x14ac:dyDescent="0.3">
      <c r="B5337" t="s">
        <v>888</v>
      </c>
      <c r="C5337" t="str">
        <f>INDEX(nse!D:D,MATCH(B5337,nse!B:B,0))</f>
        <v>EQ</v>
      </c>
      <c r="D5337" t="str">
        <f>INDEX(nse!C:C,MATCH(B5337,nse!B:B,0))</f>
        <v>Pfizer Limited</v>
      </c>
    </row>
    <row r="5338" spans="2:4" hidden="1" x14ac:dyDescent="0.3">
      <c r="B5338" t="s">
        <v>889</v>
      </c>
      <c r="C5338" t="str">
        <f>INDEX(nse!D:D,MATCH(B5338,nse!B:B,0))</f>
        <v>EQ</v>
      </c>
      <c r="D5338" t="str">
        <f>INDEX(nse!C:C,MATCH(B5338,nse!B:B,0))</f>
        <v>Prime Focus Limited</v>
      </c>
    </row>
    <row r="5339" spans="2:4" hidden="1" x14ac:dyDescent="0.3">
      <c r="B5339" t="s">
        <v>890</v>
      </c>
      <c r="C5339" t="str">
        <f>INDEX(nse!D:D,MATCH(B5339,nse!B:B,0))</f>
        <v>EQ</v>
      </c>
      <c r="D5339" t="str">
        <f>INDEX(nse!C:C,MATCH(B5339,nse!B:B,0))</f>
        <v>PTC India Financial Services Limited</v>
      </c>
    </row>
    <row r="5340" spans="2:4" hidden="1" x14ac:dyDescent="0.3">
      <c r="B5340" t="s">
        <v>891</v>
      </c>
      <c r="C5340" t="str">
        <f>INDEX(nse!D:D,MATCH(B5340,nse!B:B,0))</f>
        <v>EQ</v>
      </c>
      <c r="D5340" t="str">
        <f>INDEX(nse!C:C,MATCH(B5340,nse!B:B,0))</f>
        <v>PG Electroplast Limited</v>
      </c>
    </row>
    <row r="5341" spans="2:4" hidden="1" x14ac:dyDescent="0.3">
      <c r="B5341" t="s">
        <v>86</v>
      </c>
      <c r="C5341" t="str">
        <f>INDEX(nse!D:D,MATCH(B5341,nse!B:B,0))</f>
        <v>EQ</v>
      </c>
      <c r="D5341" t="str">
        <f>INDEX(nse!C:C,MATCH(B5341,nse!B:B,0))</f>
        <v>Procter &amp; Gamble Hygiene and Health Care Limited</v>
      </c>
    </row>
    <row r="5342" spans="2:4" hidden="1" x14ac:dyDescent="0.3">
      <c r="B5342" t="s">
        <v>892</v>
      </c>
      <c r="C5342" t="str">
        <f>INDEX(nse!D:D,MATCH(B5342,nse!B:B,0))</f>
        <v>EQ</v>
      </c>
      <c r="D5342" t="str">
        <f>INDEX(nse!C:C,MATCH(B5342,nse!B:B,0))</f>
        <v>Pearl Global Industries Limited</v>
      </c>
    </row>
    <row r="5343" spans="2:4" hidden="1" x14ac:dyDescent="0.3">
      <c r="B5343" t="s">
        <v>893</v>
      </c>
      <c r="C5343" t="str">
        <f>INDEX(nse!D:D,MATCH(B5343,nse!B:B,0))</f>
        <v>EQ</v>
      </c>
      <c r="D5343" t="str">
        <f>INDEX(nse!C:C,MATCH(B5343,nse!B:B,0))</f>
        <v>Phillips Carbon Black Limited</v>
      </c>
    </row>
    <row r="5344" spans="2:4" hidden="1" x14ac:dyDescent="0.3">
      <c r="B5344" t="s">
        <v>894</v>
      </c>
      <c r="C5344" t="str">
        <f>INDEX(nse!D:D,MATCH(B5344,nse!B:B,0))</f>
        <v>EQ</v>
      </c>
      <c r="D5344" t="str">
        <f>INDEX(nse!C:C,MATCH(B5344,nse!B:B,0))</f>
        <v>Phoenix Lamps Limited</v>
      </c>
    </row>
    <row r="5345" spans="2:4" hidden="1" x14ac:dyDescent="0.3">
      <c r="B5345" t="s">
        <v>895</v>
      </c>
      <c r="C5345" t="str">
        <f>INDEX(nse!D:D,MATCH(B5345,nse!B:B,0))</f>
        <v>EQ</v>
      </c>
      <c r="D5345" t="str">
        <f>INDEX(nse!C:C,MATCH(B5345,nse!B:B,0))</f>
        <v>The Phoenix Mills Limited</v>
      </c>
    </row>
    <row r="5346" spans="2:4" hidden="1" x14ac:dyDescent="0.3">
      <c r="B5346" t="s">
        <v>83</v>
      </c>
      <c r="C5346" t="str">
        <f>INDEX(nse!D:D,MATCH(B5346,nse!B:B,0))</f>
        <v>EQ</v>
      </c>
      <c r="D5346" t="str">
        <f>INDEX(nse!C:C,MATCH(B5346,nse!B:B,0))</f>
        <v>Pidilite Industries Limited</v>
      </c>
    </row>
    <row r="5347" spans="2:4" hidden="1" x14ac:dyDescent="0.3">
      <c r="B5347" t="s">
        <v>896</v>
      </c>
      <c r="C5347" t="str">
        <f>INDEX(nse!D:D,MATCH(B5347,nse!B:B,0))</f>
        <v>EQ</v>
      </c>
      <c r="D5347" t="str">
        <f>INDEX(nse!C:C,MATCH(B5347,nse!B:B,0))</f>
        <v>PI Industries Limited</v>
      </c>
    </row>
    <row r="5348" spans="2:4" hidden="1" x14ac:dyDescent="0.3">
      <c r="B5348" t="s">
        <v>4075</v>
      </c>
      <c r="C5348" t="str">
        <f>INDEX(nse!D:D,MATCH(B5348,nse!B:B,0))</f>
        <v>BE</v>
      </c>
      <c r="D5348" t="str">
        <f>INDEX(nse!C:C,MATCH(B5348,nse!B:B,0))</f>
        <v>Pilani Investment and Industries Corporation Limited</v>
      </c>
    </row>
    <row r="5349" spans="2:4" hidden="1" x14ac:dyDescent="0.3">
      <c r="B5349" t="s">
        <v>4078</v>
      </c>
      <c r="C5349" t="str">
        <f>INDEX(nse!D:D,MATCH(B5349,nse!B:B,0))</f>
        <v>BE</v>
      </c>
      <c r="D5349" t="str">
        <f>INDEX(nse!C:C,MATCH(B5349,nse!B:B,0))</f>
        <v>PIL ITALICA LIFESTYLE LIMITED</v>
      </c>
    </row>
    <row r="5350" spans="2:4" hidden="1" x14ac:dyDescent="0.3">
      <c r="B5350" t="s">
        <v>4081</v>
      </c>
      <c r="C5350" t="str">
        <f>INDEX(nse!D:D,MATCH(B5350,nse!B:B,0))</f>
        <v>EQ</v>
      </c>
      <c r="D5350" t="str">
        <f>INDEX(nse!C:C,MATCH(B5350,nse!B:B,0))</f>
        <v>Pincon Spirit Limited</v>
      </c>
    </row>
    <row r="5351" spans="2:4" hidden="1" x14ac:dyDescent="0.3">
      <c r="B5351" t="s">
        <v>1326</v>
      </c>
      <c r="C5351" t="str">
        <f>INDEX(nse!D:D,MATCH(B5351,nse!B:B,0))</f>
        <v>EQ</v>
      </c>
      <c r="D5351" t="str">
        <f>INDEX(nse!C:C,MATCH(B5351,nse!B:B,0))</f>
        <v>Pioneer Distilleries Limited</v>
      </c>
    </row>
    <row r="5352" spans="2:4" hidden="1" x14ac:dyDescent="0.3">
      <c r="B5352" t="s">
        <v>897</v>
      </c>
      <c r="C5352" t="str">
        <f>INDEX(nse!D:D,MATCH(B5352,nse!B:B,0))</f>
        <v>EQ</v>
      </c>
      <c r="D5352" t="str">
        <f>INDEX(nse!C:C,MATCH(B5352,nse!B:B,0))</f>
        <v>Pioneer Embroideries Limited</v>
      </c>
    </row>
    <row r="5353" spans="2:4" hidden="1" x14ac:dyDescent="0.3">
      <c r="B5353" t="s">
        <v>898</v>
      </c>
      <c r="C5353" t="str">
        <f>INDEX(nse!D:D,MATCH(B5353,nse!B:B,0))</f>
        <v>BE</v>
      </c>
      <c r="D5353" t="str">
        <f>INDEX(nse!C:C,MATCH(B5353,nse!B:B,0))</f>
        <v>Piramal Phytocare Limited</v>
      </c>
    </row>
    <row r="5354" spans="2:4" hidden="1" x14ac:dyDescent="0.3">
      <c r="B5354" t="s">
        <v>899</v>
      </c>
      <c r="C5354" t="str">
        <f>INDEX(nse!D:D,MATCH(B5354,nse!B:B,0))</f>
        <v>EQ</v>
      </c>
      <c r="D5354" t="str">
        <f>INDEX(nse!C:C,MATCH(B5354,nse!B:B,0))</f>
        <v>Pitti Laminations Limited</v>
      </c>
    </row>
    <row r="5355" spans="2:4" hidden="1" x14ac:dyDescent="0.3">
      <c r="B5355" t="s">
        <v>4088</v>
      </c>
      <c r="C5355" t="str">
        <f>INDEX(nse!D:D,MATCH(B5355,nse!B:B,0))</f>
        <v>EQ</v>
      </c>
      <c r="D5355" t="str">
        <f>INDEX(nse!C:C,MATCH(B5355,nse!B:B,0))</f>
        <v>The Peria Karamalai Tea &amp; Produce Company Limited</v>
      </c>
    </row>
    <row r="5356" spans="2:4" hidden="1" x14ac:dyDescent="0.3">
      <c r="B5356" t="s">
        <v>900</v>
      </c>
      <c r="C5356" t="str">
        <f>INDEX(nse!D:D,MATCH(B5356,nse!B:B,0))</f>
        <v>EQ</v>
      </c>
      <c r="D5356" t="str">
        <f>INDEX(nse!C:C,MATCH(B5356,nse!B:B,0))</f>
        <v>Plastiblends India Limited</v>
      </c>
    </row>
    <row r="5357" spans="2:4" hidden="1" x14ac:dyDescent="0.3">
      <c r="B5357" t="s">
        <v>901</v>
      </c>
      <c r="C5357" t="str">
        <f>INDEX(nse!D:D,MATCH(B5357,nse!B:B,0))</f>
        <v>EQ</v>
      </c>
      <c r="D5357" t="str">
        <f>INDEX(nse!C:C,MATCH(B5357,nse!B:B,0))</f>
        <v>Punjab National Bank</v>
      </c>
    </row>
    <row r="5358" spans="2:4" hidden="1" x14ac:dyDescent="0.3">
      <c r="B5358" t="s">
        <v>902</v>
      </c>
      <c r="C5358" t="str">
        <f>INDEX(nse!D:D,MATCH(B5358,nse!B:B,0))</f>
        <v>EQ</v>
      </c>
      <c r="D5358" t="str">
        <f>INDEX(nse!C:C,MATCH(B5358,nse!B:B,0))</f>
        <v>PNB Gilts Limited</v>
      </c>
    </row>
    <row r="5359" spans="2:4" hidden="1" x14ac:dyDescent="0.3">
      <c r="B5359" t="s">
        <v>4094</v>
      </c>
      <c r="C5359" t="str">
        <f>INDEX(nse!D:D,MATCH(B5359,nse!B:B,0))</f>
        <v>EQ</v>
      </c>
      <c r="D5359" t="str">
        <f>INDEX(nse!C:C,MATCH(B5359,nse!B:B,0))</f>
        <v>PNB Housing Finance Limited</v>
      </c>
    </row>
    <row r="5360" spans="2:4" hidden="1" x14ac:dyDescent="0.3">
      <c r="B5360" t="s">
        <v>903</v>
      </c>
      <c r="C5360" t="str">
        <f>INDEX(nse!D:D,MATCH(B5360,nse!B:B,0))</f>
        <v>BE</v>
      </c>
      <c r="D5360" t="str">
        <f>INDEX(nse!C:C,MATCH(B5360,nse!B:B,0))</f>
        <v>Pritish Nandy Communications Limited</v>
      </c>
    </row>
    <row r="5361" spans="2:4" hidden="1" x14ac:dyDescent="0.3">
      <c r="B5361" t="s">
        <v>4098</v>
      </c>
      <c r="C5361" t="str">
        <f>INDEX(nse!D:D,MATCH(B5361,nse!B:B,0))</f>
        <v>EQ</v>
      </c>
      <c r="D5361" t="str">
        <f>INDEX(nse!C:C,MATCH(B5361,nse!B:B,0))</f>
        <v>PNC Infratech Limited</v>
      </c>
    </row>
    <row r="5362" spans="2:4" hidden="1" x14ac:dyDescent="0.3">
      <c r="B5362" t="s">
        <v>904</v>
      </c>
      <c r="C5362" t="str">
        <f>INDEX(nse!D:D,MATCH(B5362,nse!B:B,0))</f>
        <v>EQ</v>
      </c>
      <c r="D5362" t="str">
        <f>INDEX(nse!C:C,MATCH(B5362,nse!B:B,0))</f>
        <v>Pochiraju Industries Limited</v>
      </c>
    </row>
    <row r="5363" spans="2:4" hidden="1" x14ac:dyDescent="0.3">
      <c r="B5363" t="s">
        <v>4102</v>
      </c>
      <c r="C5363" t="str">
        <f>INDEX(nse!D:D,MATCH(B5363,nse!B:B,0))</f>
        <v>EQ</v>
      </c>
      <c r="D5363" t="str">
        <f>INDEX(nse!C:C,MATCH(B5363,nse!B:B,0))</f>
        <v>Poddar Housing and Development Limited</v>
      </c>
    </row>
    <row r="5364" spans="2:4" hidden="1" x14ac:dyDescent="0.3">
      <c r="B5364" t="s">
        <v>4105</v>
      </c>
      <c r="C5364" t="str">
        <f>INDEX(nse!D:D,MATCH(B5364,nse!B:B,0))</f>
        <v>EQ</v>
      </c>
      <c r="D5364" t="str">
        <f>INDEX(nse!C:C,MATCH(B5364,nse!B:B,0))</f>
        <v>Poddar Pigments Limited</v>
      </c>
    </row>
    <row r="5365" spans="2:4" hidden="1" x14ac:dyDescent="0.3">
      <c r="B5365" t="s">
        <v>4108</v>
      </c>
      <c r="C5365" t="str">
        <f>INDEX(nse!D:D,MATCH(B5365,nse!B:B,0))</f>
        <v>EQ</v>
      </c>
      <c r="D5365" t="str">
        <f>INDEX(nse!C:C,MATCH(B5365,nse!B:B,0))</f>
        <v>Pokarna Limited</v>
      </c>
    </row>
    <row r="5366" spans="2:4" hidden="1" x14ac:dyDescent="0.3">
      <c r="B5366" t="s">
        <v>905</v>
      </c>
      <c r="C5366" t="str">
        <f>INDEX(nse!D:D,MATCH(B5366,nse!B:B,0))</f>
        <v>EQ</v>
      </c>
      <c r="D5366" t="str">
        <f>INDEX(nse!C:C,MATCH(B5366,nse!B:B,0))</f>
        <v>POLARIS CONSULTING &amp; SERVICES LIMITED</v>
      </c>
    </row>
    <row r="5367" spans="2:4" hidden="1" x14ac:dyDescent="0.3">
      <c r="B5367" t="s">
        <v>906</v>
      </c>
      <c r="C5367" t="str">
        <f>INDEX(nse!D:D,MATCH(B5367,nse!B:B,0))</f>
        <v>EQ</v>
      </c>
      <c r="D5367" t="str">
        <f>INDEX(nse!C:C,MATCH(B5367,nse!B:B,0))</f>
        <v>Poly Medicure Limited</v>
      </c>
    </row>
    <row r="5368" spans="2:4" hidden="1" x14ac:dyDescent="0.3">
      <c r="B5368" t="s">
        <v>907</v>
      </c>
      <c r="C5368" t="str">
        <f>INDEX(nse!D:D,MATCH(B5368,nse!B:B,0))</f>
        <v>EQ</v>
      </c>
      <c r="D5368" t="str">
        <f>INDEX(nse!C:C,MATCH(B5368,nse!B:B,0))</f>
        <v>Polyplex Corporation Limited</v>
      </c>
    </row>
    <row r="5369" spans="2:4" hidden="1" x14ac:dyDescent="0.3">
      <c r="B5369" t="s">
        <v>908</v>
      </c>
      <c r="C5369" t="str">
        <f>INDEX(nse!D:D,MATCH(B5369,nse!B:B,0))</f>
        <v>EQ</v>
      </c>
      <c r="D5369" t="str">
        <f>INDEX(nse!C:C,MATCH(B5369,nse!B:B,0))</f>
        <v>Ponni Sugars (Erode) Limited</v>
      </c>
    </row>
    <row r="5370" spans="2:4" hidden="1" x14ac:dyDescent="0.3">
      <c r="B5370" t="s">
        <v>909</v>
      </c>
      <c r="C5370" t="str">
        <f>INDEX(nse!D:D,MATCH(B5370,nse!B:B,0))</f>
        <v>EQ</v>
      </c>
      <c r="D5370" t="str">
        <f>INDEX(nse!C:C,MATCH(B5370,nse!B:B,0))</f>
        <v>Power Grid Corporation of India Limited</v>
      </c>
    </row>
    <row r="5371" spans="2:4" hidden="1" x14ac:dyDescent="0.3">
      <c r="B5371" t="s">
        <v>4117</v>
      </c>
      <c r="C5371" t="str">
        <f>INDEX(nse!D:D,MATCH(B5371,nse!B:B,0))</f>
        <v>EQ</v>
      </c>
      <c r="D5371" t="str">
        <f>INDEX(nse!C:C,MATCH(B5371,nse!B:B,0))</f>
        <v>Power Mech Projects Limited</v>
      </c>
    </row>
    <row r="5372" spans="2:4" hidden="1" x14ac:dyDescent="0.3">
      <c r="B5372" t="s">
        <v>910</v>
      </c>
      <c r="C5372" t="str">
        <f>INDEX(nse!D:D,MATCH(B5372,nse!B:B,0))</f>
        <v>EQ</v>
      </c>
      <c r="D5372" t="str">
        <f>INDEX(nse!C:C,MATCH(B5372,nse!B:B,0))</f>
        <v>PPAP Automotive Limited</v>
      </c>
    </row>
    <row r="5373" spans="2:4" hidden="1" x14ac:dyDescent="0.3">
      <c r="B5373" t="s">
        <v>4121</v>
      </c>
      <c r="C5373" t="str">
        <f>INDEX(nse!D:D,MATCH(B5373,nse!B:B,0))</f>
        <v>EQ</v>
      </c>
      <c r="D5373" t="str">
        <f>INDEX(nse!C:C,MATCH(B5373,nse!B:B,0))</f>
        <v>Prabhat Dairy Limited</v>
      </c>
    </row>
    <row r="5374" spans="2:4" hidden="1" x14ac:dyDescent="0.3">
      <c r="B5374" t="s">
        <v>911</v>
      </c>
      <c r="C5374" t="str">
        <f>INDEX(nse!D:D,MATCH(B5374,nse!B:B,0))</f>
        <v>BE</v>
      </c>
      <c r="D5374" t="str">
        <f>INDEX(nse!C:C,MATCH(B5374,nse!B:B,0))</f>
        <v>Pradip Overseas Limited</v>
      </c>
    </row>
    <row r="5375" spans="2:4" hidden="1" x14ac:dyDescent="0.3">
      <c r="B5375" t="s">
        <v>912</v>
      </c>
      <c r="C5375" t="str">
        <f>INDEX(nse!D:D,MATCH(B5375,nse!B:B,0))</f>
        <v>EQ</v>
      </c>
      <c r="D5375" t="str">
        <f>INDEX(nse!C:C,MATCH(B5375,nse!B:B,0))</f>
        <v>Prajay Engineers Syndicate Limited</v>
      </c>
    </row>
    <row r="5376" spans="2:4" hidden="1" x14ac:dyDescent="0.3">
      <c r="B5376" t="s">
        <v>913</v>
      </c>
      <c r="C5376" t="str">
        <f>INDEX(nse!D:D,MATCH(B5376,nse!B:B,0))</f>
        <v>EQ</v>
      </c>
      <c r="D5376" t="str">
        <f>INDEX(nse!C:C,MATCH(B5376,nse!B:B,0))</f>
        <v>Praj Industries Limited</v>
      </c>
    </row>
    <row r="5377" spans="2:4" hidden="1" x14ac:dyDescent="0.3">
      <c r="B5377" t="s">
        <v>914</v>
      </c>
      <c r="C5377" t="str">
        <f>INDEX(nse!D:D,MATCH(B5377,nse!B:B,0))</f>
        <v>EQ</v>
      </c>
      <c r="D5377" t="str">
        <f>INDEX(nse!C:C,MATCH(B5377,nse!B:B,0))</f>
        <v>Prakash Industries Limited</v>
      </c>
    </row>
    <row r="5378" spans="2:4" hidden="1" x14ac:dyDescent="0.3">
      <c r="B5378" t="s">
        <v>915</v>
      </c>
      <c r="C5378" t="str">
        <f>INDEX(nse!D:D,MATCH(B5378,nse!B:B,0))</f>
        <v>EQ</v>
      </c>
      <c r="D5378" t="str">
        <f>INDEX(nse!C:C,MATCH(B5378,nse!B:B,0))</f>
        <v>Prakash Constrowell Limited</v>
      </c>
    </row>
    <row r="5379" spans="2:4" hidden="1" x14ac:dyDescent="0.3">
      <c r="B5379" t="s">
        <v>916</v>
      </c>
      <c r="C5379" t="str">
        <f>INDEX(nse!D:D,MATCH(B5379,nse!B:B,0))</f>
        <v>EQ</v>
      </c>
      <c r="D5379" t="str">
        <f>INDEX(nse!C:C,MATCH(B5379,nse!B:B,0))</f>
        <v>Prakash Steelage Limited</v>
      </c>
    </row>
    <row r="5380" spans="2:4" hidden="1" x14ac:dyDescent="0.3">
      <c r="B5380" t="s">
        <v>917</v>
      </c>
      <c r="C5380" t="str">
        <f>INDEX(nse!D:D,MATCH(B5380,nse!B:B,0))</f>
        <v>EQ</v>
      </c>
      <c r="D5380" t="str">
        <f>INDEX(nse!C:C,MATCH(B5380,nse!B:B,0))</f>
        <v>Pratibha Industries Limited</v>
      </c>
    </row>
    <row r="5381" spans="2:4" hidden="1" x14ac:dyDescent="0.3">
      <c r="B5381" t="s">
        <v>4131</v>
      </c>
      <c r="C5381" t="str">
        <f>INDEX(nse!D:D,MATCH(B5381,nse!B:B,0))</f>
        <v>EQ</v>
      </c>
      <c r="D5381" t="str">
        <f>INDEX(nse!C:C,MATCH(B5381,nse!B:B,0))</f>
        <v>Precision Camshafts Limited</v>
      </c>
    </row>
    <row r="5382" spans="2:4" hidden="1" x14ac:dyDescent="0.3">
      <c r="B5382" t="s">
        <v>918</v>
      </c>
      <c r="C5382" t="str">
        <f>INDEX(nse!D:D,MATCH(B5382,nse!B:B,0))</f>
        <v>BE</v>
      </c>
      <c r="D5382" t="str">
        <f>INDEX(nse!C:C,MATCH(B5382,nse!B:B,0))</f>
        <v>Precot Meridian Limited</v>
      </c>
    </row>
    <row r="5383" spans="2:4" hidden="1" x14ac:dyDescent="0.3">
      <c r="B5383" t="s">
        <v>919</v>
      </c>
      <c r="C5383" t="str">
        <f>INDEX(nse!D:D,MATCH(B5383,nse!B:B,0))</f>
        <v>EQ</v>
      </c>
      <c r="D5383" t="str">
        <f>INDEX(nse!C:C,MATCH(B5383,nse!B:B,0))</f>
        <v>Precision Wires India Limited</v>
      </c>
    </row>
    <row r="5384" spans="2:4" hidden="1" x14ac:dyDescent="0.3">
      <c r="B5384" t="s">
        <v>4136</v>
      </c>
      <c r="C5384" t="str">
        <f>INDEX(nse!D:D,MATCH(B5384,nse!B:B,0))</f>
        <v>EQ</v>
      </c>
      <c r="D5384" t="str">
        <f>INDEX(nse!C:C,MATCH(B5384,nse!B:B,0))</f>
        <v>Premier Explosives Limited</v>
      </c>
    </row>
    <row r="5385" spans="2:4" hidden="1" x14ac:dyDescent="0.3">
      <c r="B5385" t="s">
        <v>920</v>
      </c>
      <c r="C5385" t="str">
        <f>INDEX(nse!D:D,MATCH(B5385,nse!B:B,0))</f>
        <v>EQ</v>
      </c>
      <c r="D5385" t="str">
        <f>INDEX(nse!C:C,MATCH(B5385,nse!B:B,0))</f>
        <v>Premier Limited</v>
      </c>
    </row>
    <row r="5386" spans="2:4" hidden="1" x14ac:dyDescent="0.3">
      <c r="B5386" t="s">
        <v>1327</v>
      </c>
      <c r="C5386" t="str">
        <f>INDEX(nse!D:D,MATCH(B5386,nse!B:B,0))</f>
        <v>EQ</v>
      </c>
      <c r="D5386" t="str">
        <f>INDEX(nse!C:C,MATCH(B5386,nse!B:B,0))</f>
        <v>Premier Polyfilm Limited</v>
      </c>
    </row>
    <row r="5387" spans="2:4" hidden="1" x14ac:dyDescent="0.3">
      <c r="B5387" t="s">
        <v>921</v>
      </c>
      <c r="C5387" t="str">
        <f>INDEX(nse!D:D,MATCH(B5387,nse!B:B,0))</f>
        <v>EQ</v>
      </c>
      <c r="D5387" t="str">
        <f>INDEX(nse!C:C,MATCH(B5387,nse!B:B,0))</f>
        <v>Pressman Advertising Limited</v>
      </c>
    </row>
    <row r="5388" spans="2:4" hidden="1" x14ac:dyDescent="0.3">
      <c r="B5388" t="s">
        <v>922</v>
      </c>
      <c r="C5388" t="str">
        <f>INDEX(nse!D:D,MATCH(B5388,nse!B:B,0))</f>
        <v>EQ</v>
      </c>
      <c r="D5388" t="str">
        <f>INDEX(nse!C:C,MATCH(B5388,nse!B:B,0))</f>
        <v>Prestige Estates Projects Limited</v>
      </c>
    </row>
    <row r="5389" spans="2:4" hidden="1" x14ac:dyDescent="0.3">
      <c r="B5389" t="s">
        <v>4143</v>
      </c>
      <c r="C5389" t="str">
        <f>INDEX(nse!D:D,MATCH(B5389,nse!B:B,0))</f>
        <v>EQ</v>
      </c>
      <c r="D5389" t="str">
        <f>INDEX(nse!C:C,MATCH(B5389,nse!B:B,0))</f>
        <v>Pricol Limited</v>
      </c>
    </row>
    <row r="5390" spans="2:4" hidden="1" x14ac:dyDescent="0.3">
      <c r="B5390" t="s">
        <v>923</v>
      </c>
      <c r="C5390" t="str">
        <f>INDEX(nse!D:D,MATCH(B5390,nse!B:B,0))</f>
        <v>EQ</v>
      </c>
      <c r="D5390" t="str">
        <f>INDEX(nse!C:C,MATCH(B5390,nse!B:B,0))</f>
        <v>Prime Securities Limited</v>
      </c>
    </row>
    <row r="5391" spans="2:4" hidden="1" x14ac:dyDescent="0.3">
      <c r="B5391" t="s">
        <v>924</v>
      </c>
      <c r="C5391" t="str">
        <f>INDEX(nse!D:D,MATCH(B5391,nse!B:B,0))</f>
        <v>EQ</v>
      </c>
      <c r="D5391" t="str">
        <f>INDEX(nse!C:C,MATCH(B5391,nse!B:B,0))</f>
        <v>Prism Cement Limited</v>
      </c>
    </row>
    <row r="5392" spans="2:4" hidden="1" x14ac:dyDescent="0.3">
      <c r="B5392" t="s">
        <v>925</v>
      </c>
      <c r="C5392" t="str">
        <f>INDEX(nse!D:D,MATCH(B5392,nse!B:B,0))</f>
        <v>EQ</v>
      </c>
      <c r="D5392" t="str">
        <f>INDEX(nse!C:C,MATCH(B5392,nse!B:B,0))</f>
        <v>Provogue (India) Limited</v>
      </c>
    </row>
    <row r="5393" spans="2:4" hidden="1" x14ac:dyDescent="0.3">
      <c r="B5393" t="s">
        <v>926</v>
      </c>
      <c r="C5393" t="str">
        <f>INDEX(nse!D:D,MATCH(B5393,nse!B:B,0))</f>
        <v>EQ</v>
      </c>
      <c r="D5393" t="str">
        <f>INDEX(nse!C:C,MATCH(B5393,nse!B:B,0))</f>
        <v>Prozone Intu Properties Limited</v>
      </c>
    </row>
    <row r="5394" spans="2:4" hidden="1" x14ac:dyDescent="0.3">
      <c r="B5394" t="s">
        <v>927</v>
      </c>
      <c r="C5394" t="str">
        <f>INDEX(nse!D:D,MATCH(B5394,nse!B:B,0))</f>
        <v>EQ</v>
      </c>
      <c r="D5394" t="str">
        <f>INDEX(nse!C:C,MATCH(B5394,nse!B:B,0))</f>
        <v>Punjab &amp; Sind Bank</v>
      </c>
    </row>
    <row r="5395" spans="2:4" hidden="1" x14ac:dyDescent="0.3">
      <c r="B5395" t="s">
        <v>928</v>
      </c>
      <c r="C5395" t="str">
        <f>INDEX(nse!D:D,MATCH(B5395,nse!B:B,0))</f>
        <v>EQ</v>
      </c>
      <c r="D5395" t="str">
        <f>INDEX(nse!C:C,MATCH(B5395,nse!B:B,0))</f>
        <v>PSL Limited</v>
      </c>
    </row>
    <row r="5396" spans="2:4" hidden="1" x14ac:dyDescent="0.3">
      <c r="B5396" t="s">
        <v>929</v>
      </c>
      <c r="C5396" t="str">
        <f>INDEX(nse!D:D,MATCH(B5396,nse!B:B,0))</f>
        <v>EQ</v>
      </c>
      <c r="D5396" t="str">
        <f>INDEX(nse!C:C,MATCH(B5396,nse!B:B,0))</f>
        <v>PTC India Limited</v>
      </c>
    </row>
    <row r="5397" spans="2:4" hidden="1" x14ac:dyDescent="0.3">
      <c r="B5397" t="s">
        <v>930</v>
      </c>
      <c r="C5397" t="str">
        <f>INDEX(nse!D:D,MATCH(B5397,nse!B:B,0))</f>
        <v>EQ</v>
      </c>
      <c r="D5397" t="str">
        <f>INDEX(nse!C:C,MATCH(B5397,nse!B:B,0))</f>
        <v>PTL Enterprises Limited</v>
      </c>
    </row>
    <row r="5398" spans="2:4" hidden="1" x14ac:dyDescent="0.3">
      <c r="B5398" t="s">
        <v>931</v>
      </c>
      <c r="C5398" t="str">
        <f>INDEX(nse!D:D,MATCH(B5398,nse!B:B,0))</f>
        <v>EQ</v>
      </c>
      <c r="D5398" t="str">
        <f>INDEX(nse!C:C,MATCH(B5398,nse!B:B,0))</f>
        <v>Punjab Chemicals &amp; Crop Protection Limited</v>
      </c>
    </row>
    <row r="5399" spans="2:4" hidden="1" x14ac:dyDescent="0.3">
      <c r="B5399" t="s">
        <v>932</v>
      </c>
      <c r="C5399" t="str">
        <f>INDEX(nse!D:D,MATCH(B5399,nse!B:B,0))</f>
        <v>EQ</v>
      </c>
      <c r="D5399" t="str">
        <f>INDEX(nse!C:C,MATCH(B5399,nse!B:B,0))</f>
        <v>Punj Lloyd Limited</v>
      </c>
    </row>
    <row r="5400" spans="2:4" hidden="1" x14ac:dyDescent="0.3">
      <c r="B5400" t="s">
        <v>933</v>
      </c>
      <c r="C5400" t="str">
        <f>INDEX(nse!D:D,MATCH(B5400,nse!B:B,0))</f>
        <v>EQ</v>
      </c>
      <c r="D5400" t="str">
        <f>INDEX(nse!C:C,MATCH(B5400,nse!B:B,0))</f>
        <v>Puravankara Limited</v>
      </c>
    </row>
    <row r="5401" spans="2:4" hidden="1" x14ac:dyDescent="0.3">
      <c r="B5401" t="s">
        <v>934</v>
      </c>
      <c r="C5401" t="str">
        <f>INDEX(nse!D:D,MATCH(B5401,nse!B:B,0))</f>
        <v>BE</v>
      </c>
      <c r="D5401" t="str">
        <f>INDEX(nse!C:C,MATCH(B5401,nse!B:B,0))</f>
        <v>PVP Ventures Limited</v>
      </c>
    </row>
    <row r="5402" spans="2:4" hidden="1" x14ac:dyDescent="0.3">
      <c r="B5402" t="s">
        <v>935</v>
      </c>
      <c r="C5402" t="str">
        <f>INDEX(nse!D:D,MATCH(B5402,nse!B:B,0))</f>
        <v>EQ</v>
      </c>
      <c r="D5402" t="str">
        <f>INDEX(nse!C:C,MATCH(B5402,nse!B:B,0))</f>
        <v>PVR Limited</v>
      </c>
    </row>
    <row r="5403" spans="2:4" hidden="1" x14ac:dyDescent="0.3">
      <c r="B5403" t="s">
        <v>4159</v>
      </c>
      <c r="C5403" t="str">
        <f>INDEX(nse!D:D,MATCH(B5403,nse!B:B,0))</f>
        <v>EQ</v>
      </c>
      <c r="D5403" t="str">
        <f>INDEX(nse!C:C,MATCH(B5403,nse!B:B,0))</f>
        <v>Quess Corp Limited</v>
      </c>
    </row>
    <row r="5404" spans="2:4" hidden="1" x14ac:dyDescent="0.3">
      <c r="B5404" t="s">
        <v>4162</v>
      </c>
      <c r="C5404" t="str">
        <f>INDEX(nse!D:D,MATCH(B5404,nse!B:B,0))</f>
        <v>EQ</v>
      </c>
      <c r="D5404" t="str">
        <f>INDEX(nse!C:C,MATCH(B5404,nse!B:B,0))</f>
        <v>Quick Heal Technologies Limited</v>
      </c>
    </row>
    <row r="5405" spans="2:4" hidden="1" x14ac:dyDescent="0.3">
      <c r="B5405" t="s">
        <v>1328</v>
      </c>
      <c r="C5405" t="str">
        <f>INDEX(nse!D:D,MATCH(B5405,nse!B:B,0))</f>
        <v>EQ</v>
      </c>
      <c r="D5405" t="str">
        <f>INDEX(nse!C:C,MATCH(B5405,nse!B:B,0))</f>
        <v>Quintegra Solutions Limited</v>
      </c>
    </row>
    <row r="5406" spans="2:4" hidden="1" x14ac:dyDescent="0.3">
      <c r="B5406" t="s">
        <v>1329</v>
      </c>
      <c r="C5406" t="str">
        <f>INDEX(nse!D:D,MATCH(B5406,nse!B:B,0))</f>
        <v>EQ</v>
      </c>
      <c r="D5406" t="str">
        <f>INDEX(nse!C:C,MATCH(B5406,nse!B:B,0))</f>
        <v>Radaan Mediaworks India Limited</v>
      </c>
    </row>
    <row r="5407" spans="2:4" hidden="1" x14ac:dyDescent="0.3">
      <c r="B5407" t="s">
        <v>936</v>
      </c>
      <c r="C5407" t="str">
        <f>INDEX(nse!D:D,MATCH(B5407,nse!B:B,0))</f>
        <v>EQ</v>
      </c>
      <c r="D5407" t="str">
        <f>INDEX(nse!C:C,MATCH(B5407,nse!B:B,0))</f>
        <v>Radico Khaitan Limited</v>
      </c>
    </row>
    <row r="5408" spans="2:4" hidden="1" x14ac:dyDescent="0.3">
      <c r="B5408" t="s">
        <v>4168</v>
      </c>
      <c r="C5408" t="str">
        <f>INDEX(nse!D:D,MATCH(B5408,nse!B:B,0))</f>
        <v>EQ</v>
      </c>
      <c r="D5408" t="str">
        <f>INDEX(nse!C:C,MATCH(B5408,nse!B:B,0))</f>
        <v>Music Broadcast Limited</v>
      </c>
    </row>
    <row r="5409" spans="2:4" hidden="1" x14ac:dyDescent="0.3">
      <c r="B5409" t="s">
        <v>937</v>
      </c>
      <c r="C5409" t="str">
        <f>INDEX(nse!D:D,MATCH(B5409,nse!B:B,0))</f>
        <v>EQ</v>
      </c>
      <c r="D5409" t="str">
        <f>INDEX(nse!C:C,MATCH(B5409,nse!B:B,0))</f>
        <v>Rain Industries Limited</v>
      </c>
    </row>
    <row r="5410" spans="2:4" hidden="1" x14ac:dyDescent="0.3">
      <c r="B5410" t="s">
        <v>938</v>
      </c>
      <c r="C5410" t="str">
        <f>INDEX(nse!D:D,MATCH(B5410,nse!B:B,0))</f>
        <v>EQ</v>
      </c>
      <c r="D5410" t="str">
        <f>INDEX(nse!C:C,MATCH(B5410,nse!B:B,0))</f>
        <v>Rainbow Papers Limited</v>
      </c>
    </row>
    <row r="5411" spans="2:4" hidden="1" x14ac:dyDescent="0.3">
      <c r="B5411" t="s">
        <v>939</v>
      </c>
      <c r="C5411" t="str">
        <f>INDEX(nse!D:D,MATCH(B5411,nse!B:B,0))</f>
        <v>EQ</v>
      </c>
      <c r="D5411" t="str">
        <f>INDEX(nse!C:C,MATCH(B5411,nse!B:B,0))</f>
        <v>Raisaheb Reckhchand Mohota Spinning &amp; Weaving Mills Limited</v>
      </c>
    </row>
    <row r="5412" spans="2:4" hidden="1" x14ac:dyDescent="0.3">
      <c r="B5412" t="s">
        <v>940</v>
      </c>
      <c r="C5412" t="str">
        <f>INDEX(nse!D:D,MATCH(B5412,nse!B:B,0))</f>
        <v>EQ</v>
      </c>
      <c r="D5412" t="str">
        <f>INDEX(nse!C:C,MATCH(B5412,nse!B:B,0))</f>
        <v>Rajesh Exports Limited</v>
      </c>
    </row>
    <row r="5413" spans="2:4" hidden="1" x14ac:dyDescent="0.3">
      <c r="B5413" t="s">
        <v>941</v>
      </c>
      <c r="C5413" t="str">
        <f>INDEX(nse!D:D,MATCH(B5413,nse!B:B,0))</f>
        <v>BE</v>
      </c>
      <c r="D5413" t="str">
        <f>INDEX(nse!C:C,MATCH(B5413,nse!B:B,0))</f>
        <v>Raj Oil Mills Limited</v>
      </c>
    </row>
    <row r="5414" spans="2:4" hidden="1" x14ac:dyDescent="0.3">
      <c r="B5414" t="s">
        <v>942</v>
      </c>
      <c r="C5414" t="str">
        <f>INDEX(nse!D:D,MATCH(B5414,nse!B:B,0))</f>
        <v>EQ</v>
      </c>
      <c r="D5414" t="str">
        <f>INDEX(nse!C:C,MATCH(B5414,nse!B:B,0))</f>
        <v>Raj Rayon Industries Limited</v>
      </c>
    </row>
    <row r="5415" spans="2:4" hidden="1" x14ac:dyDescent="0.3">
      <c r="B5415" t="s">
        <v>943</v>
      </c>
      <c r="C5415" t="str">
        <f>INDEX(nse!D:D,MATCH(B5415,nse!B:B,0))</f>
        <v>EQ</v>
      </c>
      <c r="D5415" t="str">
        <f>INDEX(nse!C:C,MATCH(B5415,nse!B:B,0))</f>
        <v>Rajshree Sugars &amp; Chemicals Limited</v>
      </c>
    </row>
    <row r="5416" spans="2:4" hidden="1" x14ac:dyDescent="0.3">
      <c r="B5416" t="s">
        <v>944</v>
      </c>
      <c r="C5416" t="str">
        <f>INDEX(nse!D:D,MATCH(B5416,nse!B:B,0))</f>
        <v>EQ</v>
      </c>
      <c r="D5416" t="str">
        <f>INDEX(nse!C:C,MATCH(B5416,nse!B:B,0))</f>
        <v>Raj Television Network Limited</v>
      </c>
    </row>
    <row r="5417" spans="2:4" hidden="1" x14ac:dyDescent="0.3">
      <c r="B5417" t="s">
        <v>945</v>
      </c>
      <c r="C5417" t="str">
        <f>INDEX(nse!D:D,MATCH(B5417,nse!B:B,0))</f>
        <v>EQ</v>
      </c>
      <c r="D5417" t="str">
        <f>INDEX(nse!C:C,MATCH(B5417,nse!B:B,0))</f>
        <v>Rajvir Industries Limited</v>
      </c>
    </row>
    <row r="5418" spans="2:4" hidden="1" x14ac:dyDescent="0.3">
      <c r="B5418" t="s">
        <v>946</v>
      </c>
      <c r="C5418" t="str">
        <f>INDEX(nse!D:D,MATCH(B5418,nse!B:B,0))</f>
        <v>EQ</v>
      </c>
      <c r="D5418" t="str">
        <f>INDEX(nse!C:C,MATCH(B5418,nse!B:B,0))</f>
        <v>Rallis India Limited</v>
      </c>
    </row>
    <row r="5419" spans="2:4" hidden="1" x14ac:dyDescent="0.3">
      <c r="B5419" t="s">
        <v>947</v>
      </c>
      <c r="C5419" t="str">
        <f>INDEX(nse!D:D,MATCH(B5419,nse!B:B,0))</f>
        <v>EQ</v>
      </c>
      <c r="D5419" t="str">
        <f>INDEX(nse!C:C,MATCH(B5419,nse!B:B,0))</f>
        <v>Shree Rama Newsprint Limited</v>
      </c>
    </row>
    <row r="5420" spans="2:4" hidden="1" x14ac:dyDescent="0.3">
      <c r="B5420" t="s">
        <v>4183</v>
      </c>
      <c r="C5420" t="str">
        <f>INDEX(nse!D:D,MATCH(B5420,nse!B:B,0))</f>
        <v>EQ</v>
      </c>
      <c r="D5420" t="str">
        <f>INDEX(nse!C:C,MATCH(B5420,nse!B:B,0))</f>
        <v>Rama Steel Tubes Limited</v>
      </c>
    </row>
    <row r="5421" spans="2:4" hidden="1" x14ac:dyDescent="0.3">
      <c r="B5421" t="s">
        <v>100</v>
      </c>
      <c r="C5421" t="str">
        <f>INDEX(nse!D:D,MATCH(B5421,nse!B:B,0))</f>
        <v>EQ</v>
      </c>
      <c r="D5421" t="str">
        <f>INDEX(nse!C:C,MATCH(B5421,nse!B:B,0))</f>
        <v>The Ramco Cements Limited</v>
      </c>
    </row>
    <row r="5422" spans="2:4" hidden="1" x14ac:dyDescent="0.3">
      <c r="B5422" t="s">
        <v>948</v>
      </c>
      <c r="C5422" t="str">
        <f>INDEX(nse!D:D,MATCH(B5422,nse!B:B,0))</f>
        <v>EQ</v>
      </c>
      <c r="D5422" t="str">
        <f>INDEX(nse!C:C,MATCH(B5422,nse!B:B,0))</f>
        <v>Ramco Industries Limited</v>
      </c>
    </row>
    <row r="5423" spans="2:4" hidden="1" x14ac:dyDescent="0.3">
      <c r="B5423" t="s">
        <v>949</v>
      </c>
      <c r="C5423" t="str">
        <f>INDEX(nse!D:D,MATCH(B5423,nse!B:B,0))</f>
        <v>EQ</v>
      </c>
      <c r="D5423" t="str">
        <f>INDEX(nse!C:C,MATCH(B5423,nse!B:B,0))</f>
        <v>Ramco Systems Limited</v>
      </c>
    </row>
    <row r="5424" spans="2:4" hidden="1" x14ac:dyDescent="0.3">
      <c r="B5424" t="s">
        <v>950</v>
      </c>
      <c r="C5424" t="str">
        <f>INDEX(nse!D:D,MATCH(B5424,nse!B:B,0))</f>
        <v>EQ</v>
      </c>
      <c r="D5424" t="str">
        <f>INDEX(nse!C:C,MATCH(B5424,nse!B:B,0))</f>
        <v>Ramky Infrastructure Limited</v>
      </c>
    </row>
    <row r="5425" spans="2:4" hidden="1" x14ac:dyDescent="0.3">
      <c r="B5425" t="s">
        <v>951</v>
      </c>
      <c r="C5425" t="str">
        <f>INDEX(nse!D:D,MATCH(B5425,nse!B:B,0))</f>
        <v>BE</v>
      </c>
      <c r="D5425" t="str">
        <f>INDEX(nse!C:C,MATCH(B5425,nse!B:B,0))</f>
        <v>Ramsarup Industries Limited</v>
      </c>
    </row>
    <row r="5426" spans="2:4" hidden="1" x14ac:dyDescent="0.3">
      <c r="B5426" t="s">
        <v>952</v>
      </c>
      <c r="C5426" t="str">
        <f>INDEX(nse!D:D,MATCH(B5426,nse!B:B,0))</f>
        <v>EQ</v>
      </c>
      <c r="D5426" t="str">
        <f>INDEX(nse!C:C,MATCH(B5426,nse!B:B,0))</f>
        <v>Rana Sugars Limited</v>
      </c>
    </row>
    <row r="5427" spans="2:4" hidden="1" x14ac:dyDescent="0.3">
      <c r="B5427" t="s">
        <v>953</v>
      </c>
      <c r="C5427" t="str">
        <f>INDEX(nse!D:D,MATCH(B5427,nse!B:B,0))</f>
        <v>EQ</v>
      </c>
      <c r="D5427" t="str">
        <f>INDEX(nse!C:C,MATCH(B5427,nse!B:B,0))</f>
        <v>Rane Engine Valve Limited</v>
      </c>
    </row>
    <row r="5428" spans="2:4" hidden="1" x14ac:dyDescent="0.3">
      <c r="B5428" t="s">
        <v>954</v>
      </c>
      <c r="C5428" t="str">
        <f>INDEX(nse!D:D,MATCH(B5428,nse!B:B,0))</f>
        <v>EQ</v>
      </c>
      <c r="D5428" t="str">
        <f>INDEX(nse!C:C,MATCH(B5428,nse!B:B,0))</f>
        <v>Rane Holdings Limited</v>
      </c>
    </row>
    <row r="5429" spans="2:4" hidden="1" x14ac:dyDescent="0.3">
      <c r="B5429" t="s">
        <v>955</v>
      </c>
      <c r="C5429" t="str">
        <f>INDEX(nse!D:D,MATCH(B5429,nse!B:B,0))</f>
        <v>BE</v>
      </c>
      <c r="D5429" t="str">
        <f>INDEX(nse!C:C,MATCH(B5429,nse!B:B,0))</f>
        <v>Rasoya Proteins Limited</v>
      </c>
    </row>
    <row r="5430" spans="2:4" hidden="1" x14ac:dyDescent="0.3">
      <c r="B5430" t="s">
        <v>956</v>
      </c>
      <c r="C5430" t="str">
        <f>INDEX(nse!D:D,MATCH(B5430,nse!B:B,0))</f>
        <v>EQ</v>
      </c>
      <c r="D5430" t="str">
        <f>INDEX(nse!C:C,MATCH(B5430,nse!B:B,0))</f>
        <v>Ratnamani Metals &amp; Tubes Limited</v>
      </c>
    </row>
    <row r="5431" spans="2:4" hidden="1" x14ac:dyDescent="0.3">
      <c r="B5431" t="s">
        <v>957</v>
      </c>
      <c r="C5431" t="str">
        <f>INDEX(nse!D:D,MATCH(B5431,nse!B:B,0))</f>
        <v>EQ</v>
      </c>
      <c r="D5431" t="str">
        <f>INDEX(nse!C:C,MATCH(B5431,nse!B:B,0))</f>
        <v>Raymond Limited</v>
      </c>
    </row>
    <row r="5432" spans="2:4" hidden="1" x14ac:dyDescent="0.3">
      <c r="B5432" t="s">
        <v>958</v>
      </c>
      <c r="C5432" t="str">
        <f>INDEX(nse!D:D,MATCH(B5432,nse!B:B,0))</f>
        <v>EQ</v>
      </c>
      <c r="D5432" t="str">
        <f>INDEX(nse!C:C,MATCH(B5432,nse!B:B,0))</f>
        <v>Rane Brake Lining Limited</v>
      </c>
    </row>
    <row r="5433" spans="2:4" hidden="1" x14ac:dyDescent="0.3">
      <c r="B5433" t="s">
        <v>4198</v>
      </c>
      <c r="C5433" t="str">
        <f>INDEX(nse!D:D,MATCH(B5433,nse!B:B,0))</f>
        <v>EQ</v>
      </c>
      <c r="D5433" t="str">
        <f>INDEX(nse!C:C,MATCH(B5433,nse!B:B,0))</f>
        <v>RBL Bank Limited</v>
      </c>
    </row>
    <row r="5434" spans="2:4" hidden="1" x14ac:dyDescent="0.3">
      <c r="B5434" t="s">
        <v>959</v>
      </c>
      <c r="C5434" t="str">
        <f>INDEX(nse!D:D,MATCH(B5434,nse!B:B,0))</f>
        <v>EQ</v>
      </c>
      <c r="D5434" t="str">
        <f>INDEX(nse!C:C,MATCH(B5434,nse!B:B,0))</f>
        <v>Rashtriya Chemicals and Fertilizers Limited</v>
      </c>
    </row>
    <row r="5435" spans="2:4" hidden="1" x14ac:dyDescent="0.3">
      <c r="B5435" t="s">
        <v>960</v>
      </c>
      <c r="C5435" t="str">
        <f>INDEX(nse!D:D,MATCH(B5435,nse!B:B,0))</f>
        <v>EQ</v>
      </c>
      <c r="D5435" t="str">
        <f>INDEX(nse!C:C,MATCH(B5435,nse!B:B,0))</f>
        <v>Reliance Communications Limited</v>
      </c>
    </row>
    <row r="5436" spans="2:4" hidden="1" x14ac:dyDescent="0.3">
      <c r="B5436" t="s">
        <v>4203</v>
      </c>
      <c r="C5436" t="str">
        <f>INDEX(nse!D:D,MATCH(B5436,nse!B:B,0))</f>
        <v>EQ</v>
      </c>
      <c r="D5436" t="str">
        <f>INDEX(nse!C:C,MATCH(B5436,nse!B:B,0))</f>
        <v>Reliance Defence and Engineering Limited</v>
      </c>
    </row>
    <row r="5437" spans="2:4" hidden="1" x14ac:dyDescent="0.3">
      <c r="B5437" t="s">
        <v>961</v>
      </c>
      <c r="C5437" t="str">
        <f>INDEX(nse!D:D,MATCH(B5437,nse!B:B,0))</f>
        <v>EQ</v>
      </c>
      <c r="D5437" t="str">
        <f>INDEX(nse!C:C,MATCH(B5437,nse!B:B,0))</f>
        <v>Rural Electrification Corporation Limited</v>
      </c>
    </row>
    <row r="5438" spans="2:4" hidden="1" x14ac:dyDescent="0.3">
      <c r="B5438" t="s">
        <v>962</v>
      </c>
      <c r="C5438" t="str">
        <f>INDEX(nse!D:D,MATCH(B5438,nse!B:B,0))</f>
        <v>EQ</v>
      </c>
      <c r="D5438" t="str">
        <f>INDEX(nse!C:C,MATCH(B5438,nse!B:B,0))</f>
        <v>Redington (India) Limited</v>
      </c>
    </row>
    <row r="5439" spans="2:4" hidden="1" x14ac:dyDescent="0.3">
      <c r="B5439" t="s">
        <v>963</v>
      </c>
      <c r="C5439" t="str">
        <f>INDEX(nse!D:D,MATCH(B5439,nse!B:B,0))</f>
        <v>EQ</v>
      </c>
      <c r="D5439" t="str">
        <f>INDEX(nse!C:C,MATCH(B5439,nse!B:B,0))</f>
        <v>Refex Industries Limited</v>
      </c>
    </row>
    <row r="5440" spans="2:4" hidden="1" x14ac:dyDescent="0.3">
      <c r="B5440" t="s">
        <v>964</v>
      </c>
      <c r="C5440" t="str">
        <f>INDEX(nse!D:D,MATCH(B5440,nse!B:B,0))</f>
        <v>BE</v>
      </c>
      <c r="D5440" t="str">
        <f>INDEX(nse!C:C,MATCH(B5440,nse!B:B,0))</f>
        <v>Regency Ceramics Limited</v>
      </c>
    </row>
    <row r="5441" spans="2:4" hidden="1" x14ac:dyDescent="0.3">
      <c r="B5441" t="s">
        <v>965</v>
      </c>
      <c r="C5441" t="str">
        <f>INDEX(nse!D:D,MATCH(B5441,nse!B:B,0))</f>
        <v>EQ</v>
      </c>
      <c r="D5441" t="str">
        <f>INDEX(nse!C:C,MATCH(B5441,nse!B:B,0))</f>
        <v>Rei Agro Limited</v>
      </c>
    </row>
    <row r="5442" spans="2:4" hidden="1" x14ac:dyDescent="0.3">
      <c r="B5442" t="s">
        <v>966</v>
      </c>
      <c r="C5442" t="str">
        <f>INDEX(nse!D:D,MATCH(B5442,nse!B:B,0))</f>
        <v>EQ</v>
      </c>
      <c r="D5442" t="str">
        <f>INDEX(nse!C:C,MATCH(B5442,nse!B:B,0))</f>
        <v>Relaxo Footwears Limited</v>
      </c>
    </row>
    <row r="5443" spans="2:4" hidden="1" x14ac:dyDescent="0.3">
      <c r="B5443" t="s">
        <v>87</v>
      </c>
      <c r="C5443" t="str">
        <f>INDEX(nse!D:D,MATCH(B5443,nse!B:B,0))</f>
        <v>EQ</v>
      </c>
      <c r="D5443" t="str">
        <f>INDEX(nse!C:C,MATCH(B5443,nse!B:B,0))</f>
        <v>Reliance Capital Limited</v>
      </c>
    </row>
    <row r="5444" spans="2:4" hidden="1" x14ac:dyDescent="0.3">
      <c r="B5444" t="s">
        <v>967</v>
      </c>
      <c r="C5444" t="str">
        <f>INDEX(nse!D:D,MATCH(B5444,nse!B:B,0))</f>
        <v>EQ</v>
      </c>
      <c r="D5444" t="str">
        <f>INDEX(nse!C:C,MATCH(B5444,nse!B:B,0))</f>
        <v>Reliance Industries Limited</v>
      </c>
    </row>
    <row r="5445" spans="2:4" hidden="1" x14ac:dyDescent="0.3">
      <c r="B5445" t="s">
        <v>968</v>
      </c>
      <c r="C5445" t="str">
        <f>INDEX(nse!D:D,MATCH(B5445,nse!B:B,0))</f>
        <v>EQ</v>
      </c>
      <c r="D5445" t="str">
        <f>INDEX(nse!C:C,MATCH(B5445,nse!B:B,0))</f>
        <v>Religare Enterprises Limited</v>
      </c>
    </row>
    <row r="5446" spans="2:4" hidden="1" x14ac:dyDescent="0.3">
      <c r="B5446" t="s">
        <v>88</v>
      </c>
      <c r="C5446" t="str">
        <f>INDEX(nse!D:D,MATCH(B5446,nse!B:B,0))</f>
        <v>EQ</v>
      </c>
      <c r="D5446" t="str">
        <f>INDEX(nse!C:C,MATCH(B5446,nse!B:B,0))</f>
        <v>Reliance Infrastructure Limited</v>
      </c>
    </row>
    <row r="5447" spans="2:4" hidden="1" x14ac:dyDescent="0.3">
      <c r="B5447" t="s">
        <v>1330</v>
      </c>
      <c r="C5447" t="str">
        <f>INDEX(nse!D:D,MATCH(B5447,nse!B:B,0))</f>
        <v>EQ</v>
      </c>
      <c r="D5447" t="str">
        <f>INDEX(nse!C:C,MATCH(B5447,nse!B:B,0))</f>
        <v>Remsons Industries Limited</v>
      </c>
    </row>
    <row r="5448" spans="2:4" hidden="1" x14ac:dyDescent="0.3">
      <c r="B5448" t="s">
        <v>969</v>
      </c>
      <c r="C5448" t="str">
        <f>INDEX(nse!D:D,MATCH(B5448,nse!B:B,0))</f>
        <v>EQ</v>
      </c>
      <c r="D5448" t="str">
        <f>INDEX(nse!C:C,MATCH(B5448,nse!B:B,0))</f>
        <v>Shree Renuka Sugars Limited</v>
      </c>
    </row>
    <row r="5449" spans="2:4" hidden="1" x14ac:dyDescent="0.3">
      <c r="B5449" t="s">
        <v>970</v>
      </c>
      <c r="C5449" t="str">
        <f>INDEX(nse!D:D,MATCH(B5449,nse!B:B,0))</f>
        <v>EQ</v>
      </c>
      <c r="D5449" t="str">
        <f>INDEX(nse!C:C,MATCH(B5449,nse!B:B,0))</f>
        <v>Repco Home Finance Limited</v>
      </c>
    </row>
    <row r="5450" spans="2:4" hidden="1" x14ac:dyDescent="0.3">
      <c r="B5450" t="s">
        <v>971</v>
      </c>
      <c r="C5450" t="str">
        <f>INDEX(nse!D:D,MATCH(B5450,nse!B:B,0))</f>
        <v>EQ</v>
      </c>
      <c r="D5450" t="str">
        <f>INDEX(nse!C:C,MATCH(B5450,nse!B:B,0))</f>
        <v>Repro India Limited</v>
      </c>
    </row>
    <row r="5451" spans="2:4" hidden="1" x14ac:dyDescent="0.3">
      <c r="B5451" t="s">
        <v>972</v>
      </c>
      <c r="C5451" t="str">
        <f>INDEX(nse!D:D,MATCH(B5451,nse!B:B,0))</f>
        <v>EQ</v>
      </c>
      <c r="D5451" t="str">
        <f>INDEX(nse!C:C,MATCH(B5451,nse!B:B,0))</f>
        <v>Responsive Industries Limited</v>
      </c>
    </row>
    <row r="5452" spans="2:4" hidden="1" x14ac:dyDescent="0.3">
      <c r="B5452" t="s">
        <v>973</v>
      </c>
      <c r="C5452" t="str">
        <f>INDEX(nse!D:D,MATCH(B5452,nse!B:B,0))</f>
        <v>EQ</v>
      </c>
      <c r="D5452" t="str">
        <f>INDEX(nse!C:C,MATCH(B5452,nse!B:B,0))</f>
        <v>Revathi Equipment Limited</v>
      </c>
    </row>
    <row r="5453" spans="2:4" hidden="1" x14ac:dyDescent="0.3">
      <c r="B5453" t="s">
        <v>974</v>
      </c>
      <c r="C5453" t="str">
        <f>INDEX(nse!D:D,MATCH(B5453,nse!B:B,0))</f>
        <v>EQ</v>
      </c>
      <c r="D5453" t="str">
        <f>INDEX(nse!C:C,MATCH(B5453,nse!B:B,0))</f>
        <v>Rico Auto Industries Limited</v>
      </c>
    </row>
    <row r="5454" spans="2:4" hidden="1" x14ac:dyDescent="0.3">
      <c r="B5454" t="s">
        <v>975</v>
      </c>
      <c r="C5454" t="str">
        <f>INDEX(nse!D:D,MATCH(B5454,nse!B:B,0))</f>
        <v>EQ</v>
      </c>
      <c r="D5454" t="str">
        <f>INDEX(nse!C:C,MATCH(B5454,nse!B:B,0))</f>
        <v>Reliance Industrial Infrastructure Limited</v>
      </c>
    </row>
    <row r="5455" spans="2:4" hidden="1" x14ac:dyDescent="0.3">
      <c r="B5455" t="s">
        <v>976</v>
      </c>
      <c r="C5455" t="str">
        <f>INDEX(nse!D:D,MATCH(B5455,nse!B:B,0))</f>
        <v>EQ</v>
      </c>
      <c r="D5455" t="str">
        <f>INDEX(nse!C:C,MATCH(B5455,nse!B:B,0))</f>
        <v>Renaissance Jewellery Limited</v>
      </c>
    </row>
    <row r="5456" spans="2:4" hidden="1" x14ac:dyDescent="0.3">
      <c r="B5456" t="s">
        <v>977</v>
      </c>
      <c r="C5456" t="str">
        <f>INDEX(nse!D:D,MATCH(B5456,nse!B:B,0))</f>
        <v>EQ</v>
      </c>
      <c r="D5456" t="str">
        <f>INDEX(nse!C:C,MATCH(B5456,nse!B:B,0))</f>
        <v>Ravi Kumar Distilleries Limited</v>
      </c>
    </row>
    <row r="5457" spans="2:4" hidden="1" x14ac:dyDescent="0.3">
      <c r="B5457" t="s">
        <v>978</v>
      </c>
      <c r="C5457" t="str">
        <f>INDEX(nse!D:D,MATCH(B5457,nse!B:B,0))</f>
        <v>EQ</v>
      </c>
      <c r="D5457" t="str">
        <f>INDEX(nse!C:C,MATCH(B5457,nse!B:B,0))</f>
        <v>Ramkrishna Forgings Limited</v>
      </c>
    </row>
    <row r="5458" spans="2:4" hidden="1" x14ac:dyDescent="0.3">
      <c r="B5458" t="s">
        <v>979</v>
      </c>
      <c r="C5458" t="str">
        <f>INDEX(nse!D:D,MATCH(B5458,nse!B:B,0))</f>
        <v>BE</v>
      </c>
      <c r="D5458" t="str">
        <f>INDEX(nse!C:C,MATCH(B5458,nse!B:B,0))</f>
        <v>Radha Madhav Corporation Limited</v>
      </c>
    </row>
    <row r="5459" spans="2:4" hidden="1" x14ac:dyDescent="0.3">
      <c r="B5459" t="s">
        <v>980</v>
      </c>
      <c r="C5459" t="str">
        <f>INDEX(nse!D:D,MATCH(B5459,nse!B:B,0))</f>
        <v>EQ</v>
      </c>
      <c r="D5459" t="str">
        <f>INDEX(nse!C:C,MATCH(B5459,nse!B:B,0))</f>
        <v>Rane (Madras) Limited</v>
      </c>
    </row>
    <row r="5460" spans="2:4" hidden="1" x14ac:dyDescent="0.3">
      <c r="B5460" t="s">
        <v>981</v>
      </c>
      <c r="C5460" t="str">
        <f>INDEX(nse!D:D,MATCH(B5460,nse!B:B,0))</f>
        <v>EQ</v>
      </c>
      <c r="D5460" t="str">
        <f>INDEX(nse!C:C,MATCH(B5460,nse!B:B,0))</f>
        <v>Rohit Ferro-Tech Limited</v>
      </c>
    </row>
    <row r="5461" spans="2:4" hidden="1" x14ac:dyDescent="0.3">
      <c r="B5461" t="s">
        <v>982</v>
      </c>
      <c r="C5461" t="str">
        <f>INDEX(nse!D:D,MATCH(B5461,nse!B:B,0))</f>
        <v>EQ</v>
      </c>
      <c r="D5461" t="str">
        <f>INDEX(nse!C:C,MATCH(B5461,nse!B:B,0))</f>
        <v>Royal Orchid Hotels Limited</v>
      </c>
    </row>
    <row r="5462" spans="2:4" hidden="1" x14ac:dyDescent="0.3">
      <c r="B5462" t="s">
        <v>4232</v>
      </c>
      <c r="C5462" t="str">
        <f>INDEX(nse!D:D,MATCH(B5462,nse!B:B,0))</f>
        <v>EQ</v>
      </c>
      <c r="D5462" t="str">
        <f>INDEX(nse!C:C,MATCH(B5462,nse!B:B,0))</f>
        <v>Rollatainers Limited</v>
      </c>
    </row>
    <row r="5463" spans="2:4" hidden="1" x14ac:dyDescent="0.3">
      <c r="B5463" t="s">
        <v>983</v>
      </c>
      <c r="C5463" t="str">
        <f>INDEX(nse!D:D,MATCH(B5463,nse!B:B,0))</f>
        <v>EQ</v>
      </c>
      <c r="D5463" t="str">
        <f>INDEX(nse!C:C,MATCH(B5463,nse!B:B,0))</f>
        <v>Rolta India Limited</v>
      </c>
    </row>
    <row r="5464" spans="2:4" hidden="1" x14ac:dyDescent="0.3">
      <c r="B5464" t="s">
        <v>984</v>
      </c>
      <c r="C5464" t="str">
        <f>INDEX(nse!D:D,MATCH(B5464,nse!B:B,0))</f>
        <v>EQ</v>
      </c>
      <c r="D5464" t="str">
        <f>INDEX(nse!C:C,MATCH(B5464,nse!B:B,0))</f>
        <v>Rossell India Limited</v>
      </c>
    </row>
    <row r="5465" spans="2:4" hidden="1" x14ac:dyDescent="0.3">
      <c r="B5465" t="s">
        <v>985</v>
      </c>
      <c r="C5465" t="str">
        <f>INDEX(nse!D:D,MATCH(B5465,nse!B:B,0))</f>
        <v>EQ</v>
      </c>
      <c r="D5465" t="str">
        <f>INDEX(nse!C:C,MATCH(B5465,nse!B:B,0))</f>
        <v>RPG Life Sciences Limited</v>
      </c>
    </row>
    <row r="5466" spans="2:4" hidden="1" x14ac:dyDescent="0.3">
      <c r="B5466" t="s">
        <v>89</v>
      </c>
      <c r="C5466" t="str">
        <f>INDEX(nse!D:D,MATCH(B5466,nse!B:B,0))</f>
        <v>EQ</v>
      </c>
      <c r="D5466" t="str">
        <f>INDEX(nse!C:C,MATCH(B5466,nse!B:B,0))</f>
        <v>Reliance Power Limited</v>
      </c>
    </row>
    <row r="5467" spans="2:4" hidden="1" x14ac:dyDescent="0.3">
      <c r="B5467" t="s">
        <v>986</v>
      </c>
      <c r="C5467" t="str">
        <f>INDEX(nse!D:D,MATCH(B5467,nse!B:B,0))</f>
        <v>EQ</v>
      </c>
      <c r="D5467" t="str">
        <f>INDEX(nse!C:C,MATCH(B5467,nse!B:B,0))</f>
        <v>R.P.P. Infra Projects Limited</v>
      </c>
    </row>
    <row r="5468" spans="2:4" hidden="1" x14ac:dyDescent="0.3">
      <c r="B5468" t="s">
        <v>987</v>
      </c>
      <c r="C5468" t="str">
        <f>INDEX(nse!D:D,MATCH(B5468,nse!B:B,0))</f>
        <v>EQ</v>
      </c>
      <c r="D5468" t="str">
        <f>INDEX(nse!C:C,MATCH(B5468,nse!B:B,0))</f>
        <v>R. S. Software (India) Limited</v>
      </c>
    </row>
    <row r="5469" spans="2:4" hidden="1" x14ac:dyDescent="0.3">
      <c r="B5469" t="s">
        <v>988</v>
      </c>
      <c r="C5469" t="str">
        <f>INDEX(nse!D:D,MATCH(B5469,nse!B:B,0))</f>
        <v>EQ</v>
      </c>
      <c r="D5469" t="str">
        <f>INDEX(nse!C:C,MATCH(B5469,nse!B:B,0))</f>
        <v>RSWM Limited</v>
      </c>
    </row>
    <row r="5470" spans="2:4" hidden="1" x14ac:dyDescent="0.3">
      <c r="B5470" t="s">
        <v>989</v>
      </c>
      <c r="C5470" t="str">
        <f>INDEX(nse!D:D,MATCH(B5470,nse!B:B,0))</f>
        <v>EQ</v>
      </c>
      <c r="D5470" t="str">
        <f>INDEX(nse!C:C,MATCH(B5470,nse!B:B,0))</f>
        <v>R Systems International Limited</v>
      </c>
    </row>
    <row r="5471" spans="2:4" hidden="1" x14ac:dyDescent="0.3">
      <c r="B5471" t="s">
        <v>990</v>
      </c>
      <c r="C5471" t="str">
        <f>INDEX(nse!D:D,MATCH(B5471,nse!B:B,0))</f>
        <v>EQ</v>
      </c>
      <c r="D5471" t="str">
        <f>INDEX(nse!C:C,MATCH(B5471,nse!B:B,0))</f>
        <v>RattanIndia Infrastructure Limited</v>
      </c>
    </row>
    <row r="5472" spans="2:4" hidden="1" x14ac:dyDescent="0.3">
      <c r="B5472" t="s">
        <v>991</v>
      </c>
      <c r="C5472" t="str">
        <f>INDEX(nse!D:D,MATCH(B5472,nse!B:B,0))</f>
        <v>EQ</v>
      </c>
      <c r="D5472" t="str">
        <f>INDEX(nse!C:C,MATCH(B5472,nse!B:B,0))</f>
        <v>RattanIndia Power Limited</v>
      </c>
    </row>
    <row r="5473" spans="2:4" hidden="1" x14ac:dyDescent="0.3">
      <c r="B5473" t="s">
        <v>992</v>
      </c>
      <c r="C5473" t="str">
        <f>INDEX(nse!D:D,MATCH(B5473,nse!B:B,0))</f>
        <v>EQ</v>
      </c>
      <c r="D5473" t="str">
        <f>INDEX(nse!C:C,MATCH(B5473,nse!B:B,0))</f>
        <v>The Ruby Mills Limited</v>
      </c>
    </row>
    <row r="5474" spans="2:4" hidden="1" x14ac:dyDescent="0.3">
      <c r="B5474" t="s">
        <v>993</v>
      </c>
      <c r="C5474" t="str">
        <f>INDEX(nse!D:D,MATCH(B5474,nse!B:B,0))</f>
        <v>BE</v>
      </c>
      <c r="D5474" t="str">
        <f>INDEX(nse!C:C,MATCH(B5474,nse!B:B,0))</f>
        <v>Ruchi Infrastructure Limited</v>
      </c>
    </row>
    <row r="5475" spans="2:4" hidden="1" x14ac:dyDescent="0.3">
      <c r="B5475" t="s">
        <v>994</v>
      </c>
      <c r="C5475" t="str">
        <f>INDEX(nse!D:D,MATCH(B5475,nse!B:B,0))</f>
        <v>EQ</v>
      </c>
      <c r="D5475" t="str">
        <f>INDEX(nse!C:C,MATCH(B5475,nse!B:B,0))</f>
        <v>Ruchira Papers Limited</v>
      </c>
    </row>
    <row r="5476" spans="2:4" hidden="1" x14ac:dyDescent="0.3">
      <c r="B5476" t="s">
        <v>995</v>
      </c>
      <c r="C5476" t="str">
        <f>INDEX(nse!D:D,MATCH(B5476,nse!B:B,0))</f>
        <v>EQ</v>
      </c>
      <c r="D5476" t="str">
        <f>INDEX(nse!C:C,MATCH(B5476,nse!B:B,0))</f>
        <v>Ruchi Soya Industries Limited</v>
      </c>
    </row>
    <row r="5477" spans="2:4" hidden="1" x14ac:dyDescent="0.3">
      <c r="B5477" t="s">
        <v>996</v>
      </c>
      <c r="C5477" t="str">
        <f>INDEX(nse!D:D,MATCH(B5477,nse!B:B,0))</f>
        <v>EQ</v>
      </c>
      <c r="D5477" t="str">
        <f>INDEX(nse!C:C,MATCH(B5477,nse!B:B,0))</f>
        <v>Rupa &amp; Company Limited</v>
      </c>
    </row>
    <row r="5478" spans="2:4" hidden="1" x14ac:dyDescent="0.3">
      <c r="B5478" t="s">
        <v>997</v>
      </c>
      <c r="C5478" t="str">
        <f>INDEX(nse!D:D,MATCH(B5478,nse!B:B,0))</f>
        <v>EQ</v>
      </c>
      <c r="D5478" t="str">
        <f>INDEX(nse!C:C,MATCH(B5478,nse!B:B,0))</f>
        <v>Rushil Decor Limited</v>
      </c>
    </row>
    <row r="5479" spans="2:4" hidden="1" x14ac:dyDescent="0.3">
      <c r="B5479" t="s">
        <v>4251</v>
      </c>
      <c r="C5479" t="str">
        <f>INDEX(nse!D:D,MATCH(B5479,nse!B:B,0))</f>
        <v>EQ</v>
      </c>
      <c r="D5479" t="str">
        <f>INDEX(nse!C:C,MATCH(B5479,nse!B:B,0))</f>
        <v>Sab Events &amp; Governance Now Media Limited</v>
      </c>
    </row>
    <row r="5480" spans="2:4" hidden="1" x14ac:dyDescent="0.3">
      <c r="B5480" t="s">
        <v>998</v>
      </c>
      <c r="C5480" t="str">
        <f>INDEX(nse!D:D,MATCH(B5480,nse!B:B,0))</f>
        <v>EQ</v>
      </c>
      <c r="D5480" t="str">
        <f>INDEX(nse!C:C,MATCH(B5480,nse!B:B,0))</f>
        <v>Sri Adhikari Brothers Television Network Limited</v>
      </c>
    </row>
    <row r="5481" spans="2:4" hidden="1" x14ac:dyDescent="0.3">
      <c r="B5481" t="s">
        <v>999</v>
      </c>
      <c r="C5481" t="str">
        <f>INDEX(nse!D:D,MATCH(B5481,nse!B:B,0))</f>
        <v>EQ</v>
      </c>
      <c r="D5481" t="str">
        <f>INDEX(nse!C:C,MATCH(B5481,nse!B:B,0))</f>
        <v>Sadbhav Engineering Limited</v>
      </c>
    </row>
    <row r="5482" spans="2:4" hidden="1" x14ac:dyDescent="0.3">
      <c r="B5482" t="s">
        <v>4256</v>
      </c>
      <c r="C5482" t="str">
        <f>INDEX(nse!D:D,MATCH(B5482,nse!B:B,0))</f>
        <v>EQ</v>
      </c>
      <c r="D5482" t="str">
        <f>INDEX(nse!C:C,MATCH(B5482,nse!B:B,0))</f>
        <v>Sadbhav Infrastructure Project Limited</v>
      </c>
    </row>
    <row r="5483" spans="2:4" hidden="1" x14ac:dyDescent="0.3">
      <c r="B5483" t="s">
        <v>1000</v>
      </c>
      <c r="C5483" t="str">
        <f>INDEX(nse!D:D,MATCH(B5483,nse!B:B,0))</f>
        <v>EQ</v>
      </c>
      <c r="D5483" t="str">
        <f>INDEX(nse!C:C,MATCH(B5483,nse!B:B,0))</f>
        <v>Sagar Cements Limited</v>
      </c>
    </row>
    <row r="5484" spans="2:4" hidden="1" x14ac:dyDescent="0.3">
      <c r="B5484" t="s">
        <v>26</v>
      </c>
      <c r="C5484" t="str">
        <f>INDEX(nse!D:D,MATCH(B5484,nse!B:B,0))</f>
        <v>EQ</v>
      </c>
      <c r="D5484" t="str">
        <f>INDEX(nse!C:C,MATCH(B5484,nse!B:B,0))</f>
        <v>Steel Authority of India Limited</v>
      </c>
    </row>
    <row r="5485" spans="2:4" hidden="1" x14ac:dyDescent="0.3">
      <c r="B5485" t="s">
        <v>1001</v>
      </c>
      <c r="C5485" t="str">
        <f>INDEX(nse!D:D,MATCH(B5485,nse!B:B,0))</f>
        <v>EQ</v>
      </c>
      <c r="D5485" t="str">
        <f>INDEX(nse!C:C,MATCH(B5485,nse!B:B,0))</f>
        <v>Sakthi Sugars Limited</v>
      </c>
    </row>
    <row r="5486" spans="2:4" hidden="1" x14ac:dyDescent="0.3">
      <c r="B5486" t="s">
        <v>1002</v>
      </c>
      <c r="C5486" t="str">
        <f>INDEX(nse!D:D,MATCH(B5486,nse!B:B,0))</f>
        <v>EQ</v>
      </c>
      <c r="D5486" t="str">
        <f>INDEX(nse!C:C,MATCH(B5486,nse!B:B,0))</f>
        <v>Saksoft Limited</v>
      </c>
    </row>
    <row r="5487" spans="2:4" hidden="1" x14ac:dyDescent="0.3">
      <c r="B5487" t="s">
        <v>1003</v>
      </c>
      <c r="C5487" t="str">
        <f>INDEX(nse!D:D,MATCH(B5487,nse!B:B,0))</f>
        <v>EQ</v>
      </c>
      <c r="D5487" t="str">
        <f>INDEX(nse!C:C,MATCH(B5487,nse!B:B,0))</f>
        <v>Sakuma Exports Limited</v>
      </c>
    </row>
    <row r="5488" spans="2:4" hidden="1" x14ac:dyDescent="0.3">
      <c r="B5488" t="s">
        <v>4264</v>
      </c>
      <c r="C5488" t="str">
        <f>INDEX(nse!D:D,MATCH(B5488,nse!B:B,0))</f>
        <v>BE</v>
      </c>
      <c r="D5488" t="str">
        <f>INDEX(nse!C:C,MATCH(B5488,nse!B:B,0))</f>
        <v>Salona Cotspin Limited</v>
      </c>
    </row>
    <row r="5489" spans="2:4" hidden="1" x14ac:dyDescent="0.3">
      <c r="B5489" t="s">
        <v>1004</v>
      </c>
      <c r="C5489" t="str">
        <f>INDEX(nse!D:D,MATCH(B5489,nse!B:B,0))</f>
        <v>EQ</v>
      </c>
      <c r="D5489" t="str">
        <f>INDEX(nse!C:C,MATCH(B5489,nse!B:B,0))</f>
        <v>Salora International Limited</v>
      </c>
    </row>
    <row r="5490" spans="2:4" hidden="1" x14ac:dyDescent="0.3">
      <c r="B5490" t="s">
        <v>1005</v>
      </c>
      <c r="C5490" t="str">
        <f>INDEX(nse!D:D,MATCH(B5490,nse!B:B,0))</f>
        <v>BE</v>
      </c>
      <c r="D5490" t="str">
        <f>INDEX(nse!C:C,MATCH(B5490,nse!B:B,0))</f>
        <v>S.A.L. Steel Limited</v>
      </c>
    </row>
    <row r="5491" spans="2:4" hidden="1" x14ac:dyDescent="0.3">
      <c r="B5491" t="s">
        <v>4269</v>
      </c>
      <c r="C5491" t="str">
        <f>INDEX(nse!D:D,MATCH(B5491,nse!B:B,0))</f>
        <v>EQ</v>
      </c>
      <c r="D5491" t="str">
        <f>INDEX(nse!C:C,MATCH(B5491,nse!B:B,0))</f>
        <v>Salzer Electronics Limited</v>
      </c>
    </row>
    <row r="5492" spans="2:4" hidden="1" x14ac:dyDescent="0.3">
      <c r="B5492" t="s">
        <v>1331</v>
      </c>
      <c r="C5492" t="str">
        <f>INDEX(nse!D:D,MATCH(B5492,nse!B:B,0))</f>
        <v>BE</v>
      </c>
      <c r="D5492" t="str">
        <f>INDEX(nse!C:C,MATCH(B5492,nse!B:B,0))</f>
        <v>Sambhaav Media Limited</v>
      </c>
    </row>
    <row r="5493" spans="2:4" hidden="1" x14ac:dyDescent="0.3">
      <c r="B5493" t="s">
        <v>1006</v>
      </c>
      <c r="C5493" t="str">
        <f>INDEX(nse!D:D,MATCH(B5493,nse!B:B,0))</f>
        <v>EQ</v>
      </c>
      <c r="D5493" t="str">
        <f>INDEX(nse!C:C,MATCH(B5493,nse!B:B,0))</f>
        <v>Samtel Color Limited</v>
      </c>
    </row>
    <row r="5494" spans="2:4" hidden="1" x14ac:dyDescent="0.3">
      <c r="B5494" t="s">
        <v>1340</v>
      </c>
      <c r="C5494" t="str">
        <f>INDEX(nse!D:D,MATCH(B5494,nse!B:B,0))</f>
        <v>BE</v>
      </c>
      <c r="D5494" t="str">
        <f>INDEX(nse!C:C,MATCH(B5494,nse!B:B,0))</f>
        <v>Sanco Industries Limited</v>
      </c>
    </row>
    <row r="5495" spans="2:4" hidden="1" x14ac:dyDescent="0.3">
      <c r="B5495" t="s">
        <v>1007</v>
      </c>
      <c r="C5495" t="str">
        <f>INDEX(nse!D:D,MATCH(B5495,nse!B:B,0))</f>
        <v>EQ</v>
      </c>
      <c r="D5495" t="str">
        <f>INDEX(nse!C:C,MATCH(B5495,nse!B:B,0))</f>
        <v>The Sandesh Limited</v>
      </c>
    </row>
    <row r="5496" spans="2:4" hidden="1" x14ac:dyDescent="0.3">
      <c r="B5496" t="s">
        <v>1008</v>
      </c>
      <c r="C5496" t="str">
        <f>INDEX(nse!D:D,MATCH(B5496,nse!B:B,0))</f>
        <v>EQ</v>
      </c>
      <c r="D5496" t="str">
        <f>INDEX(nse!C:C,MATCH(B5496,nse!B:B,0))</f>
        <v>Sangam (India) Limited</v>
      </c>
    </row>
    <row r="5497" spans="2:4" hidden="1" x14ac:dyDescent="0.3">
      <c r="B5497" t="s">
        <v>1009</v>
      </c>
      <c r="C5497" t="str">
        <f>INDEX(nse!D:D,MATCH(B5497,nse!B:B,0))</f>
        <v>EQ</v>
      </c>
      <c r="D5497" t="str">
        <f>INDEX(nse!C:C,MATCH(B5497,nse!B:B,0))</f>
        <v>Sanghi Industries Limited</v>
      </c>
    </row>
    <row r="5498" spans="2:4" hidden="1" x14ac:dyDescent="0.3">
      <c r="B5498" t="s">
        <v>1010</v>
      </c>
      <c r="C5498" t="str">
        <f>INDEX(nse!D:D,MATCH(B5498,nse!B:B,0))</f>
        <v>EQ</v>
      </c>
      <c r="D5498" t="str">
        <f>INDEX(nse!C:C,MATCH(B5498,nse!B:B,0))</f>
        <v>Sanghvi Forging and Engineering Limited</v>
      </c>
    </row>
    <row r="5499" spans="2:4" hidden="1" x14ac:dyDescent="0.3">
      <c r="B5499" t="s">
        <v>1011</v>
      </c>
      <c r="C5499" t="str">
        <f>INDEX(nse!D:D,MATCH(B5499,nse!B:B,0))</f>
        <v>EQ</v>
      </c>
      <c r="D5499" t="str">
        <f>INDEX(nse!C:C,MATCH(B5499,nse!B:B,0))</f>
        <v>Sanghvi Movers Limited</v>
      </c>
    </row>
    <row r="5500" spans="2:4" hidden="1" x14ac:dyDescent="0.3">
      <c r="B5500" t="s">
        <v>90</v>
      </c>
      <c r="C5500" t="str">
        <f>INDEX(nse!D:D,MATCH(B5500,nse!B:B,0))</f>
        <v>EQ</v>
      </c>
      <c r="D5500" t="str">
        <f>INDEX(nse!C:C,MATCH(B5500,nse!B:B,0))</f>
        <v>Sanofi India Limited</v>
      </c>
    </row>
    <row r="5501" spans="2:4" hidden="1" x14ac:dyDescent="0.3">
      <c r="B5501" t="s">
        <v>1012</v>
      </c>
      <c r="C5501" t="str">
        <f>INDEX(nse!D:D,MATCH(B5501,nse!B:B,0))</f>
        <v>EQ</v>
      </c>
      <c r="D5501" t="str">
        <f>INDEX(nse!C:C,MATCH(B5501,nse!B:B,0))</f>
        <v>Sanwaria Agro Oils Limited</v>
      </c>
    </row>
    <row r="5502" spans="2:4" hidden="1" x14ac:dyDescent="0.3">
      <c r="B5502" t="s">
        <v>1013</v>
      </c>
      <c r="C5502" t="str">
        <f>INDEX(nse!D:D,MATCH(B5502,nse!B:B,0))</f>
        <v>EQ</v>
      </c>
      <c r="D5502" t="str">
        <f>INDEX(nse!C:C,MATCH(B5502,nse!B:B,0))</f>
        <v>Sarda Energy &amp; Minerals Limited</v>
      </c>
    </row>
    <row r="5503" spans="2:4" hidden="1" x14ac:dyDescent="0.3">
      <c r="B5503" t="s">
        <v>1014</v>
      </c>
      <c r="C5503" t="str">
        <f>INDEX(nse!D:D,MATCH(B5503,nse!B:B,0))</f>
        <v>EQ</v>
      </c>
      <c r="D5503" t="str">
        <f>INDEX(nse!C:C,MATCH(B5503,nse!B:B,0))</f>
        <v>Saregama India Limited</v>
      </c>
    </row>
    <row r="5504" spans="2:4" hidden="1" x14ac:dyDescent="0.3">
      <c r="B5504" t="s">
        <v>1015</v>
      </c>
      <c r="C5504" t="str">
        <f>INDEX(nse!D:D,MATCH(B5504,nse!B:B,0))</f>
        <v>EQ</v>
      </c>
      <c r="D5504" t="str">
        <f>INDEX(nse!C:C,MATCH(B5504,nse!B:B,0))</f>
        <v>Sarla Performance Fibers Limited</v>
      </c>
    </row>
    <row r="5505" spans="2:4" hidden="1" x14ac:dyDescent="0.3">
      <c r="B5505" t="s">
        <v>1016</v>
      </c>
      <c r="C5505" t="str">
        <f>INDEX(nse!D:D,MATCH(B5505,nse!B:B,0))</f>
        <v>EQ</v>
      </c>
      <c r="D5505" t="str">
        <f>INDEX(nse!C:C,MATCH(B5505,nse!B:B,0))</f>
        <v>Sasken Technologies Limited</v>
      </c>
    </row>
    <row r="5506" spans="2:4" hidden="1" x14ac:dyDescent="0.3">
      <c r="B5506" t="s">
        <v>4287</v>
      </c>
      <c r="C5506" t="str">
        <f>INDEX(nse!D:D,MATCH(B5506,nse!B:B,0))</f>
        <v>BE</v>
      </c>
      <c r="D5506" t="str">
        <f>INDEX(nse!C:C,MATCH(B5506,nse!B:B,0))</f>
        <v>Sastasundar Ventures Limited</v>
      </c>
    </row>
    <row r="5507" spans="2:4" hidden="1" x14ac:dyDescent="0.3">
      <c r="B5507" t="s">
        <v>1017</v>
      </c>
      <c r="C5507" t="str">
        <f>INDEX(nse!D:D,MATCH(B5507,nse!B:B,0))</f>
        <v>EQ</v>
      </c>
      <c r="D5507" t="str">
        <f>INDEX(nse!C:C,MATCH(B5507,nse!B:B,0))</f>
        <v>Sathavahana Ispat Limited</v>
      </c>
    </row>
    <row r="5508" spans="2:4" hidden="1" x14ac:dyDescent="0.3">
      <c r="B5508" t="s">
        <v>4291</v>
      </c>
      <c r="C5508" t="str">
        <f>INDEX(nse!D:D,MATCH(B5508,nse!B:B,0))</f>
        <v>EQ</v>
      </c>
      <c r="D5508" t="str">
        <f>INDEX(nse!C:C,MATCH(B5508,nse!B:B,0))</f>
        <v>Satin Creditcare Network Limited</v>
      </c>
    </row>
    <row r="5509" spans="2:4" hidden="1" x14ac:dyDescent="0.3">
      <c r="B5509" t="s">
        <v>1018</v>
      </c>
      <c r="C5509" t="str">
        <f>INDEX(nse!D:D,MATCH(B5509,nse!B:B,0))</f>
        <v>EQ</v>
      </c>
      <c r="D5509" t="str">
        <f>INDEX(nse!C:C,MATCH(B5509,nse!B:B,0))</f>
        <v>State Bank of India</v>
      </c>
    </row>
    <row r="5510" spans="2:4" hidden="1" x14ac:dyDescent="0.3">
      <c r="B5510" t="s">
        <v>4295</v>
      </c>
      <c r="C5510" t="str">
        <f>INDEX(nse!D:D,MATCH(B5510,nse!B:B,0))</f>
        <v>EQ</v>
      </c>
      <c r="D5510" t="str">
        <f>INDEX(nse!C:C,MATCH(B5510,nse!B:B,0))</f>
        <v>S Chand And Company Limited</v>
      </c>
    </row>
    <row r="5511" spans="2:4" hidden="1" x14ac:dyDescent="0.3">
      <c r="B5511" t="s">
        <v>1019</v>
      </c>
      <c r="C5511" t="str">
        <f>INDEX(nse!D:D,MATCH(B5511,nse!B:B,0))</f>
        <v>EQ</v>
      </c>
      <c r="D5511" t="str">
        <f>INDEX(nse!C:C,MATCH(B5511,nse!B:B,0))</f>
        <v>Schneider Electric Infrastructure Limited</v>
      </c>
    </row>
    <row r="5512" spans="2:4" hidden="1" x14ac:dyDescent="0.3">
      <c r="B5512" t="s">
        <v>1020</v>
      </c>
      <c r="C5512" t="str">
        <f>INDEX(nse!D:D,MATCH(B5512,nse!B:B,0))</f>
        <v>EQ</v>
      </c>
      <c r="D5512" t="str">
        <f>INDEX(nse!C:C,MATCH(B5512,nse!B:B,0))</f>
        <v>Shipping Corporation Of India Limited</v>
      </c>
    </row>
    <row r="5513" spans="2:4" hidden="1" x14ac:dyDescent="0.3">
      <c r="B5513" t="s">
        <v>1021</v>
      </c>
      <c r="C5513" t="str">
        <f>INDEX(nse!D:D,MATCH(B5513,nse!B:B,0))</f>
        <v>EQ</v>
      </c>
      <c r="D5513" t="str">
        <f>INDEX(nse!C:C,MATCH(B5513,nse!B:B,0))</f>
        <v>Som Distilleries &amp; Breweries Limited</v>
      </c>
    </row>
    <row r="5514" spans="2:4" hidden="1" x14ac:dyDescent="0.3">
      <c r="B5514" t="s">
        <v>1022</v>
      </c>
      <c r="C5514" t="str">
        <f>INDEX(nse!D:D,MATCH(B5514,nse!B:B,0))</f>
        <v>EQ</v>
      </c>
      <c r="D5514" t="str">
        <f>INDEX(nse!C:C,MATCH(B5514,nse!B:B,0))</f>
        <v>Seamec Limited</v>
      </c>
    </row>
    <row r="5515" spans="2:4" hidden="1" x14ac:dyDescent="0.3">
      <c r="B5515" t="s">
        <v>1023</v>
      </c>
      <c r="C5515" t="str">
        <f>INDEX(nse!D:D,MATCH(B5515,nse!B:B,0))</f>
        <v>EQ</v>
      </c>
      <c r="D5515" t="str">
        <f>INDEX(nse!C:C,MATCH(B5515,nse!B:B,0))</f>
        <v>S.E. Investments Limited</v>
      </c>
    </row>
    <row r="5516" spans="2:4" hidden="1" x14ac:dyDescent="0.3">
      <c r="B5516" t="s">
        <v>1024</v>
      </c>
      <c r="C5516" t="str">
        <f>INDEX(nse!D:D,MATCH(B5516,nse!B:B,0))</f>
        <v>EQ</v>
      </c>
      <c r="D5516" t="str">
        <f>INDEX(nse!C:C,MATCH(B5516,nse!B:B,0))</f>
        <v>Selan Exploration Technology Limited</v>
      </c>
    </row>
    <row r="5517" spans="2:4" hidden="1" x14ac:dyDescent="0.3">
      <c r="B5517" t="s">
        <v>1025</v>
      </c>
      <c r="C5517" t="str">
        <f>INDEX(nse!D:D,MATCH(B5517,nse!B:B,0))</f>
        <v>EQ</v>
      </c>
      <c r="D5517" t="str">
        <f>INDEX(nse!C:C,MATCH(B5517,nse!B:B,0))</f>
        <v>SEL Manufacturing Company Limited</v>
      </c>
    </row>
    <row r="5518" spans="2:4" hidden="1" x14ac:dyDescent="0.3">
      <c r="B5518" t="s">
        <v>1026</v>
      </c>
      <c r="C5518" t="str">
        <f>INDEX(nse!D:D,MATCH(B5518,nse!B:B,0))</f>
        <v>EQ</v>
      </c>
      <c r="D5518" t="str">
        <f>INDEX(nse!C:C,MATCH(B5518,nse!B:B,0))</f>
        <v>S.E. Power Limited</v>
      </c>
    </row>
    <row r="5519" spans="2:4" hidden="1" x14ac:dyDescent="0.3">
      <c r="B5519" t="s">
        <v>4306</v>
      </c>
      <c r="C5519" t="str">
        <f>INDEX(nse!D:D,MATCH(B5519,nse!B:B,0))</f>
        <v>EQ</v>
      </c>
      <c r="D5519" t="str">
        <f>INDEX(nse!C:C,MATCH(B5519,nse!B:B,0))</f>
        <v>Sequent Scientific Limited</v>
      </c>
    </row>
    <row r="5520" spans="2:4" hidden="1" x14ac:dyDescent="0.3">
      <c r="B5520" t="s">
        <v>1027</v>
      </c>
      <c r="C5520" t="str">
        <f>INDEX(nse!D:D,MATCH(B5520,nse!B:B,0))</f>
        <v>EQ</v>
      </c>
      <c r="D5520" t="str">
        <f>INDEX(nse!C:C,MATCH(B5520,nse!B:B,0))</f>
        <v>Servalakshmi Paper Limited</v>
      </c>
    </row>
    <row r="5521" spans="2:4" hidden="1" x14ac:dyDescent="0.3">
      <c r="B5521" t="s">
        <v>1028</v>
      </c>
      <c r="C5521" t="str">
        <f>INDEX(nse!D:D,MATCH(B5521,nse!B:B,0))</f>
        <v>EQ</v>
      </c>
      <c r="D5521" t="str">
        <f>INDEX(nse!C:C,MATCH(B5521,nse!B:B,0))</f>
        <v>Seshasayee Paper and Boards Limited</v>
      </c>
    </row>
    <row r="5522" spans="2:4" hidden="1" x14ac:dyDescent="0.3">
      <c r="B5522" t="s">
        <v>4311</v>
      </c>
      <c r="C5522" t="str">
        <f>INDEX(nse!D:D,MATCH(B5522,nse!B:B,0))</f>
        <v>EQ</v>
      </c>
      <c r="D5522" t="str">
        <f>INDEX(nse!C:C,MATCH(B5522,nse!B:B,0))</f>
        <v>Setco Automotive Limited</v>
      </c>
    </row>
    <row r="5523" spans="2:4" hidden="1" x14ac:dyDescent="0.3">
      <c r="B5523" t="s">
        <v>1029</v>
      </c>
      <c r="C5523" t="str">
        <f>INDEX(nse!D:D,MATCH(B5523,nse!B:B,0))</f>
        <v>BE</v>
      </c>
      <c r="D5523" t="str">
        <f>INDEX(nse!C:C,MATCH(B5523,nse!B:B,0))</f>
        <v>Sezal Glass Limited</v>
      </c>
    </row>
    <row r="5524" spans="2:4" hidden="1" x14ac:dyDescent="0.3">
      <c r="B5524" t="s">
        <v>4315</v>
      </c>
      <c r="C5524" t="str">
        <f>INDEX(nse!D:D,MATCH(B5524,nse!B:B,0))</f>
        <v>EQ</v>
      </c>
      <c r="D5524" t="str">
        <f>INDEX(nse!C:C,MATCH(B5524,nse!B:B,0))</f>
        <v>Sheela Foam Limited</v>
      </c>
    </row>
    <row r="5525" spans="2:4" hidden="1" x14ac:dyDescent="0.3">
      <c r="B5525" t="s">
        <v>1332</v>
      </c>
      <c r="C5525" t="str">
        <f>INDEX(nse!D:D,MATCH(B5525,nse!B:B,0))</f>
        <v>BE</v>
      </c>
      <c r="D5525" t="str">
        <f>INDEX(nse!C:C,MATCH(B5525,nse!B:B,0))</f>
        <v>Shree Ganesh Forgings Limited</v>
      </c>
    </row>
    <row r="5526" spans="2:4" hidden="1" x14ac:dyDescent="0.3">
      <c r="B5526" t="s">
        <v>1333</v>
      </c>
      <c r="C5526" t="str">
        <f>INDEX(nse!D:D,MATCH(B5526,nse!B:B,0))</f>
        <v>EQ</v>
      </c>
      <c r="D5526" t="str">
        <f>INDEX(nse!C:C,MATCH(B5526,nse!B:B,0))</f>
        <v>STL Global Limited</v>
      </c>
    </row>
    <row r="5527" spans="2:4" hidden="1" x14ac:dyDescent="0.3">
      <c r="B5527" t="s">
        <v>1030</v>
      </c>
      <c r="C5527" t="str">
        <f>INDEX(nse!D:D,MATCH(B5527,nse!B:B,0))</f>
        <v>BE</v>
      </c>
      <c r="D5527" t="str">
        <f>INDEX(nse!C:C,MATCH(B5527,nse!B:B,0))</f>
        <v>Shah Alloys Limited</v>
      </c>
    </row>
    <row r="5528" spans="2:4" hidden="1" x14ac:dyDescent="0.3">
      <c r="B5528" t="s">
        <v>4321</v>
      </c>
      <c r="C5528" t="str">
        <f>INDEX(nse!D:D,MATCH(B5528,nse!B:B,0))</f>
        <v>EQ</v>
      </c>
      <c r="D5528" t="str">
        <f>INDEX(nse!C:C,MATCH(B5528,nse!B:B,0))</f>
        <v>Shakti Pumps (India) Limited</v>
      </c>
    </row>
    <row r="5529" spans="2:4" hidden="1" x14ac:dyDescent="0.3">
      <c r="B5529" t="s">
        <v>1031</v>
      </c>
      <c r="C5529" t="str">
        <f>INDEX(nse!D:D,MATCH(B5529,nse!B:B,0))</f>
        <v>EQ</v>
      </c>
      <c r="D5529" t="str">
        <f>INDEX(nse!C:C,MATCH(B5529,nse!B:B,0))</f>
        <v>Shalimar Paints Limited</v>
      </c>
    </row>
    <row r="5530" spans="2:4" hidden="1" x14ac:dyDescent="0.3">
      <c r="B5530" t="s">
        <v>4325</v>
      </c>
      <c r="C5530" t="str">
        <f>INDEX(nse!D:D,MATCH(B5530,nse!B:B,0))</f>
        <v>EQ</v>
      </c>
      <c r="D5530" t="str">
        <f>INDEX(nse!C:C,MATCH(B5530,nse!B:B,0))</f>
        <v>Shankara Building Products Limited</v>
      </c>
    </row>
    <row r="5531" spans="2:4" hidden="1" x14ac:dyDescent="0.3">
      <c r="B5531" t="s">
        <v>1032</v>
      </c>
      <c r="C5531" t="str">
        <f>INDEX(nse!D:D,MATCH(B5531,nse!B:B,0))</f>
        <v>EQ</v>
      </c>
      <c r="D5531" t="str">
        <f>INDEX(nse!C:C,MATCH(B5531,nse!B:B,0))</f>
        <v>Shanthi Gears Limited</v>
      </c>
    </row>
    <row r="5532" spans="2:4" hidden="1" x14ac:dyDescent="0.3">
      <c r="B5532" t="s">
        <v>1033</v>
      </c>
      <c r="C5532" t="str">
        <f>INDEX(nse!D:D,MATCH(B5532,nse!B:B,0))</f>
        <v>EQ</v>
      </c>
      <c r="D5532" t="str">
        <f>INDEX(nse!C:C,MATCH(B5532,nse!B:B,0))</f>
        <v>Sharda Cropchem Limited</v>
      </c>
    </row>
    <row r="5533" spans="2:4" hidden="1" x14ac:dyDescent="0.3">
      <c r="B5533" t="s">
        <v>4330</v>
      </c>
      <c r="C5533" t="str">
        <f>INDEX(nse!D:D,MATCH(B5533,nse!B:B,0))</f>
        <v>EQ</v>
      </c>
      <c r="D5533" t="str">
        <f>INDEX(nse!C:C,MATCH(B5533,nse!B:B,0))</f>
        <v>Sharda Motor Industries Limited</v>
      </c>
    </row>
    <row r="5534" spans="2:4" hidden="1" x14ac:dyDescent="0.3">
      <c r="B5534" t="s">
        <v>1034</v>
      </c>
      <c r="C5534" t="str">
        <f>INDEX(nse!D:D,MATCH(B5534,nse!B:B,0))</f>
        <v>EQ</v>
      </c>
      <c r="D5534" t="str">
        <f>INDEX(nse!C:C,MATCH(B5534,nse!B:B,0))</f>
        <v>Sharon Bio-Medicine Limited</v>
      </c>
    </row>
    <row r="5535" spans="2:4" hidden="1" x14ac:dyDescent="0.3">
      <c r="B5535" t="s">
        <v>1035</v>
      </c>
      <c r="C5535" t="str">
        <f>INDEX(nse!D:D,MATCH(B5535,nse!B:B,0))</f>
        <v>EQ</v>
      </c>
      <c r="D5535" t="str">
        <f>INDEX(nse!C:C,MATCH(B5535,nse!B:B,0))</f>
        <v>Shemaroo Entertainment Limited</v>
      </c>
    </row>
    <row r="5536" spans="2:4" hidden="1" x14ac:dyDescent="0.3">
      <c r="B5536" t="s">
        <v>1036</v>
      </c>
      <c r="C5536" t="str">
        <f>INDEX(nse!D:D,MATCH(B5536,nse!B:B,0))</f>
        <v>EQ</v>
      </c>
      <c r="D5536" t="str">
        <f>INDEX(nse!C:C,MATCH(B5536,nse!B:B,0))</f>
        <v>Shilpa Medicare Limited</v>
      </c>
    </row>
    <row r="5537" spans="2:4" hidden="1" x14ac:dyDescent="0.3">
      <c r="B5537" t="s">
        <v>1037</v>
      </c>
      <c r="C5537" t="str">
        <f>INDEX(nse!D:D,MATCH(B5537,nse!B:B,0))</f>
        <v>EQ</v>
      </c>
      <c r="D5537" t="str">
        <f>INDEX(nse!C:C,MATCH(B5537,nse!B:B,0))</f>
        <v>Shilpi Cable Technologies Limited</v>
      </c>
    </row>
    <row r="5538" spans="2:4" hidden="1" x14ac:dyDescent="0.3">
      <c r="B5538" t="s">
        <v>1038</v>
      </c>
      <c r="C5538" t="str">
        <f>INDEX(nse!D:D,MATCH(B5538,nse!B:B,0))</f>
        <v>EQ</v>
      </c>
      <c r="D5538" t="str">
        <f>INDEX(nse!C:C,MATCH(B5538,nse!B:B,0))</f>
        <v>Shirpur Gold Refinery Limited</v>
      </c>
    </row>
    <row r="5539" spans="2:4" hidden="1" x14ac:dyDescent="0.3">
      <c r="B5539" t="s">
        <v>1039</v>
      </c>
      <c r="C5539" t="str">
        <f>INDEX(nse!D:D,MATCH(B5539,nse!B:B,0))</f>
        <v>EQ</v>
      </c>
      <c r="D5539" t="str">
        <f>INDEX(nse!C:C,MATCH(B5539,nse!B:B,0))</f>
        <v>Shivam Autotech Limited</v>
      </c>
    </row>
    <row r="5540" spans="2:4" hidden="1" x14ac:dyDescent="0.3">
      <c r="B5540" t="s">
        <v>1040</v>
      </c>
      <c r="C5540" t="str">
        <f>INDEX(nse!D:D,MATCH(B5540,nse!B:B,0))</f>
        <v>EQ</v>
      </c>
      <c r="D5540" t="str">
        <f>INDEX(nse!C:C,MATCH(B5540,nse!B:B,0))</f>
        <v>Shiva Texyarn Limited</v>
      </c>
    </row>
    <row r="5541" spans="2:4" hidden="1" x14ac:dyDescent="0.3">
      <c r="B5541" t="s">
        <v>4340</v>
      </c>
      <c r="C5541" t="str">
        <f>INDEX(nse!D:D,MATCH(B5541,nse!B:B,0))</f>
        <v>EQ</v>
      </c>
      <c r="D5541" t="str">
        <f>INDEX(nse!C:C,MATCH(B5541,nse!B:B,0))</f>
        <v>S H Kelkar and Company Limited</v>
      </c>
    </row>
    <row r="5542" spans="2:4" hidden="1" x14ac:dyDescent="0.3">
      <c r="B5542" t="s">
        <v>1041</v>
      </c>
      <c r="C5542" t="str">
        <f>INDEX(nse!D:D,MATCH(B5542,nse!B:B,0))</f>
        <v>EQ</v>
      </c>
      <c r="D5542" t="str">
        <f>INDEX(nse!C:C,MATCH(B5542,nse!B:B,0))</f>
        <v>Shoppers Stop Limited</v>
      </c>
    </row>
    <row r="5543" spans="2:4" hidden="1" x14ac:dyDescent="0.3">
      <c r="B5543" t="s">
        <v>91</v>
      </c>
      <c r="C5543" t="str">
        <f>INDEX(nse!D:D,MATCH(B5543,nse!B:B,0))</f>
        <v>EQ</v>
      </c>
      <c r="D5543" t="str">
        <f>INDEX(nse!C:C,MATCH(B5543,nse!B:B,0))</f>
        <v>Shree Cements Limited</v>
      </c>
    </row>
    <row r="5544" spans="2:4" hidden="1" x14ac:dyDescent="0.3">
      <c r="B5544" t="s">
        <v>4345</v>
      </c>
      <c r="C5544" t="str">
        <f>INDEX(nse!D:D,MATCH(B5544,nse!B:B,0))</f>
        <v>EQ</v>
      </c>
      <c r="D5544" t="str">
        <f>INDEX(nse!C:C,MATCH(B5544,nse!B:B,0))</f>
        <v>Shree Pushkar Chemicals &amp; Fertilisers Limited</v>
      </c>
    </row>
    <row r="5545" spans="2:4" hidden="1" x14ac:dyDescent="0.3">
      <c r="B5545" t="s">
        <v>1042</v>
      </c>
      <c r="C5545" t="str">
        <f>INDEX(nse!D:D,MATCH(B5545,nse!B:B,0))</f>
        <v>EQ</v>
      </c>
      <c r="D5545" t="str">
        <f>INDEX(nse!C:C,MATCH(B5545,nse!B:B,0))</f>
        <v>Shree Rama Multi-Tech Limited</v>
      </c>
    </row>
    <row r="5546" spans="2:4" hidden="1" x14ac:dyDescent="0.3">
      <c r="B5546" t="s">
        <v>1043</v>
      </c>
      <c r="C5546" t="str">
        <f>INDEX(nse!D:D,MATCH(B5546,nse!B:B,0))</f>
        <v>EQ</v>
      </c>
      <c r="D5546" t="str">
        <f>INDEX(nse!C:C,MATCH(B5546,nse!B:B,0))</f>
        <v>Shreyans Industries Limited</v>
      </c>
    </row>
    <row r="5547" spans="2:4" hidden="1" x14ac:dyDescent="0.3">
      <c r="B5547" t="s">
        <v>1044</v>
      </c>
      <c r="C5547" t="str">
        <f>INDEX(nse!D:D,MATCH(B5547,nse!B:B,0))</f>
        <v>EQ</v>
      </c>
      <c r="D5547" t="str">
        <f>INDEX(nse!C:C,MATCH(B5547,nse!B:B,0))</f>
        <v>Shreyas Shipping &amp; Logistics Limited</v>
      </c>
    </row>
    <row r="5548" spans="2:4" hidden="1" x14ac:dyDescent="0.3">
      <c r="B5548" t="s">
        <v>4351</v>
      </c>
      <c r="C5548" t="str">
        <f>INDEX(nse!D:D,MATCH(B5548,nse!B:B,0))</f>
        <v>BE</v>
      </c>
      <c r="D5548" t="str">
        <f>INDEX(nse!C:C,MATCH(B5548,nse!B:B,0))</f>
        <v>Shriram Pistons &amp; Rings Limited</v>
      </c>
    </row>
    <row r="5549" spans="2:4" hidden="1" x14ac:dyDescent="0.3">
      <c r="B5549" t="s">
        <v>1045</v>
      </c>
      <c r="C5549" t="str">
        <f>INDEX(nse!D:D,MATCH(B5549,nse!B:B,0))</f>
        <v>EQ</v>
      </c>
      <c r="D5549" t="str">
        <f>INDEX(nse!C:C,MATCH(B5549,nse!B:B,0))</f>
        <v>Shriram City Union Finance Limited</v>
      </c>
    </row>
    <row r="5550" spans="2:4" hidden="1" x14ac:dyDescent="0.3">
      <c r="B5550" t="s">
        <v>1046</v>
      </c>
      <c r="C5550" t="str">
        <f>INDEX(nse!D:D,MATCH(B5550,nse!B:B,0))</f>
        <v>EQ</v>
      </c>
      <c r="D5550" t="str">
        <f>INDEX(nse!C:C,MATCH(B5550,nse!B:B,0))</f>
        <v>Shriram EPC Limited</v>
      </c>
    </row>
    <row r="5551" spans="2:4" hidden="1" x14ac:dyDescent="0.3">
      <c r="B5551" t="s">
        <v>4356</v>
      </c>
      <c r="C5551" t="str">
        <f>INDEX(nse!D:D,MATCH(B5551,nse!B:B,0))</f>
        <v>EQ</v>
      </c>
      <c r="D5551" t="str">
        <f>INDEX(nse!C:C,MATCH(B5551,nse!B:B,0))</f>
        <v>Shyam Century Ferrous Limited</v>
      </c>
    </row>
    <row r="5552" spans="2:4" hidden="1" x14ac:dyDescent="0.3">
      <c r="B5552" t="s">
        <v>1047</v>
      </c>
      <c r="C5552" t="str">
        <f>INDEX(nse!D:D,MATCH(B5552,nse!B:B,0))</f>
        <v>EQ</v>
      </c>
      <c r="D5552" t="str">
        <f>INDEX(nse!C:C,MATCH(B5552,nse!B:B,0))</f>
        <v>Shyam Telecom Limited</v>
      </c>
    </row>
    <row r="5553" spans="2:4" hidden="1" x14ac:dyDescent="0.3">
      <c r="B5553" t="s">
        <v>1048</v>
      </c>
      <c r="C5553" t="str">
        <f>INDEX(nse!D:D,MATCH(B5553,nse!B:B,0))</f>
        <v>EQ</v>
      </c>
      <c r="D5553" t="str">
        <f>INDEX(nse!C:C,MATCH(B5553,nse!B:B,0))</f>
        <v>Sicagen India Limited</v>
      </c>
    </row>
    <row r="5554" spans="2:4" hidden="1" x14ac:dyDescent="0.3">
      <c r="B5554" t="s">
        <v>1049</v>
      </c>
      <c r="C5554" t="str">
        <f>INDEX(nse!D:D,MATCH(B5554,nse!B:B,0))</f>
        <v>EQ</v>
      </c>
      <c r="D5554" t="str">
        <f>INDEX(nse!C:C,MATCH(B5554,nse!B:B,0))</f>
        <v>Sical Logistics Limited</v>
      </c>
    </row>
    <row r="5555" spans="2:4" hidden="1" x14ac:dyDescent="0.3">
      <c r="B5555" t="s">
        <v>92</v>
      </c>
      <c r="C5555" t="str">
        <f>INDEX(nse!D:D,MATCH(B5555,nse!B:B,0))</f>
        <v>EQ</v>
      </c>
      <c r="D5555" t="str">
        <f>INDEX(nse!C:C,MATCH(B5555,nse!B:B,0))</f>
        <v>Siemens Limited</v>
      </c>
    </row>
    <row r="5556" spans="2:4" hidden="1" x14ac:dyDescent="0.3">
      <c r="B5556" t="s">
        <v>4363</v>
      </c>
      <c r="C5556" t="str">
        <f>INDEX(nse!D:D,MATCH(B5556,nse!B:B,0))</f>
        <v>EQ</v>
      </c>
      <c r="D5556" t="str">
        <f>INDEX(nse!C:C,MATCH(B5556,nse!B:B,0))</f>
        <v>Signet Industries Limited</v>
      </c>
    </row>
    <row r="5557" spans="2:4" hidden="1" x14ac:dyDescent="0.3">
      <c r="B5557" t="s">
        <v>1050</v>
      </c>
      <c r="C5557" t="str">
        <f>INDEX(nse!D:D,MATCH(B5557,nse!B:B,0))</f>
        <v>BE</v>
      </c>
      <c r="D5557" t="str">
        <f>INDEX(nse!C:C,MATCH(B5557,nse!B:B,0))</f>
        <v>Standard Industries Limited</v>
      </c>
    </row>
    <row r="5558" spans="2:4" hidden="1" x14ac:dyDescent="0.3">
      <c r="B5558" t="s">
        <v>1051</v>
      </c>
      <c r="C5558" t="str">
        <f>INDEX(nse!D:D,MATCH(B5558,nse!B:B,0))</f>
        <v>EQ</v>
      </c>
      <c r="D5558" t="str">
        <f>INDEX(nse!C:C,MATCH(B5558,nse!B:B,0))</f>
        <v>SIL Investments Limited</v>
      </c>
    </row>
    <row r="5559" spans="2:4" hidden="1" x14ac:dyDescent="0.3">
      <c r="B5559" t="s">
        <v>4368</v>
      </c>
      <c r="C5559" t="str">
        <f>INDEX(nse!D:D,MATCH(B5559,nse!B:B,0))</f>
        <v>EQ</v>
      </c>
      <c r="D5559" t="str">
        <f>INDEX(nse!C:C,MATCH(B5559,nse!B:B,0))</f>
        <v>Simbhaoli Sugars Limited</v>
      </c>
    </row>
    <row r="5560" spans="2:4" hidden="1" x14ac:dyDescent="0.3">
      <c r="B5560" t="s">
        <v>1052</v>
      </c>
      <c r="C5560" t="str">
        <f>INDEX(nse!D:D,MATCH(B5560,nse!B:B,0))</f>
        <v>BE</v>
      </c>
      <c r="D5560" t="str">
        <f>INDEX(nse!C:C,MATCH(B5560,nse!B:B,0))</f>
        <v>Simplex Projects Limited</v>
      </c>
    </row>
    <row r="5561" spans="2:4" hidden="1" x14ac:dyDescent="0.3">
      <c r="B5561" t="s">
        <v>1053</v>
      </c>
      <c r="C5561" t="str">
        <f>INDEX(nse!D:D,MATCH(B5561,nse!B:B,0))</f>
        <v>EQ</v>
      </c>
      <c r="D5561" t="str">
        <f>INDEX(nse!C:C,MATCH(B5561,nse!B:B,0))</f>
        <v>Simplex Infrastructures Limited</v>
      </c>
    </row>
    <row r="5562" spans="2:4" hidden="1" x14ac:dyDescent="0.3">
      <c r="B5562" t="s">
        <v>1054</v>
      </c>
      <c r="C5562" t="str">
        <f>INDEX(nse!D:D,MATCH(B5562,nse!B:B,0))</f>
        <v>EQ</v>
      </c>
      <c r="D5562" t="str">
        <f>INDEX(nse!C:C,MATCH(B5562,nse!B:B,0))</f>
        <v>Sintex Industries Limited</v>
      </c>
    </row>
    <row r="5563" spans="2:4" hidden="1" x14ac:dyDescent="0.3">
      <c r="B5563" t="s">
        <v>1055</v>
      </c>
      <c r="C5563" t="str">
        <f>INDEX(nse!D:D,MATCH(B5563,nse!B:B,0))</f>
        <v>EQ</v>
      </c>
      <c r="D5563" t="str">
        <f>INDEX(nse!C:C,MATCH(B5563,nse!B:B,0))</f>
        <v>Sita Shree Food Products Limited</v>
      </c>
    </row>
    <row r="5564" spans="2:4" hidden="1" x14ac:dyDescent="0.3">
      <c r="B5564" t="s">
        <v>4374</v>
      </c>
      <c r="C5564" t="str">
        <f>INDEX(nse!D:D,MATCH(B5564,nse!B:B,0))</f>
        <v>EQ</v>
      </c>
      <c r="D5564" t="str">
        <f>INDEX(nse!C:C,MATCH(B5564,nse!B:B,0))</f>
        <v>Siti Networks Limited</v>
      </c>
    </row>
    <row r="5565" spans="2:4" hidden="1" x14ac:dyDescent="0.3">
      <c r="B5565" t="s">
        <v>1056</v>
      </c>
      <c r="C5565" t="str">
        <f>INDEX(nse!D:D,MATCH(B5565,nse!B:B,0))</f>
        <v>EQ</v>
      </c>
      <c r="D5565" t="str">
        <f>INDEX(nse!C:C,MATCH(B5565,nse!B:B,0))</f>
        <v>Siyaram Silk Mills Limited</v>
      </c>
    </row>
    <row r="5566" spans="2:4" hidden="1" x14ac:dyDescent="0.3">
      <c r="B5566" t="s">
        <v>1057</v>
      </c>
      <c r="C5566" t="str">
        <f>INDEX(nse!D:D,MATCH(B5566,nse!B:B,0))</f>
        <v>EQ</v>
      </c>
      <c r="D5566" t="str">
        <f>INDEX(nse!C:C,MATCH(B5566,nse!B:B,0))</f>
        <v>SJVN Limited</v>
      </c>
    </row>
    <row r="5567" spans="2:4" hidden="1" x14ac:dyDescent="0.3">
      <c r="B5567" t="s">
        <v>1058</v>
      </c>
      <c r="C5567" t="str">
        <f>INDEX(nse!D:D,MATCH(B5567,nse!B:B,0))</f>
        <v>EQ</v>
      </c>
      <c r="D5567" t="str">
        <f>INDEX(nse!C:C,MATCH(B5567,nse!B:B,0))</f>
        <v>SKF India Limited</v>
      </c>
    </row>
    <row r="5568" spans="2:4" hidden="1" x14ac:dyDescent="0.3">
      <c r="B5568" t="s">
        <v>1059</v>
      </c>
      <c r="C5568" t="str">
        <f>INDEX(nse!D:D,MATCH(B5568,nse!B:B,0))</f>
        <v>EQ</v>
      </c>
      <c r="D5568" t="str">
        <f>INDEX(nse!C:C,MATCH(B5568,nse!B:B,0))</f>
        <v>SKIL Infrastructure Limited</v>
      </c>
    </row>
    <row r="5569" spans="2:4" hidden="1" x14ac:dyDescent="0.3">
      <c r="B5569" t="s">
        <v>4381</v>
      </c>
      <c r="C5569" t="str">
        <f>INDEX(nse!D:D,MATCH(B5569,nse!B:B,0))</f>
        <v>EQ</v>
      </c>
      <c r="D5569" t="str">
        <f>INDEX(nse!C:C,MATCH(B5569,nse!B:B,0))</f>
        <v>Skipper Limited</v>
      </c>
    </row>
    <row r="5570" spans="2:4" hidden="1" x14ac:dyDescent="0.3">
      <c r="B5570" t="s">
        <v>1060</v>
      </c>
      <c r="C5570" t="str">
        <f>INDEX(nse!D:D,MATCH(B5570,nse!B:B,0))</f>
        <v>BE</v>
      </c>
      <c r="D5570" t="str">
        <f>INDEX(nse!C:C,MATCH(B5570,nse!B:B,0))</f>
        <v>SKM Egg Products Export (India) Limited</v>
      </c>
    </row>
    <row r="5571" spans="2:4" hidden="1" x14ac:dyDescent="0.3">
      <c r="B5571" t="s">
        <v>1061</v>
      </c>
      <c r="C5571" t="str">
        <f>INDEX(nse!D:D,MATCH(B5571,nse!B:B,0))</f>
        <v>EQ</v>
      </c>
      <c r="D5571" t="str">
        <f>INDEX(nse!C:C,MATCH(B5571,nse!B:B,0))</f>
        <v>Smartlink Network Systems Limited</v>
      </c>
    </row>
    <row r="5572" spans="2:4" hidden="1" x14ac:dyDescent="0.3">
      <c r="B5572" t="s">
        <v>1062</v>
      </c>
      <c r="C5572" t="str">
        <f>INDEX(nse!D:D,MATCH(B5572,nse!B:B,0))</f>
        <v>EQ</v>
      </c>
      <c r="D5572" t="str">
        <f>INDEX(nse!C:C,MATCH(B5572,nse!B:B,0))</f>
        <v>SML Isuzu Limited</v>
      </c>
    </row>
    <row r="5573" spans="2:4" hidden="1" x14ac:dyDescent="0.3">
      <c r="B5573" t="s">
        <v>1063</v>
      </c>
      <c r="C5573" t="str">
        <f>INDEX(nse!D:D,MATCH(B5573,nse!B:B,0))</f>
        <v>EQ</v>
      </c>
      <c r="D5573" t="str">
        <f>INDEX(nse!C:C,MATCH(B5573,nse!B:B,0))</f>
        <v>Splendid Metal Products Limited</v>
      </c>
    </row>
    <row r="5574" spans="2:4" hidden="1" x14ac:dyDescent="0.3">
      <c r="B5574" t="s">
        <v>1064</v>
      </c>
      <c r="C5574" t="str">
        <f>INDEX(nse!D:D,MATCH(B5574,nse!B:B,0))</f>
        <v>EQ</v>
      </c>
      <c r="D5574" t="str">
        <f>INDEX(nse!C:C,MATCH(B5574,nse!B:B,0))</f>
        <v>SMS Pharmaceuticals Limited</v>
      </c>
    </row>
    <row r="5575" spans="2:4" hidden="1" x14ac:dyDescent="0.3">
      <c r="B5575" t="s">
        <v>1065</v>
      </c>
      <c r="C5575" t="str">
        <f>INDEX(nse!D:D,MATCH(B5575,nse!B:B,0))</f>
        <v>EQ</v>
      </c>
      <c r="D5575" t="str">
        <f>INDEX(nse!C:C,MATCH(B5575,nse!B:B,0))</f>
        <v>Snowman Logistics Limited</v>
      </c>
    </row>
    <row r="5576" spans="2:4" hidden="1" x14ac:dyDescent="0.3">
      <c r="B5576" t="s">
        <v>1066</v>
      </c>
      <c r="C5576" t="str">
        <f>INDEX(nse!D:D,MATCH(B5576,nse!B:B,0))</f>
        <v>EQ</v>
      </c>
      <c r="D5576" t="str">
        <f>INDEX(nse!C:C,MATCH(B5576,nse!B:B,0))</f>
        <v>Sobha Limited</v>
      </c>
    </row>
    <row r="5577" spans="2:4" hidden="1" x14ac:dyDescent="0.3">
      <c r="B5577" t="s">
        <v>1334</v>
      </c>
      <c r="C5577" t="str">
        <f>INDEX(nse!D:D,MATCH(B5577,nse!B:B,0))</f>
        <v>EQ</v>
      </c>
      <c r="D5577" t="str">
        <f>INDEX(nse!C:C,MATCH(B5577,nse!B:B,0))</f>
        <v>Software Technology Group International Limited</v>
      </c>
    </row>
    <row r="5578" spans="2:4" hidden="1" x14ac:dyDescent="0.3">
      <c r="B5578" t="s">
        <v>1067</v>
      </c>
      <c r="C5578" t="str">
        <f>INDEX(nse!D:D,MATCH(B5578,nse!B:B,0))</f>
        <v>EQ</v>
      </c>
      <c r="D5578" t="str">
        <f>INDEX(nse!C:C,MATCH(B5578,nse!B:B,0))</f>
        <v>Solar Industries India Limited</v>
      </c>
    </row>
    <row r="5579" spans="2:4" hidden="1" x14ac:dyDescent="0.3">
      <c r="B5579" t="s">
        <v>1068</v>
      </c>
      <c r="C5579" t="str">
        <f>INDEX(nse!D:D,MATCH(B5579,nse!B:B,0))</f>
        <v>EQ</v>
      </c>
      <c r="D5579" t="str">
        <f>INDEX(nse!C:C,MATCH(B5579,nse!B:B,0))</f>
        <v>Somany Ceramics Limited</v>
      </c>
    </row>
    <row r="5580" spans="2:4" hidden="1" x14ac:dyDescent="0.3">
      <c r="B5580" t="s">
        <v>1069</v>
      </c>
      <c r="C5580" t="str">
        <f>INDEX(nse!D:D,MATCH(B5580,nse!B:B,0))</f>
        <v>BE</v>
      </c>
      <c r="D5580" t="str">
        <f>INDEX(nse!C:C,MATCH(B5580,nse!B:B,0))</f>
        <v>Soma Textiles &amp; Industries Limited</v>
      </c>
    </row>
    <row r="5581" spans="2:4" hidden="1" x14ac:dyDescent="0.3">
      <c r="B5581" t="s">
        <v>4396</v>
      </c>
      <c r="C5581" t="str">
        <f>INDEX(nse!D:D,MATCH(B5581,nse!B:B,0))</f>
        <v>EQ</v>
      </c>
      <c r="D5581" t="str">
        <f>INDEX(nse!C:C,MATCH(B5581,nse!B:B,0))</f>
        <v>Somi Conveyor Beltings Limited</v>
      </c>
    </row>
    <row r="5582" spans="2:4" hidden="1" x14ac:dyDescent="0.3">
      <c r="B5582" t="s">
        <v>1070</v>
      </c>
      <c r="C5582" t="str">
        <f>INDEX(nse!D:D,MATCH(B5582,nse!B:B,0))</f>
        <v>EQ</v>
      </c>
      <c r="D5582" t="str">
        <f>INDEX(nse!C:C,MATCH(B5582,nse!B:B,0))</f>
        <v>Sona Koyo Steering Systems Limited</v>
      </c>
    </row>
    <row r="5583" spans="2:4" hidden="1" x14ac:dyDescent="0.3">
      <c r="B5583" t="s">
        <v>1071</v>
      </c>
      <c r="C5583" t="str">
        <f>INDEX(nse!D:D,MATCH(B5583,nse!B:B,0))</f>
        <v>EQ</v>
      </c>
      <c r="D5583" t="str">
        <f>INDEX(nse!C:C,MATCH(B5583,nse!B:B,0))</f>
        <v>Sonata Software Limited</v>
      </c>
    </row>
    <row r="5584" spans="2:4" hidden="1" x14ac:dyDescent="0.3">
      <c r="B5584" t="s">
        <v>4401</v>
      </c>
      <c r="C5584" t="str">
        <f>INDEX(nse!D:D,MATCH(B5584,nse!B:B,0))</f>
        <v>EQ</v>
      </c>
      <c r="D5584" t="str">
        <f>INDEX(nse!C:C,MATCH(B5584,nse!B:B,0))</f>
        <v>SORIL Holdings and Ventures Limited</v>
      </c>
    </row>
    <row r="5585" spans="2:4" hidden="1" x14ac:dyDescent="0.3">
      <c r="B5585" t="s">
        <v>4404</v>
      </c>
      <c r="C5585" t="str">
        <f>INDEX(nse!D:D,MATCH(B5585,nse!B:B,0))</f>
        <v>EQ</v>
      </c>
      <c r="D5585" t="str">
        <f>INDEX(nse!C:C,MATCH(B5585,nse!B:B,0))</f>
        <v>SORIL Infra Resources Limited</v>
      </c>
    </row>
    <row r="5586" spans="2:4" hidden="1" x14ac:dyDescent="0.3">
      <c r="B5586" t="s">
        <v>1072</v>
      </c>
      <c r="C5586" t="str">
        <f>INDEX(nse!D:D,MATCH(B5586,nse!B:B,0))</f>
        <v>EQ</v>
      </c>
      <c r="D5586" t="str">
        <f>INDEX(nse!C:C,MATCH(B5586,nse!B:B,0))</f>
        <v>Savita Oil Technologies Limited</v>
      </c>
    </row>
    <row r="5587" spans="2:4" hidden="1" x14ac:dyDescent="0.3">
      <c r="B5587" t="s">
        <v>93</v>
      </c>
      <c r="C5587" t="str">
        <f>INDEX(nse!D:D,MATCH(B5587,nse!B:B,0))</f>
        <v>EQ</v>
      </c>
      <c r="D5587" t="str">
        <f>INDEX(nse!C:C,MATCH(B5587,nse!B:B,0))</f>
        <v>The South Indian Bank Limited</v>
      </c>
    </row>
    <row r="5588" spans="2:4" hidden="1" x14ac:dyDescent="0.3">
      <c r="B5588" t="s">
        <v>4409</v>
      </c>
      <c r="C5588" t="str">
        <f>INDEX(nse!D:D,MATCH(B5588,nse!B:B,0))</f>
        <v>EQ</v>
      </c>
      <c r="D5588" t="str">
        <f>INDEX(nse!C:C,MATCH(B5588,nse!B:B,0))</f>
        <v>S. P. Apparels Limited</v>
      </c>
    </row>
    <row r="5589" spans="2:4" hidden="1" x14ac:dyDescent="0.3">
      <c r="B5589" t="s">
        <v>1073</v>
      </c>
      <c r="C5589" t="str">
        <f>INDEX(nse!D:D,MATCH(B5589,nse!B:B,0))</f>
        <v>EQ</v>
      </c>
      <c r="D5589" t="str">
        <f>INDEX(nse!C:C,MATCH(B5589,nse!B:B,0))</f>
        <v>Sun Pharma Advanced Research Company Limited</v>
      </c>
    </row>
    <row r="5590" spans="2:4" hidden="1" x14ac:dyDescent="0.3">
      <c r="B5590" t="s">
        <v>4413</v>
      </c>
      <c r="C5590" t="str">
        <f>INDEX(nse!D:D,MATCH(B5590,nse!B:B,0))</f>
        <v>EQ</v>
      </c>
      <c r="D5590" t="str">
        <f>INDEX(nse!C:C,MATCH(B5590,nse!B:B,0))</f>
        <v>Spacenet Enterprises India Limited</v>
      </c>
    </row>
    <row r="5591" spans="2:4" hidden="1" x14ac:dyDescent="0.3">
      <c r="B5591" t="s">
        <v>1074</v>
      </c>
      <c r="C5591" t="str">
        <f>INDEX(nse!D:D,MATCH(B5591,nse!B:B,0))</f>
        <v>BE</v>
      </c>
      <c r="D5591" t="str">
        <f>INDEX(nse!C:C,MATCH(B5591,nse!B:B,0))</f>
        <v>Speciality Restaurants Limited</v>
      </c>
    </row>
    <row r="5592" spans="2:4" hidden="1" x14ac:dyDescent="0.3">
      <c r="B5592" t="s">
        <v>1075</v>
      </c>
      <c r="C5592" t="str">
        <f>INDEX(nse!D:D,MATCH(B5592,nse!B:B,0))</f>
        <v>EQ</v>
      </c>
      <c r="D5592" t="str">
        <f>INDEX(nse!C:C,MATCH(B5592,nse!B:B,0))</f>
        <v>Spentex Industries Limited</v>
      </c>
    </row>
    <row r="5593" spans="2:4" hidden="1" x14ac:dyDescent="0.3">
      <c r="B5593" t="s">
        <v>4418</v>
      </c>
      <c r="C5593" t="str">
        <f>INDEX(nse!D:D,MATCH(B5593,nse!B:B,0))</f>
        <v>EQ</v>
      </c>
      <c r="D5593" t="str">
        <f>INDEX(nse!C:C,MATCH(B5593,nse!B:B,0))</f>
        <v>Sphere Global Services Limited</v>
      </c>
    </row>
    <row r="5594" spans="2:4" hidden="1" x14ac:dyDescent="0.3">
      <c r="B5594" t="s">
        <v>1076</v>
      </c>
      <c r="C5594" t="str">
        <f>INDEX(nse!D:D,MATCH(B5594,nse!B:B,0))</f>
        <v>EQ</v>
      </c>
      <c r="D5594" t="str">
        <f>INDEX(nse!C:C,MATCH(B5594,nse!B:B,0))</f>
        <v>Southern Petrochemicals Industries Corporation  Limited</v>
      </c>
    </row>
    <row r="5595" spans="2:4" hidden="1" x14ac:dyDescent="0.3">
      <c r="B5595" t="s">
        <v>115</v>
      </c>
      <c r="C5595" t="str">
        <f>INDEX(nse!D:D,MATCH(B5595,nse!B:B,0))</f>
        <v>EQ</v>
      </c>
      <c r="D5595" t="str">
        <f>INDEX(nse!C:C,MATCH(B5595,nse!B:B,0))</f>
        <v>Spice Mobility Limited</v>
      </c>
    </row>
    <row r="5596" spans="2:4" hidden="1" x14ac:dyDescent="0.3">
      <c r="B5596" t="s">
        <v>1077</v>
      </c>
      <c r="C5596" t="str">
        <f>INDEX(nse!D:D,MATCH(B5596,nse!B:B,0))</f>
        <v>EQ</v>
      </c>
      <c r="D5596" t="str">
        <f>INDEX(nse!C:C,MATCH(B5596,nse!B:B,0))</f>
        <v>SPL Industries Limited</v>
      </c>
    </row>
    <row r="5597" spans="2:4" hidden="1" x14ac:dyDescent="0.3">
      <c r="B5597" t="s">
        <v>1078</v>
      </c>
      <c r="C5597" t="str">
        <f>INDEX(nse!D:D,MATCH(B5597,nse!B:B,0))</f>
        <v>BE</v>
      </c>
      <c r="D5597" t="str">
        <f>INDEX(nse!C:C,MATCH(B5597,nse!B:B,0))</f>
        <v>SPML Infra Limited</v>
      </c>
    </row>
    <row r="5598" spans="2:4" hidden="1" x14ac:dyDescent="0.3">
      <c r="B5598" t="s">
        <v>1079</v>
      </c>
      <c r="C5598" t="str">
        <f>INDEX(nse!D:D,MATCH(B5598,nse!B:B,0))</f>
        <v>EQ</v>
      </c>
      <c r="D5598" t="str">
        <f>INDEX(nse!C:C,MATCH(B5598,nse!B:B,0))</f>
        <v>Shekhawati Poly-Yarn Limited</v>
      </c>
    </row>
    <row r="5599" spans="2:4" hidden="1" x14ac:dyDescent="0.3">
      <c r="B5599" t="s">
        <v>4426</v>
      </c>
      <c r="C5599" t="str">
        <f>INDEX(nse!D:D,MATCH(B5599,nse!B:B,0))</f>
        <v>EQ</v>
      </c>
      <c r="D5599" t="str">
        <f>INDEX(nse!C:C,MATCH(B5599,nse!B:B,0))</f>
        <v>SQS India BFSI Limited</v>
      </c>
    </row>
    <row r="5600" spans="2:4" hidden="1" x14ac:dyDescent="0.3">
      <c r="B5600" t="s">
        <v>1335</v>
      </c>
      <c r="C5600" t="str">
        <f>INDEX(nse!D:D,MATCH(B5600,nse!B:B,0))</f>
        <v>EQ</v>
      </c>
      <c r="D5600" t="str">
        <f>INDEX(nse!C:C,MATCH(B5600,nse!B:B,0))</f>
        <v>Sreeleathers Limited</v>
      </c>
    </row>
    <row r="5601" spans="2:4" hidden="1" x14ac:dyDescent="0.3">
      <c r="B5601" t="s">
        <v>1080</v>
      </c>
      <c r="C5601" t="str">
        <f>INDEX(nse!D:D,MATCH(B5601,nse!B:B,0))</f>
        <v>EQ</v>
      </c>
      <c r="D5601" t="str">
        <f>INDEX(nse!C:C,MATCH(B5601,nse!B:B,0))</f>
        <v>SREI Infrastructure Finance Limited</v>
      </c>
    </row>
    <row r="5602" spans="2:4" hidden="1" x14ac:dyDescent="0.3">
      <c r="B5602" t="s">
        <v>1081</v>
      </c>
      <c r="C5602" t="str">
        <f>INDEX(nse!D:D,MATCH(B5602,nse!B:B,0))</f>
        <v>EQ</v>
      </c>
      <c r="D5602" t="str">
        <f>INDEX(nse!C:C,MATCH(B5602,nse!B:B,0))</f>
        <v>SRF Limited</v>
      </c>
    </row>
    <row r="5603" spans="2:4" hidden="1" x14ac:dyDescent="0.3">
      <c r="B5603" t="s">
        <v>1082</v>
      </c>
      <c r="C5603" t="str">
        <f>INDEX(nse!D:D,MATCH(B5603,nse!B:B,0))</f>
        <v>BE</v>
      </c>
      <c r="D5603" t="str">
        <f>INDEX(nse!C:C,MATCH(B5603,nse!B:B,0))</f>
        <v>SRG Infotec (India) Limited</v>
      </c>
    </row>
    <row r="5604" spans="2:4" hidden="1" x14ac:dyDescent="0.3">
      <c r="B5604" t="s">
        <v>1083</v>
      </c>
      <c r="C5604" t="str">
        <f>INDEX(nse!D:D,MATCH(B5604,nse!B:B,0))</f>
        <v>EQ</v>
      </c>
      <c r="D5604" t="str">
        <f>INDEX(nse!C:C,MATCH(B5604,nse!B:B,0))</f>
        <v>Sree Rayalaseema Hi-Strength Hypo Limited</v>
      </c>
    </row>
    <row r="5605" spans="2:4" hidden="1" x14ac:dyDescent="0.3">
      <c r="B5605" t="s">
        <v>4434</v>
      </c>
      <c r="C5605" t="str">
        <f>INDEX(nse!D:D,MATCH(B5605,nse!B:B,0))</f>
        <v>EQ</v>
      </c>
      <c r="D5605" t="str">
        <f>INDEX(nse!C:C,MATCH(B5605,nse!B:B,0))</f>
        <v>Srikalahasthi Pipes Limited</v>
      </c>
    </row>
    <row r="5606" spans="2:4" hidden="1" x14ac:dyDescent="0.3">
      <c r="B5606" t="s">
        <v>109</v>
      </c>
      <c r="C5606" t="str">
        <f>INDEX(nse!D:D,MATCH(B5606,nse!B:B,0))</f>
        <v>EQ</v>
      </c>
      <c r="D5606" t="str">
        <f>INDEX(nse!C:C,MATCH(B5606,nse!B:B,0))</f>
        <v>SRS Limited</v>
      </c>
    </row>
    <row r="5607" spans="2:4" hidden="1" x14ac:dyDescent="0.3">
      <c r="B5607" t="s">
        <v>1084</v>
      </c>
      <c r="C5607" t="str">
        <f>INDEX(nse!D:D,MATCH(B5607,nse!B:B,0))</f>
        <v>EQ</v>
      </c>
      <c r="D5607" t="str">
        <f>INDEX(nse!C:C,MATCH(B5607,nse!B:B,0))</f>
        <v>Shriram Transport Finance Company Limited</v>
      </c>
    </row>
    <row r="5608" spans="2:4" hidden="1" x14ac:dyDescent="0.3">
      <c r="B5608" t="s">
        <v>1085</v>
      </c>
      <c r="C5608" t="str">
        <f>INDEX(nse!D:D,MATCH(B5608,nse!B:B,0))</f>
        <v>EQ</v>
      </c>
      <c r="D5608" t="str">
        <f>INDEX(nse!C:C,MATCH(B5608,nse!B:B,0))</f>
        <v>Steel Strips Wheels Limited</v>
      </c>
    </row>
    <row r="5609" spans="2:4" hidden="1" x14ac:dyDescent="0.3">
      <c r="B5609" t="s">
        <v>4440</v>
      </c>
      <c r="C5609" t="str">
        <f>INDEX(nse!D:D,MATCH(B5609,nse!B:B,0))</f>
        <v>EQ</v>
      </c>
      <c r="D5609" t="str">
        <f>INDEX(nse!C:C,MATCH(B5609,nse!B:B,0))</f>
        <v>Stampede Capital Limited</v>
      </c>
    </row>
    <row r="5610" spans="2:4" hidden="1" x14ac:dyDescent="0.3">
      <c r="B5610" t="s">
        <v>94</v>
      </c>
      <c r="C5610" t="str">
        <f>INDEX(nse!D:D,MATCH(B5610,nse!B:B,0))</f>
        <v>EQ</v>
      </c>
      <c r="D5610" t="str">
        <f>INDEX(nse!C:C,MATCH(B5610,nse!B:B,0))</f>
        <v>Strides Shasun Limited</v>
      </c>
    </row>
    <row r="5611" spans="2:4" hidden="1" x14ac:dyDescent="0.3">
      <c r="B5611" t="s">
        <v>1086</v>
      </c>
      <c r="C5611" t="str">
        <f>INDEX(nse!D:D,MATCH(B5611,nse!B:B,0))</f>
        <v>EQ</v>
      </c>
      <c r="D5611" t="str">
        <f>INDEX(nse!C:C,MATCH(B5611,nse!B:B,0))</f>
        <v>Star Paper Mills Limited</v>
      </c>
    </row>
    <row r="5612" spans="2:4" hidden="1" x14ac:dyDescent="0.3">
      <c r="B5612" t="s">
        <v>1087</v>
      </c>
      <c r="C5612" t="str">
        <f>INDEX(nse!D:D,MATCH(B5612,nse!B:B,0))</f>
        <v>EQ</v>
      </c>
      <c r="D5612" t="str">
        <f>INDEX(nse!C:C,MATCH(B5612,nse!B:B,0))</f>
        <v>The State Trading Corporation of India Limited</v>
      </c>
    </row>
    <row r="5613" spans="2:4" hidden="1" x14ac:dyDescent="0.3">
      <c r="B5613" t="s">
        <v>1088</v>
      </c>
      <c r="C5613" t="str">
        <f>INDEX(nse!D:D,MATCH(B5613,nse!B:B,0))</f>
        <v>EQ</v>
      </c>
      <c r="D5613" t="str">
        <f>INDEX(nse!C:C,MATCH(B5613,nse!B:B,0))</f>
        <v>Stel Holdings Limited</v>
      </c>
    </row>
    <row r="5614" spans="2:4" hidden="1" x14ac:dyDescent="0.3">
      <c r="B5614" t="s">
        <v>1089</v>
      </c>
      <c r="C5614" t="str">
        <f>INDEX(nse!D:D,MATCH(B5614,nse!B:B,0))</f>
        <v>EQ</v>
      </c>
      <c r="D5614" t="str">
        <f>INDEX(nse!C:C,MATCH(B5614,nse!B:B,0))</f>
        <v>Sterling Biotech Limited</v>
      </c>
    </row>
    <row r="5615" spans="2:4" hidden="1" x14ac:dyDescent="0.3">
      <c r="B5615" t="s">
        <v>1090</v>
      </c>
      <c r="C5615" t="str">
        <f>INDEX(nse!D:D,MATCH(B5615,nse!B:B,0))</f>
        <v>EQ</v>
      </c>
      <c r="D5615" t="str">
        <f>INDEX(nse!C:C,MATCH(B5615,nse!B:B,0))</f>
        <v>Sterling Tools Limited</v>
      </c>
    </row>
    <row r="5616" spans="2:4" hidden="1" x14ac:dyDescent="0.3">
      <c r="B5616" t="s">
        <v>1091</v>
      </c>
      <c r="C5616" t="str">
        <f>INDEX(nse!D:D,MATCH(B5616,nse!B:B,0))</f>
        <v>EQ</v>
      </c>
      <c r="D5616" t="str">
        <f>INDEX(nse!C:C,MATCH(B5616,nse!B:B,0))</f>
        <v>STI India Limited</v>
      </c>
    </row>
    <row r="5617" spans="2:4" hidden="1" x14ac:dyDescent="0.3">
      <c r="B5617" t="s">
        <v>1092</v>
      </c>
      <c r="C5617" t="str">
        <f>INDEX(nse!D:D,MATCH(B5617,nse!B:B,0))</f>
        <v>EQ</v>
      </c>
      <c r="D5617" t="str">
        <f>INDEX(nse!C:C,MATCH(B5617,nse!B:B,0))</f>
        <v>Sterlite Technologies Limited</v>
      </c>
    </row>
    <row r="5618" spans="2:4" hidden="1" x14ac:dyDescent="0.3">
      <c r="B5618" t="s">
        <v>1093</v>
      </c>
      <c r="C5618" t="str">
        <f>INDEX(nse!D:D,MATCH(B5618,nse!B:B,0))</f>
        <v>EQ</v>
      </c>
      <c r="D5618" t="str">
        <f>INDEX(nse!C:C,MATCH(B5618,nse!B:B,0))</f>
        <v>Subex Limited</v>
      </c>
    </row>
    <row r="5619" spans="2:4" hidden="1" x14ac:dyDescent="0.3">
      <c r="B5619" t="s">
        <v>1094</v>
      </c>
      <c r="C5619" t="str">
        <f>INDEX(nse!D:D,MATCH(B5619,nse!B:B,0))</f>
        <v>EQ</v>
      </c>
      <c r="D5619" t="str">
        <f>INDEX(nse!C:C,MATCH(B5619,nse!B:B,0))</f>
        <v>Subros Limited</v>
      </c>
    </row>
    <row r="5620" spans="2:4" hidden="1" x14ac:dyDescent="0.3">
      <c r="B5620" t="s">
        <v>1095</v>
      </c>
      <c r="C5620" t="str">
        <f>INDEX(nse!D:D,MATCH(B5620,nse!B:B,0))</f>
        <v>EQ</v>
      </c>
      <c r="D5620" t="str">
        <f>INDEX(nse!C:C,MATCH(B5620,nse!B:B,0))</f>
        <v>Sudarshan Chemical Industries Limited</v>
      </c>
    </row>
    <row r="5621" spans="2:4" hidden="1" x14ac:dyDescent="0.3">
      <c r="B5621" t="s">
        <v>1096</v>
      </c>
      <c r="C5621" t="str">
        <f>INDEX(nse!D:D,MATCH(B5621,nse!B:B,0))</f>
        <v>EQ</v>
      </c>
      <c r="D5621" t="str">
        <f>INDEX(nse!C:C,MATCH(B5621,nse!B:B,0))</f>
        <v>Sujana Universal Industries Limited</v>
      </c>
    </row>
    <row r="5622" spans="2:4" hidden="1" x14ac:dyDescent="0.3">
      <c r="B5622" t="s">
        <v>1097</v>
      </c>
      <c r="C5622" t="str">
        <f>INDEX(nse!D:D,MATCH(B5622,nse!B:B,0))</f>
        <v>EQ</v>
      </c>
      <c r="D5622" t="str">
        <f>INDEX(nse!C:C,MATCH(B5622,nse!B:B,0))</f>
        <v>Sumeet Industries Limited</v>
      </c>
    </row>
    <row r="5623" spans="2:4" hidden="1" x14ac:dyDescent="0.3">
      <c r="B5623" t="s">
        <v>1098</v>
      </c>
      <c r="C5623" t="str">
        <f>INDEX(nse!D:D,MATCH(B5623,nse!B:B,0))</f>
        <v>EQ</v>
      </c>
      <c r="D5623" t="str">
        <f>INDEX(nse!C:C,MATCH(B5623,nse!B:B,0))</f>
        <v>Summit Securities Limited</v>
      </c>
    </row>
    <row r="5624" spans="2:4" hidden="1" x14ac:dyDescent="0.3">
      <c r="B5624" t="s">
        <v>1099</v>
      </c>
      <c r="C5624" t="str">
        <f>INDEX(nse!D:D,MATCH(B5624,nse!B:B,0))</f>
        <v>EQ</v>
      </c>
      <c r="D5624" t="str">
        <f>INDEX(nse!C:C,MATCH(B5624,nse!B:B,0))</f>
        <v>Sundaram Clayton Limited</v>
      </c>
    </row>
    <row r="5625" spans="2:4" hidden="1" x14ac:dyDescent="0.3">
      <c r="B5625" t="s">
        <v>1100</v>
      </c>
      <c r="C5625" t="str">
        <f>INDEX(nse!D:D,MATCH(B5625,nse!B:B,0))</f>
        <v>EQ</v>
      </c>
      <c r="D5625" t="str">
        <f>INDEX(nse!C:C,MATCH(B5625,nse!B:B,0))</f>
        <v>Sundaram Multi Pap Limited</v>
      </c>
    </row>
    <row r="5626" spans="2:4" hidden="1" x14ac:dyDescent="0.3">
      <c r="B5626" t="s">
        <v>1101</v>
      </c>
      <c r="C5626" t="str">
        <f>INDEX(nse!D:D,MATCH(B5626,nse!B:B,0))</f>
        <v>EQ</v>
      </c>
      <c r="D5626" t="str">
        <f>INDEX(nse!C:C,MATCH(B5626,nse!B:B,0))</f>
        <v>Sundaram Finance Limited</v>
      </c>
    </row>
    <row r="5627" spans="2:4" hidden="1" x14ac:dyDescent="0.3">
      <c r="B5627" t="s">
        <v>1102</v>
      </c>
      <c r="C5627" t="str">
        <f>INDEX(nse!D:D,MATCH(B5627,nse!B:B,0))</f>
        <v>EQ</v>
      </c>
      <c r="D5627" t="str">
        <f>INDEX(nse!C:C,MATCH(B5627,nse!B:B,0))</f>
        <v>Sundaram Brake Linings Limited</v>
      </c>
    </row>
    <row r="5628" spans="2:4" hidden="1" x14ac:dyDescent="0.3">
      <c r="B5628" t="s">
        <v>1103</v>
      </c>
      <c r="C5628" t="str">
        <f>INDEX(nse!D:D,MATCH(B5628,nse!B:B,0))</f>
        <v>EQ</v>
      </c>
      <c r="D5628" t="str">
        <f>INDEX(nse!C:C,MATCH(B5628,nse!B:B,0))</f>
        <v>Sundram Fasteners Limited</v>
      </c>
    </row>
    <row r="5629" spans="2:4" hidden="1" x14ac:dyDescent="0.3">
      <c r="B5629" t="s">
        <v>1104</v>
      </c>
      <c r="C5629" t="str">
        <f>INDEX(nse!D:D,MATCH(B5629,nse!B:B,0))</f>
        <v>EQ</v>
      </c>
      <c r="D5629" t="str">
        <f>INDEX(nse!C:C,MATCH(B5629,nse!B:B,0))</f>
        <v>Sunflag Iron And Steel Company Limited</v>
      </c>
    </row>
    <row r="5630" spans="2:4" hidden="1" x14ac:dyDescent="0.3">
      <c r="B5630" t="s">
        <v>1105</v>
      </c>
      <c r="C5630" t="str">
        <f>INDEX(nse!D:D,MATCH(B5630,nse!B:B,0))</f>
        <v>EQ</v>
      </c>
      <c r="D5630" t="str">
        <f>INDEX(nse!C:C,MATCH(B5630,nse!B:B,0))</f>
        <v>Sunil Hitech Engineers Limited</v>
      </c>
    </row>
    <row r="5631" spans="2:4" hidden="1" x14ac:dyDescent="0.3">
      <c r="B5631" t="s">
        <v>1106</v>
      </c>
      <c r="C5631" t="str">
        <f>INDEX(nse!D:D,MATCH(B5631,nse!B:B,0))</f>
        <v>EQ</v>
      </c>
      <c r="D5631" t="str">
        <f>INDEX(nse!C:C,MATCH(B5631,nse!B:B,0))</f>
        <v>Sun Pharmaceutical Industries Limited</v>
      </c>
    </row>
    <row r="5632" spans="2:4" hidden="1" x14ac:dyDescent="0.3">
      <c r="B5632" t="s">
        <v>1107</v>
      </c>
      <c r="C5632" t="str">
        <f>INDEX(nse!D:D,MATCH(B5632,nse!B:B,0))</f>
        <v>EQ</v>
      </c>
      <c r="D5632" t="str">
        <f>INDEX(nse!C:C,MATCH(B5632,nse!B:B,0))</f>
        <v>Sunteck Realty Limited</v>
      </c>
    </row>
    <row r="5633" spans="2:4" hidden="1" x14ac:dyDescent="0.3">
      <c r="B5633" t="s">
        <v>27</v>
      </c>
      <c r="C5633" t="str">
        <f>INDEX(nse!D:D,MATCH(B5633,nse!B:B,0))</f>
        <v>EQ</v>
      </c>
      <c r="D5633" t="str">
        <f>INDEX(nse!C:C,MATCH(B5633,nse!B:B,0))</f>
        <v>Sun TV Network Limited</v>
      </c>
    </row>
    <row r="5634" spans="2:4" hidden="1" x14ac:dyDescent="0.3">
      <c r="B5634" t="s">
        <v>1108</v>
      </c>
      <c r="C5634" t="str">
        <f>INDEX(nse!D:D,MATCH(B5634,nse!B:B,0))</f>
        <v>EQ</v>
      </c>
      <c r="D5634" t="str">
        <f>INDEX(nse!C:C,MATCH(B5634,nse!B:B,0))</f>
        <v>Superhouse Limited</v>
      </c>
    </row>
    <row r="5635" spans="2:4" hidden="1" x14ac:dyDescent="0.3">
      <c r="B5635" t="s">
        <v>1109</v>
      </c>
      <c r="C5635" t="str">
        <f>INDEX(nse!D:D,MATCH(B5635,nse!B:B,0))</f>
        <v>EQ</v>
      </c>
      <c r="D5635" t="str">
        <f>INDEX(nse!C:C,MATCH(B5635,nse!B:B,0))</f>
        <v>Super Spinning Mills Limited</v>
      </c>
    </row>
    <row r="5636" spans="2:4" hidden="1" x14ac:dyDescent="0.3">
      <c r="B5636" t="s">
        <v>1110</v>
      </c>
      <c r="C5636" t="str">
        <f>INDEX(nse!D:D,MATCH(B5636,nse!B:B,0))</f>
        <v>EQ</v>
      </c>
      <c r="D5636" t="str">
        <f>INDEX(nse!C:C,MATCH(B5636,nse!B:B,0))</f>
        <v>Supreme Petrochem Limited</v>
      </c>
    </row>
    <row r="5637" spans="2:4" hidden="1" x14ac:dyDescent="0.3">
      <c r="B5637" t="s">
        <v>116</v>
      </c>
      <c r="C5637" t="str">
        <f>INDEX(nse!D:D,MATCH(B5637,nse!B:B,0))</f>
        <v>EQ</v>
      </c>
      <c r="D5637" t="str">
        <f>INDEX(nse!C:C,MATCH(B5637,nse!B:B,0))</f>
        <v>Suprajit Engineering Limited</v>
      </c>
    </row>
    <row r="5638" spans="2:4" hidden="1" x14ac:dyDescent="0.3">
      <c r="B5638" t="s">
        <v>1111</v>
      </c>
      <c r="C5638" t="str">
        <f>INDEX(nse!D:D,MATCH(B5638,nse!B:B,0))</f>
        <v>EQ</v>
      </c>
      <c r="D5638" t="str">
        <f>INDEX(nse!C:C,MATCH(B5638,nse!B:B,0))</f>
        <v>Supreme Industries Limited</v>
      </c>
    </row>
    <row r="5639" spans="2:4" hidden="1" x14ac:dyDescent="0.3">
      <c r="B5639" t="s">
        <v>1112</v>
      </c>
      <c r="C5639" t="str">
        <f>INDEX(nse!D:D,MATCH(B5639,nse!B:B,0))</f>
        <v>EQ</v>
      </c>
      <c r="D5639" t="str">
        <f>INDEX(nse!C:C,MATCH(B5639,nse!B:B,0))</f>
        <v>Supreme Infrastructure India Limited</v>
      </c>
    </row>
    <row r="5640" spans="2:4" hidden="1" x14ac:dyDescent="0.3">
      <c r="B5640" t="s">
        <v>1113</v>
      </c>
      <c r="C5640" t="str">
        <f>INDEX(nse!D:D,MATCH(B5640,nse!B:B,0))</f>
        <v>EQ</v>
      </c>
      <c r="D5640" t="str">
        <f>INDEX(nse!C:C,MATCH(B5640,nse!B:B,0))</f>
        <v>Supreme Tex Mart Limited</v>
      </c>
    </row>
    <row r="5641" spans="2:4" hidden="1" x14ac:dyDescent="0.3">
      <c r="B5641" t="s">
        <v>1114</v>
      </c>
      <c r="C5641" t="str">
        <f>INDEX(nse!D:D,MATCH(B5641,nse!B:B,0))</f>
        <v>EQ</v>
      </c>
      <c r="D5641" t="str">
        <f>INDEX(nse!C:C,MATCH(B5641,nse!B:B,0))</f>
        <v>Surana Corporation Limited</v>
      </c>
    </row>
    <row r="5642" spans="2:4" hidden="1" x14ac:dyDescent="0.3">
      <c r="B5642" t="s">
        <v>1115</v>
      </c>
      <c r="C5642" t="str">
        <f>INDEX(nse!D:D,MATCH(B5642,nse!B:B,0))</f>
        <v>BE</v>
      </c>
      <c r="D5642" t="str">
        <f>INDEX(nse!C:C,MATCH(B5642,nse!B:B,0))</f>
        <v>Surana Industries Limited</v>
      </c>
    </row>
    <row r="5643" spans="2:4" hidden="1" x14ac:dyDescent="0.3">
      <c r="B5643" t="s">
        <v>1116</v>
      </c>
      <c r="C5643" t="str">
        <f>INDEX(nse!D:D,MATCH(B5643,nse!B:B,0))</f>
        <v>EQ</v>
      </c>
      <c r="D5643" t="str">
        <f>INDEX(nse!C:C,MATCH(B5643,nse!B:B,0))</f>
        <v>Surana Solar Limited</v>
      </c>
    </row>
    <row r="5644" spans="2:4" hidden="1" x14ac:dyDescent="0.3">
      <c r="B5644" t="s">
        <v>1117</v>
      </c>
      <c r="C5644" t="str">
        <f>INDEX(nse!D:D,MATCH(B5644,nse!B:B,0))</f>
        <v>EQ</v>
      </c>
      <c r="D5644" t="str">
        <f>INDEX(nse!C:C,MATCH(B5644,nse!B:B,0))</f>
        <v>Surana Telecom and Power Limited</v>
      </c>
    </row>
    <row r="5645" spans="2:4" hidden="1" x14ac:dyDescent="0.3">
      <c r="B5645" t="s">
        <v>1118</v>
      </c>
      <c r="C5645" t="str">
        <f>INDEX(nse!D:D,MATCH(B5645,nse!B:B,0))</f>
        <v>EQ</v>
      </c>
      <c r="D5645" t="str">
        <f>INDEX(nse!C:C,MATCH(B5645,nse!B:B,0))</f>
        <v>Suryalakshmi Cotton Mills Limited</v>
      </c>
    </row>
    <row r="5646" spans="2:4" hidden="1" x14ac:dyDescent="0.3">
      <c r="B5646" t="s">
        <v>1119</v>
      </c>
      <c r="C5646" t="str">
        <f>INDEX(nse!D:D,MATCH(B5646,nse!B:B,0))</f>
        <v>EQ</v>
      </c>
      <c r="D5646" t="str">
        <f>INDEX(nse!C:C,MATCH(B5646,nse!B:B,0))</f>
        <v>Surya Roshni Limited</v>
      </c>
    </row>
    <row r="5647" spans="2:4" hidden="1" x14ac:dyDescent="0.3">
      <c r="B5647" t="s">
        <v>1120</v>
      </c>
      <c r="C5647" t="str">
        <f>INDEX(nse!D:D,MATCH(B5647,nse!B:B,0))</f>
        <v>EQ</v>
      </c>
      <c r="D5647" t="str">
        <f>INDEX(nse!C:C,MATCH(B5647,nse!B:B,0))</f>
        <v>Sutlej Textiles and Industries Limited</v>
      </c>
    </row>
    <row r="5648" spans="2:4" hidden="1" x14ac:dyDescent="0.3">
      <c r="B5648" t="s">
        <v>1121</v>
      </c>
      <c r="C5648" t="str">
        <f>INDEX(nse!D:D,MATCH(B5648,nse!B:B,0))</f>
        <v>EQ</v>
      </c>
      <c r="D5648" t="str">
        <f>INDEX(nse!C:C,MATCH(B5648,nse!B:B,0))</f>
        <v>Suven Life Sciences Limited</v>
      </c>
    </row>
    <row r="5649" spans="2:4" hidden="1" x14ac:dyDescent="0.3">
      <c r="B5649" t="s">
        <v>1122</v>
      </c>
      <c r="C5649" t="str">
        <f>INDEX(nse!D:D,MATCH(B5649,nse!B:B,0))</f>
        <v>EQ</v>
      </c>
      <c r="D5649" t="str">
        <f>INDEX(nse!C:C,MATCH(B5649,nse!B:B,0))</f>
        <v>Suzlon Energy Limited</v>
      </c>
    </row>
    <row r="5650" spans="2:4" hidden="1" x14ac:dyDescent="0.3">
      <c r="B5650" t="s">
        <v>1123</v>
      </c>
      <c r="C5650" t="str">
        <f>INDEX(nse!D:D,MATCH(B5650,nse!B:B,0))</f>
        <v>EQ</v>
      </c>
      <c r="D5650" t="str">
        <f>INDEX(nse!C:C,MATCH(B5650,nse!B:B,0))</f>
        <v>Swan Energy Limited</v>
      </c>
    </row>
    <row r="5651" spans="2:4" hidden="1" x14ac:dyDescent="0.3">
      <c r="B5651" t="s">
        <v>1124</v>
      </c>
      <c r="C5651" t="str">
        <f>INDEX(nse!D:D,MATCH(B5651,nse!B:B,0))</f>
        <v>EQ</v>
      </c>
      <c r="D5651" t="str">
        <f>INDEX(nse!C:C,MATCH(B5651,nse!B:B,0))</f>
        <v>Swaraj Engines Limited</v>
      </c>
    </row>
    <row r="5652" spans="2:4" hidden="1" x14ac:dyDescent="0.3">
      <c r="B5652" t="s">
        <v>1125</v>
      </c>
      <c r="C5652" t="str">
        <f>INDEX(nse!D:D,MATCH(B5652,nse!B:B,0))</f>
        <v>EQ</v>
      </c>
      <c r="D5652" t="str">
        <f>INDEX(nse!C:C,MATCH(B5652,nse!B:B,0))</f>
        <v>Swelect Energy Systems Limited</v>
      </c>
    </row>
    <row r="5653" spans="2:4" hidden="1" x14ac:dyDescent="0.3">
      <c r="B5653" t="s">
        <v>1126</v>
      </c>
      <c r="C5653" t="str">
        <f>INDEX(nse!D:D,MATCH(B5653,nse!B:B,0))</f>
        <v>EQ</v>
      </c>
      <c r="D5653" t="str">
        <f>INDEX(nse!C:C,MATCH(B5653,nse!B:B,0))</f>
        <v>Symphony Limited</v>
      </c>
    </row>
    <row r="5654" spans="2:4" hidden="1" x14ac:dyDescent="0.3">
      <c r="B5654" t="s">
        <v>1127</v>
      </c>
      <c r="C5654" t="str">
        <f>INDEX(nse!D:D,MATCH(B5654,nse!B:B,0))</f>
        <v>EQ</v>
      </c>
      <c r="D5654" t="str">
        <f>INDEX(nse!C:C,MATCH(B5654,nse!B:B,0))</f>
        <v>Syncom Healthcare Limited</v>
      </c>
    </row>
    <row r="5655" spans="2:4" hidden="1" x14ac:dyDescent="0.3">
      <c r="B5655" t="s">
        <v>95</v>
      </c>
      <c r="C5655" t="str">
        <f>INDEX(nse!D:D,MATCH(B5655,nse!B:B,0))</f>
        <v>EQ</v>
      </c>
      <c r="D5655" t="str">
        <f>INDEX(nse!C:C,MATCH(B5655,nse!B:B,0))</f>
        <v>Syndicate Bank</v>
      </c>
    </row>
    <row r="5656" spans="2:4" hidden="1" x14ac:dyDescent="0.3">
      <c r="B5656" t="s">
        <v>4492</v>
      </c>
      <c r="C5656" t="str">
        <f>INDEX(nse!D:D,MATCH(B5656,nse!B:B,0))</f>
        <v>EQ</v>
      </c>
      <c r="D5656" t="str">
        <f>INDEX(nse!C:C,MATCH(B5656,nse!B:B,0))</f>
        <v>Syngene International Limited</v>
      </c>
    </row>
    <row r="5657" spans="2:4" hidden="1" x14ac:dyDescent="0.3">
      <c r="B5657" t="s">
        <v>1128</v>
      </c>
      <c r="C5657" t="str">
        <f>INDEX(nse!D:D,MATCH(B5657,nse!B:B,0))</f>
        <v>EQ</v>
      </c>
      <c r="D5657" t="str">
        <f>INDEX(nse!C:C,MATCH(B5657,nse!B:B,0))</f>
        <v>Tainwala Chemical and Plastic (I) Limited</v>
      </c>
    </row>
    <row r="5658" spans="2:4" hidden="1" x14ac:dyDescent="0.3">
      <c r="B5658" t="s">
        <v>1129</v>
      </c>
      <c r="C5658" t="str">
        <f>INDEX(nse!D:D,MATCH(B5658,nse!B:B,0))</f>
        <v>EQ</v>
      </c>
      <c r="D5658" t="str">
        <f>INDEX(nse!C:C,MATCH(B5658,nse!B:B,0))</f>
        <v>Taj GVK Hotels &amp; Resorts Limited</v>
      </c>
    </row>
    <row r="5659" spans="2:4" hidden="1" x14ac:dyDescent="0.3">
      <c r="B5659" t="s">
        <v>1130</v>
      </c>
      <c r="C5659" t="str">
        <f>INDEX(nse!D:D,MATCH(B5659,nse!B:B,0))</f>
        <v>EQ</v>
      </c>
      <c r="D5659" t="str">
        <f>INDEX(nse!C:C,MATCH(B5659,nse!B:B,0))</f>
        <v>Take Solutions Limited</v>
      </c>
    </row>
    <row r="5660" spans="2:4" hidden="1" x14ac:dyDescent="0.3">
      <c r="B5660" t="s">
        <v>1131</v>
      </c>
      <c r="C5660" t="str">
        <f>INDEX(nse!D:D,MATCH(B5660,nse!B:B,0))</f>
        <v>EQ</v>
      </c>
      <c r="D5660" t="str">
        <f>INDEX(nse!C:C,MATCH(B5660,nse!B:B,0))</f>
        <v>Talbros Automotive Components Limited</v>
      </c>
    </row>
    <row r="5661" spans="2:4" hidden="1" x14ac:dyDescent="0.3">
      <c r="B5661" t="s">
        <v>1132</v>
      </c>
      <c r="C5661" t="str">
        <f>INDEX(nse!D:D,MATCH(B5661,nse!B:B,0))</f>
        <v>EQ</v>
      </c>
      <c r="D5661" t="str">
        <f>INDEX(nse!C:C,MATCH(B5661,nse!B:B,0))</f>
        <v>Talwalkars Better Value Fitness Limited</v>
      </c>
    </row>
    <row r="5662" spans="2:4" hidden="1" x14ac:dyDescent="0.3">
      <c r="B5662" t="s">
        <v>1133</v>
      </c>
      <c r="C5662" t="str">
        <f>INDEX(nse!D:D,MATCH(B5662,nse!B:B,0))</f>
        <v>EQ</v>
      </c>
      <c r="D5662" t="str">
        <f>INDEX(nse!C:C,MATCH(B5662,nse!B:B,0))</f>
        <v>Tanla Solutions Limited</v>
      </c>
    </row>
    <row r="5663" spans="2:4" hidden="1" x14ac:dyDescent="0.3">
      <c r="B5663" t="s">
        <v>1134</v>
      </c>
      <c r="C5663" t="str">
        <f>INDEX(nse!D:D,MATCH(B5663,nse!B:B,0))</f>
        <v>BE</v>
      </c>
      <c r="D5663" t="str">
        <f>INDEX(nse!C:C,MATCH(B5663,nse!B:B,0))</f>
        <v>Tantia Constructions Limited</v>
      </c>
    </row>
    <row r="5664" spans="2:4" hidden="1" x14ac:dyDescent="0.3">
      <c r="B5664" t="s">
        <v>1135</v>
      </c>
      <c r="C5664" t="str">
        <f>INDEX(nse!D:D,MATCH(B5664,nse!B:B,0))</f>
        <v>EQ</v>
      </c>
      <c r="D5664" t="str">
        <f>INDEX(nse!C:C,MATCH(B5664,nse!B:B,0))</f>
        <v>Tara Jewels Limited</v>
      </c>
    </row>
    <row r="5665" spans="2:4" hidden="1" x14ac:dyDescent="0.3">
      <c r="B5665" t="s">
        <v>1136</v>
      </c>
      <c r="C5665" t="str">
        <f>INDEX(nse!D:D,MATCH(B5665,nse!B:B,0))</f>
        <v>BE</v>
      </c>
      <c r="D5665" t="str">
        <f>INDEX(nse!C:C,MATCH(B5665,nse!B:B,0))</f>
        <v>Tarapur Transformers Limited</v>
      </c>
    </row>
    <row r="5666" spans="2:4" hidden="1" x14ac:dyDescent="0.3">
      <c r="B5666" t="s">
        <v>1137</v>
      </c>
      <c r="C5666" t="str">
        <f>INDEX(nse!D:D,MATCH(B5666,nse!B:B,0))</f>
        <v>BE</v>
      </c>
      <c r="D5666" t="str">
        <f>INDEX(nse!C:C,MATCH(B5666,nse!B:B,0))</f>
        <v>Tarmat Limited</v>
      </c>
    </row>
    <row r="5667" spans="2:4" hidden="1" x14ac:dyDescent="0.3">
      <c r="B5667" t="s">
        <v>4505</v>
      </c>
      <c r="C5667" t="str">
        <f>INDEX(nse!D:D,MATCH(B5667,nse!B:B,0))</f>
        <v>EQ</v>
      </c>
      <c r="D5667" t="str">
        <f>INDEX(nse!C:C,MATCH(B5667,nse!B:B,0))</f>
        <v>Tasty Bite Eatables Limited</v>
      </c>
    </row>
    <row r="5668" spans="2:4" hidden="1" x14ac:dyDescent="0.3">
      <c r="B5668" t="s">
        <v>97</v>
      </c>
      <c r="C5668" t="str">
        <f>INDEX(nse!D:D,MATCH(B5668,nse!B:B,0))</f>
        <v>EQ</v>
      </c>
      <c r="D5668" t="str">
        <f>INDEX(nse!C:C,MATCH(B5668,nse!B:B,0))</f>
        <v>Tata Chemicals Limited</v>
      </c>
    </row>
    <row r="5669" spans="2:4" hidden="1" x14ac:dyDescent="0.3">
      <c r="B5669" t="s">
        <v>97</v>
      </c>
      <c r="C5669" t="str">
        <f>INDEX(nse!D:D,MATCH(B5669,nse!B:B,0))</f>
        <v>EQ</v>
      </c>
      <c r="D5669" t="str">
        <f>INDEX(nse!C:C,MATCH(B5669,nse!B:B,0))</f>
        <v>Tata Chemicals Limited</v>
      </c>
    </row>
    <row r="5670" spans="2:4" hidden="1" x14ac:dyDescent="0.3">
      <c r="B5670" t="s">
        <v>1138</v>
      </c>
      <c r="C5670" t="str">
        <f>INDEX(nse!D:D,MATCH(B5670,nse!B:B,0))</f>
        <v>EQ</v>
      </c>
      <c r="D5670" t="str">
        <f>INDEX(nse!C:C,MATCH(B5670,nse!B:B,0))</f>
        <v>Tata Coffee Limited</v>
      </c>
    </row>
    <row r="5671" spans="2:4" hidden="1" x14ac:dyDescent="0.3">
      <c r="B5671" t="s">
        <v>98</v>
      </c>
      <c r="C5671" t="str">
        <f>INDEX(nse!D:D,MATCH(B5671,nse!B:B,0))</f>
        <v>EQ</v>
      </c>
      <c r="D5671" t="str">
        <f>INDEX(nse!C:C,MATCH(B5671,nse!B:B,0))</f>
        <v>Tata Communications Limited</v>
      </c>
    </row>
    <row r="5672" spans="2:4" hidden="1" x14ac:dyDescent="0.3">
      <c r="B5672" t="s">
        <v>1139</v>
      </c>
      <c r="C5672" t="str">
        <f>INDEX(nse!D:D,MATCH(B5672,nse!B:B,0))</f>
        <v>EQ</v>
      </c>
      <c r="D5672" t="str">
        <f>INDEX(nse!C:C,MATCH(B5672,nse!B:B,0))</f>
        <v>Tata Elxsi Limited</v>
      </c>
    </row>
    <row r="5673" spans="2:4" hidden="1" x14ac:dyDescent="0.3">
      <c r="B5673" t="s">
        <v>99</v>
      </c>
      <c r="C5673" t="str">
        <f>INDEX(nse!D:D,MATCH(B5673,nse!B:B,0))</f>
        <v>EQ</v>
      </c>
      <c r="D5673" t="str">
        <f>INDEX(nse!C:C,MATCH(B5673,nse!B:B,0))</f>
        <v>Tata Global Beverages Limited</v>
      </c>
    </row>
    <row r="5674" spans="2:4" hidden="1" x14ac:dyDescent="0.3">
      <c r="B5674" t="s">
        <v>1140</v>
      </c>
      <c r="C5674" t="str">
        <f>INDEX(nse!D:D,MATCH(B5674,nse!B:B,0))</f>
        <v>EQ</v>
      </c>
      <c r="D5674" t="str">
        <f>INDEX(nse!C:C,MATCH(B5674,nse!B:B,0))</f>
        <v>Tata Investment Corporation Limited</v>
      </c>
    </row>
    <row r="5675" spans="2:4" hidden="1" x14ac:dyDescent="0.3">
      <c r="B5675" t="s">
        <v>1141</v>
      </c>
      <c r="C5675" t="str">
        <f>INDEX(nse!D:D,MATCH(B5675,nse!B:B,0))</f>
        <v>EQ</v>
      </c>
      <c r="D5675" t="str">
        <f>INDEX(nse!C:C,MATCH(B5675,nse!B:B,0))</f>
        <v>Tata Metaliks Limited</v>
      </c>
    </row>
    <row r="5676" spans="2:4" hidden="1" x14ac:dyDescent="0.3">
      <c r="B5676" t="s">
        <v>1142</v>
      </c>
      <c r="C5676" t="str">
        <f>INDEX(nse!D:D,MATCH(B5676,nse!B:B,0))</f>
        <v>EQ</v>
      </c>
      <c r="D5676" t="str">
        <f>INDEX(nse!C:C,MATCH(B5676,nse!B:B,0))</f>
        <v>Tata Motors Limited</v>
      </c>
    </row>
    <row r="5677" spans="2:4" hidden="1" x14ac:dyDescent="0.3">
      <c r="B5677" t="s">
        <v>4517</v>
      </c>
      <c r="C5677" t="str">
        <f>INDEX(nse!D:D,MATCH(B5677,nse!B:B,0))</f>
        <v>EQ</v>
      </c>
      <c r="D5677" t="str">
        <f>INDEX(nse!C:C,MATCH(B5677,nse!B:B,0))</f>
        <v>Tata Motors Limited</v>
      </c>
    </row>
    <row r="5678" spans="2:4" hidden="1" x14ac:dyDescent="0.3">
      <c r="B5678" t="s">
        <v>1143</v>
      </c>
      <c r="C5678" t="str">
        <f>INDEX(nse!D:D,MATCH(B5678,nse!B:B,0))</f>
        <v>EQ</v>
      </c>
      <c r="D5678" t="str">
        <f>INDEX(nse!C:C,MATCH(B5678,nse!B:B,0))</f>
        <v>Tata Power Company Limited</v>
      </c>
    </row>
    <row r="5679" spans="2:4" hidden="1" x14ac:dyDescent="0.3">
      <c r="B5679" t="s">
        <v>1144</v>
      </c>
      <c r="C5679" t="str">
        <f>INDEX(nse!D:D,MATCH(B5679,nse!B:B,0))</f>
        <v>EQ</v>
      </c>
      <c r="D5679" t="str">
        <f>INDEX(nse!C:C,MATCH(B5679,nse!B:B,0))</f>
        <v>Tata Sponge Iron Limited</v>
      </c>
    </row>
    <row r="5680" spans="2:4" hidden="1" x14ac:dyDescent="0.3">
      <c r="B5680" t="s">
        <v>117</v>
      </c>
      <c r="C5680" t="str">
        <f>INDEX(nse!D:D,MATCH(B5680,nse!B:B,0))</f>
        <v>EQ</v>
      </c>
      <c r="D5680" t="str">
        <f>INDEX(nse!C:C,MATCH(B5680,nse!B:B,0))</f>
        <v>Tata Steel Limited</v>
      </c>
    </row>
    <row r="5681" spans="2:4" hidden="1" x14ac:dyDescent="0.3">
      <c r="B5681" t="s">
        <v>1145</v>
      </c>
      <c r="C5681" t="str">
        <f>INDEX(nse!D:D,MATCH(B5681,nse!B:B,0))</f>
        <v>EQ</v>
      </c>
      <c r="D5681" t="str">
        <f>INDEX(nse!C:C,MATCH(B5681,nse!B:B,0))</f>
        <v>Tribhovandas Bhimji Zaveri Limited</v>
      </c>
    </row>
    <row r="5682" spans="2:4" hidden="1" x14ac:dyDescent="0.3">
      <c r="B5682" t="s">
        <v>1146</v>
      </c>
      <c r="C5682" t="str">
        <f>INDEX(nse!D:D,MATCH(B5682,nse!B:B,0))</f>
        <v>EQ</v>
      </c>
      <c r="D5682" t="str">
        <f>INDEX(nse!C:C,MATCH(B5682,nse!B:B,0))</f>
        <v>Transport Corporation of India Limited</v>
      </c>
    </row>
    <row r="5683" spans="2:4" hidden="1" x14ac:dyDescent="0.3">
      <c r="B5683" t="s">
        <v>1147</v>
      </c>
      <c r="C5683" t="str">
        <f>INDEX(nse!D:D,MATCH(B5683,nse!B:B,0))</f>
        <v>EQ</v>
      </c>
      <c r="D5683" t="str">
        <f>INDEX(nse!C:C,MATCH(B5683,nse!B:B,0))</f>
        <v>TCI Developers Limited</v>
      </c>
    </row>
    <row r="5684" spans="2:4" hidden="1" x14ac:dyDescent="0.3">
      <c r="B5684" t="s">
        <v>4525</v>
      </c>
      <c r="C5684" t="str">
        <f>INDEX(nse!D:D,MATCH(B5684,nse!B:B,0))</f>
        <v>EQ</v>
      </c>
      <c r="D5684" t="str">
        <f>INDEX(nse!C:C,MATCH(B5684,nse!B:B,0))</f>
        <v>TCI Express Limited</v>
      </c>
    </row>
    <row r="5685" spans="2:4" hidden="1" x14ac:dyDescent="0.3">
      <c r="B5685" t="s">
        <v>1148</v>
      </c>
      <c r="C5685" t="str">
        <f>INDEX(nse!D:D,MATCH(B5685,nse!B:B,0))</f>
        <v>EQ</v>
      </c>
      <c r="D5685" t="str">
        <f>INDEX(nse!C:C,MATCH(B5685,nse!B:B,0))</f>
        <v>TCI Finance Limited</v>
      </c>
    </row>
    <row r="5686" spans="2:4" hidden="1" x14ac:dyDescent="0.3">
      <c r="B5686" t="s">
        <v>1149</v>
      </c>
      <c r="C5686" t="str">
        <f>INDEX(nse!D:D,MATCH(B5686,nse!B:B,0))</f>
        <v>EQ</v>
      </c>
      <c r="D5686" t="str">
        <f>INDEX(nse!C:C,MATCH(B5686,nse!B:B,0))</f>
        <v>Tata Consultancy Services Limited</v>
      </c>
    </row>
    <row r="5687" spans="2:4" hidden="1" x14ac:dyDescent="0.3">
      <c r="B5687" t="s">
        <v>1150</v>
      </c>
      <c r="C5687" t="str">
        <f>INDEX(nse!D:D,MATCH(B5687,nse!B:B,0))</f>
        <v>EQ</v>
      </c>
      <c r="D5687" t="str">
        <f>INDEX(nse!C:C,MATCH(B5687,nse!B:B,0))</f>
        <v>TD Power Systems Limited</v>
      </c>
    </row>
    <row r="5688" spans="2:4" hidden="1" x14ac:dyDescent="0.3">
      <c r="B5688" t="s">
        <v>4531</v>
      </c>
      <c r="C5688" t="str">
        <f>INDEX(nse!D:D,MATCH(B5688,nse!B:B,0))</f>
        <v>EQ</v>
      </c>
      <c r="D5688" t="str">
        <f>INDEX(nse!C:C,MATCH(B5688,nse!B:B,0))</f>
        <v>Teamlease Services Limited</v>
      </c>
    </row>
    <row r="5689" spans="2:4" hidden="1" x14ac:dyDescent="0.3">
      <c r="B5689" t="s">
        <v>1151</v>
      </c>
      <c r="C5689" t="str">
        <f>INDEX(nse!D:D,MATCH(B5689,nse!B:B,0))</f>
        <v>BE</v>
      </c>
      <c r="D5689" t="str">
        <f>INDEX(nse!C:C,MATCH(B5689,nse!B:B,0))</f>
        <v>Techindia Nirman Limited</v>
      </c>
    </row>
    <row r="5690" spans="2:4" hidden="1" x14ac:dyDescent="0.3">
      <c r="B5690" t="s">
        <v>1152</v>
      </c>
      <c r="C5690" t="str">
        <f>INDEX(nse!D:D,MATCH(B5690,nse!B:B,0))</f>
        <v>EQ</v>
      </c>
      <c r="D5690" t="str">
        <f>INDEX(nse!C:C,MATCH(B5690,nse!B:B,0))</f>
        <v>Tech Mahindra Limited</v>
      </c>
    </row>
    <row r="5691" spans="2:4" hidden="1" x14ac:dyDescent="0.3">
      <c r="B5691" t="s">
        <v>1153</v>
      </c>
      <c r="C5691" t="str">
        <f>INDEX(nse!D:D,MATCH(B5691,nse!B:B,0))</f>
        <v>EQ</v>
      </c>
      <c r="D5691" t="str">
        <f>INDEX(nse!C:C,MATCH(B5691,nse!B:B,0))</f>
        <v>Techno Electric &amp; Engineering Company Limited</v>
      </c>
    </row>
    <row r="5692" spans="2:4" hidden="1" x14ac:dyDescent="0.3">
      <c r="B5692" t="s">
        <v>1154</v>
      </c>
      <c r="C5692" t="str">
        <f>INDEX(nse!D:D,MATCH(B5692,nse!B:B,0))</f>
        <v>EQ</v>
      </c>
      <c r="D5692" t="str">
        <f>INDEX(nse!C:C,MATCH(B5692,nse!B:B,0))</f>
        <v>Technofab Engineering Limited</v>
      </c>
    </row>
    <row r="5693" spans="2:4" hidden="1" x14ac:dyDescent="0.3">
      <c r="B5693" t="s">
        <v>4539</v>
      </c>
      <c r="C5693" t="str">
        <f>INDEX(nse!D:D,MATCH(B5693,nse!B:B,0))</f>
        <v>EQ</v>
      </c>
      <c r="D5693" t="str">
        <f>INDEX(nse!C:C,MATCH(B5693,nse!B:B,0))</f>
        <v>Tera Software Limited</v>
      </c>
    </row>
    <row r="5694" spans="2:4" hidden="1" x14ac:dyDescent="0.3">
      <c r="B5694" t="s">
        <v>1155</v>
      </c>
      <c r="C5694" t="str">
        <f>INDEX(nse!D:D,MATCH(B5694,nse!B:B,0))</f>
        <v>EQ</v>
      </c>
      <c r="D5694" t="str">
        <f>INDEX(nse!C:C,MATCH(B5694,nse!B:B,0))</f>
        <v>Texmaco Infrastructure &amp; Holdings Limited</v>
      </c>
    </row>
    <row r="5695" spans="2:4" hidden="1" x14ac:dyDescent="0.3">
      <c r="B5695" t="s">
        <v>1156</v>
      </c>
      <c r="C5695" t="str">
        <f>INDEX(nse!D:D,MATCH(B5695,nse!B:B,0))</f>
        <v>BE</v>
      </c>
      <c r="D5695" t="str">
        <f>INDEX(nse!C:C,MATCH(B5695,nse!B:B,0))</f>
        <v>Texmo Pipes and Products Limited</v>
      </c>
    </row>
    <row r="5696" spans="2:4" hidden="1" x14ac:dyDescent="0.3">
      <c r="B5696" t="s">
        <v>1157</v>
      </c>
      <c r="C5696" t="str">
        <f>INDEX(nse!D:D,MATCH(B5696,nse!B:B,0))</f>
        <v>EQ</v>
      </c>
      <c r="D5696" t="str">
        <f>INDEX(nse!C:C,MATCH(B5696,nse!B:B,0))</f>
        <v>Texmaco Rail &amp; Engineering Limited</v>
      </c>
    </row>
    <row r="5697" spans="2:4" hidden="1" x14ac:dyDescent="0.3">
      <c r="B5697" t="s">
        <v>1158</v>
      </c>
      <c r="C5697" t="str">
        <f>INDEX(nse!D:D,MATCH(B5697,nse!B:B,0))</f>
        <v>EQ</v>
      </c>
      <c r="D5697" t="str">
        <f>INDEX(nse!C:C,MATCH(B5697,nse!B:B,0))</f>
        <v>Tourism Finance Corporation of India Limited</v>
      </c>
    </row>
    <row r="5698" spans="2:4" hidden="1" x14ac:dyDescent="0.3">
      <c r="B5698" t="s">
        <v>1159</v>
      </c>
      <c r="C5698" t="str">
        <f>INDEX(nse!D:D,MATCH(B5698,nse!B:B,0))</f>
        <v>BE</v>
      </c>
      <c r="D5698" t="str">
        <f>INDEX(nse!C:C,MATCH(B5698,nse!B:B,0))</f>
        <v>Transwarranty Finance Limited</v>
      </c>
    </row>
    <row r="5699" spans="2:4" hidden="1" x14ac:dyDescent="0.3">
      <c r="B5699" t="s">
        <v>1160</v>
      </c>
      <c r="C5699" t="str">
        <f>INDEX(nse!D:D,MATCH(B5699,nse!B:B,0))</f>
        <v>EQ</v>
      </c>
      <c r="D5699" t="str">
        <f>INDEX(nse!C:C,MATCH(B5699,nse!B:B,0))</f>
        <v>TGB Banquets And Hotels Limited</v>
      </c>
    </row>
    <row r="5700" spans="2:4" hidden="1" x14ac:dyDescent="0.3">
      <c r="B5700" t="s">
        <v>1161</v>
      </c>
      <c r="C5700" t="str">
        <f>INDEX(nse!D:D,MATCH(B5700,nse!B:B,0))</f>
        <v>EQ</v>
      </c>
      <c r="D5700" t="str">
        <f>INDEX(nse!C:C,MATCH(B5700,nse!B:B,0))</f>
        <v>Thangamayil Jewellery Limited</v>
      </c>
    </row>
    <row r="5701" spans="2:4" hidden="1" x14ac:dyDescent="0.3">
      <c r="B5701" t="s">
        <v>1162</v>
      </c>
      <c r="C5701" t="str">
        <f>INDEX(nse!D:D,MATCH(B5701,nse!B:B,0))</f>
        <v>EQ</v>
      </c>
      <c r="D5701" t="str">
        <f>INDEX(nse!C:C,MATCH(B5701,nse!B:B,0))</f>
        <v>Themis Medicare Limited</v>
      </c>
    </row>
    <row r="5702" spans="2:4" hidden="1" x14ac:dyDescent="0.3">
      <c r="B5702" t="s">
        <v>101</v>
      </c>
      <c r="C5702" t="str">
        <f>INDEX(nse!D:D,MATCH(B5702,nse!B:B,0))</f>
        <v>EQ</v>
      </c>
      <c r="D5702" t="str">
        <f>INDEX(nse!C:C,MATCH(B5702,nse!B:B,0))</f>
        <v>Thermax Limited</v>
      </c>
    </row>
    <row r="5703" spans="2:4" hidden="1" x14ac:dyDescent="0.3">
      <c r="B5703" t="s">
        <v>1163</v>
      </c>
      <c r="C5703" t="str">
        <f>INDEX(nse!D:D,MATCH(B5703,nse!B:B,0))</f>
        <v>EQ</v>
      </c>
      <c r="D5703" t="str">
        <f>INDEX(nse!C:C,MATCH(B5703,nse!B:B,0))</f>
        <v>Thiru Arooran Sugars Limited</v>
      </c>
    </row>
    <row r="5704" spans="2:4" hidden="1" x14ac:dyDescent="0.3">
      <c r="B5704" t="s">
        <v>1164</v>
      </c>
      <c r="C5704" t="str">
        <f>INDEX(nse!D:D,MATCH(B5704,nse!B:B,0))</f>
        <v>EQ</v>
      </c>
      <c r="D5704" t="str">
        <f>INDEX(nse!C:C,MATCH(B5704,nse!B:B,0))</f>
        <v>Thomas Cook  (India)  Limited</v>
      </c>
    </row>
    <row r="5705" spans="2:4" hidden="1" x14ac:dyDescent="0.3">
      <c r="B5705" t="s">
        <v>1165</v>
      </c>
      <c r="C5705" t="str">
        <f>INDEX(nse!D:D,MATCH(B5705,nse!B:B,0))</f>
        <v>BE</v>
      </c>
      <c r="D5705" t="str">
        <f>INDEX(nse!C:C,MATCH(B5705,nse!B:B,0))</f>
        <v>Thomas Scott (India) Limited</v>
      </c>
    </row>
    <row r="5706" spans="2:4" hidden="1" x14ac:dyDescent="0.3">
      <c r="B5706" t="s">
        <v>4555</v>
      </c>
      <c r="C5706" t="str">
        <f>INDEX(nse!D:D,MATCH(B5706,nse!B:B,0))</f>
        <v>EQ</v>
      </c>
      <c r="D5706" t="str">
        <f>INDEX(nse!C:C,MATCH(B5706,nse!B:B,0))</f>
        <v>Thyrocare Technologies Limited</v>
      </c>
    </row>
    <row r="5707" spans="2:4" hidden="1" x14ac:dyDescent="0.3">
      <c r="B5707" t="s">
        <v>1166</v>
      </c>
      <c r="C5707" t="str">
        <f>INDEX(nse!D:D,MATCH(B5707,nse!B:B,0))</f>
        <v>EQ</v>
      </c>
      <c r="D5707" t="str">
        <f>INDEX(nse!C:C,MATCH(B5707,nse!B:B,0))</f>
        <v>Tilaknagar Industries Limited</v>
      </c>
    </row>
    <row r="5708" spans="2:4" hidden="1" x14ac:dyDescent="0.3">
      <c r="B5708" t="s">
        <v>1167</v>
      </c>
      <c r="C5708" t="str">
        <f>INDEX(nse!D:D,MATCH(B5708,nse!B:B,0))</f>
        <v>EQ</v>
      </c>
      <c r="D5708" t="str">
        <f>INDEX(nse!C:C,MATCH(B5708,nse!B:B,0))</f>
        <v>Tide Water Oil Company (India) Limited</v>
      </c>
    </row>
    <row r="5709" spans="2:4" hidden="1" x14ac:dyDescent="0.3">
      <c r="B5709" t="s">
        <v>1168</v>
      </c>
      <c r="C5709" t="str">
        <f>INDEX(nse!D:D,MATCH(B5709,nse!B:B,0))</f>
        <v>EQ</v>
      </c>
      <c r="D5709" t="str">
        <f>INDEX(nse!C:C,MATCH(B5709,nse!B:B,0))</f>
        <v>Technocraft Industries (India) Limited</v>
      </c>
    </row>
    <row r="5710" spans="2:4" hidden="1" x14ac:dyDescent="0.3">
      <c r="B5710" t="s">
        <v>1336</v>
      </c>
      <c r="C5710" t="str">
        <f>INDEX(nse!D:D,MATCH(B5710,nse!B:B,0))</f>
        <v>BE</v>
      </c>
      <c r="D5710" t="str">
        <f>INDEX(nse!C:C,MATCH(B5710,nse!B:B,0))</f>
        <v>Tijaria Polypipes Limited</v>
      </c>
    </row>
    <row r="5711" spans="2:4" hidden="1" x14ac:dyDescent="0.3">
      <c r="B5711" t="s">
        <v>1169</v>
      </c>
      <c r="C5711" t="str">
        <f>INDEX(nse!D:D,MATCH(B5711,nse!B:B,0))</f>
        <v>EQ</v>
      </c>
      <c r="D5711" t="str">
        <f>INDEX(nse!C:C,MATCH(B5711,nse!B:B,0))</f>
        <v>TIL Limited</v>
      </c>
    </row>
    <row r="5712" spans="2:4" hidden="1" x14ac:dyDescent="0.3">
      <c r="B5712" t="s">
        <v>1170</v>
      </c>
      <c r="C5712" t="str">
        <f>INDEX(nse!D:D,MATCH(B5712,nse!B:B,0))</f>
        <v>BE</v>
      </c>
      <c r="D5712" t="str">
        <f>INDEX(nse!C:C,MATCH(B5712,nse!B:B,0))</f>
        <v>Times Guaranty Limited</v>
      </c>
    </row>
    <row r="5713" spans="2:4" hidden="1" x14ac:dyDescent="0.3">
      <c r="B5713" t="s">
        <v>1171</v>
      </c>
      <c r="C5713" t="str">
        <f>INDEX(nse!D:D,MATCH(B5713,nse!B:B,0))</f>
        <v>EQ</v>
      </c>
      <c r="D5713" t="str">
        <f>INDEX(nse!C:C,MATCH(B5713,nse!B:B,0))</f>
        <v>Time Technoplast Limited</v>
      </c>
    </row>
    <row r="5714" spans="2:4" hidden="1" x14ac:dyDescent="0.3">
      <c r="B5714" t="s">
        <v>1172</v>
      </c>
      <c r="C5714" t="str">
        <f>INDEX(nse!D:D,MATCH(B5714,nse!B:B,0))</f>
        <v>EQ</v>
      </c>
      <c r="D5714" t="str">
        <f>INDEX(nse!C:C,MATCH(B5714,nse!B:B,0))</f>
        <v>Timken India Limited</v>
      </c>
    </row>
    <row r="5715" spans="2:4" hidden="1" x14ac:dyDescent="0.3">
      <c r="B5715" t="s">
        <v>1173</v>
      </c>
      <c r="C5715" t="str">
        <f>INDEX(nse!D:D,MATCH(B5715,nse!B:B,0))</f>
        <v>EQ</v>
      </c>
      <c r="D5715" t="str">
        <f>INDEX(nse!C:C,MATCH(B5715,nse!B:B,0))</f>
        <v>The Tinplate Company of India Limited</v>
      </c>
    </row>
    <row r="5716" spans="2:4" hidden="1" x14ac:dyDescent="0.3">
      <c r="B5716" t="s">
        <v>1174</v>
      </c>
      <c r="C5716" t="str">
        <f>INDEX(nse!D:D,MATCH(B5716,nse!B:B,0))</f>
        <v>EQ</v>
      </c>
      <c r="D5716" t="str">
        <f>INDEX(nse!C:C,MATCH(B5716,nse!B:B,0))</f>
        <v>TIPS Industries Limited</v>
      </c>
    </row>
    <row r="5717" spans="2:4" hidden="1" x14ac:dyDescent="0.3">
      <c r="B5717" t="s">
        <v>1175</v>
      </c>
      <c r="C5717" t="str">
        <f>INDEX(nse!D:D,MATCH(B5717,nse!B:B,0))</f>
        <v>EQ</v>
      </c>
      <c r="D5717" t="str">
        <f>INDEX(nse!C:C,MATCH(B5717,nse!B:B,0))</f>
        <v>Thirumalai Chemicals Limited</v>
      </c>
    </row>
    <row r="5718" spans="2:4" hidden="1" x14ac:dyDescent="0.3">
      <c r="B5718" t="s">
        <v>1176</v>
      </c>
      <c r="C5718" t="str">
        <f>INDEX(nse!D:D,MATCH(B5718,nse!B:B,0))</f>
        <v>EQ</v>
      </c>
      <c r="D5718" t="str">
        <f>INDEX(nse!C:C,MATCH(B5718,nse!B:B,0))</f>
        <v>Titan Company Limited</v>
      </c>
    </row>
    <row r="5719" spans="2:4" hidden="1" x14ac:dyDescent="0.3">
      <c r="B5719" t="s">
        <v>4570</v>
      </c>
      <c r="C5719" t="str">
        <f>INDEX(nse!D:D,MATCH(B5719,nse!B:B,0))</f>
        <v>EQ</v>
      </c>
      <c r="D5719" t="str">
        <f>INDEX(nse!C:C,MATCH(B5719,nse!B:B,0))</f>
        <v>The Mandhana Retail Ventures Limited</v>
      </c>
    </row>
    <row r="5720" spans="2:4" hidden="1" x14ac:dyDescent="0.3">
      <c r="B5720" t="s">
        <v>1177</v>
      </c>
      <c r="C5720" t="str">
        <f>INDEX(nse!D:D,MATCH(B5720,nse!B:B,0))</f>
        <v>EQ</v>
      </c>
      <c r="D5720" t="str">
        <f>INDEX(nse!C:C,MATCH(B5720,nse!B:B,0))</f>
        <v>Tamilnadu PetroProducts Limited</v>
      </c>
    </row>
    <row r="5721" spans="2:4" hidden="1" x14ac:dyDescent="0.3">
      <c r="B5721" t="s">
        <v>1178</v>
      </c>
      <c r="C5721" t="str">
        <f>INDEX(nse!D:D,MATCH(B5721,nse!B:B,0))</f>
        <v>EQ</v>
      </c>
      <c r="D5721" t="str">
        <f>INDEX(nse!C:C,MATCH(B5721,nse!B:B,0))</f>
        <v>Tamil Nadu Newsprint &amp; Papers Limited</v>
      </c>
    </row>
    <row r="5722" spans="2:4" hidden="1" x14ac:dyDescent="0.3">
      <c r="B5722" t="s">
        <v>1179</v>
      </c>
      <c r="C5722" t="str">
        <f>INDEX(nse!D:D,MATCH(B5722,nse!B:B,0))</f>
        <v>BE</v>
      </c>
      <c r="D5722" t="str">
        <f>INDEX(nse!C:C,MATCH(B5722,nse!B:B,0))</f>
        <v>Tamilnadu Telecommunication Limited</v>
      </c>
    </row>
    <row r="5723" spans="2:4" hidden="1" x14ac:dyDescent="0.3">
      <c r="B5723" t="s">
        <v>1337</v>
      </c>
      <c r="C5723" t="str">
        <f>INDEX(nse!D:D,MATCH(B5723,nse!B:B,0))</f>
        <v>BE</v>
      </c>
      <c r="D5723" t="str">
        <f>INDEX(nse!C:C,MATCH(B5723,nse!B:B,0))</f>
        <v>Todays Writing Instruments Limited</v>
      </c>
    </row>
    <row r="5724" spans="2:4" hidden="1" x14ac:dyDescent="0.3">
      <c r="B5724" t="s">
        <v>1180</v>
      </c>
      <c r="C5724" t="str">
        <f>INDEX(nse!D:D,MATCH(B5724,nse!B:B,0))</f>
        <v>EQ</v>
      </c>
      <c r="D5724" t="str">
        <f>INDEX(nse!C:C,MATCH(B5724,nse!B:B,0))</f>
        <v>Tokyo Plast International Limited</v>
      </c>
    </row>
    <row r="5725" spans="2:4" hidden="1" x14ac:dyDescent="0.3">
      <c r="B5725" t="s">
        <v>102</v>
      </c>
      <c r="C5725" t="str">
        <f>INDEX(nse!D:D,MATCH(B5725,nse!B:B,0))</f>
        <v>EQ</v>
      </c>
      <c r="D5725" t="str">
        <f>INDEX(nse!C:C,MATCH(B5725,nse!B:B,0))</f>
        <v>Torrent Pharmaceuticals Limited</v>
      </c>
    </row>
    <row r="5726" spans="2:4" hidden="1" x14ac:dyDescent="0.3">
      <c r="B5726" t="s">
        <v>103</v>
      </c>
      <c r="C5726" t="str">
        <f>INDEX(nse!D:D,MATCH(B5726,nse!B:B,0))</f>
        <v>EQ</v>
      </c>
      <c r="D5726" t="str">
        <f>INDEX(nse!C:C,MATCH(B5726,nse!B:B,0))</f>
        <v>Torrent Power Limited</v>
      </c>
    </row>
    <row r="5727" spans="2:4" hidden="1" x14ac:dyDescent="0.3">
      <c r="B5727" t="s">
        <v>4580</v>
      </c>
      <c r="C5727" t="str">
        <f>INDEX(nse!D:D,MATCH(B5727,nse!B:B,0))</f>
        <v>EQ</v>
      </c>
      <c r="D5727" t="str">
        <f>INDEX(nse!C:C,MATCH(B5727,nse!B:B,0))</f>
        <v>TPL Plastech Limited</v>
      </c>
    </row>
    <row r="5728" spans="2:4" hidden="1" x14ac:dyDescent="0.3">
      <c r="B5728" t="s">
        <v>1181</v>
      </c>
      <c r="C5728" t="str">
        <f>INDEX(nse!D:D,MATCH(B5728,nse!B:B,0))</f>
        <v>EQ</v>
      </c>
      <c r="D5728" t="str">
        <f>INDEX(nse!C:C,MATCH(B5728,nse!B:B,0))</f>
        <v>Tree House Education &amp; Accessories Limited</v>
      </c>
    </row>
    <row r="5729" spans="2:4" hidden="1" x14ac:dyDescent="0.3">
      <c r="B5729" t="s">
        <v>1182</v>
      </c>
      <c r="C5729" t="str">
        <f>INDEX(nse!D:D,MATCH(B5729,nse!B:B,0))</f>
        <v>EQ</v>
      </c>
      <c r="D5729" t="str">
        <f>INDEX(nse!C:C,MATCH(B5729,nse!B:B,0))</f>
        <v>Trent Limited</v>
      </c>
    </row>
    <row r="5730" spans="2:4" hidden="1" x14ac:dyDescent="0.3">
      <c r="B5730" t="s">
        <v>1182</v>
      </c>
      <c r="C5730" t="str">
        <f>INDEX(nse!D:D,MATCH(B5730,nse!B:B,0))</f>
        <v>EQ</v>
      </c>
      <c r="D5730" t="str">
        <f>INDEX(nse!C:C,MATCH(B5730,nse!B:B,0))</f>
        <v>Trent Limited</v>
      </c>
    </row>
    <row r="5731" spans="2:4" hidden="1" x14ac:dyDescent="0.3">
      <c r="B5731" t="s">
        <v>1183</v>
      </c>
      <c r="C5731" t="str">
        <f>INDEX(nse!D:D,MATCH(B5731,nse!B:B,0))</f>
        <v>EQ</v>
      </c>
      <c r="D5731" t="str">
        <f>INDEX(nse!C:C,MATCH(B5731,nse!B:B,0))</f>
        <v>TRF Limited</v>
      </c>
    </row>
    <row r="5732" spans="2:4" hidden="1" x14ac:dyDescent="0.3">
      <c r="B5732" t="s">
        <v>125</v>
      </c>
      <c r="C5732" t="str">
        <f>INDEX(nse!D:D,MATCH(B5732,nse!B:B,0))</f>
        <v>EQ</v>
      </c>
      <c r="D5732" t="str">
        <f>INDEX(nse!C:C,MATCH(B5732,nse!B:B,0))</f>
        <v>Trident Limited</v>
      </c>
    </row>
    <row r="5733" spans="2:4" hidden="1" x14ac:dyDescent="0.3">
      <c r="B5733" t="s">
        <v>1184</v>
      </c>
      <c r="C5733" t="str">
        <f>INDEX(nse!D:D,MATCH(B5733,nse!B:B,0))</f>
        <v>EQ</v>
      </c>
      <c r="D5733" t="str">
        <f>INDEX(nse!C:C,MATCH(B5733,nse!B:B,0))</f>
        <v>Trigyn Technologies Limited</v>
      </c>
    </row>
    <row r="5734" spans="2:4" hidden="1" x14ac:dyDescent="0.3">
      <c r="B5734" t="s">
        <v>1185</v>
      </c>
      <c r="C5734" t="str">
        <f>INDEX(nse!D:D,MATCH(B5734,nse!B:B,0))</f>
        <v>EQ</v>
      </c>
      <c r="D5734" t="str">
        <f>INDEX(nse!C:C,MATCH(B5734,nse!B:B,0))</f>
        <v>Transformers And Rectifiers (India) Limited</v>
      </c>
    </row>
    <row r="5735" spans="2:4" hidden="1" x14ac:dyDescent="0.3">
      <c r="B5735" t="s">
        <v>1186</v>
      </c>
      <c r="C5735" t="str">
        <f>INDEX(nse!D:D,MATCH(B5735,nse!B:B,0))</f>
        <v>EQ</v>
      </c>
      <c r="D5735" t="str">
        <f>INDEX(nse!C:C,MATCH(B5735,nse!B:B,0))</f>
        <v>Triveni Turbine Limited</v>
      </c>
    </row>
    <row r="5736" spans="2:4" hidden="1" x14ac:dyDescent="0.3">
      <c r="B5736" t="s">
        <v>1187</v>
      </c>
      <c r="C5736" t="str">
        <f>INDEX(nse!D:D,MATCH(B5736,nse!B:B,0))</f>
        <v>EQ</v>
      </c>
      <c r="D5736" t="str">
        <f>INDEX(nse!C:C,MATCH(B5736,nse!B:B,0))</f>
        <v>Triveni Engineering &amp; Industries Limited</v>
      </c>
    </row>
    <row r="5737" spans="2:4" hidden="1" x14ac:dyDescent="0.3">
      <c r="B5737" t="s">
        <v>4591</v>
      </c>
      <c r="C5737" t="str">
        <f>INDEX(nse!D:D,MATCH(B5737,nse!B:B,0))</f>
        <v>EQ</v>
      </c>
      <c r="D5737" t="str">
        <f>INDEX(nse!C:C,MATCH(B5737,nse!B:B,0))</f>
        <v>TTK Healthcare Limited</v>
      </c>
    </row>
    <row r="5738" spans="2:4" hidden="1" x14ac:dyDescent="0.3">
      <c r="B5738" t="s">
        <v>1188</v>
      </c>
      <c r="C5738" t="str">
        <f>INDEX(nse!D:D,MATCH(B5738,nse!B:B,0))</f>
        <v>EQ</v>
      </c>
      <c r="D5738" t="str">
        <f>INDEX(nse!C:C,MATCH(B5738,nse!B:B,0))</f>
        <v>TTK Prestige Limited</v>
      </c>
    </row>
    <row r="5739" spans="2:4" hidden="1" x14ac:dyDescent="0.3">
      <c r="B5739" t="s">
        <v>1189</v>
      </c>
      <c r="C5739" t="str">
        <f>INDEX(nse!D:D,MATCH(B5739,nse!B:B,0))</f>
        <v>EQ</v>
      </c>
      <c r="D5739" t="str">
        <f>INDEX(nse!C:C,MATCH(B5739,nse!B:B,0))</f>
        <v>T T Limited</v>
      </c>
    </row>
    <row r="5740" spans="2:4" hidden="1" x14ac:dyDescent="0.3">
      <c r="B5740" t="s">
        <v>1190</v>
      </c>
      <c r="C5740" t="str">
        <f>INDEX(nse!D:D,MATCH(B5740,nse!B:B,0))</f>
        <v>EQ</v>
      </c>
      <c r="D5740" t="str">
        <f>INDEX(nse!C:C,MATCH(B5740,nse!B:B,0))</f>
        <v>Tata Teleservices (Maharashtra) Limited</v>
      </c>
    </row>
    <row r="5741" spans="2:4" hidden="1" x14ac:dyDescent="0.3">
      <c r="B5741" t="s">
        <v>1191</v>
      </c>
      <c r="C5741" t="str">
        <f>INDEX(nse!D:D,MATCH(B5741,nse!B:B,0))</f>
        <v>EQ</v>
      </c>
      <c r="D5741" t="str">
        <f>INDEX(nse!C:C,MATCH(B5741,nse!B:B,0))</f>
        <v>Tube Investments of India Limited</v>
      </c>
    </row>
    <row r="5742" spans="2:4" hidden="1" x14ac:dyDescent="0.3">
      <c r="B5742" t="s">
        <v>1192</v>
      </c>
      <c r="C5742" t="str">
        <f>INDEX(nse!D:D,MATCH(B5742,nse!B:B,0))</f>
        <v>EQ</v>
      </c>
      <c r="D5742" t="str">
        <f>INDEX(nse!C:C,MATCH(B5742,nse!B:B,0))</f>
        <v>Tulsi Extrusions Limited</v>
      </c>
    </row>
    <row r="5743" spans="2:4" hidden="1" x14ac:dyDescent="0.3">
      <c r="B5743" t="s">
        <v>96</v>
      </c>
      <c r="C5743" t="str">
        <f>INDEX(nse!D:D,MATCH(B5743,nse!B:B,0))</f>
        <v>EQ</v>
      </c>
      <c r="D5743" t="str">
        <f>INDEX(nse!C:C,MATCH(B5743,nse!B:B,0))</f>
        <v>TV18 Broadcast Limited</v>
      </c>
    </row>
    <row r="5744" spans="2:4" hidden="1" x14ac:dyDescent="0.3">
      <c r="B5744" t="s">
        <v>1193</v>
      </c>
      <c r="C5744" t="str">
        <f>INDEX(nse!D:D,MATCH(B5744,nse!B:B,0))</f>
        <v>EQ</v>
      </c>
      <c r="D5744" t="str">
        <f>INDEX(nse!C:C,MATCH(B5744,nse!B:B,0))</f>
        <v>TVS Electronics Limited</v>
      </c>
    </row>
    <row r="5745" spans="2:4" hidden="1" x14ac:dyDescent="0.3">
      <c r="B5745" t="s">
        <v>1194</v>
      </c>
      <c r="C5745" t="str">
        <f>INDEX(nse!D:D,MATCH(B5745,nse!B:B,0))</f>
        <v>EQ</v>
      </c>
      <c r="D5745" t="str">
        <f>INDEX(nse!C:C,MATCH(B5745,nse!B:B,0))</f>
        <v>TVS Motor Company Limited</v>
      </c>
    </row>
    <row r="5746" spans="2:4" hidden="1" x14ac:dyDescent="0.3">
      <c r="B5746" t="s">
        <v>1195</v>
      </c>
      <c r="C5746" t="str">
        <f>INDEX(nse!D:D,MATCH(B5746,nse!B:B,0))</f>
        <v>EQ</v>
      </c>
      <c r="D5746" t="str">
        <f>INDEX(nse!C:C,MATCH(B5746,nse!B:B,0))</f>
        <v>TVS Srichakra Limited</v>
      </c>
    </row>
    <row r="5747" spans="2:4" hidden="1" x14ac:dyDescent="0.3">
      <c r="B5747" t="s">
        <v>1196</v>
      </c>
      <c r="C5747" t="str">
        <f>INDEX(nse!D:D,MATCH(B5747,nse!B:B,0))</f>
        <v>EQ</v>
      </c>
      <c r="D5747" t="str">
        <f>INDEX(nse!C:C,MATCH(B5747,nse!B:B,0))</f>
        <v>TV Today Network Limited</v>
      </c>
    </row>
    <row r="5748" spans="2:4" hidden="1" x14ac:dyDescent="0.3">
      <c r="B5748" t="s">
        <v>4604</v>
      </c>
      <c r="C5748" t="str">
        <f>INDEX(nse!D:D,MATCH(B5748,nse!B:B,0))</f>
        <v>EQ</v>
      </c>
      <c r="D5748" t="str">
        <f>INDEX(nse!C:C,MATCH(B5748,nse!B:B,0))</f>
        <v>TV Vision Limited</v>
      </c>
    </row>
    <row r="5749" spans="2:4" hidden="1" x14ac:dyDescent="0.3">
      <c r="B5749" t="s">
        <v>1197</v>
      </c>
      <c r="C5749" t="str">
        <f>INDEX(nse!D:D,MATCH(B5749,nse!B:B,0))</f>
        <v>EQ</v>
      </c>
      <c r="D5749" t="str">
        <f>INDEX(nse!C:C,MATCH(B5749,nse!B:B,0))</f>
        <v>Titagarh Wagons Limited</v>
      </c>
    </row>
    <row r="5750" spans="2:4" hidden="1" x14ac:dyDescent="0.3">
      <c r="B5750" t="s">
        <v>1198</v>
      </c>
      <c r="C5750" t="str">
        <f>INDEX(nse!D:D,MATCH(B5750,nse!B:B,0))</f>
        <v>BE</v>
      </c>
      <c r="D5750" t="str">
        <f>INDEX(nse!C:C,MATCH(B5750,nse!B:B,0))</f>
        <v>United Breweries (Holdings) Limited</v>
      </c>
    </row>
    <row r="5751" spans="2:4" hidden="1" x14ac:dyDescent="0.3">
      <c r="B5751" t="s">
        <v>107</v>
      </c>
      <c r="C5751" t="str">
        <f>INDEX(nse!D:D,MATCH(B5751,nse!B:B,0))</f>
        <v>EQ</v>
      </c>
      <c r="D5751" t="str">
        <f>INDEX(nse!C:C,MATCH(B5751,nse!B:B,0))</f>
        <v>United Breweries Limited</v>
      </c>
    </row>
    <row r="5752" spans="2:4" hidden="1" x14ac:dyDescent="0.3">
      <c r="B5752" t="s">
        <v>1199</v>
      </c>
      <c r="C5752" t="str">
        <f>INDEX(nse!D:D,MATCH(B5752,nse!B:B,0))</f>
        <v>EQ</v>
      </c>
      <c r="D5752" t="str">
        <f>INDEX(nse!C:C,MATCH(B5752,nse!B:B,0))</f>
        <v>Ucal Fuel Systems Limited</v>
      </c>
    </row>
    <row r="5753" spans="2:4" hidden="1" x14ac:dyDescent="0.3">
      <c r="B5753" t="s">
        <v>1200</v>
      </c>
      <c r="C5753" t="str">
        <f>INDEX(nse!D:D,MATCH(B5753,nse!B:B,0))</f>
        <v>EQ</v>
      </c>
      <c r="D5753" t="str">
        <f>INDEX(nse!C:C,MATCH(B5753,nse!B:B,0))</f>
        <v>UCO Bank</v>
      </c>
    </row>
    <row r="5754" spans="2:4" hidden="1" x14ac:dyDescent="0.3">
      <c r="B5754" t="s">
        <v>1201</v>
      </c>
      <c r="C5754" t="str">
        <f>INDEX(nse!D:D,MATCH(B5754,nse!B:B,0))</f>
        <v>EQ</v>
      </c>
      <c r="D5754" t="str">
        <f>INDEX(nse!C:C,MATCH(B5754,nse!B:B,0))</f>
        <v>UFLEX Limited</v>
      </c>
    </row>
    <row r="5755" spans="2:4" hidden="1" x14ac:dyDescent="0.3">
      <c r="B5755" t="s">
        <v>4613</v>
      </c>
      <c r="C5755" t="str">
        <f>INDEX(nse!D:D,MATCH(B5755,nse!B:B,0))</f>
        <v>EQ</v>
      </c>
      <c r="D5755" t="str">
        <f>INDEX(nse!C:C,MATCH(B5755,nse!B:B,0))</f>
        <v>UFO Moviez India Limited</v>
      </c>
    </row>
    <row r="5756" spans="2:4" hidden="1" x14ac:dyDescent="0.3">
      <c r="B5756" t="s">
        <v>1202</v>
      </c>
      <c r="C5756" t="str">
        <f>INDEX(nse!D:D,MATCH(B5756,nse!B:B,0))</f>
        <v>EQ</v>
      </c>
      <c r="D5756" t="str">
        <f>INDEX(nse!C:C,MATCH(B5756,nse!B:B,0))</f>
        <v>The Ugar Sugar Works Limited</v>
      </c>
    </row>
    <row r="5757" spans="2:4" hidden="1" x14ac:dyDescent="0.3">
      <c r="B5757" t="s">
        <v>1203</v>
      </c>
      <c r="C5757" t="str">
        <f>INDEX(nse!D:D,MATCH(B5757,nse!B:B,0))</f>
        <v>EQ</v>
      </c>
      <c r="D5757" t="str">
        <f>INDEX(nse!C:C,MATCH(B5757,nse!B:B,0))</f>
        <v>Ujaas Energy Limited</v>
      </c>
    </row>
    <row r="5758" spans="2:4" hidden="1" x14ac:dyDescent="0.3">
      <c r="B5758" t="s">
        <v>4618</v>
      </c>
      <c r="C5758" t="str">
        <f>INDEX(nse!D:D,MATCH(B5758,nse!B:B,0))</f>
        <v>EQ</v>
      </c>
      <c r="D5758" t="str">
        <f>INDEX(nse!C:C,MATCH(B5758,nse!B:B,0))</f>
        <v>Ujjivan Financial Services Limited</v>
      </c>
    </row>
    <row r="5759" spans="2:4" hidden="1" x14ac:dyDescent="0.3">
      <c r="B5759" t="s">
        <v>4618</v>
      </c>
      <c r="C5759" t="str">
        <f>INDEX(nse!D:D,MATCH(B5759,nse!B:B,0))</f>
        <v>EQ</v>
      </c>
      <c r="D5759" t="str">
        <f>INDEX(nse!C:C,MATCH(B5759,nse!B:B,0))</f>
        <v>Ujjivan Financial Services Limited</v>
      </c>
    </row>
    <row r="5760" spans="2:4" hidden="1" x14ac:dyDescent="0.3">
      <c r="B5760" t="s">
        <v>1204</v>
      </c>
      <c r="C5760" t="str">
        <f>INDEX(nse!D:D,MATCH(B5760,nse!B:B,0))</f>
        <v>EQ</v>
      </c>
      <c r="D5760" t="str">
        <f>INDEX(nse!C:C,MATCH(B5760,nse!B:B,0))</f>
        <v>UltraTech Cement Limited</v>
      </c>
    </row>
    <row r="5761" spans="2:4" hidden="1" x14ac:dyDescent="0.3">
      <c r="B5761" t="s">
        <v>4622</v>
      </c>
      <c r="C5761" t="str">
        <f>INDEX(nse!D:D,MATCH(B5761,nse!B:B,0))</f>
        <v>EQ</v>
      </c>
      <c r="D5761" t="str">
        <f>INDEX(nse!C:C,MATCH(B5761,nse!B:B,0))</f>
        <v>Umang Dairies Limited</v>
      </c>
    </row>
    <row r="5762" spans="2:4" hidden="1" x14ac:dyDescent="0.3">
      <c r="B5762" t="s">
        <v>1205</v>
      </c>
      <c r="C5762" t="str">
        <f>INDEX(nse!D:D,MATCH(B5762,nse!B:B,0))</f>
        <v>EQ</v>
      </c>
      <c r="D5762" t="str">
        <f>INDEX(nse!C:C,MATCH(B5762,nse!B:B,0))</f>
        <v>Usha Martin Education &amp; Solutions Limited</v>
      </c>
    </row>
    <row r="5763" spans="2:4" hidden="1" x14ac:dyDescent="0.3">
      <c r="B5763" t="s">
        <v>1206</v>
      </c>
      <c r="C5763" t="str">
        <f>INDEX(nse!D:D,MATCH(B5763,nse!B:B,0))</f>
        <v>EQ</v>
      </c>
      <c r="D5763" t="str">
        <f>INDEX(nse!C:C,MATCH(B5763,nse!B:B,0))</f>
        <v>Unichem Laboratories Limited</v>
      </c>
    </row>
    <row r="5764" spans="2:4" hidden="1" x14ac:dyDescent="0.3">
      <c r="B5764" t="s">
        <v>1207</v>
      </c>
      <c r="C5764" t="str">
        <f>INDEX(nse!D:D,MATCH(B5764,nse!B:B,0))</f>
        <v>EQ</v>
      </c>
      <c r="D5764" t="str">
        <f>INDEX(nse!C:C,MATCH(B5764,nse!B:B,0))</f>
        <v>Uniphos Enterprises Limited</v>
      </c>
    </row>
    <row r="5765" spans="2:4" hidden="1" x14ac:dyDescent="0.3">
      <c r="B5765" t="s">
        <v>105</v>
      </c>
      <c r="C5765" t="str">
        <f>INDEX(nse!D:D,MATCH(B5765,nse!B:B,0))</f>
        <v>EQ</v>
      </c>
      <c r="D5765" t="str">
        <f>INDEX(nse!C:C,MATCH(B5765,nse!B:B,0))</f>
        <v>Union Bank of India</v>
      </c>
    </row>
    <row r="5766" spans="2:4" hidden="1" x14ac:dyDescent="0.3">
      <c r="B5766" t="s">
        <v>1208</v>
      </c>
      <c r="C5766" t="str">
        <f>INDEX(nse!D:D,MATCH(B5766,nse!B:B,0))</f>
        <v>BE</v>
      </c>
      <c r="D5766" t="str">
        <f>INDEX(nse!C:C,MATCH(B5766,nse!B:B,0))</f>
        <v>Uniply Industries Limited</v>
      </c>
    </row>
    <row r="5767" spans="2:4" hidden="1" x14ac:dyDescent="0.3">
      <c r="B5767" t="s">
        <v>106</v>
      </c>
      <c r="C5767" t="str">
        <f>INDEX(nse!D:D,MATCH(B5767,nse!B:B,0))</f>
        <v>EQ</v>
      </c>
      <c r="D5767" t="str">
        <f>INDEX(nse!C:C,MATCH(B5767,nse!B:B,0))</f>
        <v>Unitech Limited</v>
      </c>
    </row>
    <row r="5768" spans="2:4" hidden="1" x14ac:dyDescent="0.3">
      <c r="B5768" t="s">
        <v>1209</v>
      </c>
      <c r="C5768" t="str">
        <f>INDEX(nse!D:D,MATCH(B5768,nse!B:B,0))</f>
        <v>EQ</v>
      </c>
      <c r="D5768" t="str">
        <f>INDEX(nse!C:C,MATCH(B5768,nse!B:B,0))</f>
        <v>United Bank of India</v>
      </c>
    </row>
    <row r="5769" spans="2:4" hidden="1" x14ac:dyDescent="0.3">
      <c r="B5769" t="s">
        <v>4632</v>
      </c>
      <c r="C5769" t="str">
        <f>INDEX(nse!D:D,MATCH(B5769,nse!B:B,0))</f>
        <v>EQ</v>
      </c>
      <c r="D5769" t="str">
        <f>INDEX(nse!C:C,MATCH(B5769,nse!B:B,0))</f>
        <v>The United Nilgiri Tea Estates Company Limited</v>
      </c>
    </row>
    <row r="5770" spans="2:4" hidden="1" x14ac:dyDescent="0.3">
      <c r="B5770" t="s">
        <v>1210</v>
      </c>
      <c r="C5770" t="str">
        <f>INDEX(nse!D:D,MATCH(B5770,nse!B:B,0))</f>
        <v>EQ</v>
      </c>
      <c r="D5770" t="str">
        <f>INDEX(nse!C:C,MATCH(B5770,nse!B:B,0))</f>
        <v>Unity Infraprojects Limited</v>
      </c>
    </row>
    <row r="5771" spans="2:4" hidden="1" x14ac:dyDescent="0.3">
      <c r="B5771" t="s">
        <v>1211</v>
      </c>
      <c r="C5771" t="str">
        <f>INDEX(nse!D:D,MATCH(B5771,nse!B:B,0))</f>
        <v>EQ</v>
      </c>
      <c r="D5771" t="str">
        <f>INDEX(nse!C:C,MATCH(B5771,nse!B:B,0))</f>
        <v>Universal Cables Limited</v>
      </c>
    </row>
    <row r="5772" spans="2:4" hidden="1" x14ac:dyDescent="0.3">
      <c r="B5772" t="s">
        <v>104</v>
      </c>
      <c r="C5772" t="str">
        <f>INDEX(nse!D:D,MATCH(B5772,nse!B:B,0))</f>
        <v>EQ</v>
      </c>
      <c r="D5772" t="str">
        <f>INDEX(nse!C:C,MATCH(B5772,nse!B:B,0))</f>
        <v>UPL Limited</v>
      </c>
    </row>
    <row r="5773" spans="2:4" hidden="1" x14ac:dyDescent="0.3">
      <c r="B5773" t="s">
        <v>4638</v>
      </c>
      <c r="C5773" t="str">
        <f>INDEX(nse!D:D,MATCH(B5773,nse!B:B,0))</f>
        <v>BE</v>
      </c>
      <c r="D5773" t="str">
        <f>INDEX(nse!C:C,MATCH(B5773,nse!B:B,0))</f>
        <v>Urja Global Limited</v>
      </c>
    </row>
    <row r="5774" spans="2:4" hidden="1" x14ac:dyDescent="0.3">
      <c r="B5774" t="s">
        <v>1212</v>
      </c>
      <c r="C5774" t="str">
        <f>INDEX(nse!D:D,MATCH(B5774,nse!B:B,0))</f>
        <v>EQ</v>
      </c>
      <c r="D5774" t="str">
        <f>INDEX(nse!C:C,MATCH(B5774,nse!B:B,0))</f>
        <v>Usha Martin Limited</v>
      </c>
    </row>
    <row r="5775" spans="2:4" hidden="1" x14ac:dyDescent="0.3">
      <c r="B5775" t="s">
        <v>1213</v>
      </c>
      <c r="C5775" t="str">
        <f>INDEX(nse!D:D,MATCH(B5775,nse!B:B,0))</f>
        <v>EQ</v>
      </c>
      <c r="D5775" t="str">
        <f>INDEX(nse!C:C,MATCH(B5775,nse!B:B,0))</f>
        <v>Usher Agro Limited</v>
      </c>
    </row>
    <row r="5776" spans="2:4" hidden="1" x14ac:dyDescent="0.3">
      <c r="B5776" t="s">
        <v>1214</v>
      </c>
      <c r="C5776" t="str">
        <f>INDEX(nse!D:D,MATCH(B5776,nse!B:B,0))</f>
        <v>EQ</v>
      </c>
      <c r="D5776" t="str">
        <f>INDEX(nse!C:C,MATCH(B5776,nse!B:B,0))</f>
        <v>Uttam Galva Steels Limited</v>
      </c>
    </row>
    <row r="5777" spans="2:4" hidden="1" x14ac:dyDescent="0.3">
      <c r="B5777" t="s">
        <v>1215</v>
      </c>
      <c r="C5777" t="str">
        <f>INDEX(nse!D:D,MATCH(B5777,nse!B:B,0))</f>
        <v>EQ</v>
      </c>
      <c r="D5777" t="str">
        <f>INDEX(nse!C:C,MATCH(B5777,nse!B:B,0))</f>
        <v>Uttam Sugar Mills Limited</v>
      </c>
    </row>
    <row r="5778" spans="2:4" hidden="1" x14ac:dyDescent="0.3">
      <c r="B5778" t="s">
        <v>4645</v>
      </c>
      <c r="C5778" t="str">
        <f>INDEX(nse!D:D,MATCH(B5778,nse!B:B,0))</f>
        <v>BE</v>
      </c>
      <c r="D5778" t="str">
        <f>INDEX(nse!C:C,MATCH(B5778,nse!B:B,0))</f>
        <v>Uttam Value Steels Limited</v>
      </c>
    </row>
    <row r="5779" spans="2:4" hidden="1" x14ac:dyDescent="0.3">
      <c r="B5779" t="s">
        <v>1216</v>
      </c>
      <c r="C5779" t="str">
        <f>INDEX(nse!D:D,MATCH(B5779,nse!B:B,0))</f>
        <v>EQ</v>
      </c>
      <c r="D5779" t="str">
        <f>INDEX(nse!C:C,MATCH(B5779,nse!B:B,0))</f>
        <v>V2 Retail Limited</v>
      </c>
    </row>
    <row r="5780" spans="2:4" hidden="1" x14ac:dyDescent="0.3">
      <c r="B5780" t="s">
        <v>1217</v>
      </c>
      <c r="C5780" t="str">
        <f>INDEX(nse!D:D,MATCH(B5780,nse!B:B,0))</f>
        <v>EQ</v>
      </c>
      <c r="D5780" t="str">
        <f>INDEX(nse!C:C,MATCH(B5780,nse!B:B,0))</f>
        <v>Vadilal Industries Limited</v>
      </c>
    </row>
    <row r="5781" spans="2:4" hidden="1" x14ac:dyDescent="0.3">
      <c r="B5781" t="s">
        <v>1218</v>
      </c>
      <c r="C5781" t="str">
        <f>INDEX(nse!D:D,MATCH(B5781,nse!B:B,0))</f>
        <v>BE</v>
      </c>
      <c r="D5781" t="str">
        <f>INDEX(nse!C:C,MATCH(B5781,nse!B:B,0))</f>
        <v>Vaibhav Global Limited</v>
      </c>
    </row>
    <row r="5782" spans="2:4" hidden="1" x14ac:dyDescent="0.3">
      <c r="B5782" t="s">
        <v>1219</v>
      </c>
      <c r="C5782" t="str">
        <f>INDEX(nse!D:D,MATCH(B5782,nse!B:B,0))</f>
        <v>EQ</v>
      </c>
      <c r="D5782" t="str">
        <f>INDEX(nse!C:C,MATCH(B5782,nse!B:B,0))</f>
        <v>Vakrangee Limited</v>
      </c>
    </row>
    <row r="5783" spans="2:4" hidden="1" x14ac:dyDescent="0.3">
      <c r="B5783" t="s">
        <v>1220</v>
      </c>
      <c r="C5783" t="str">
        <f>INDEX(nse!D:D,MATCH(B5783,nse!B:B,0))</f>
        <v>EQ</v>
      </c>
      <c r="D5783" t="str">
        <f>INDEX(nse!C:C,MATCH(B5783,nse!B:B,0))</f>
        <v>Value Industries Limited</v>
      </c>
    </row>
    <row r="5784" spans="2:4" hidden="1" x14ac:dyDescent="0.3">
      <c r="B5784" t="s">
        <v>1221</v>
      </c>
      <c r="C5784" t="str">
        <f>INDEX(nse!D:D,MATCH(B5784,nse!B:B,0))</f>
        <v>EQ</v>
      </c>
      <c r="D5784" t="str">
        <f>INDEX(nse!C:C,MATCH(B5784,nse!B:B,0))</f>
        <v>Vardhman Acrylics Limited</v>
      </c>
    </row>
    <row r="5785" spans="2:4" hidden="1" x14ac:dyDescent="0.3">
      <c r="B5785" t="s">
        <v>1222</v>
      </c>
      <c r="C5785" t="str">
        <f>INDEX(nse!D:D,MATCH(B5785,nse!B:B,0))</f>
        <v>EQ</v>
      </c>
      <c r="D5785" t="str">
        <f>INDEX(nse!C:C,MATCH(B5785,nse!B:B,0))</f>
        <v>Vardhman Polytex Limited</v>
      </c>
    </row>
    <row r="5786" spans="2:4" hidden="1" x14ac:dyDescent="0.3">
      <c r="B5786" t="s">
        <v>1223</v>
      </c>
      <c r="C5786" t="str">
        <f>INDEX(nse!D:D,MATCH(B5786,nse!B:B,0))</f>
        <v>EQ</v>
      </c>
      <c r="D5786" t="str">
        <f>INDEX(nse!C:C,MATCH(B5786,nse!B:B,0))</f>
        <v>Vascon Engineers Limited</v>
      </c>
    </row>
    <row r="5787" spans="2:4" hidden="1" x14ac:dyDescent="0.3">
      <c r="B5787" t="s">
        <v>1224</v>
      </c>
      <c r="C5787" t="str">
        <f>INDEX(nse!D:D,MATCH(B5787,nse!B:B,0))</f>
        <v>EQ</v>
      </c>
      <c r="D5787" t="str">
        <f>INDEX(nse!C:C,MATCH(B5787,nse!B:B,0))</f>
        <v>Vaswani Industries Limited</v>
      </c>
    </row>
    <row r="5788" spans="2:4" hidden="1" x14ac:dyDescent="0.3">
      <c r="B5788" t="s">
        <v>4657</v>
      </c>
      <c r="C5788" t="str">
        <f>INDEX(nse!D:D,MATCH(B5788,nse!B:B,0))</f>
        <v>EQ</v>
      </c>
      <c r="D5788" t="str">
        <f>INDEX(nse!C:C,MATCH(B5788,nse!B:B,0))</f>
        <v>Varun Beverages Limited</v>
      </c>
    </row>
    <row r="5789" spans="2:4" hidden="1" x14ac:dyDescent="0.3">
      <c r="B5789" t="s">
        <v>4660</v>
      </c>
      <c r="C5789" t="str">
        <f>INDEX(nse!D:D,MATCH(B5789,nse!B:B,0))</f>
        <v>EQ</v>
      </c>
      <c r="D5789" t="str">
        <f>INDEX(nse!C:C,MATCH(B5789,nse!B:B,0))</f>
        <v>Vedanta Limited</v>
      </c>
    </row>
    <row r="5790" spans="2:4" hidden="1" x14ac:dyDescent="0.3">
      <c r="B5790" t="s">
        <v>1225</v>
      </c>
      <c r="C5790" t="str">
        <f>INDEX(nse!D:D,MATCH(B5790,nse!B:B,0))</f>
        <v>EQ</v>
      </c>
      <c r="D5790" t="str">
        <f>INDEX(nse!C:C,MATCH(B5790,nse!B:B,0))</f>
        <v>Venky's (India) Limited</v>
      </c>
    </row>
    <row r="5791" spans="2:4" hidden="1" x14ac:dyDescent="0.3">
      <c r="B5791" t="s">
        <v>1226</v>
      </c>
      <c r="C5791" t="str">
        <f>INDEX(nse!D:D,MATCH(B5791,nse!B:B,0))</f>
        <v>EQ</v>
      </c>
      <c r="D5791" t="str">
        <f>INDEX(nse!C:C,MATCH(B5791,nse!B:B,0))</f>
        <v>Venus Remedies Limited</v>
      </c>
    </row>
    <row r="5792" spans="2:4" hidden="1" x14ac:dyDescent="0.3">
      <c r="B5792" t="s">
        <v>1227</v>
      </c>
      <c r="C5792" t="str">
        <f>INDEX(nse!D:D,MATCH(B5792,nse!B:B,0))</f>
        <v>EQ</v>
      </c>
      <c r="D5792" t="str">
        <f>INDEX(nse!C:C,MATCH(B5792,nse!B:B,0))</f>
        <v>Vesuvius India Limited</v>
      </c>
    </row>
    <row r="5793" spans="2:4" hidden="1" x14ac:dyDescent="0.3">
      <c r="B5793" t="s">
        <v>1339</v>
      </c>
      <c r="C5793" t="str">
        <f>INDEX(nse!D:D,MATCH(B5793,nse!B:B,0))</f>
        <v>EQ</v>
      </c>
      <c r="D5793" t="str">
        <f>INDEX(nse!C:C,MATCH(B5793,nse!B:B,0))</f>
        <v>Veto Switchgears And Cables Limited</v>
      </c>
    </row>
    <row r="5794" spans="2:4" hidden="1" x14ac:dyDescent="0.3">
      <c r="B5794" t="s">
        <v>1228</v>
      </c>
      <c r="C5794" t="str">
        <f>INDEX(nse!D:D,MATCH(B5794,nse!B:B,0))</f>
        <v>EQ</v>
      </c>
      <c r="D5794" t="str">
        <f>INDEX(nse!C:C,MATCH(B5794,nse!B:B,0))</f>
        <v>V-Guard Industries Limited</v>
      </c>
    </row>
    <row r="5795" spans="2:4" hidden="1" x14ac:dyDescent="0.3">
      <c r="B5795" t="s">
        <v>1229</v>
      </c>
      <c r="C5795" t="str">
        <f>INDEX(nse!D:D,MATCH(B5795,nse!B:B,0))</f>
        <v>EQ</v>
      </c>
      <c r="D5795" t="str">
        <f>INDEX(nse!C:C,MATCH(B5795,nse!B:B,0))</f>
        <v>Vardhman Holdings Limited</v>
      </c>
    </row>
    <row r="5796" spans="2:4" hidden="1" x14ac:dyDescent="0.3">
      <c r="B5796" t="s">
        <v>1230</v>
      </c>
      <c r="C5796" t="str">
        <f>INDEX(nse!D:D,MATCH(B5796,nse!B:B,0))</f>
        <v>EQ</v>
      </c>
      <c r="D5796" t="str">
        <f>INDEX(nse!C:C,MATCH(B5796,nse!B:B,0))</f>
        <v>Viceroy Hotels Limited</v>
      </c>
    </row>
    <row r="5797" spans="2:4" hidden="1" x14ac:dyDescent="0.3">
      <c r="B5797" t="s">
        <v>1231</v>
      </c>
      <c r="C5797" t="str">
        <f>INDEX(nse!D:D,MATCH(B5797,nse!B:B,0))</f>
        <v>EQ</v>
      </c>
      <c r="D5797" t="str">
        <f>INDEX(nse!C:C,MATCH(B5797,nse!B:B,0))</f>
        <v>Videocon Industries Limited</v>
      </c>
    </row>
    <row r="5798" spans="2:4" hidden="1" x14ac:dyDescent="0.3">
      <c r="B5798" t="s">
        <v>4671</v>
      </c>
      <c r="C5798" t="str">
        <f>INDEX(nse!D:D,MATCH(B5798,nse!B:B,0))</f>
        <v>EQ</v>
      </c>
      <c r="D5798" t="str">
        <f>INDEX(nse!C:C,MATCH(B5798,nse!B:B,0))</f>
        <v>Vidhi Specialty Food Ingredients Limited</v>
      </c>
    </row>
    <row r="5799" spans="2:4" hidden="1" x14ac:dyDescent="0.3">
      <c r="B5799" t="s">
        <v>1232</v>
      </c>
      <c r="C5799" t="str">
        <f>INDEX(nse!D:D,MATCH(B5799,nse!B:B,0))</f>
        <v>EQ</v>
      </c>
      <c r="D5799" t="str">
        <f>INDEX(nse!C:C,MATCH(B5799,nse!B:B,0))</f>
        <v>Vijaya Bank</v>
      </c>
    </row>
    <row r="5800" spans="2:4" hidden="1" x14ac:dyDescent="0.3">
      <c r="B5800" t="s">
        <v>4675</v>
      </c>
      <c r="C5800" t="str">
        <f>INDEX(nse!D:D,MATCH(B5800,nse!B:B,0))</f>
        <v>BE</v>
      </c>
      <c r="D5800" t="str">
        <f>INDEX(nse!C:C,MATCH(B5800,nse!B:B,0))</f>
        <v>Viji Finance Limited</v>
      </c>
    </row>
    <row r="5801" spans="2:4" hidden="1" x14ac:dyDescent="0.3">
      <c r="B5801" t="s">
        <v>1233</v>
      </c>
      <c r="C5801" t="str">
        <f>INDEX(nse!D:D,MATCH(B5801,nse!B:B,0))</f>
        <v>EQ</v>
      </c>
      <c r="D5801" t="str">
        <f>INDEX(nse!C:C,MATCH(B5801,nse!B:B,0))</f>
        <v>Vijay Shanthi Builders Limited</v>
      </c>
    </row>
    <row r="5802" spans="2:4" hidden="1" x14ac:dyDescent="0.3">
      <c r="B5802" t="s">
        <v>4679</v>
      </c>
      <c r="C5802" t="str">
        <f>INDEX(nse!D:D,MATCH(B5802,nse!B:B,0))</f>
        <v>EQ</v>
      </c>
      <c r="D5802" t="str">
        <f>INDEX(nse!C:C,MATCH(B5802,nse!B:B,0))</f>
        <v>Vikas EcoTech Limited</v>
      </c>
    </row>
    <row r="5803" spans="2:4" hidden="1" x14ac:dyDescent="0.3">
      <c r="B5803" t="s">
        <v>1234</v>
      </c>
      <c r="C5803" t="str">
        <f>INDEX(nse!D:D,MATCH(B5803,nse!B:B,0))</f>
        <v>BE</v>
      </c>
      <c r="D5803" t="str">
        <f>INDEX(nse!C:C,MATCH(B5803,nse!B:B,0))</f>
        <v>Vimal Oil &amp; Foods Limited</v>
      </c>
    </row>
    <row r="5804" spans="2:4" hidden="1" x14ac:dyDescent="0.3">
      <c r="B5804" t="s">
        <v>1235</v>
      </c>
      <c r="C5804" t="str">
        <f>INDEX(nse!D:D,MATCH(B5804,nse!B:B,0))</f>
        <v>EQ</v>
      </c>
      <c r="D5804" t="str">
        <f>INDEX(nse!C:C,MATCH(B5804,nse!B:B,0))</f>
        <v>Vimta Labs Limited</v>
      </c>
    </row>
    <row r="5805" spans="2:4" hidden="1" x14ac:dyDescent="0.3">
      <c r="B5805" t="s">
        <v>1236</v>
      </c>
      <c r="C5805" t="str">
        <f>INDEX(nse!D:D,MATCH(B5805,nse!B:B,0))</f>
        <v>EQ</v>
      </c>
      <c r="D5805" t="str">
        <f>INDEX(nse!C:C,MATCH(B5805,nse!B:B,0))</f>
        <v>Vinati Organics Limited</v>
      </c>
    </row>
    <row r="5806" spans="2:4" hidden="1" x14ac:dyDescent="0.3">
      <c r="B5806" t="s">
        <v>1237</v>
      </c>
      <c r="C5806" t="str">
        <f>INDEX(nse!D:D,MATCH(B5806,nse!B:B,0))</f>
        <v>EQ</v>
      </c>
      <c r="D5806" t="str">
        <f>INDEX(nse!C:C,MATCH(B5806,nse!B:B,0))</f>
        <v>Vindhya Telelinks Limited</v>
      </c>
    </row>
    <row r="5807" spans="2:4" hidden="1" x14ac:dyDescent="0.3">
      <c r="B5807" t="s">
        <v>1238</v>
      </c>
      <c r="C5807" t="str">
        <f>INDEX(nse!D:D,MATCH(B5807,nse!B:B,0))</f>
        <v>EQ</v>
      </c>
      <c r="D5807" t="str">
        <f>INDEX(nse!C:C,MATCH(B5807,nse!B:B,0))</f>
        <v>Vinyl Chemicals (India) Limited</v>
      </c>
    </row>
    <row r="5808" spans="2:4" hidden="1" x14ac:dyDescent="0.3">
      <c r="B5808" t="s">
        <v>4687</v>
      </c>
      <c r="C5808" t="str">
        <f>INDEX(nse!D:D,MATCH(B5808,nse!B:B,0))</f>
        <v>EQ</v>
      </c>
      <c r="D5808" t="str">
        <f>INDEX(nse!C:C,MATCH(B5808,nse!B:B,0))</f>
        <v>VIP Clothing Limited</v>
      </c>
    </row>
    <row r="5809" spans="2:4" hidden="1" x14ac:dyDescent="0.3">
      <c r="B5809" t="s">
        <v>1239</v>
      </c>
      <c r="C5809" t="str">
        <f>INDEX(nse!D:D,MATCH(B5809,nse!B:B,0))</f>
        <v>EQ</v>
      </c>
      <c r="D5809" t="str">
        <f>INDEX(nse!C:C,MATCH(B5809,nse!B:B,0))</f>
        <v>VIP Industries Limited</v>
      </c>
    </row>
    <row r="5810" spans="2:4" hidden="1" x14ac:dyDescent="0.3">
      <c r="B5810" t="s">
        <v>4691</v>
      </c>
      <c r="C5810" t="str">
        <f>INDEX(nse!D:D,MATCH(B5810,nse!B:B,0))</f>
        <v>EQ</v>
      </c>
      <c r="D5810" t="str">
        <f>INDEX(nse!C:C,MATCH(B5810,nse!B:B,0))</f>
        <v>Vipul Limited</v>
      </c>
    </row>
    <row r="5811" spans="2:4" hidden="1" x14ac:dyDescent="0.3">
      <c r="B5811" t="s">
        <v>1240</v>
      </c>
      <c r="C5811" t="str">
        <f>INDEX(nse!D:D,MATCH(B5811,nse!B:B,0))</f>
        <v>EQ</v>
      </c>
      <c r="D5811" t="str">
        <f>INDEX(nse!C:C,MATCH(B5811,nse!B:B,0))</f>
        <v>Visaka Industries Limited</v>
      </c>
    </row>
    <row r="5812" spans="2:4" hidden="1" x14ac:dyDescent="0.3">
      <c r="B5812" t="s">
        <v>1241</v>
      </c>
      <c r="C5812" t="str">
        <f>INDEX(nse!D:D,MATCH(B5812,nse!B:B,0))</f>
        <v>EQ</v>
      </c>
      <c r="D5812" t="str">
        <f>INDEX(nse!C:C,MATCH(B5812,nse!B:B,0))</f>
        <v>Visa Steel Limited</v>
      </c>
    </row>
    <row r="5813" spans="2:4" hidden="1" x14ac:dyDescent="0.3">
      <c r="B5813" t="s">
        <v>1242</v>
      </c>
      <c r="C5813" t="str">
        <f>INDEX(nse!D:D,MATCH(B5813,nse!B:B,0))</f>
        <v>BE</v>
      </c>
      <c r="D5813" t="str">
        <f>INDEX(nse!C:C,MATCH(B5813,nse!B:B,0))</f>
        <v>Visesh Infotecnics Limited</v>
      </c>
    </row>
    <row r="5814" spans="2:4" hidden="1" x14ac:dyDescent="0.3">
      <c r="B5814" t="s">
        <v>4697</v>
      </c>
      <c r="C5814" t="str">
        <f>INDEX(nse!D:D,MATCH(B5814,nse!B:B,0))</f>
        <v>EQ</v>
      </c>
      <c r="D5814" t="str">
        <f>INDEX(nse!C:C,MATCH(B5814,nse!B:B,0))</f>
        <v>Vishnu Chemicals Limited</v>
      </c>
    </row>
    <row r="5815" spans="2:4" hidden="1" x14ac:dyDescent="0.3">
      <c r="B5815" t="s">
        <v>1338</v>
      </c>
      <c r="C5815" t="str">
        <f>INDEX(nse!D:D,MATCH(B5815,nse!B:B,0))</f>
        <v>BE</v>
      </c>
      <c r="D5815" t="str">
        <f>INDEX(nse!C:C,MATCH(B5815,nse!B:B,0))</f>
        <v>Visu International Limited</v>
      </c>
    </row>
    <row r="5816" spans="2:4" hidden="1" x14ac:dyDescent="0.3">
      <c r="B5816" t="s">
        <v>1243</v>
      </c>
      <c r="C5816" t="str">
        <f>INDEX(nse!D:D,MATCH(B5816,nse!B:B,0))</f>
        <v>EQ</v>
      </c>
      <c r="D5816" t="str">
        <f>INDEX(nse!C:C,MATCH(B5816,nse!B:B,0))</f>
        <v>Visagar Polytex Limited</v>
      </c>
    </row>
    <row r="5817" spans="2:4" hidden="1" x14ac:dyDescent="0.3">
      <c r="B5817" t="s">
        <v>1244</v>
      </c>
      <c r="C5817" t="str">
        <f>INDEX(nse!D:D,MATCH(B5817,nse!B:B,0))</f>
        <v>EQ</v>
      </c>
      <c r="D5817" t="str">
        <f>INDEX(nse!C:C,MATCH(B5817,nse!B:B,0))</f>
        <v>Vivimed Labs Limited</v>
      </c>
    </row>
    <row r="5818" spans="2:4" hidden="1" x14ac:dyDescent="0.3">
      <c r="B5818" t="s">
        <v>1245</v>
      </c>
      <c r="C5818" t="str">
        <f>INDEX(nse!D:D,MATCH(B5818,nse!B:B,0))</f>
        <v>EQ</v>
      </c>
      <c r="D5818" t="str">
        <f>INDEX(nse!C:C,MATCH(B5818,nse!B:B,0))</f>
        <v>VLS Finance Limited</v>
      </c>
    </row>
    <row r="5819" spans="2:4" hidden="1" x14ac:dyDescent="0.3">
      <c r="B5819" t="s">
        <v>1246</v>
      </c>
      <c r="C5819" t="str">
        <f>INDEX(nse!D:D,MATCH(B5819,nse!B:B,0))</f>
        <v>EQ</v>
      </c>
      <c r="D5819" t="str">
        <f>INDEX(nse!C:C,MATCH(B5819,nse!B:B,0))</f>
        <v>V-Mart Retail Limited</v>
      </c>
    </row>
    <row r="5820" spans="2:4" hidden="1" x14ac:dyDescent="0.3">
      <c r="B5820" t="s">
        <v>1247</v>
      </c>
      <c r="C5820" t="str">
        <f>INDEX(nse!D:D,MATCH(B5820,nse!B:B,0))</f>
        <v>EQ</v>
      </c>
      <c r="D5820" t="str">
        <f>INDEX(nse!C:C,MATCH(B5820,nse!B:B,0))</f>
        <v>Voltamp Transformers Limited</v>
      </c>
    </row>
    <row r="5821" spans="2:4" hidden="1" x14ac:dyDescent="0.3">
      <c r="B5821" t="s">
        <v>1247</v>
      </c>
      <c r="C5821" t="str">
        <f>INDEX(nse!D:D,MATCH(B5821,nse!B:B,0))</f>
        <v>EQ</v>
      </c>
      <c r="D5821" t="str">
        <f>INDEX(nse!C:C,MATCH(B5821,nse!B:B,0))</f>
        <v>Voltamp Transformers Limited</v>
      </c>
    </row>
    <row r="5822" spans="2:4" hidden="1" x14ac:dyDescent="0.3">
      <c r="B5822" t="s">
        <v>108</v>
      </c>
      <c r="C5822" t="str">
        <f>INDEX(nse!D:D,MATCH(B5822,nse!B:B,0))</f>
        <v>EQ</v>
      </c>
      <c r="D5822" t="str">
        <f>INDEX(nse!C:C,MATCH(B5822,nse!B:B,0))</f>
        <v>Voltas Limited</v>
      </c>
    </row>
    <row r="5823" spans="2:4" hidden="1" x14ac:dyDescent="0.3">
      <c r="B5823" t="s">
        <v>4707</v>
      </c>
      <c r="C5823" t="str">
        <f>INDEX(nse!D:D,MATCH(B5823,nse!B:B,0))</f>
        <v>EQ</v>
      </c>
      <c r="D5823" t="str">
        <f>INDEX(nse!C:C,MATCH(B5823,nse!B:B,0))</f>
        <v>VRL Logistics Limited</v>
      </c>
    </row>
    <row r="5824" spans="2:4" hidden="1" x14ac:dyDescent="0.3">
      <c r="B5824" t="s">
        <v>1248</v>
      </c>
      <c r="C5824" t="str">
        <f>INDEX(nse!D:D,MATCH(B5824,nse!B:B,0))</f>
        <v>EQ</v>
      </c>
      <c r="D5824" t="str">
        <f>INDEX(nse!C:C,MATCH(B5824,nse!B:B,0))</f>
        <v>Vardhman Special Steels Limited</v>
      </c>
    </row>
    <row r="5825" spans="2:4" hidden="1" x14ac:dyDescent="0.3">
      <c r="B5825" t="s">
        <v>1249</v>
      </c>
      <c r="C5825" t="str">
        <f>INDEX(nse!D:D,MATCH(B5825,nse!B:B,0))</f>
        <v>EQ</v>
      </c>
      <c r="D5825" t="str">
        <f>INDEX(nse!C:C,MATCH(B5825,nse!B:B,0))</f>
        <v>VST Industries Limited</v>
      </c>
    </row>
    <row r="5826" spans="2:4" hidden="1" x14ac:dyDescent="0.3">
      <c r="B5826" t="s">
        <v>1250</v>
      </c>
      <c r="C5826" t="str">
        <f>INDEX(nse!D:D,MATCH(B5826,nse!B:B,0))</f>
        <v>EQ</v>
      </c>
      <c r="D5826" t="str">
        <f>INDEX(nse!C:C,MATCH(B5826,nse!B:B,0))</f>
        <v>V.S.T Tillers Tractors Limited</v>
      </c>
    </row>
    <row r="5827" spans="2:4" hidden="1" x14ac:dyDescent="0.3">
      <c r="B5827" t="s">
        <v>1251</v>
      </c>
      <c r="C5827" t="str">
        <f>INDEX(nse!D:D,MATCH(B5827,nse!B:B,0))</f>
        <v>EQ</v>
      </c>
      <c r="D5827" t="str">
        <f>INDEX(nse!C:C,MATCH(B5827,nse!B:B,0))</f>
        <v>Vardhman Textiles Limited</v>
      </c>
    </row>
    <row r="5828" spans="2:4" hidden="1" x14ac:dyDescent="0.3">
      <c r="B5828" t="s">
        <v>1252</v>
      </c>
      <c r="C5828" t="str">
        <f>INDEX(nse!D:D,MATCH(B5828,nse!B:B,0))</f>
        <v>EQ</v>
      </c>
      <c r="D5828" t="str">
        <f>INDEX(nse!C:C,MATCH(B5828,nse!B:B,0))</f>
        <v>VA Tech Wabag Limited</v>
      </c>
    </row>
    <row r="5829" spans="2:4" hidden="1" x14ac:dyDescent="0.3">
      <c r="B5829" t="s">
        <v>1253</v>
      </c>
      <c r="C5829" t="str">
        <f>INDEX(nse!D:D,MATCH(B5829,nse!B:B,0))</f>
        <v>EQ</v>
      </c>
      <c r="D5829" t="str">
        <f>INDEX(nse!C:C,MATCH(B5829,nse!B:B,0))</f>
        <v>WABCO India Limited</v>
      </c>
    </row>
    <row r="5830" spans="2:4" hidden="1" x14ac:dyDescent="0.3">
      <c r="B5830" t="s">
        <v>1254</v>
      </c>
      <c r="C5830" t="str">
        <f>INDEX(nse!D:D,MATCH(B5830,nse!B:B,0))</f>
        <v>EQ</v>
      </c>
      <c r="D5830" t="str">
        <f>INDEX(nse!C:C,MATCH(B5830,nse!B:B,0))</f>
        <v>Walchandnagar Industries Limited</v>
      </c>
    </row>
    <row r="5831" spans="2:4" hidden="1" x14ac:dyDescent="0.3">
      <c r="B5831" t="s">
        <v>1255</v>
      </c>
      <c r="C5831" t="str">
        <f>INDEX(nse!D:D,MATCH(B5831,nse!B:B,0))</f>
        <v>BE</v>
      </c>
      <c r="D5831" t="str">
        <f>INDEX(nse!C:C,MATCH(B5831,nse!B:B,0))</f>
        <v>Wanbury Limited</v>
      </c>
    </row>
    <row r="5832" spans="2:4" hidden="1" x14ac:dyDescent="0.3">
      <c r="B5832" t="s">
        <v>1256</v>
      </c>
      <c r="C5832" t="str">
        <f>INDEX(nse!D:D,MATCH(B5832,nse!B:B,0))</f>
        <v>BE</v>
      </c>
      <c r="D5832" t="str">
        <f>INDEX(nse!C:C,MATCH(B5832,nse!B:B,0))</f>
        <v>Websol Energy System Limited</v>
      </c>
    </row>
    <row r="5833" spans="2:4" hidden="1" x14ac:dyDescent="0.3">
      <c r="B5833" t="s">
        <v>1257</v>
      </c>
      <c r="C5833" t="str">
        <f>INDEX(nse!D:D,MATCH(B5833,nse!B:B,0))</f>
        <v>EQ</v>
      </c>
      <c r="D5833" t="str">
        <f>INDEX(nse!C:C,MATCH(B5833,nse!B:B,0))</f>
        <v>Weizmann Forex Limited</v>
      </c>
    </row>
    <row r="5834" spans="2:4" hidden="1" x14ac:dyDescent="0.3">
      <c r="B5834" t="s">
        <v>1258</v>
      </c>
      <c r="C5834" t="str">
        <f>INDEX(nse!D:D,MATCH(B5834,nse!B:B,0))</f>
        <v>EQ</v>
      </c>
      <c r="D5834" t="str">
        <f>INDEX(nse!C:C,MATCH(B5834,nse!B:B,0))</f>
        <v>Weizmann Limited</v>
      </c>
    </row>
    <row r="5835" spans="2:4" hidden="1" x14ac:dyDescent="0.3">
      <c r="B5835" t="s">
        <v>1259</v>
      </c>
      <c r="C5835" t="str">
        <f>INDEX(nse!D:D,MATCH(B5835,nse!B:B,0))</f>
        <v>EQ</v>
      </c>
      <c r="D5835" t="str">
        <f>INDEX(nse!C:C,MATCH(B5835,nse!B:B,0))</f>
        <v>Welspun Corp Limited</v>
      </c>
    </row>
    <row r="5836" spans="2:4" hidden="1" x14ac:dyDescent="0.3">
      <c r="B5836" t="s">
        <v>4722</v>
      </c>
      <c r="C5836" t="str">
        <f>INDEX(nse!D:D,MATCH(B5836,nse!B:B,0))</f>
        <v>EQ</v>
      </c>
      <c r="D5836" t="str">
        <f>INDEX(nse!C:C,MATCH(B5836,nse!B:B,0))</f>
        <v>Welspun Enterprises Limited</v>
      </c>
    </row>
    <row r="5837" spans="2:4" hidden="1" x14ac:dyDescent="0.3">
      <c r="B5837" t="s">
        <v>1260</v>
      </c>
      <c r="C5837" t="str">
        <f>INDEX(nse!D:D,MATCH(B5837,nse!B:B,0))</f>
        <v>EQ</v>
      </c>
      <c r="D5837" t="str">
        <f>INDEX(nse!C:C,MATCH(B5837,nse!B:B,0))</f>
        <v>Welspun Investments and Commercials Limited</v>
      </c>
    </row>
    <row r="5838" spans="2:4" hidden="1" x14ac:dyDescent="0.3">
      <c r="B5838" t="s">
        <v>1261</v>
      </c>
      <c r="C5838" t="str">
        <f>INDEX(nse!D:D,MATCH(B5838,nse!B:B,0))</f>
        <v>EQ</v>
      </c>
      <c r="D5838" t="str">
        <f>INDEX(nse!C:C,MATCH(B5838,nse!B:B,0))</f>
        <v>Welspun India Limited</v>
      </c>
    </row>
    <row r="5839" spans="2:4" hidden="1" x14ac:dyDescent="0.3">
      <c r="B5839" t="s">
        <v>1262</v>
      </c>
      <c r="C5839" t="str">
        <f>INDEX(nse!D:D,MATCH(B5839,nse!B:B,0))</f>
        <v>EQ</v>
      </c>
      <c r="D5839" t="str">
        <f>INDEX(nse!C:C,MATCH(B5839,nse!B:B,0))</f>
        <v>Wendt (India) Limited</v>
      </c>
    </row>
    <row r="5840" spans="2:4" hidden="1" x14ac:dyDescent="0.3">
      <c r="B5840" t="s">
        <v>1263</v>
      </c>
      <c r="C5840" t="str">
        <f>INDEX(nse!D:D,MATCH(B5840,nse!B:B,0))</f>
        <v>EQ</v>
      </c>
      <c r="D5840" t="str">
        <f>INDEX(nse!C:C,MATCH(B5840,nse!B:B,0))</f>
        <v>Wheels India Limited</v>
      </c>
    </row>
    <row r="5841" spans="2:4" hidden="1" x14ac:dyDescent="0.3">
      <c r="B5841" t="s">
        <v>1264</v>
      </c>
      <c r="C5841" t="str">
        <f>INDEX(nse!D:D,MATCH(B5841,nse!B:B,0))</f>
        <v>EQ</v>
      </c>
      <c r="D5841" t="str">
        <f>INDEX(nse!C:C,MATCH(B5841,nse!B:B,0))</f>
        <v>Whirlpool of India Limited</v>
      </c>
    </row>
    <row r="5842" spans="2:4" hidden="1" x14ac:dyDescent="0.3">
      <c r="B5842" t="s">
        <v>1265</v>
      </c>
      <c r="C5842" t="str">
        <f>INDEX(nse!D:D,MATCH(B5842,nse!B:B,0))</f>
        <v>BE</v>
      </c>
      <c r="D5842" t="str">
        <f>INDEX(nse!C:C,MATCH(B5842,nse!B:B,0))</f>
        <v>Williamson Magor &amp; Company Limited</v>
      </c>
    </row>
    <row r="5843" spans="2:4" hidden="1" x14ac:dyDescent="0.3">
      <c r="B5843" t="s">
        <v>1266</v>
      </c>
      <c r="C5843" t="str">
        <f>INDEX(nse!D:D,MATCH(B5843,nse!B:B,0))</f>
        <v>EQ</v>
      </c>
      <c r="D5843" t="str">
        <f>INDEX(nse!C:C,MATCH(B5843,nse!B:B,0))</f>
        <v>Windsor Machines Limited</v>
      </c>
    </row>
    <row r="5844" spans="2:4" hidden="1" x14ac:dyDescent="0.3">
      <c r="B5844" t="s">
        <v>1267</v>
      </c>
      <c r="C5844" t="str">
        <f>INDEX(nse!D:D,MATCH(B5844,nse!B:B,0))</f>
        <v>EQ</v>
      </c>
      <c r="D5844" t="str">
        <f>INDEX(nse!C:C,MATCH(B5844,nse!B:B,0))</f>
        <v>Winsome Yarns Limited</v>
      </c>
    </row>
    <row r="5845" spans="2:4" hidden="1" x14ac:dyDescent="0.3">
      <c r="B5845" t="s">
        <v>4732</v>
      </c>
      <c r="C5845" t="str">
        <f>INDEX(nse!D:D,MATCH(B5845,nse!B:B,0))</f>
        <v>BE</v>
      </c>
      <c r="D5845" t="str">
        <f>INDEX(nse!C:C,MATCH(B5845,nse!B:B,0))</f>
        <v>The Western India Plywoods Limited</v>
      </c>
    </row>
    <row r="5846" spans="2:4" hidden="1" x14ac:dyDescent="0.3">
      <c r="B5846" t="s">
        <v>126</v>
      </c>
      <c r="C5846" t="str">
        <f>INDEX(nse!D:D,MATCH(B5846,nse!B:B,0))</f>
        <v>EQ</v>
      </c>
      <c r="D5846" t="str">
        <f>INDEX(nse!C:C,MATCH(B5846,nse!B:B,0))</f>
        <v>Wipro Limited</v>
      </c>
    </row>
    <row r="5847" spans="2:4" hidden="1" x14ac:dyDescent="0.3">
      <c r="B5847" t="s">
        <v>1268</v>
      </c>
      <c r="C5847" t="str">
        <f>INDEX(nse!D:D,MATCH(B5847,nse!B:B,0))</f>
        <v>EQ</v>
      </c>
      <c r="D5847" t="str">
        <f>INDEX(nse!C:C,MATCH(B5847,nse!B:B,0))</f>
        <v>Wockhardt Limited</v>
      </c>
    </row>
    <row r="5848" spans="2:4" hidden="1" x14ac:dyDescent="0.3">
      <c r="B5848" t="s">
        <v>1269</v>
      </c>
      <c r="C5848" t="str">
        <f>INDEX(nse!D:D,MATCH(B5848,nse!B:B,0))</f>
        <v>EQ</v>
      </c>
      <c r="D5848" t="str">
        <f>INDEX(nse!C:C,MATCH(B5848,nse!B:B,0))</f>
        <v>Wonderla Holidays Limited</v>
      </c>
    </row>
    <row r="5849" spans="2:4" hidden="1" x14ac:dyDescent="0.3">
      <c r="B5849" t="s">
        <v>1270</v>
      </c>
      <c r="C5849" t="str">
        <f>INDEX(nse!D:D,MATCH(B5849,nse!B:B,0))</f>
        <v>EQ</v>
      </c>
      <c r="D5849" t="str">
        <f>INDEX(nse!C:C,MATCH(B5849,nse!B:B,0))</f>
        <v>W S Industries (I) Limited</v>
      </c>
    </row>
    <row r="5850" spans="2:4" hidden="1" x14ac:dyDescent="0.3">
      <c r="B5850" t="s">
        <v>1271</v>
      </c>
      <c r="C5850" t="str">
        <f>INDEX(nse!D:D,MATCH(B5850,nse!B:B,0))</f>
        <v>EQ</v>
      </c>
      <c r="D5850" t="str">
        <f>INDEX(nse!C:C,MATCH(B5850,nse!B:B,0))</f>
        <v>West Coast Paper Mills Limited</v>
      </c>
    </row>
    <row r="5851" spans="2:4" hidden="1" x14ac:dyDescent="0.3">
      <c r="B5851" t="s">
        <v>1272</v>
      </c>
      <c r="C5851" t="str">
        <f>INDEX(nse!D:D,MATCH(B5851,nse!B:B,0))</f>
        <v>EQ</v>
      </c>
      <c r="D5851" t="str">
        <f>INDEX(nse!C:C,MATCH(B5851,nse!B:B,0))</f>
        <v>Xchanging Solutions Limited</v>
      </c>
    </row>
    <row r="5852" spans="2:4" hidden="1" x14ac:dyDescent="0.3">
      <c r="B5852" t="s">
        <v>1273</v>
      </c>
      <c r="C5852" t="str">
        <f>INDEX(nse!D:D,MATCH(B5852,nse!B:B,0))</f>
        <v>EQ</v>
      </c>
      <c r="D5852" t="str">
        <f>INDEX(nse!C:C,MATCH(B5852,nse!B:B,0))</f>
        <v>XL Energy Limited</v>
      </c>
    </row>
    <row r="5853" spans="2:4" hidden="1" x14ac:dyDescent="0.3">
      <c r="B5853" t="s">
        <v>1274</v>
      </c>
      <c r="C5853" t="str">
        <f>INDEX(nse!D:D,MATCH(B5853,nse!B:B,0))</f>
        <v>EQ</v>
      </c>
      <c r="D5853" t="str">
        <f>INDEX(nse!C:C,MATCH(B5853,nse!B:B,0))</f>
        <v>Xpro India Limited</v>
      </c>
    </row>
    <row r="5854" spans="2:4" hidden="1" x14ac:dyDescent="0.3">
      <c r="B5854" t="s">
        <v>1275</v>
      </c>
      <c r="C5854" t="str">
        <f>INDEX(nse!D:D,MATCH(B5854,nse!B:B,0))</f>
        <v>EQ</v>
      </c>
      <c r="D5854" t="str">
        <f>INDEX(nse!C:C,MATCH(B5854,nse!B:B,0))</f>
        <v>Yes Bank Limited</v>
      </c>
    </row>
    <row r="5855" spans="2:4" hidden="1" x14ac:dyDescent="0.3">
      <c r="B5855" t="s">
        <v>1276</v>
      </c>
      <c r="C5855" t="str">
        <f>INDEX(nse!D:D,MATCH(B5855,nse!B:B,0))</f>
        <v>EQ</v>
      </c>
      <c r="D5855" t="str">
        <f>INDEX(nse!C:C,MATCH(B5855,nse!B:B,0))</f>
        <v>Zandu Realty Limited</v>
      </c>
    </row>
    <row r="5856" spans="2:4" hidden="1" x14ac:dyDescent="0.3">
      <c r="B5856" t="s">
        <v>1277</v>
      </c>
      <c r="C5856" t="str">
        <f>INDEX(nse!D:D,MATCH(B5856,nse!B:B,0))</f>
        <v>EQ</v>
      </c>
      <c r="D5856" t="str">
        <f>INDEX(nse!C:C,MATCH(B5856,nse!B:B,0))</f>
        <v>Zee Entertainment Enterprises Limited</v>
      </c>
    </row>
    <row r="5857" spans="2:4" hidden="1" x14ac:dyDescent="0.3">
      <c r="B5857" t="s">
        <v>1278</v>
      </c>
      <c r="C5857" t="str">
        <f>INDEX(nse!D:D,MATCH(B5857,nse!B:B,0))</f>
        <v>EQ</v>
      </c>
      <c r="D5857" t="str">
        <f>INDEX(nse!C:C,MATCH(B5857,nse!B:B,0))</f>
        <v>Zee Learn Limited</v>
      </c>
    </row>
    <row r="5858" spans="2:4" hidden="1" x14ac:dyDescent="0.3">
      <c r="B5858" t="s">
        <v>1279</v>
      </c>
      <c r="C5858" t="str">
        <f>INDEX(nse!D:D,MATCH(B5858,nse!B:B,0))</f>
        <v>EQ</v>
      </c>
      <c r="D5858" t="str">
        <f>INDEX(nse!C:C,MATCH(B5858,nse!B:B,0))</f>
        <v>Zee Media Corporation Limited</v>
      </c>
    </row>
    <row r="5859" spans="2:4" hidden="1" x14ac:dyDescent="0.3">
      <c r="B5859" t="s">
        <v>1280</v>
      </c>
      <c r="C5859" t="str">
        <f>INDEX(nse!D:D,MATCH(B5859,nse!B:B,0))</f>
        <v>EQ</v>
      </c>
      <c r="D5859" t="str">
        <f>INDEX(nse!C:C,MATCH(B5859,nse!B:B,0))</f>
        <v>Zenith Birla (India) Limited</v>
      </c>
    </row>
    <row r="5860" spans="2:4" hidden="1" x14ac:dyDescent="0.3">
      <c r="B5860" t="s">
        <v>1281</v>
      </c>
      <c r="C5860" t="str">
        <f>INDEX(nse!D:D,MATCH(B5860,nse!B:B,0))</f>
        <v>BE</v>
      </c>
      <c r="D5860" t="str">
        <f>INDEX(nse!C:C,MATCH(B5860,nse!B:B,0))</f>
        <v>Zenith Exports Limited</v>
      </c>
    </row>
    <row r="5861" spans="2:4" hidden="1" x14ac:dyDescent="0.3">
      <c r="B5861" t="s">
        <v>1282</v>
      </c>
      <c r="C5861" t="str">
        <f>INDEX(nse!D:D,MATCH(B5861,nse!B:B,0))</f>
        <v>EQ</v>
      </c>
      <c r="D5861" t="str">
        <f>INDEX(nse!C:C,MATCH(B5861,nse!B:B,0))</f>
        <v>Zensar Technologies Limited</v>
      </c>
    </row>
    <row r="5862" spans="2:4" hidden="1" x14ac:dyDescent="0.3">
      <c r="B5862" t="s">
        <v>4751</v>
      </c>
      <c r="C5862" t="str">
        <f>INDEX(nse!D:D,MATCH(B5862,nse!B:B,0))</f>
        <v>EQ</v>
      </c>
      <c r="D5862" t="str">
        <f>INDEX(nse!C:C,MATCH(B5862,nse!B:B,0))</f>
        <v>Zen Technologies Limited</v>
      </c>
    </row>
    <row r="5863" spans="2:4" hidden="1" x14ac:dyDescent="0.3">
      <c r="B5863" t="s">
        <v>1283</v>
      </c>
      <c r="C5863" t="str">
        <f>INDEX(nse!D:D,MATCH(B5863,nse!B:B,0))</f>
        <v>EQ</v>
      </c>
      <c r="D5863" t="str">
        <f>INDEX(nse!C:C,MATCH(B5863,nse!B:B,0))</f>
        <v>Zicom Electronic Security Systems Limited</v>
      </c>
    </row>
    <row r="5864" spans="2:4" hidden="1" x14ac:dyDescent="0.3">
      <c r="B5864" t="s">
        <v>1284</v>
      </c>
      <c r="C5864" t="str">
        <f>INDEX(nse!D:D,MATCH(B5864,nse!B:B,0))</f>
        <v>EQ</v>
      </c>
      <c r="D5864" t="str">
        <f>INDEX(nse!C:C,MATCH(B5864,nse!B:B,0))</f>
        <v>Zodiac Clothing Company Limited</v>
      </c>
    </row>
    <row r="5865" spans="2:4" hidden="1" x14ac:dyDescent="0.3">
      <c r="B5865" t="s">
        <v>1285</v>
      </c>
      <c r="C5865" t="str">
        <f>INDEX(nse!D:D,MATCH(B5865,nse!B:B,0))</f>
        <v>EQ</v>
      </c>
      <c r="D5865" t="str">
        <f>INDEX(nse!C:C,MATCH(B5865,nse!B:B,0))</f>
        <v>Zodiac JRD- MKJ Limited</v>
      </c>
    </row>
    <row r="5866" spans="2:4" hidden="1" x14ac:dyDescent="0.3">
      <c r="B5866" t="s">
        <v>1286</v>
      </c>
      <c r="C5866" t="str">
        <f>INDEX(nse!D:D,MATCH(B5866,nse!B:B,0))</f>
        <v>EQ</v>
      </c>
      <c r="D5866" t="str">
        <f>INDEX(nse!C:C,MATCH(B5866,nse!B:B,0))</f>
        <v>Zuari Agro Chemicals Limited</v>
      </c>
    </row>
    <row r="5867" spans="2:4" hidden="1" x14ac:dyDescent="0.3">
      <c r="B5867" t="s">
        <v>1287</v>
      </c>
      <c r="C5867" t="str">
        <f>INDEX(nse!D:D,MATCH(B5867,nse!B:B,0))</f>
        <v>EQ</v>
      </c>
      <c r="D5867" t="str">
        <f>INDEX(nse!C:C,MATCH(B5867,nse!B:B,0))</f>
        <v>Zuari Global Limited</v>
      </c>
    </row>
    <row r="5868" spans="2:4" hidden="1" x14ac:dyDescent="0.3">
      <c r="B5868" t="s">
        <v>1288</v>
      </c>
      <c r="C5868" t="str">
        <f>INDEX(nse!D:D,MATCH(B5868,nse!B:B,0))</f>
        <v>EQ</v>
      </c>
      <c r="D5868" t="str">
        <f>INDEX(nse!C:C,MATCH(B5868,nse!B:B,0))</f>
        <v>Zydus Wellness Limited</v>
      </c>
    </row>
    <row r="5869" spans="2:4" hidden="1" x14ac:dyDescent="0.3">
      <c r="B5869" t="s">
        <v>1289</v>
      </c>
      <c r="C5869" t="str">
        <f>INDEX(nse!D:D,MATCH(B5869,nse!B:B,0))</f>
        <v>EQ</v>
      </c>
      <c r="D5869" t="str">
        <f>INDEX(nse!C:C,MATCH(B5869,nse!B:B,0))</f>
        <v>Zylog Systems Limited</v>
      </c>
    </row>
    <row r="5870" spans="2:4" hidden="1" x14ac:dyDescent="0.3">
      <c r="B5870" t="s">
        <v>1014</v>
      </c>
      <c r="C5870" t="str">
        <f>INDEX(nse!D:D,MATCH(B5870,nse!B:B,0))</f>
        <v>EQ</v>
      </c>
      <c r="D5870" t="str">
        <f>INDEX(nse!C:C,MATCH(B5870,nse!B:B,0))</f>
        <v>Saregama India Limited</v>
      </c>
    </row>
    <row r="5871" spans="2:4" hidden="1" x14ac:dyDescent="0.3">
      <c r="B5871" t="s">
        <v>1015</v>
      </c>
      <c r="C5871" t="str">
        <f>INDEX(nse!D:D,MATCH(B5871,nse!B:B,0))</f>
        <v>EQ</v>
      </c>
      <c r="D5871" t="str">
        <f>INDEX(nse!C:C,MATCH(B5871,nse!B:B,0))</f>
        <v>Sarla Performance Fibers Limited</v>
      </c>
    </row>
    <row r="5872" spans="2:4" hidden="1" x14ac:dyDescent="0.3">
      <c r="B5872" t="s">
        <v>1016</v>
      </c>
      <c r="C5872" t="str">
        <f>INDEX(nse!D:D,MATCH(B5872,nse!B:B,0))</f>
        <v>EQ</v>
      </c>
      <c r="D5872" t="str">
        <f>INDEX(nse!C:C,MATCH(B5872,nse!B:B,0))</f>
        <v>Sasken Technologies Limited</v>
      </c>
    </row>
    <row r="5873" spans="2:4" hidden="1" x14ac:dyDescent="0.3">
      <c r="B5873" t="s">
        <v>4287</v>
      </c>
      <c r="C5873" t="str">
        <f>INDEX(nse!D:D,MATCH(B5873,nse!B:B,0))</f>
        <v>BE</v>
      </c>
      <c r="D5873" t="str">
        <f>INDEX(nse!C:C,MATCH(B5873,nse!B:B,0))</f>
        <v>Sastasundar Ventures Limited</v>
      </c>
    </row>
    <row r="5874" spans="2:4" hidden="1" x14ac:dyDescent="0.3">
      <c r="B5874" t="s">
        <v>1017</v>
      </c>
      <c r="C5874" t="str">
        <f>INDEX(nse!D:D,MATCH(B5874,nse!B:B,0))</f>
        <v>EQ</v>
      </c>
      <c r="D5874" t="str">
        <f>INDEX(nse!C:C,MATCH(B5874,nse!B:B,0))</f>
        <v>Sathavahana Ispat Limited</v>
      </c>
    </row>
    <row r="5875" spans="2:4" hidden="1" x14ac:dyDescent="0.3">
      <c r="B5875" t="s">
        <v>4291</v>
      </c>
      <c r="C5875" t="str">
        <f>INDEX(nse!D:D,MATCH(B5875,nse!B:B,0))</f>
        <v>EQ</v>
      </c>
      <c r="D5875" t="str">
        <f>INDEX(nse!C:C,MATCH(B5875,nse!B:B,0))</f>
        <v>Satin Creditcare Network Limited</v>
      </c>
    </row>
    <row r="5876" spans="2:4" hidden="1" x14ac:dyDescent="0.3">
      <c r="B5876" t="s">
        <v>1018</v>
      </c>
      <c r="C5876" t="str">
        <f>INDEX(nse!D:D,MATCH(B5876,nse!B:B,0))</f>
        <v>EQ</v>
      </c>
      <c r="D5876" t="str">
        <f>INDEX(nse!C:C,MATCH(B5876,nse!B:B,0))</f>
        <v>State Bank of India</v>
      </c>
    </row>
    <row r="5877" spans="2:4" hidden="1" x14ac:dyDescent="0.3">
      <c r="B5877" t="s">
        <v>4295</v>
      </c>
      <c r="C5877" t="str">
        <f>INDEX(nse!D:D,MATCH(B5877,nse!B:B,0))</f>
        <v>EQ</v>
      </c>
      <c r="D5877" t="str">
        <f>INDEX(nse!C:C,MATCH(B5877,nse!B:B,0))</f>
        <v>S Chand And Company Limited</v>
      </c>
    </row>
    <row r="5878" spans="2:4" hidden="1" x14ac:dyDescent="0.3">
      <c r="B5878" t="s">
        <v>1019</v>
      </c>
      <c r="C5878" t="str">
        <f>INDEX(nse!D:D,MATCH(B5878,nse!B:B,0))</f>
        <v>EQ</v>
      </c>
      <c r="D5878" t="str">
        <f>INDEX(nse!C:C,MATCH(B5878,nse!B:B,0))</f>
        <v>Schneider Electric Infrastructure Limited</v>
      </c>
    </row>
    <row r="5879" spans="2:4" hidden="1" x14ac:dyDescent="0.3">
      <c r="B5879" t="s">
        <v>1020</v>
      </c>
      <c r="C5879" t="str">
        <f>INDEX(nse!D:D,MATCH(B5879,nse!B:B,0))</f>
        <v>EQ</v>
      </c>
      <c r="D5879" t="str">
        <f>INDEX(nse!C:C,MATCH(B5879,nse!B:B,0))</f>
        <v>Shipping Corporation Of India Limited</v>
      </c>
    </row>
    <row r="5880" spans="2:4" hidden="1" x14ac:dyDescent="0.3">
      <c r="B5880" t="s">
        <v>1021</v>
      </c>
      <c r="C5880" t="str">
        <f>INDEX(nse!D:D,MATCH(B5880,nse!B:B,0))</f>
        <v>EQ</v>
      </c>
      <c r="D5880" t="str">
        <f>INDEX(nse!C:C,MATCH(B5880,nse!B:B,0))</f>
        <v>Som Distilleries &amp; Breweries Limited</v>
      </c>
    </row>
    <row r="5881" spans="2:4" hidden="1" x14ac:dyDescent="0.3">
      <c r="B5881" t="s">
        <v>1022</v>
      </c>
      <c r="C5881" t="str">
        <f>INDEX(nse!D:D,MATCH(B5881,nse!B:B,0))</f>
        <v>EQ</v>
      </c>
      <c r="D5881" t="str">
        <f>INDEX(nse!C:C,MATCH(B5881,nse!B:B,0))</f>
        <v>Seamec Limited</v>
      </c>
    </row>
    <row r="5882" spans="2:4" hidden="1" x14ac:dyDescent="0.3">
      <c r="B5882" t="s">
        <v>1023</v>
      </c>
      <c r="C5882" t="str">
        <f>INDEX(nse!D:D,MATCH(B5882,nse!B:B,0))</f>
        <v>EQ</v>
      </c>
      <c r="D5882" t="str">
        <f>INDEX(nse!C:C,MATCH(B5882,nse!B:B,0))</f>
        <v>S.E. Investments Limited</v>
      </c>
    </row>
    <row r="5883" spans="2:4" hidden="1" x14ac:dyDescent="0.3">
      <c r="B5883" t="s">
        <v>1024</v>
      </c>
      <c r="C5883" t="str">
        <f>INDEX(nse!D:D,MATCH(B5883,nse!B:B,0))</f>
        <v>EQ</v>
      </c>
      <c r="D5883" t="str">
        <f>INDEX(nse!C:C,MATCH(B5883,nse!B:B,0))</f>
        <v>Selan Exploration Technology Limited</v>
      </c>
    </row>
    <row r="5884" spans="2:4" hidden="1" x14ac:dyDescent="0.3">
      <c r="B5884" t="s">
        <v>1025</v>
      </c>
      <c r="C5884" t="str">
        <f>INDEX(nse!D:D,MATCH(B5884,nse!B:B,0))</f>
        <v>EQ</v>
      </c>
      <c r="D5884" t="str">
        <f>INDEX(nse!C:C,MATCH(B5884,nse!B:B,0))</f>
        <v>SEL Manufacturing Company Limited</v>
      </c>
    </row>
    <row r="5885" spans="2:4" hidden="1" x14ac:dyDescent="0.3">
      <c r="B5885" t="s">
        <v>1026</v>
      </c>
      <c r="C5885" t="str">
        <f>INDEX(nse!D:D,MATCH(B5885,nse!B:B,0))</f>
        <v>EQ</v>
      </c>
      <c r="D5885" t="str">
        <f>INDEX(nse!C:C,MATCH(B5885,nse!B:B,0))</f>
        <v>S.E. Power Limited</v>
      </c>
    </row>
    <row r="5886" spans="2:4" hidden="1" x14ac:dyDescent="0.3">
      <c r="B5886" t="s">
        <v>4306</v>
      </c>
      <c r="C5886" t="str">
        <f>INDEX(nse!D:D,MATCH(B5886,nse!B:B,0))</f>
        <v>EQ</v>
      </c>
      <c r="D5886" t="str">
        <f>INDEX(nse!C:C,MATCH(B5886,nse!B:B,0))</f>
        <v>Sequent Scientific Limited</v>
      </c>
    </row>
    <row r="5887" spans="2:4" hidden="1" x14ac:dyDescent="0.3">
      <c r="B5887" t="s">
        <v>1027</v>
      </c>
      <c r="C5887" t="str">
        <f>INDEX(nse!D:D,MATCH(B5887,nse!B:B,0))</f>
        <v>EQ</v>
      </c>
      <c r="D5887" t="str">
        <f>INDEX(nse!C:C,MATCH(B5887,nse!B:B,0))</f>
        <v>Servalakshmi Paper Limited</v>
      </c>
    </row>
    <row r="5888" spans="2:4" hidden="1" x14ac:dyDescent="0.3">
      <c r="B5888" t="s">
        <v>1028</v>
      </c>
      <c r="C5888" t="str">
        <f>INDEX(nse!D:D,MATCH(B5888,nse!B:B,0))</f>
        <v>EQ</v>
      </c>
      <c r="D5888" t="str">
        <f>INDEX(nse!C:C,MATCH(B5888,nse!B:B,0))</f>
        <v>Seshasayee Paper and Boards Limited</v>
      </c>
    </row>
    <row r="5889" spans="2:4" hidden="1" x14ac:dyDescent="0.3">
      <c r="B5889" t="s">
        <v>4311</v>
      </c>
      <c r="C5889" t="str">
        <f>INDEX(nse!D:D,MATCH(B5889,nse!B:B,0))</f>
        <v>EQ</v>
      </c>
      <c r="D5889" t="str">
        <f>INDEX(nse!C:C,MATCH(B5889,nse!B:B,0))</f>
        <v>Setco Automotive Limited</v>
      </c>
    </row>
    <row r="5890" spans="2:4" hidden="1" x14ac:dyDescent="0.3">
      <c r="B5890" t="s">
        <v>1029</v>
      </c>
      <c r="C5890" t="str">
        <f>INDEX(nse!D:D,MATCH(B5890,nse!B:B,0))</f>
        <v>BE</v>
      </c>
      <c r="D5890" t="str">
        <f>INDEX(nse!C:C,MATCH(B5890,nse!B:B,0))</f>
        <v>Sezal Glass Limited</v>
      </c>
    </row>
    <row r="5891" spans="2:4" hidden="1" x14ac:dyDescent="0.3">
      <c r="B5891" t="s">
        <v>4315</v>
      </c>
      <c r="C5891" t="str">
        <f>INDEX(nse!D:D,MATCH(B5891,nse!B:B,0))</f>
        <v>EQ</v>
      </c>
      <c r="D5891" t="str">
        <f>INDEX(nse!C:C,MATCH(B5891,nse!B:B,0))</f>
        <v>Sheela Foam Limited</v>
      </c>
    </row>
    <row r="5892" spans="2:4" hidden="1" x14ac:dyDescent="0.3">
      <c r="B5892" t="s">
        <v>1332</v>
      </c>
      <c r="C5892" t="str">
        <f>INDEX(nse!D:D,MATCH(B5892,nse!B:B,0))</f>
        <v>BE</v>
      </c>
      <c r="D5892" t="str">
        <f>INDEX(nse!C:C,MATCH(B5892,nse!B:B,0))</f>
        <v>Shree Ganesh Forgings Limited</v>
      </c>
    </row>
    <row r="5893" spans="2:4" hidden="1" x14ac:dyDescent="0.3">
      <c r="B5893" t="s">
        <v>1333</v>
      </c>
      <c r="C5893" t="str">
        <f>INDEX(nse!D:D,MATCH(B5893,nse!B:B,0))</f>
        <v>EQ</v>
      </c>
      <c r="D5893" t="str">
        <f>INDEX(nse!C:C,MATCH(B5893,nse!B:B,0))</f>
        <v>STL Global Limited</v>
      </c>
    </row>
    <row r="5894" spans="2:4" hidden="1" x14ac:dyDescent="0.3">
      <c r="B5894" t="s">
        <v>1030</v>
      </c>
      <c r="C5894" t="str">
        <f>INDEX(nse!D:D,MATCH(B5894,nse!B:B,0))</f>
        <v>BE</v>
      </c>
      <c r="D5894" t="str">
        <f>INDEX(nse!C:C,MATCH(B5894,nse!B:B,0))</f>
        <v>Shah Alloys Limited</v>
      </c>
    </row>
    <row r="5895" spans="2:4" hidden="1" x14ac:dyDescent="0.3">
      <c r="B5895" t="s">
        <v>4321</v>
      </c>
      <c r="C5895" t="str">
        <f>INDEX(nse!D:D,MATCH(B5895,nse!B:B,0))</f>
        <v>EQ</v>
      </c>
      <c r="D5895" t="str">
        <f>INDEX(nse!C:C,MATCH(B5895,nse!B:B,0))</f>
        <v>Shakti Pumps (India) Limited</v>
      </c>
    </row>
    <row r="5896" spans="2:4" hidden="1" x14ac:dyDescent="0.3">
      <c r="B5896" t="s">
        <v>1031</v>
      </c>
      <c r="C5896" t="str">
        <f>INDEX(nse!D:D,MATCH(B5896,nse!B:B,0))</f>
        <v>EQ</v>
      </c>
      <c r="D5896" t="str">
        <f>INDEX(nse!C:C,MATCH(B5896,nse!B:B,0))</f>
        <v>Shalimar Paints Limited</v>
      </c>
    </row>
    <row r="5897" spans="2:4" hidden="1" x14ac:dyDescent="0.3">
      <c r="B5897" t="s">
        <v>4325</v>
      </c>
      <c r="C5897" t="str">
        <f>INDEX(nse!D:D,MATCH(B5897,nse!B:B,0))</f>
        <v>EQ</v>
      </c>
      <c r="D5897" t="str">
        <f>INDEX(nse!C:C,MATCH(B5897,nse!B:B,0))</f>
        <v>Shankara Building Products Limited</v>
      </c>
    </row>
    <row r="5898" spans="2:4" hidden="1" x14ac:dyDescent="0.3">
      <c r="B5898" t="s">
        <v>1032</v>
      </c>
      <c r="C5898" t="str">
        <f>INDEX(nse!D:D,MATCH(B5898,nse!B:B,0))</f>
        <v>EQ</v>
      </c>
      <c r="D5898" t="str">
        <f>INDEX(nse!C:C,MATCH(B5898,nse!B:B,0))</f>
        <v>Shanthi Gears Limited</v>
      </c>
    </row>
    <row r="5899" spans="2:4" hidden="1" x14ac:dyDescent="0.3">
      <c r="B5899" t="s">
        <v>1033</v>
      </c>
      <c r="C5899" t="str">
        <f>INDEX(nse!D:D,MATCH(B5899,nse!B:B,0))</f>
        <v>EQ</v>
      </c>
      <c r="D5899" t="str">
        <f>INDEX(nse!C:C,MATCH(B5899,nse!B:B,0))</f>
        <v>Sharda Cropchem Limited</v>
      </c>
    </row>
    <row r="5900" spans="2:4" hidden="1" x14ac:dyDescent="0.3">
      <c r="B5900" t="s">
        <v>4330</v>
      </c>
      <c r="C5900" t="str">
        <f>INDEX(nse!D:D,MATCH(B5900,nse!B:B,0))</f>
        <v>EQ</v>
      </c>
      <c r="D5900" t="str">
        <f>INDEX(nse!C:C,MATCH(B5900,nse!B:B,0))</f>
        <v>Sharda Motor Industries Limited</v>
      </c>
    </row>
    <row r="5901" spans="2:4" hidden="1" x14ac:dyDescent="0.3">
      <c r="B5901" t="s">
        <v>1034</v>
      </c>
      <c r="C5901" t="str">
        <f>INDEX(nse!D:D,MATCH(B5901,nse!B:B,0))</f>
        <v>EQ</v>
      </c>
      <c r="D5901" t="str">
        <f>INDEX(nse!C:C,MATCH(B5901,nse!B:B,0))</f>
        <v>Sharon Bio-Medicine Limited</v>
      </c>
    </row>
    <row r="5902" spans="2:4" hidden="1" x14ac:dyDescent="0.3">
      <c r="B5902" t="s">
        <v>1035</v>
      </c>
      <c r="C5902" t="str">
        <f>INDEX(nse!D:D,MATCH(B5902,nse!B:B,0))</f>
        <v>EQ</v>
      </c>
      <c r="D5902" t="str">
        <f>INDEX(nse!C:C,MATCH(B5902,nse!B:B,0))</f>
        <v>Shemaroo Entertainment Limited</v>
      </c>
    </row>
    <row r="5903" spans="2:4" hidden="1" x14ac:dyDescent="0.3">
      <c r="B5903" t="s">
        <v>1036</v>
      </c>
      <c r="C5903" t="str">
        <f>INDEX(nse!D:D,MATCH(B5903,nse!B:B,0))</f>
        <v>EQ</v>
      </c>
      <c r="D5903" t="str">
        <f>INDEX(nse!C:C,MATCH(B5903,nse!B:B,0))</f>
        <v>Shilpa Medicare Limited</v>
      </c>
    </row>
    <row r="5904" spans="2:4" hidden="1" x14ac:dyDescent="0.3">
      <c r="B5904" t="s">
        <v>1037</v>
      </c>
      <c r="C5904" t="str">
        <f>INDEX(nse!D:D,MATCH(B5904,nse!B:B,0))</f>
        <v>EQ</v>
      </c>
      <c r="D5904" t="str">
        <f>INDEX(nse!C:C,MATCH(B5904,nse!B:B,0))</f>
        <v>Shilpi Cable Technologies Limited</v>
      </c>
    </row>
    <row r="5905" spans="2:4" hidden="1" x14ac:dyDescent="0.3">
      <c r="B5905" t="s">
        <v>1038</v>
      </c>
      <c r="C5905" t="str">
        <f>INDEX(nse!D:D,MATCH(B5905,nse!B:B,0))</f>
        <v>EQ</v>
      </c>
      <c r="D5905" t="str">
        <f>INDEX(nse!C:C,MATCH(B5905,nse!B:B,0))</f>
        <v>Shirpur Gold Refinery Limited</v>
      </c>
    </row>
    <row r="5906" spans="2:4" hidden="1" x14ac:dyDescent="0.3">
      <c r="B5906" t="s">
        <v>1039</v>
      </c>
      <c r="C5906" t="str">
        <f>INDEX(nse!D:D,MATCH(B5906,nse!B:B,0))</f>
        <v>EQ</v>
      </c>
      <c r="D5906" t="str">
        <f>INDEX(nse!C:C,MATCH(B5906,nse!B:B,0))</f>
        <v>Shivam Autotech Limited</v>
      </c>
    </row>
    <row r="5907" spans="2:4" hidden="1" x14ac:dyDescent="0.3">
      <c r="B5907" t="s">
        <v>1040</v>
      </c>
      <c r="C5907" t="str">
        <f>INDEX(nse!D:D,MATCH(B5907,nse!B:B,0))</f>
        <v>EQ</v>
      </c>
      <c r="D5907" t="str">
        <f>INDEX(nse!C:C,MATCH(B5907,nse!B:B,0))</f>
        <v>Shiva Texyarn Limited</v>
      </c>
    </row>
    <row r="5908" spans="2:4" hidden="1" x14ac:dyDescent="0.3">
      <c r="B5908" t="s">
        <v>4340</v>
      </c>
      <c r="C5908" t="str">
        <f>INDEX(nse!D:D,MATCH(B5908,nse!B:B,0))</f>
        <v>EQ</v>
      </c>
      <c r="D5908" t="str">
        <f>INDEX(nse!C:C,MATCH(B5908,nse!B:B,0))</f>
        <v>S H Kelkar and Company Limited</v>
      </c>
    </row>
    <row r="5909" spans="2:4" hidden="1" x14ac:dyDescent="0.3">
      <c r="B5909" t="s">
        <v>1041</v>
      </c>
      <c r="C5909" t="str">
        <f>INDEX(nse!D:D,MATCH(B5909,nse!B:B,0))</f>
        <v>EQ</v>
      </c>
      <c r="D5909" t="str">
        <f>INDEX(nse!C:C,MATCH(B5909,nse!B:B,0))</f>
        <v>Shoppers Stop Limited</v>
      </c>
    </row>
    <row r="5910" spans="2:4" hidden="1" x14ac:dyDescent="0.3">
      <c r="B5910" t="s">
        <v>91</v>
      </c>
      <c r="C5910" t="str">
        <f>INDEX(nse!D:D,MATCH(B5910,nse!B:B,0))</f>
        <v>EQ</v>
      </c>
      <c r="D5910" t="str">
        <f>INDEX(nse!C:C,MATCH(B5910,nse!B:B,0))</f>
        <v>Shree Cements Limited</v>
      </c>
    </row>
    <row r="5911" spans="2:4" hidden="1" x14ac:dyDescent="0.3">
      <c r="B5911" t="s">
        <v>4345</v>
      </c>
      <c r="C5911" t="str">
        <f>INDEX(nse!D:D,MATCH(B5911,nse!B:B,0))</f>
        <v>EQ</v>
      </c>
      <c r="D5911" t="str">
        <f>INDEX(nse!C:C,MATCH(B5911,nse!B:B,0))</f>
        <v>Shree Pushkar Chemicals &amp; Fertilisers Limited</v>
      </c>
    </row>
    <row r="5912" spans="2:4" hidden="1" x14ac:dyDescent="0.3">
      <c r="B5912" t="s">
        <v>1042</v>
      </c>
      <c r="C5912" t="str">
        <f>INDEX(nse!D:D,MATCH(B5912,nse!B:B,0))</f>
        <v>EQ</v>
      </c>
      <c r="D5912" t="str">
        <f>INDEX(nse!C:C,MATCH(B5912,nse!B:B,0))</f>
        <v>Shree Rama Multi-Tech Limited</v>
      </c>
    </row>
    <row r="5913" spans="2:4" hidden="1" x14ac:dyDescent="0.3">
      <c r="B5913" t="s">
        <v>1043</v>
      </c>
      <c r="C5913" t="str">
        <f>INDEX(nse!D:D,MATCH(B5913,nse!B:B,0))</f>
        <v>EQ</v>
      </c>
      <c r="D5913" t="str">
        <f>INDEX(nse!C:C,MATCH(B5913,nse!B:B,0))</f>
        <v>Shreyans Industries Limited</v>
      </c>
    </row>
    <row r="5914" spans="2:4" hidden="1" x14ac:dyDescent="0.3">
      <c r="B5914" t="s">
        <v>1044</v>
      </c>
      <c r="C5914" t="str">
        <f>INDEX(nse!D:D,MATCH(B5914,nse!B:B,0))</f>
        <v>EQ</v>
      </c>
      <c r="D5914" t="str">
        <f>INDEX(nse!C:C,MATCH(B5914,nse!B:B,0))</f>
        <v>Shreyas Shipping &amp; Logistics Limited</v>
      </c>
    </row>
    <row r="5915" spans="2:4" hidden="1" x14ac:dyDescent="0.3">
      <c r="B5915" t="s">
        <v>4351</v>
      </c>
      <c r="C5915" t="str">
        <f>INDEX(nse!D:D,MATCH(B5915,nse!B:B,0))</f>
        <v>BE</v>
      </c>
      <c r="D5915" t="str">
        <f>INDEX(nse!C:C,MATCH(B5915,nse!B:B,0))</f>
        <v>Shriram Pistons &amp; Rings Limited</v>
      </c>
    </row>
    <row r="5916" spans="2:4" hidden="1" x14ac:dyDescent="0.3">
      <c r="B5916" t="s">
        <v>1045</v>
      </c>
      <c r="C5916" t="str">
        <f>INDEX(nse!D:D,MATCH(B5916,nse!B:B,0))</f>
        <v>EQ</v>
      </c>
      <c r="D5916" t="str">
        <f>INDEX(nse!C:C,MATCH(B5916,nse!B:B,0))</f>
        <v>Shriram City Union Finance Limited</v>
      </c>
    </row>
    <row r="5917" spans="2:4" hidden="1" x14ac:dyDescent="0.3">
      <c r="B5917" t="s">
        <v>1046</v>
      </c>
      <c r="C5917" t="str">
        <f>INDEX(nse!D:D,MATCH(B5917,nse!B:B,0))</f>
        <v>EQ</v>
      </c>
      <c r="D5917" t="str">
        <f>INDEX(nse!C:C,MATCH(B5917,nse!B:B,0))</f>
        <v>Shriram EPC Limited</v>
      </c>
    </row>
    <row r="5918" spans="2:4" hidden="1" x14ac:dyDescent="0.3">
      <c r="B5918" t="s">
        <v>4356</v>
      </c>
      <c r="C5918" t="str">
        <f>INDEX(nse!D:D,MATCH(B5918,nse!B:B,0))</f>
        <v>EQ</v>
      </c>
      <c r="D5918" t="str">
        <f>INDEX(nse!C:C,MATCH(B5918,nse!B:B,0))</f>
        <v>Shyam Century Ferrous Limited</v>
      </c>
    </row>
    <row r="5919" spans="2:4" hidden="1" x14ac:dyDescent="0.3">
      <c r="B5919" t="s">
        <v>1047</v>
      </c>
      <c r="C5919" t="str">
        <f>INDEX(nse!D:D,MATCH(B5919,nse!B:B,0))</f>
        <v>EQ</v>
      </c>
      <c r="D5919" t="str">
        <f>INDEX(nse!C:C,MATCH(B5919,nse!B:B,0))</f>
        <v>Shyam Telecom Limited</v>
      </c>
    </row>
    <row r="5920" spans="2:4" hidden="1" x14ac:dyDescent="0.3">
      <c r="B5920" t="s">
        <v>1048</v>
      </c>
      <c r="C5920" t="str">
        <f>INDEX(nse!D:D,MATCH(B5920,nse!B:B,0))</f>
        <v>EQ</v>
      </c>
      <c r="D5920" t="str">
        <f>INDEX(nse!C:C,MATCH(B5920,nse!B:B,0))</f>
        <v>Sicagen India Limited</v>
      </c>
    </row>
    <row r="5921" spans="2:4" hidden="1" x14ac:dyDescent="0.3">
      <c r="B5921" t="s">
        <v>1049</v>
      </c>
      <c r="C5921" t="str">
        <f>INDEX(nse!D:D,MATCH(B5921,nse!B:B,0))</f>
        <v>EQ</v>
      </c>
      <c r="D5921" t="str">
        <f>INDEX(nse!C:C,MATCH(B5921,nse!B:B,0))</f>
        <v>Sical Logistics Limited</v>
      </c>
    </row>
    <row r="5922" spans="2:4" hidden="1" x14ac:dyDescent="0.3">
      <c r="B5922" t="s">
        <v>92</v>
      </c>
      <c r="C5922" t="str">
        <f>INDEX(nse!D:D,MATCH(B5922,nse!B:B,0))</f>
        <v>EQ</v>
      </c>
      <c r="D5922" t="str">
        <f>INDEX(nse!C:C,MATCH(B5922,nse!B:B,0))</f>
        <v>Siemens Limited</v>
      </c>
    </row>
    <row r="5923" spans="2:4" hidden="1" x14ac:dyDescent="0.3">
      <c r="B5923" t="s">
        <v>4363</v>
      </c>
      <c r="C5923" t="str">
        <f>INDEX(nse!D:D,MATCH(B5923,nse!B:B,0))</f>
        <v>EQ</v>
      </c>
      <c r="D5923" t="str">
        <f>INDEX(nse!C:C,MATCH(B5923,nse!B:B,0))</f>
        <v>Signet Industries Limited</v>
      </c>
    </row>
    <row r="5924" spans="2:4" hidden="1" x14ac:dyDescent="0.3">
      <c r="B5924" t="s">
        <v>1050</v>
      </c>
      <c r="C5924" t="str">
        <f>INDEX(nse!D:D,MATCH(B5924,nse!B:B,0))</f>
        <v>BE</v>
      </c>
      <c r="D5924" t="str">
        <f>INDEX(nse!C:C,MATCH(B5924,nse!B:B,0))</f>
        <v>Standard Industries Limited</v>
      </c>
    </row>
    <row r="5925" spans="2:4" hidden="1" x14ac:dyDescent="0.3">
      <c r="B5925" t="s">
        <v>1051</v>
      </c>
      <c r="C5925" t="str">
        <f>INDEX(nse!D:D,MATCH(B5925,nse!B:B,0))</f>
        <v>EQ</v>
      </c>
      <c r="D5925" t="str">
        <f>INDEX(nse!C:C,MATCH(B5925,nse!B:B,0))</f>
        <v>SIL Investments Limited</v>
      </c>
    </row>
    <row r="5926" spans="2:4" hidden="1" x14ac:dyDescent="0.3">
      <c r="B5926" t="s">
        <v>4368</v>
      </c>
      <c r="C5926" t="str">
        <f>INDEX(nse!D:D,MATCH(B5926,nse!B:B,0))</f>
        <v>EQ</v>
      </c>
      <c r="D5926" t="str">
        <f>INDEX(nse!C:C,MATCH(B5926,nse!B:B,0))</f>
        <v>Simbhaoli Sugars Limited</v>
      </c>
    </row>
    <row r="5927" spans="2:4" hidden="1" x14ac:dyDescent="0.3">
      <c r="B5927" t="s">
        <v>1052</v>
      </c>
      <c r="C5927" t="str">
        <f>INDEX(nse!D:D,MATCH(B5927,nse!B:B,0))</f>
        <v>BE</v>
      </c>
      <c r="D5927" t="str">
        <f>INDEX(nse!C:C,MATCH(B5927,nse!B:B,0))</f>
        <v>Simplex Projects Limited</v>
      </c>
    </row>
    <row r="5928" spans="2:4" hidden="1" x14ac:dyDescent="0.3">
      <c r="B5928" t="s">
        <v>1053</v>
      </c>
      <c r="C5928" t="str">
        <f>INDEX(nse!D:D,MATCH(B5928,nse!B:B,0))</f>
        <v>EQ</v>
      </c>
      <c r="D5928" t="str">
        <f>INDEX(nse!C:C,MATCH(B5928,nse!B:B,0))</f>
        <v>Simplex Infrastructures Limited</v>
      </c>
    </row>
    <row r="5929" spans="2:4" hidden="1" x14ac:dyDescent="0.3">
      <c r="B5929" t="s">
        <v>1054</v>
      </c>
      <c r="C5929" t="str">
        <f>INDEX(nse!D:D,MATCH(B5929,nse!B:B,0))</f>
        <v>EQ</v>
      </c>
      <c r="D5929" t="str">
        <f>INDEX(nse!C:C,MATCH(B5929,nse!B:B,0))</f>
        <v>Sintex Industries Limited</v>
      </c>
    </row>
    <row r="5930" spans="2:4" hidden="1" x14ac:dyDescent="0.3">
      <c r="B5930" t="s">
        <v>1055</v>
      </c>
      <c r="C5930" t="str">
        <f>INDEX(nse!D:D,MATCH(B5930,nse!B:B,0))</f>
        <v>EQ</v>
      </c>
      <c r="D5930" t="str">
        <f>INDEX(nse!C:C,MATCH(B5930,nse!B:B,0))</f>
        <v>Sita Shree Food Products Limited</v>
      </c>
    </row>
    <row r="5931" spans="2:4" hidden="1" x14ac:dyDescent="0.3">
      <c r="B5931" t="s">
        <v>4374</v>
      </c>
      <c r="C5931" t="str">
        <f>INDEX(nse!D:D,MATCH(B5931,nse!B:B,0))</f>
        <v>EQ</v>
      </c>
      <c r="D5931" t="str">
        <f>INDEX(nse!C:C,MATCH(B5931,nse!B:B,0))</f>
        <v>Siti Networks Limited</v>
      </c>
    </row>
    <row r="5932" spans="2:4" hidden="1" x14ac:dyDescent="0.3">
      <c r="B5932" t="s">
        <v>1056</v>
      </c>
      <c r="C5932" t="str">
        <f>INDEX(nse!D:D,MATCH(B5932,nse!B:B,0))</f>
        <v>EQ</v>
      </c>
      <c r="D5932" t="str">
        <f>INDEX(nse!C:C,MATCH(B5932,nse!B:B,0))</f>
        <v>Siyaram Silk Mills Limited</v>
      </c>
    </row>
    <row r="5933" spans="2:4" hidden="1" x14ac:dyDescent="0.3">
      <c r="B5933" t="s">
        <v>1057</v>
      </c>
      <c r="C5933" t="str">
        <f>INDEX(nse!D:D,MATCH(B5933,nse!B:B,0))</f>
        <v>EQ</v>
      </c>
      <c r="D5933" t="str">
        <f>INDEX(nse!C:C,MATCH(B5933,nse!B:B,0))</f>
        <v>SJVN Limited</v>
      </c>
    </row>
    <row r="5934" spans="2:4" hidden="1" x14ac:dyDescent="0.3">
      <c r="B5934" t="s">
        <v>1058</v>
      </c>
      <c r="C5934" t="str">
        <f>INDEX(nse!D:D,MATCH(B5934,nse!B:B,0))</f>
        <v>EQ</v>
      </c>
      <c r="D5934" t="str">
        <f>INDEX(nse!C:C,MATCH(B5934,nse!B:B,0))</f>
        <v>SKF India Limited</v>
      </c>
    </row>
    <row r="5935" spans="2:4" hidden="1" x14ac:dyDescent="0.3">
      <c r="B5935" t="s">
        <v>1059</v>
      </c>
      <c r="C5935" t="str">
        <f>INDEX(nse!D:D,MATCH(B5935,nse!B:B,0))</f>
        <v>EQ</v>
      </c>
      <c r="D5935" t="str">
        <f>INDEX(nse!C:C,MATCH(B5935,nse!B:B,0))</f>
        <v>SKIL Infrastructure Limited</v>
      </c>
    </row>
    <row r="5936" spans="2:4" hidden="1" x14ac:dyDescent="0.3">
      <c r="B5936" t="s">
        <v>4381</v>
      </c>
      <c r="C5936" t="str">
        <f>INDEX(nse!D:D,MATCH(B5936,nse!B:B,0))</f>
        <v>EQ</v>
      </c>
      <c r="D5936" t="str">
        <f>INDEX(nse!C:C,MATCH(B5936,nse!B:B,0))</f>
        <v>Skipper Limited</v>
      </c>
    </row>
    <row r="5937" spans="2:4" hidden="1" x14ac:dyDescent="0.3">
      <c r="B5937" t="s">
        <v>1060</v>
      </c>
      <c r="C5937" t="str">
        <f>INDEX(nse!D:D,MATCH(B5937,nse!B:B,0))</f>
        <v>BE</v>
      </c>
      <c r="D5937" t="str">
        <f>INDEX(nse!C:C,MATCH(B5937,nse!B:B,0))</f>
        <v>SKM Egg Products Export (India) Limited</v>
      </c>
    </row>
    <row r="5938" spans="2:4" hidden="1" x14ac:dyDescent="0.3">
      <c r="B5938" t="s">
        <v>1061</v>
      </c>
      <c r="C5938" t="str">
        <f>INDEX(nse!D:D,MATCH(B5938,nse!B:B,0))</f>
        <v>EQ</v>
      </c>
      <c r="D5938" t="str">
        <f>INDEX(nse!C:C,MATCH(B5938,nse!B:B,0))</f>
        <v>Smartlink Network Systems Limited</v>
      </c>
    </row>
    <row r="5939" spans="2:4" hidden="1" x14ac:dyDescent="0.3">
      <c r="B5939" t="s">
        <v>1062</v>
      </c>
      <c r="C5939" t="str">
        <f>INDEX(nse!D:D,MATCH(B5939,nse!B:B,0))</f>
        <v>EQ</v>
      </c>
      <c r="D5939" t="str">
        <f>INDEX(nse!C:C,MATCH(B5939,nse!B:B,0))</f>
        <v>SML Isuzu Limited</v>
      </c>
    </row>
    <row r="5940" spans="2:4" hidden="1" x14ac:dyDescent="0.3">
      <c r="B5940" t="s">
        <v>1063</v>
      </c>
      <c r="C5940" t="str">
        <f>INDEX(nse!D:D,MATCH(B5940,nse!B:B,0))</f>
        <v>EQ</v>
      </c>
      <c r="D5940" t="str">
        <f>INDEX(nse!C:C,MATCH(B5940,nse!B:B,0))</f>
        <v>Splendid Metal Products Limited</v>
      </c>
    </row>
    <row r="5941" spans="2:4" hidden="1" x14ac:dyDescent="0.3">
      <c r="B5941" t="s">
        <v>1064</v>
      </c>
      <c r="C5941" t="str">
        <f>INDEX(nse!D:D,MATCH(B5941,nse!B:B,0))</f>
        <v>EQ</v>
      </c>
      <c r="D5941" t="str">
        <f>INDEX(nse!C:C,MATCH(B5941,nse!B:B,0))</f>
        <v>SMS Pharmaceuticals Limited</v>
      </c>
    </row>
    <row r="5942" spans="2:4" hidden="1" x14ac:dyDescent="0.3">
      <c r="B5942" t="s">
        <v>1065</v>
      </c>
      <c r="C5942" t="str">
        <f>INDEX(nse!D:D,MATCH(B5942,nse!B:B,0))</f>
        <v>EQ</v>
      </c>
      <c r="D5942" t="str">
        <f>INDEX(nse!C:C,MATCH(B5942,nse!B:B,0))</f>
        <v>Snowman Logistics Limited</v>
      </c>
    </row>
    <row r="5943" spans="2:4" hidden="1" x14ac:dyDescent="0.3">
      <c r="B5943" t="s">
        <v>1066</v>
      </c>
      <c r="C5943" t="str">
        <f>INDEX(nse!D:D,MATCH(B5943,nse!B:B,0))</f>
        <v>EQ</v>
      </c>
      <c r="D5943" t="str">
        <f>INDEX(nse!C:C,MATCH(B5943,nse!B:B,0))</f>
        <v>Sobha Limited</v>
      </c>
    </row>
    <row r="5944" spans="2:4" hidden="1" x14ac:dyDescent="0.3">
      <c r="B5944" t="s">
        <v>1334</v>
      </c>
      <c r="C5944" t="str">
        <f>INDEX(nse!D:D,MATCH(B5944,nse!B:B,0))</f>
        <v>EQ</v>
      </c>
      <c r="D5944" t="str">
        <f>INDEX(nse!C:C,MATCH(B5944,nse!B:B,0))</f>
        <v>Software Technology Group International Limited</v>
      </c>
    </row>
    <row r="5945" spans="2:4" hidden="1" x14ac:dyDescent="0.3">
      <c r="B5945" t="s">
        <v>1067</v>
      </c>
      <c r="C5945" t="str">
        <f>INDEX(nse!D:D,MATCH(B5945,nse!B:B,0))</f>
        <v>EQ</v>
      </c>
      <c r="D5945" t="str">
        <f>INDEX(nse!C:C,MATCH(B5945,nse!B:B,0))</f>
        <v>Solar Industries India Limited</v>
      </c>
    </row>
    <row r="5946" spans="2:4" hidden="1" x14ac:dyDescent="0.3">
      <c r="B5946" t="s">
        <v>1068</v>
      </c>
      <c r="C5946" t="str">
        <f>INDEX(nse!D:D,MATCH(B5946,nse!B:B,0))</f>
        <v>EQ</v>
      </c>
      <c r="D5946" t="str">
        <f>INDEX(nse!C:C,MATCH(B5946,nse!B:B,0))</f>
        <v>Somany Ceramics Limited</v>
      </c>
    </row>
    <row r="5947" spans="2:4" hidden="1" x14ac:dyDescent="0.3">
      <c r="B5947" t="s">
        <v>1069</v>
      </c>
      <c r="C5947" t="str">
        <f>INDEX(nse!D:D,MATCH(B5947,nse!B:B,0))</f>
        <v>BE</v>
      </c>
      <c r="D5947" t="str">
        <f>INDEX(nse!C:C,MATCH(B5947,nse!B:B,0))</f>
        <v>Soma Textiles &amp; Industries Limited</v>
      </c>
    </row>
    <row r="5948" spans="2:4" hidden="1" x14ac:dyDescent="0.3">
      <c r="B5948" t="s">
        <v>4396</v>
      </c>
      <c r="C5948" t="str">
        <f>INDEX(nse!D:D,MATCH(B5948,nse!B:B,0))</f>
        <v>EQ</v>
      </c>
      <c r="D5948" t="str">
        <f>INDEX(nse!C:C,MATCH(B5948,nse!B:B,0))</f>
        <v>Somi Conveyor Beltings Limited</v>
      </c>
    </row>
    <row r="5949" spans="2:4" hidden="1" x14ac:dyDescent="0.3">
      <c r="B5949" t="s">
        <v>1070</v>
      </c>
      <c r="C5949" t="str">
        <f>INDEX(nse!D:D,MATCH(B5949,nse!B:B,0))</f>
        <v>EQ</v>
      </c>
      <c r="D5949" t="str">
        <f>INDEX(nse!C:C,MATCH(B5949,nse!B:B,0))</f>
        <v>Sona Koyo Steering Systems Limited</v>
      </c>
    </row>
    <row r="5950" spans="2:4" hidden="1" x14ac:dyDescent="0.3">
      <c r="B5950" t="s">
        <v>1071</v>
      </c>
      <c r="C5950" t="str">
        <f>INDEX(nse!D:D,MATCH(B5950,nse!B:B,0))</f>
        <v>EQ</v>
      </c>
      <c r="D5950" t="str">
        <f>INDEX(nse!C:C,MATCH(B5950,nse!B:B,0))</f>
        <v>Sonata Software Limited</v>
      </c>
    </row>
    <row r="5951" spans="2:4" hidden="1" x14ac:dyDescent="0.3">
      <c r="B5951" t="s">
        <v>4401</v>
      </c>
      <c r="C5951" t="str">
        <f>INDEX(nse!D:D,MATCH(B5951,nse!B:B,0))</f>
        <v>EQ</v>
      </c>
      <c r="D5951" t="str">
        <f>INDEX(nse!C:C,MATCH(B5951,nse!B:B,0))</f>
        <v>SORIL Holdings and Ventures Limited</v>
      </c>
    </row>
    <row r="5952" spans="2:4" hidden="1" x14ac:dyDescent="0.3">
      <c r="B5952" t="s">
        <v>4404</v>
      </c>
      <c r="C5952" t="str">
        <f>INDEX(nse!D:D,MATCH(B5952,nse!B:B,0))</f>
        <v>EQ</v>
      </c>
      <c r="D5952" t="str">
        <f>INDEX(nse!C:C,MATCH(B5952,nse!B:B,0))</f>
        <v>SORIL Infra Resources Limited</v>
      </c>
    </row>
    <row r="5953" spans="2:4" hidden="1" x14ac:dyDescent="0.3">
      <c r="B5953" t="s">
        <v>1072</v>
      </c>
      <c r="C5953" t="str">
        <f>INDEX(nse!D:D,MATCH(B5953,nse!B:B,0))</f>
        <v>EQ</v>
      </c>
      <c r="D5953" t="str">
        <f>INDEX(nse!C:C,MATCH(B5953,nse!B:B,0))</f>
        <v>Savita Oil Technologies Limited</v>
      </c>
    </row>
    <row r="5954" spans="2:4" hidden="1" x14ac:dyDescent="0.3">
      <c r="B5954" t="s">
        <v>93</v>
      </c>
      <c r="C5954" t="str">
        <f>INDEX(nse!D:D,MATCH(B5954,nse!B:B,0))</f>
        <v>EQ</v>
      </c>
      <c r="D5954" t="str">
        <f>INDEX(nse!C:C,MATCH(B5954,nse!B:B,0))</f>
        <v>The South Indian Bank Limited</v>
      </c>
    </row>
    <row r="5955" spans="2:4" hidden="1" x14ac:dyDescent="0.3">
      <c r="B5955" t="s">
        <v>4409</v>
      </c>
      <c r="C5955" t="str">
        <f>INDEX(nse!D:D,MATCH(B5955,nse!B:B,0))</f>
        <v>EQ</v>
      </c>
      <c r="D5955" t="str">
        <f>INDEX(nse!C:C,MATCH(B5955,nse!B:B,0))</f>
        <v>S. P. Apparels Limited</v>
      </c>
    </row>
    <row r="5956" spans="2:4" hidden="1" x14ac:dyDescent="0.3">
      <c r="B5956" t="s">
        <v>1073</v>
      </c>
      <c r="C5956" t="str">
        <f>INDEX(nse!D:D,MATCH(B5956,nse!B:B,0))</f>
        <v>EQ</v>
      </c>
      <c r="D5956" t="str">
        <f>INDEX(nse!C:C,MATCH(B5956,nse!B:B,0))</f>
        <v>Sun Pharma Advanced Research Company Limited</v>
      </c>
    </row>
    <row r="5957" spans="2:4" hidden="1" x14ac:dyDescent="0.3">
      <c r="B5957" t="s">
        <v>4413</v>
      </c>
      <c r="C5957" t="str">
        <f>INDEX(nse!D:D,MATCH(B5957,nse!B:B,0))</f>
        <v>EQ</v>
      </c>
      <c r="D5957" t="str">
        <f>INDEX(nse!C:C,MATCH(B5957,nse!B:B,0))</f>
        <v>Spacenet Enterprises India Limited</v>
      </c>
    </row>
    <row r="5958" spans="2:4" hidden="1" x14ac:dyDescent="0.3">
      <c r="B5958" t="s">
        <v>1074</v>
      </c>
      <c r="C5958" t="str">
        <f>INDEX(nse!D:D,MATCH(B5958,nse!B:B,0))</f>
        <v>BE</v>
      </c>
      <c r="D5958" t="str">
        <f>INDEX(nse!C:C,MATCH(B5958,nse!B:B,0))</f>
        <v>Speciality Restaurants Limited</v>
      </c>
    </row>
    <row r="5959" spans="2:4" hidden="1" x14ac:dyDescent="0.3">
      <c r="B5959" t="s">
        <v>1075</v>
      </c>
      <c r="C5959" t="str">
        <f>INDEX(nse!D:D,MATCH(B5959,nse!B:B,0))</f>
        <v>EQ</v>
      </c>
      <c r="D5959" t="str">
        <f>INDEX(nse!C:C,MATCH(B5959,nse!B:B,0))</f>
        <v>Spentex Industries Limited</v>
      </c>
    </row>
    <row r="5960" spans="2:4" hidden="1" x14ac:dyDescent="0.3">
      <c r="B5960" t="s">
        <v>4418</v>
      </c>
      <c r="C5960" t="str">
        <f>INDEX(nse!D:D,MATCH(B5960,nse!B:B,0))</f>
        <v>EQ</v>
      </c>
      <c r="D5960" t="str">
        <f>INDEX(nse!C:C,MATCH(B5960,nse!B:B,0))</f>
        <v>Sphere Global Services Limited</v>
      </c>
    </row>
    <row r="5961" spans="2:4" hidden="1" x14ac:dyDescent="0.3">
      <c r="B5961" t="s">
        <v>1076</v>
      </c>
      <c r="C5961" t="str">
        <f>INDEX(nse!D:D,MATCH(B5961,nse!B:B,0))</f>
        <v>EQ</v>
      </c>
      <c r="D5961" t="str">
        <f>INDEX(nse!C:C,MATCH(B5961,nse!B:B,0))</f>
        <v>Southern Petrochemicals Industries Corporation  Limited</v>
      </c>
    </row>
    <row r="5962" spans="2:4" hidden="1" x14ac:dyDescent="0.3">
      <c r="B5962" t="s">
        <v>115</v>
      </c>
      <c r="C5962" t="str">
        <f>INDEX(nse!D:D,MATCH(B5962,nse!B:B,0))</f>
        <v>EQ</v>
      </c>
      <c r="D5962" t="str">
        <f>INDEX(nse!C:C,MATCH(B5962,nse!B:B,0))</f>
        <v>Spice Mobility Limited</v>
      </c>
    </row>
    <row r="5963" spans="2:4" hidden="1" x14ac:dyDescent="0.3">
      <c r="B5963" t="s">
        <v>1077</v>
      </c>
      <c r="C5963" t="str">
        <f>INDEX(nse!D:D,MATCH(B5963,nse!B:B,0))</f>
        <v>EQ</v>
      </c>
      <c r="D5963" t="str">
        <f>INDEX(nse!C:C,MATCH(B5963,nse!B:B,0))</f>
        <v>SPL Industries Limited</v>
      </c>
    </row>
    <row r="5964" spans="2:4" hidden="1" x14ac:dyDescent="0.3">
      <c r="B5964" t="s">
        <v>1078</v>
      </c>
      <c r="C5964" t="str">
        <f>INDEX(nse!D:D,MATCH(B5964,nse!B:B,0))</f>
        <v>BE</v>
      </c>
      <c r="D5964" t="str">
        <f>INDEX(nse!C:C,MATCH(B5964,nse!B:B,0))</f>
        <v>SPML Infra Limited</v>
      </c>
    </row>
    <row r="5965" spans="2:4" hidden="1" x14ac:dyDescent="0.3">
      <c r="B5965" t="s">
        <v>1079</v>
      </c>
      <c r="C5965" t="str">
        <f>INDEX(nse!D:D,MATCH(B5965,nse!B:B,0))</f>
        <v>EQ</v>
      </c>
      <c r="D5965" t="str">
        <f>INDEX(nse!C:C,MATCH(B5965,nse!B:B,0))</f>
        <v>Shekhawati Poly-Yarn Limited</v>
      </c>
    </row>
    <row r="5966" spans="2:4" hidden="1" x14ac:dyDescent="0.3">
      <c r="B5966" t="s">
        <v>4426</v>
      </c>
      <c r="C5966" t="str">
        <f>INDEX(nse!D:D,MATCH(B5966,nse!B:B,0))</f>
        <v>EQ</v>
      </c>
      <c r="D5966" t="str">
        <f>INDEX(nse!C:C,MATCH(B5966,nse!B:B,0))</f>
        <v>SQS India BFSI Limited</v>
      </c>
    </row>
    <row r="5967" spans="2:4" hidden="1" x14ac:dyDescent="0.3">
      <c r="B5967" t="s">
        <v>1335</v>
      </c>
      <c r="C5967" t="str">
        <f>INDEX(nse!D:D,MATCH(B5967,nse!B:B,0))</f>
        <v>EQ</v>
      </c>
      <c r="D5967" t="str">
        <f>INDEX(nse!C:C,MATCH(B5967,nse!B:B,0))</f>
        <v>Sreeleathers Limited</v>
      </c>
    </row>
    <row r="5968" spans="2:4" hidden="1" x14ac:dyDescent="0.3">
      <c r="B5968" t="s">
        <v>1080</v>
      </c>
      <c r="C5968" t="str">
        <f>INDEX(nse!D:D,MATCH(B5968,nse!B:B,0))</f>
        <v>EQ</v>
      </c>
      <c r="D5968" t="str">
        <f>INDEX(nse!C:C,MATCH(B5968,nse!B:B,0))</f>
        <v>SREI Infrastructure Finance Limited</v>
      </c>
    </row>
    <row r="5969" spans="2:4" hidden="1" x14ac:dyDescent="0.3">
      <c r="B5969" t="s">
        <v>1081</v>
      </c>
      <c r="C5969" t="str">
        <f>INDEX(nse!D:D,MATCH(B5969,nse!B:B,0))</f>
        <v>EQ</v>
      </c>
      <c r="D5969" t="str">
        <f>INDEX(nse!C:C,MATCH(B5969,nse!B:B,0))</f>
        <v>SRF Limited</v>
      </c>
    </row>
    <row r="5970" spans="2:4" hidden="1" x14ac:dyDescent="0.3">
      <c r="B5970" t="s">
        <v>1082</v>
      </c>
      <c r="C5970" t="str">
        <f>INDEX(nse!D:D,MATCH(B5970,nse!B:B,0))</f>
        <v>BE</v>
      </c>
      <c r="D5970" t="str">
        <f>INDEX(nse!C:C,MATCH(B5970,nse!B:B,0))</f>
        <v>SRG Infotec (India) Limited</v>
      </c>
    </row>
    <row r="5971" spans="2:4" hidden="1" x14ac:dyDescent="0.3">
      <c r="B5971" t="s">
        <v>1083</v>
      </c>
      <c r="C5971" t="str">
        <f>INDEX(nse!D:D,MATCH(B5971,nse!B:B,0))</f>
        <v>EQ</v>
      </c>
      <c r="D5971" t="str">
        <f>INDEX(nse!C:C,MATCH(B5971,nse!B:B,0))</f>
        <v>Sree Rayalaseema Hi-Strength Hypo Limited</v>
      </c>
    </row>
    <row r="5972" spans="2:4" hidden="1" x14ac:dyDescent="0.3">
      <c r="B5972" t="s">
        <v>4434</v>
      </c>
      <c r="C5972" t="str">
        <f>INDEX(nse!D:D,MATCH(B5972,nse!B:B,0))</f>
        <v>EQ</v>
      </c>
      <c r="D5972" t="str">
        <f>INDEX(nse!C:C,MATCH(B5972,nse!B:B,0))</f>
        <v>Srikalahasthi Pipes Limited</v>
      </c>
    </row>
    <row r="5973" spans="2:4" hidden="1" x14ac:dyDescent="0.3">
      <c r="B5973" t="s">
        <v>109</v>
      </c>
      <c r="C5973" t="str">
        <f>INDEX(nse!D:D,MATCH(B5973,nse!B:B,0))</f>
        <v>EQ</v>
      </c>
      <c r="D5973" t="str">
        <f>INDEX(nse!C:C,MATCH(B5973,nse!B:B,0))</f>
        <v>SRS Limited</v>
      </c>
    </row>
    <row r="5974" spans="2:4" hidden="1" x14ac:dyDescent="0.3">
      <c r="B5974" t="s">
        <v>1084</v>
      </c>
      <c r="C5974" t="str">
        <f>INDEX(nse!D:D,MATCH(B5974,nse!B:B,0))</f>
        <v>EQ</v>
      </c>
      <c r="D5974" t="str">
        <f>INDEX(nse!C:C,MATCH(B5974,nse!B:B,0))</f>
        <v>Shriram Transport Finance Company Limited</v>
      </c>
    </row>
    <row r="5975" spans="2:4" hidden="1" x14ac:dyDescent="0.3">
      <c r="B5975" t="s">
        <v>1085</v>
      </c>
      <c r="C5975" t="str">
        <f>INDEX(nse!D:D,MATCH(B5975,nse!B:B,0))</f>
        <v>EQ</v>
      </c>
      <c r="D5975" t="str">
        <f>INDEX(nse!C:C,MATCH(B5975,nse!B:B,0))</f>
        <v>Steel Strips Wheels Limited</v>
      </c>
    </row>
    <row r="5976" spans="2:4" hidden="1" x14ac:dyDescent="0.3">
      <c r="B5976" t="s">
        <v>4440</v>
      </c>
      <c r="C5976" t="str">
        <f>INDEX(nse!D:D,MATCH(B5976,nse!B:B,0))</f>
        <v>EQ</v>
      </c>
      <c r="D5976" t="str">
        <f>INDEX(nse!C:C,MATCH(B5976,nse!B:B,0))</f>
        <v>Stampede Capital Limited</v>
      </c>
    </row>
    <row r="5977" spans="2:4" hidden="1" x14ac:dyDescent="0.3">
      <c r="B5977" t="s">
        <v>94</v>
      </c>
      <c r="C5977" t="str">
        <f>INDEX(nse!D:D,MATCH(B5977,nse!B:B,0))</f>
        <v>EQ</v>
      </c>
      <c r="D5977" t="str">
        <f>INDEX(nse!C:C,MATCH(B5977,nse!B:B,0))</f>
        <v>Strides Shasun Limited</v>
      </c>
    </row>
    <row r="5978" spans="2:4" hidden="1" x14ac:dyDescent="0.3">
      <c r="B5978" t="s">
        <v>1086</v>
      </c>
      <c r="C5978" t="str">
        <f>INDEX(nse!D:D,MATCH(B5978,nse!B:B,0))</f>
        <v>EQ</v>
      </c>
      <c r="D5978" t="str">
        <f>INDEX(nse!C:C,MATCH(B5978,nse!B:B,0))</f>
        <v>Star Paper Mills Limited</v>
      </c>
    </row>
    <row r="5979" spans="2:4" hidden="1" x14ac:dyDescent="0.3">
      <c r="B5979" t="s">
        <v>1087</v>
      </c>
      <c r="C5979" t="str">
        <f>INDEX(nse!D:D,MATCH(B5979,nse!B:B,0))</f>
        <v>EQ</v>
      </c>
      <c r="D5979" t="str">
        <f>INDEX(nse!C:C,MATCH(B5979,nse!B:B,0))</f>
        <v>The State Trading Corporation of India Limited</v>
      </c>
    </row>
    <row r="5980" spans="2:4" hidden="1" x14ac:dyDescent="0.3">
      <c r="B5980" t="s">
        <v>1088</v>
      </c>
      <c r="C5980" t="str">
        <f>INDEX(nse!D:D,MATCH(B5980,nse!B:B,0))</f>
        <v>EQ</v>
      </c>
      <c r="D5980" t="str">
        <f>INDEX(nse!C:C,MATCH(B5980,nse!B:B,0))</f>
        <v>Stel Holdings Limited</v>
      </c>
    </row>
    <row r="5981" spans="2:4" hidden="1" x14ac:dyDescent="0.3">
      <c r="B5981" t="s">
        <v>1089</v>
      </c>
      <c r="C5981" t="str">
        <f>INDEX(nse!D:D,MATCH(B5981,nse!B:B,0))</f>
        <v>EQ</v>
      </c>
      <c r="D5981" t="str">
        <f>INDEX(nse!C:C,MATCH(B5981,nse!B:B,0))</f>
        <v>Sterling Biotech Limited</v>
      </c>
    </row>
    <row r="5982" spans="2:4" hidden="1" x14ac:dyDescent="0.3">
      <c r="B5982" t="s">
        <v>1090</v>
      </c>
      <c r="C5982" t="str">
        <f>INDEX(nse!D:D,MATCH(B5982,nse!B:B,0))</f>
        <v>EQ</v>
      </c>
      <c r="D5982" t="str">
        <f>INDEX(nse!C:C,MATCH(B5982,nse!B:B,0))</f>
        <v>Sterling Tools Limited</v>
      </c>
    </row>
    <row r="5983" spans="2:4" hidden="1" x14ac:dyDescent="0.3">
      <c r="B5983" t="s">
        <v>1091</v>
      </c>
      <c r="C5983" t="str">
        <f>INDEX(nse!D:D,MATCH(B5983,nse!B:B,0))</f>
        <v>EQ</v>
      </c>
      <c r="D5983" t="str">
        <f>INDEX(nse!C:C,MATCH(B5983,nse!B:B,0))</f>
        <v>STI India Limited</v>
      </c>
    </row>
    <row r="5984" spans="2:4" hidden="1" x14ac:dyDescent="0.3">
      <c r="B5984" t="s">
        <v>1092</v>
      </c>
      <c r="C5984" t="str">
        <f>INDEX(nse!D:D,MATCH(B5984,nse!B:B,0))</f>
        <v>EQ</v>
      </c>
      <c r="D5984" t="str">
        <f>INDEX(nse!C:C,MATCH(B5984,nse!B:B,0))</f>
        <v>Sterlite Technologies Limited</v>
      </c>
    </row>
    <row r="5985" spans="2:4" hidden="1" x14ac:dyDescent="0.3">
      <c r="B5985" t="s">
        <v>1093</v>
      </c>
      <c r="C5985" t="str">
        <f>INDEX(nse!D:D,MATCH(B5985,nse!B:B,0))</f>
        <v>EQ</v>
      </c>
      <c r="D5985" t="str">
        <f>INDEX(nse!C:C,MATCH(B5985,nse!B:B,0))</f>
        <v>Subex Limited</v>
      </c>
    </row>
    <row r="5986" spans="2:4" hidden="1" x14ac:dyDescent="0.3">
      <c r="B5986" t="s">
        <v>1094</v>
      </c>
      <c r="C5986" t="str">
        <f>INDEX(nse!D:D,MATCH(B5986,nse!B:B,0))</f>
        <v>EQ</v>
      </c>
      <c r="D5986" t="str">
        <f>INDEX(nse!C:C,MATCH(B5986,nse!B:B,0))</f>
        <v>Subros Limited</v>
      </c>
    </row>
    <row r="5987" spans="2:4" hidden="1" x14ac:dyDescent="0.3">
      <c r="B5987" t="s">
        <v>1095</v>
      </c>
      <c r="C5987" t="str">
        <f>INDEX(nse!D:D,MATCH(B5987,nse!B:B,0))</f>
        <v>EQ</v>
      </c>
      <c r="D5987" t="str">
        <f>INDEX(nse!C:C,MATCH(B5987,nse!B:B,0))</f>
        <v>Sudarshan Chemical Industries Limited</v>
      </c>
    </row>
    <row r="5988" spans="2:4" hidden="1" x14ac:dyDescent="0.3">
      <c r="B5988" t="s">
        <v>1096</v>
      </c>
      <c r="C5988" t="str">
        <f>INDEX(nse!D:D,MATCH(B5988,nse!B:B,0))</f>
        <v>EQ</v>
      </c>
      <c r="D5988" t="str">
        <f>INDEX(nse!C:C,MATCH(B5988,nse!B:B,0))</f>
        <v>Sujana Universal Industries Limited</v>
      </c>
    </row>
    <row r="5989" spans="2:4" hidden="1" x14ac:dyDescent="0.3">
      <c r="B5989" t="s">
        <v>1097</v>
      </c>
      <c r="C5989" t="str">
        <f>INDEX(nse!D:D,MATCH(B5989,nse!B:B,0))</f>
        <v>EQ</v>
      </c>
      <c r="D5989" t="str">
        <f>INDEX(nse!C:C,MATCH(B5989,nse!B:B,0))</f>
        <v>Sumeet Industries Limited</v>
      </c>
    </row>
    <row r="5990" spans="2:4" hidden="1" x14ac:dyDescent="0.3">
      <c r="B5990" t="s">
        <v>1098</v>
      </c>
      <c r="C5990" t="str">
        <f>INDEX(nse!D:D,MATCH(B5990,nse!B:B,0))</f>
        <v>EQ</v>
      </c>
      <c r="D5990" t="str">
        <f>INDEX(nse!C:C,MATCH(B5990,nse!B:B,0))</f>
        <v>Summit Securities Limited</v>
      </c>
    </row>
    <row r="5991" spans="2:4" hidden="1" x14ac:dyDescent="0.3">
      <c r="B5991" t="s">
        <v>1099</v>
      </c>
      <c r="C5991" t="str">
        <f>INDEX(nse!D:D,MATCH(B5991,nse!B:B,0))</f>
        <v>EQ</v>
      </c>
      <c r="D5991" t="str">
        <f>INDEX(nse!C:C,MATCH(B5991,nse!B:B,0))</f>
        <v>Sundaram Clayton Limited</v>
      </c>
    </row>
    <row r="5992" spans="2:4" hidden="1" x14ac:dyDescent="0.3">
      <c r="B5992" t="s">
        <v>1100</v>
      </c>
      <c r="C5992" t="str">
        <f>INDEX(nse!D:D,MATCH(B5992,nse!B:B,0))</f>
        <v>EQ</v>
      </c>
      <c r="D5992" t="str">
        <f>INDEX(nse!C:C,MATCH(B5992,nse!B:B,0))</f>
        <v>Sundaram Multi Pap Limited</v>
      </c>
    </row>
    <row r="5993" spans="2:4" hidden="1" x14ac:dyDescent="0.3">
      <c r="B5993" t="s">
        <v>1101</v>
      </c>
      <c r="C5993" t="str">
        <f>INDEX(nse!D:D,MATCH(B5993,nse!B:B,0))</f>
        <v>EQ</v>
      </c>
      <c r="D5993" t="str">
        <f>INDEX(nse!C:C,MATCH(B5993,nse!B:B,0))</f>
        <v>Sundaram Finance Limited</v>
      </c>
    </row>
    <row r="5994" spans="2:4" hidden="1" x14ac:dyDescent="0.3">
      <c r="B5994" t="s">
        <v>1102</v>
      </c>
      <c r="C5994" t="str">
        <f>INDEX(nse!D:D,MATCH(B5994,nse!B:B,0))</f>
        <v>EQ</v>
      </c>
      <c r="D5994" t="str">
        <f>INDEX(nse!C:C,MATCH(B5994,nse!B:B,0))</f>
        <v>Sundaram Brake Linings Limited</v>
      </c>
    </row>
    <row r="5995" spans="2:4" hidden="1" x14ac:dyDescent="0.3">
      <c r="B5995" t="s">
        <v>1103</v>
      </c>
      <c r="C5995" t="str">
        <f>INDEX(nse!D:D,MATCH(B5995,nse!B:B,0))</f>
        <v>EQ</v>
      </c>
      <c r="D5995" t="str">
        <f>INDEX(nse!C:C,MATCH(B5995,nse!B:B,0))</f>
        <v>Sundram Fasteners Limited</v>
      </c>
    </row>
    <row r="5996" spans="2:4" hidden="1" x14ac:dyDescent="0.3">
      <c r="B5996" t="s">
        <v>1104</v>
      </c>
      <c r="C5996" t="str">
        <f>INDEX(nse!D:D,MATCH(B5996,nse!B:B,0))</f>
        <v>EQ</v>
      </c>
      <c r="D5996" t="str">
        <f>INDEX(nse!C:C,MATCH(B5996,nse!B:B,0))</f>
        <v>Sunflag Iron And Steel Company Limited</v>
      </c>
    </row>
    <row r="5997" spans="2:4" hidden="1" x14ac:dyDescent="0.3">
      <c r="B5997" t="s">
        <v>1105</v>
      </c>
      <c r="C5997" t="str">
        <f>INDEX(nse!D:D,MATCH(B5997,nse!B:B,0))</f>
        <v>EQ</v>
      </c>
      <c r="D5997" t="str">
        <f>INDEX(nse!C:C,MATCH(B5997,nse!B:B,0))</f>
        <v>Sunil Hitech Engineers Limited</v>
      </c>
    </row>
    <row r="5998" spans="2:4" hidden="1" x14ac:dyDescent="0.3">
      <c r="B5998" t="s">
        <v>1106</v>
      </c>
      <c r="C5998" t="str">
        <f>INDEX(nse!D:D,MATCH(B5998,nse!B:B,0))</f>
        <v>EQ</v>
      </c>
      <c r="D5998" t="str">
        <f>INDEX(nse!C:C,MATCH(B5998,nse!B:B,0))</f>
        <v>Sun Pharmaceutical Industries Limited</v>
      </c>
    </row>
    <row r="5999" spans="2:4" hidden="1" x14ac:dyDescent="0.3">
      <c r="B5999" t="s">
        <v>1107</v>
      </c>
      <c r="C5999" t="str">
        <f>INDEX(nse!D:D,MATCH(B5999,nse!B:B,0))</f>
        <v>EQ</v>
      </c>
      <c r="D5999" t="str">
        <f>INDEX(nse!C:C,MATCH(B5999,nse!B:B,0))</f>
        <v>Sunteck Realty Limited</v>
      </c>
    </row>
    <row r="6000" spans="2:4" hidden="1" x14ac:dyDescent="0.3">
      <c r="B6000" t="s">
        <v>27</v>
      </c>
      <c r="C6000" t="str">
        <f>INDEX(nse!D:D,MATCH(B6000,nse!B:B,0))</f>
        <v>EQ</v>
      </c>
      <c r="D6000" t="str">
        <f>INDEX(nse!C:C,MATCH(B6000,nse!B:B,0))</f>
        <v>Sun TV Network Limited</v>
      </c>
    </row>
    <row r="6001" spans="2:4" hidden="1" x14ac:dyDescent="0.3">
      <c r="B6001" t="s">
        <v>1108</v>
      </c>
      <c r="C6001" t="str">
        <f>INDEX(nse!D:D,MATCH(B6001,nse!B:B,0))</f>
        <v>EQ</v>
      </c>
      <c r="D6001" t="str">
        <f>INDEX(nse!C:C,MATCH(B6001,nse!B:B,0))</f>
        <v>Superhouse Limited</v>
      </c>
    </row>
    <row r="6002" spans="2:4" hidden="1" x14ac:dyDescent="0.3">
      <c r="B6002" t="s">
        <v>1109</v>
      </c>
      <c r="C6002" t="str">
        <f>INDEX(nse!D:D,MATCH(B6002,nse!B:B,0))</f>
        <v>EQ</v>
      </c>
      <c r="D6002" t="str">
        <f>INDEX(nse!C:C,MATCH(B6002,nse!B:B,0))</f>
        <v>Super Spinning Mills Limited</v>
      </c>
    </row>
    <row r="6003" spans="2:4" hidden="1" x14ac:dyDescent="0.3">
      <c r="B6003" t="s">
        <v>1110</v>
      </c>
      <c r="C6003" t="str">
        <f>INDEX(nse!D:D,MATCH(B6003,nse!B:B,0))</f>
        <v>EQ</v>
      </c>
      <c r="D6003" t="str">
        <f>INDEX(nse!C:C,MATCH(B6003,nse!B:B,0))</f>
        <v>Supreme Petrochem Limited</v>
      </c>
    </row>
    <row r="6004" spans="2:4" hidden="1" x14ac:dyDescent="0.3">
      <c r="B6004" t="s">
        <v>116</v>
      </c>
      <c r="C6004" t="str">
        <f>INDEX(nse!D:D,MATCH(B6004,nse!B:B,0))</f>
        <v>EQ</v>
      </c>
      <c r="D6004" t="str">
        <f>INDEX(nse!C:C,MATCH(B6004,nse!B:B,0))</f>
        <v>Suprajit Engineering Limited</v>
      </c>
    </row>
    <row r="6005" spans="2:4" hidden="1" x14ac:dyDescent="0.3">
      <c r="B6005" t="s">
        <v>1111</v>
      </c>
      <c r="C6005" t="str">
        <f>INDEX(nse!D:D,MATCH(B6005,nse!B:B,0))</f>
        <v>EQ</v>
      </c>
      <c r="D6005" t="str">
        <f>INDEX(nse!C:C,MATCH(B6005,nse!B:B,0))</f>
        <v>Supreme Industries Limited</v>
      </c>
    </row>
    <row r="6006" spans="2:4" hidden="1" x14ac:dyDescent="0.3">
      <c r="B6006" t="s">
        <v>1112</v>
      </c>
      <c r="C6006" t="str">
        <f>INDEX(nse!D:D,MATCH(B6006,nse!B:B,0))</f>
        <v>EQ</v>
      </c>
      <c r="D6006" t="str">
        <f>INDEX(nse!C:C,MATCH(B6006,nse!B:B,0))</f>
        <v>Supreme Infrastructure India Limited</v>
      </c>
    </row>
    <row r="6007" spans="2:4" hidden="1" x14ac:dyDescent="0.3">
      <c r="B6007" t="s">
        <v>1113</v>
      </c>
      <c r="C6007" t="str">
        <f>INDEX(nse!D:D,MATCH(B6007,nse!B:B,0))</f>
        <v>EQ</v>
      </c>
      <c r="D6007" t="str">
        <f>INDEX(nse!C:C,MATCH(B6007,nse!B:B,0))</f>
        <v>Supreme Tex Mart Limited</v>
      </c>
    </row>
    <row r="6008" spans="2:4" hidden="1" x14ac:dyDescent="0.3">
      <c r="B6008" t="s">
        <v>1114</v>
      </c>
      <c r="C6008" t="str">
        <f>INDEX(nse!D:D,MATCH(B6008,nse!B:B,0))</f>
        <v>EQ</v>
      </c>
      <c r="D6008" t="str">
        <f>INDEX(nse!C:C,MATCH(B6008,nse!B:B,0))</f>
        <v>Surana Corporation Limited</v>
      </c>
    </row>
    <row r="6009" spans="2:4" hidden="1" x14ac:dyDescent="0.3">
      <c r="B6009" t="s">
        <v>1115</v>
      </c>
      <c r="C6009" t="str">
        <f>INDEX(nse!D:D,MATCH(B6009,nse!B:B,0))</f>
        <v>BE</v>
      </c>
      <c r="D6009" t="str">
        <f>INDEX(nse!C:C,MATCH(B6009,nse!B:B,0))</f>
        <v>Surana Industries Limited</v>
      </c>
    </row>
    <row r="6010" spans="2:4" hidden="1" x14ac:dyDescent="0.3">
      <c r="B6010" t="s">
        <v>1116</v>
      </c>
      <c r="C6010" t="str">
        <f>INDEX(nse!D:D,MATCH(B6010,nse!B:B,0))</f>
        <v>EQ</v>
      </c>
      <c r="D6010" t="str">
        <f>INDEX(nse!C:C,MATCH(B6010,nse!B:B,0))</f>
        <v>Surana Solar Limited</v>
      </c>
    </row>
    <row r="6011" spans="2:4" hidden="1" x14ac:dyDescent="0.3">
      <c r="B6011" t="s">
        <v>1117</v>
      </c>
      <c r="C6011" t="str">
        <f>INDEX(nse!D:D,MATCH(B6011,nse!B:B,0))</f>
        <v>EQ</v>
      </c>
      <c r="D6011" t="str">
        <f>INDEX(nse!C:C,MATCH(B6011,nse!B:B,0))</f>
        <v>Surana Telecom and Power Limited</v>
      </c>
    </row>
    <row r="6012" spans="2:4" hidden="1" x14ac:dyDescent="0.3">
      <c r="B6012" t="s">
        <v>1118</v>
      </c>
      <c r="C6012" t="str">
        <f>INDEX(nse!D:D,MATCH(B6012,nse!B:B,0))</f>
        <v>EQ</v>
      </c>
      <c r="D6012" t="str">
        <f>INDEX(nse!C:C,MATCH(B6012,nse!B:B,0))</f>
        <v>Suryalakshmi Cotton Mills Limited</v>
      </c>
    </row>
    <row r="6013" spans="2:4" hidden="1" x14ac:dyDescent="0.3">
      <c r="B6013" t="s">
        <v>1119</v>
      </c>
      <c r="C6013" t="str">
        <f>INDEX(nse!D:D,MATCH(B6013,nse!B:B,0))</f>
        <v>EQ</v>
      </c>
      <c r="D6013" t="str">
        <f>INDEX(nse!C:C,MATCH(B6013,nse!B:B,0))</f>
        <v>Surya Roshni Limited</v>
      </c>
    </row>
    <row r="6014" spans="2:4" hidden="1" x14ac:dyDescent="0.3">
      <c r="B6014" t="s">
        <v>1120</v>
      </c>
      <c r="C6014" t="str">
        <f>INDEX(nse!D:D,MATCH(B6014,nse!B:B,0))</f>
        <v>EQ</v>
      </c>
      <c r="D6014" t="str">
        <f>INDEX(nse!C:C,MATCH(B6014,nse!B:B,0))</f>
        <v>Sutlej Textiles and Industries Limited</v>
      </c>
    </row>
    <row r="6015" spans="2:4" hidden="1" x14ac:dyDescent="0.3">
      <c r="B6015" t="s">
        <v>1121</v>
      </c>
      <c r="C6015" t="str">
        <f>INDEX(nse!D:D,MATCH(B6015,nse!B:B,0))</f>
        <v>EQ</v>
      </c>
      <c r="D6015" t="str">
        <f>INDEX(nse!C:C,MATCH(B6015,nse!B:B,0))</f>
        <v>Suven Life Sciences Limited</v>
      </c>
    </row>
    <row r="6016" spans="2:4" hidden="1" x14ac:dyDescent="0.3">
      <c r="B6016" t="s">
        <v>1122</v>
      </c>
      <c r="C6016" t="str">
        <f>INDEX(nse!D:D,MATCH(B6016,nse!B:B,0))</f>
        <v>EQ</v>
      </c>
      <c r="D6016" t="str">
        <f>INDEX(nse!C:C,MATCH(B6016,nse!B:B,0))</f>
        <v>Suzlon Energy Limited</v>
      </c>
    </row>
    <row r="6017" spans="2:4" hidden="1" x14ac:dyDescent="0.3">
      <c r="B6017" t="s">
        <v>1123</v>
      </c>
      <c r="C6017" t="str">
        <f>INDEX(nse!D:D,MATCH(B6017,nse!B:B,0))</f>
        <v>EQ</v>
      </c>
      <c r="D6017" t="str">
        <f>INDEX(nse!C:C,MATCH(B6017,nse!B:B,0))</f>
        <v>Swan Energy Limited</v>
      </c>
    </row>
    <row r="6018" spans="2:4" hidden="1" x14ac:dyDescent="0.3">
      <c r="B6018" t="s">
        <v>1124</v>
      </c>
      <c r="C6018" t="str">
        <f>INDEX(nse!D:D,MATCH(B6018,nse!B:B,0))</f>
        <v>EQ</v>
      </c>
      <c r="D6018" t="str">
        <f>INDEX(nse!C:C,MATCH(B6018,nse!B:B,0))</f>
        <v>Swaraj Engines Limited</v>
      </c>
    </row>
    <row r="6019" spans="2:4" hidden="1" x14ac:dyDescent="0.3">
      <c r="B6019" t="s">
        <v>1125</v>
      </c>
      <c r="C6019" t="str">
        <f>INDEX(nse!D:D,MATCH(B6019,nse!B:B,0))</f>
        <v>EQ</v>
      </c>
      <c r="D6019" t="str">
        <f>INDEX(nse!C:C,MATCH(B6019,nse!B:B,0))</f>
        <v>Swelect Energy Systems Limited</v>
      </c>
    </row>
    <row r="6020" spans="2:4" hidden="1" x14ac:dyDescent="0.3">
      <c r="B6020" t="s">
        <v>1126</v>
      </c>
      <c r="C6020" t="str">
        <f>INDEX(nse!D:D,MATCH(B6020,nse!B:B,0))</f>
        <v>EQ</v>
      </c>
      <c r="D6020" t="str">
        <f>INDEX(nse!C:C,MATCH(B6020,nse!B:B,0))</f>
        <v>Symphony Limited</v>
      </c>
    </row>
    <row r="6021" spans="2:4" hidden="1" x14ac:dyDescent="0.3">
      <c r="B6021" t="s">
        <v>1127</v>
      </c>
      <c r="C6021" t="str">
        <f>INDEX(nse!D:D,MATCH(B6021,nse!B:B,0))</f>
        <v>EQ</v>
      </c>
      <c r="D6021" t="str">
        <f>INDEX(nse!C:C,MATCH(B6021,nse!B:B,0))</f>
        <v>Syncom Healthcare Limited</v>
      </c>
    </row>
    <row r="6022" spans="2:4" hidden="1" x14ac:dyDescent="0.3">
      <c r="B6022" t="s">
        <v>95</v>
      </c>
      <c r="C6022" t="str">
        <f>INDEX(nse!D:D,MATCH(B6022,nse!B:B,0))</f>
        <v>EQ</v>
      </c>
      <c r="D6022" t="str">
        <f>INDEX(nse!C:C,MATCH(B6022,nse!B:B,0))</f>
        <v>Syndicate Bank</v>
      </c>
    </row>
    <row r="6023" spans="2:4" hidden="1" x14ac:dyDescent="0.3">
      <c r="B6023" t="s">
        <v>4492</v>
      </c>
      <c r="C6023" t="str">
        <f>INDEX(nse!D:D,MATCH(B6023,nse!B:B,0))</f>
        <v>EQ</v>
      </c>
      <c r="D6023" t="str">
        <f>INDEX(nse!C:C,MATCH(B6023,nse!B:B,0))</f>
        <v>Syngene International Limited</v>
      </c>
    </row>
    <row r="6024" spans="2:4" hidden="1" x14ac:dyDescent="0.3">
      <c r="B6024" t="s">
        <v>1128</v>
      </c>
      <c r="C6024" t="str">
        <f>INDEX(nse!D:D,MATCH(B6024,nse!B:B,0))</f>
        <v>EQ</v>
      </c>
      <c r="D6024" t="str">
        <f>INDEX(nse!C:C,MATCH(B6024,nse!B:B,0))</f>
        <v>Tainwala Chemical and Plastic (I) Limited</v>
      </c>
    </row>
    <row r="6025" spans="2:4" hidden="1" x14ac:dyDescent="0.3">
      <c r="B6025" t="s">
        <v>1129</v>
      </c>
      <c r="C6025" t="str">
        <f>INDEX(nse!D:D,MATCH(B6025,nse!B:B,0))</f>
        <v>EQ</v>
      </c>
      <c r="D6025" t="str">
        <f>INDEX(nse!C:C,MATCH(B6025,nse!B:B,0))</f>
        <v>Taj GVK Hotels &amp; Resorts Limited</v>
      </c>
    </row>
    <row r="6026" spans="2:4" hidden="1" x14ac:dyDescent="0.3">
      <c r="B6026" t="s">
        <v>1130</v>
      </c>
      <c r="C6026" t="str">
        <f>INDEX(nse!D:D,MATCH(B6026,nse!B:B,0))</f>
        <v>EQ</v>
      </c>
      <c r="D6026" t="str">
        <f>INDEX(nse!C:C,MATCH(B6026,nse!B:B,0))</f>
        <v>Take Solutions Limited</v>
      </c>
    </row>
    <row r="6027" spans="2:4" hidden="1" x14ac:dyDescent="0.3">
      <c r="B6027" t="s">
        <v>1131</v>
      </c>
      <c r="C6027" t="str">
        <f>INDEX(nse!D:D,MATCH(B6027,nse!B:B,0))</f>
        <v>EQ</v>
      </c>
      <c r="D6027" t="str">
        <f>INDEX(nse!C:C,MATCH(B6027,nse!B:B,0))</f>
        <v>Talbros Automotive Components Limited</v>
      </c>
    </row>
    <row r="6028" spans="2:4" hidden="1" x14ac:dyDescent="0.3">
      <c r="B6028" t="s">
        <v>1132</v>
      </c>
      <c r="C6028" t="str">
        <f>INDEX(nse!D:D,MATCH(B6028,nse!B:B,0))</f>
        <v>EQ</v>
      </c>
      <c r="D6028" t="str">
        <f>INDEX(nse!C:C,MATCH(B6028,nse!B:B,0))</f>
        <v>Talwalkars Better Value Fitness Limited</v>
      </c>
    </row>
    <row r="6029" spans="2:4" hidden="1" x14ac:dyDescent="0.3">
      <c r="B6029" t="s">
        <v>1133</v>
      </c>
      <c r="C6029" t="str">
        <f>INDEX(nse!D:D,MATCH(B6029,nse!B:B,0))</f>
        <v>EQ</v>
      </c>
      <c r="D6029" t="str">
        <f>INDEX(nse!C:C,MATCH(B6029,nse!B:B,0))</f>
        <v>Tanla Solutions Limited</v>
      </c>
    </row>
    <row r="6030" spans="2:4" hidden="1" x14ac:dyDescent="0.3">
      <c r="B6030" t="s">
        <v>1134</v>
      </c>
      <c r="C6030" t="str">
        <f>INDEX(nse!D:D,MATCH(B6030,nse!B:B,0))</f>
        <v>BE</v>
      </c>
      <c r="D6030" t="str">
        <f>INDEX(nse!C:C,MATCH(B6030,nse!B:B,0))</f>
        <v>Tantia Constructions Limited</v>
      </c>
    </row>
    <row r="6031" spans="2:4" hidden="1" x14ac:dyDescent="0.3">
      <c r="B6031" t="s">
        <v>1135</v>
      </c>
      <c r="C6031" t="str">
        <f>INDEX(nse!D:D,MATCH(B6031,nse!B:B,0))</f>
        <v>EQ</v>
      </c>
      <c r="D6031" t="str">
        <f>INDEX(nse!C:C,MATCH(B6031,nse!B:B,0))</f>
        <v>Tara Jewels Limited</v>
      </c>
    </row>
    <row r="6032" spans="2:4" hidden="1" x14ac:dyDescent="0.3">
      <c r="B6032" t="s">
        <v>1136</v>
      </c>
      <c r="C6032" t="str">
        <f>INDEX(nse!D:D,MATCH(B6032,nse!B:B,0))</f>
        <v>BE</v>
      </c>
      <c r="D6032" t="str">
        <f>INDEX(nse!C:C,MATCH(B6032,nse!B:B,0))</f>
        <v>Tarapur Transformers Limited</v>
      </c>
    </row>
    <row r="6033" spans="2:4" hidden="1" x14ac:dyDescent="0.3">
      <c r="B6033" t="s">
        <v>1137</v>
      </c>
      <c r="C6033" t="str">
        <f>INDEX(nse!D:D,MATCH(B6033,nse!B:B,0))</f>
        <v>BE</v>
      </c>
      <c r="D6033" t="str">
        <f>INDEX(nse!C:C,MATCH(B6033,nse!B:B,0))</f>
        <v>Tarmat Limited</v>
      </c>
    </row>
    <row r="6034" spans="2:4" hidden="1" x14ac:dyDescent="0.3">
      <c r="B6034" t="s">
        <v>4505</v>
      </c>
      <c r="C6034" t="str">
        <f>INDEX(nse!D:D,MATCH(B6034,nse!B:B,0))</f>
        <v>EQ</v>
      </c>
      <c r="D6034" t="str">
        <f>INDEX(nse!C:C,MATCH(B6034,nse!B:B,0))</f>
        <v>Tasty Bite Eatables Limited</v>
      </c>
    </row>
    <row r="6035" spans="2:4" hidden="1" x14ac:dyDescent="0.3">
      <c r="B6035" t="s">
        <v>97</v>
      </c>
      <c r="C6035" t="str">
        <f>INDEX(nse!D:D,MATCH(B6035,nse!B:B,0))</f>
        <v>EQ</v>
      </c>
      <c r="D6035" t="str">
        <f>INDEX(nse!C:C,MATCH(B6035,nse!B:B,0))</f>
        <v>Tata Chemicals Limited</v>
      </c>
    </row>
    <row r="6036" spans="2:4" hidden="1" x14ac:dyDescent="0.3">
      <c r="B6036" t="s">
        <v>97</v>
      </c>
      <c r="C6036" t="str">
        <f>INDEX(nse!D:D,MATCH(B6036,nse!B:B,0))</f>
        <v>EQ</v>
      </c>
      <c r="D6036" t="str">
        <f>INDEX(nse!C:C,MATCH(B6036,nse!B:B,0))</f>
        <v>Tata Chemicals Limited</v>
      </c>
    </row>
    <row r="6037" spans="2:4" hidden="1" x14ac:dyDescent="0.3">
      <c r="B6037" t="s">
        <v>1138</v>
      </c>
      <c r="C6037" t="str">
        <f>INDEX(nse!D:D,MATCH(B6037,nse!B:B,0))</f>
        <v>EQ</v>
      </c>
      <c r="D6037" t="str">
        <f>INDEX(nse!C:C,MATCH(B6037,nse!B:B,0))</f>
        <v>Tata Coffee Limited</v>
      </c>
    </row>
    <row r="6038" spans="2:4" hidden="1" x14ac:dyDescent="0.3">
      <c r="B6038" t="s">
        <v>98</v>
      </c>
      <c r="C6038" t="str">
        <f>INDEX(nse!D:D,MATCH(B6038,nse!B:B,0))</f>
        <v>EQ</v>
      </c>
      <c r="D6038" t="str">
        <f>INDEX(nse!C:C,MATCH(B6038,nse!B:B,0))</f>
        <v>Tata Communications Limited</v>
      </c>
    </row>
    <row r="6039" spans="2:4" hidden="1" x14ac:dyDescent="0.3">
      <c r="B6039" t="s">
        <v>1139</v>
      </c>
      <c r="C6039" t="str">
        <f>INDEX(nse!D:D,MATCH(B6039,nse!B:B,0))</f>
        <v>EQ</v>
      </c>
      <c r="D6039" t="str">
        <f>INDEX(nse!C:C,MATCH(B6039,nse!B:B,0))</f>
        <v>Tata Elxsi Limited</v>
      </c>
    </row>
    <row r="6040" spans="2:4" hidden="1" x14ac:dyDescent="0.3">
      <c r="B6040" t="s">
        <v>99</v>
      </c>
      <c r="C6040" t="str">
        <f>INDEX(nse!D:D,MATCH(B6040,nse!B:B,0))</f>
        <v>EQ</v>
      </c>
      <c r="D6040" t="str">
        <f>INDEX(nse!C:C,MATCH(B6040,nse!B:B,0))</f>
        <v>Tata Global Beverages Limited</v>
      </c>
    </row>
    <row r="6041" spans="2:4" hidden="1" x14ac:dyDescent="0.3">
      <c r="B6041" t="s">
        <v>1140</v>
      </c>
      <c r="C6041" t="str">
        <f>INDEX(nse!D:D,MATCH(B6041,nse!B:B,0))</f>
        <v>EQ</v>
      </c>
      <c r="D6041" t="str">
        <f>INDEX(nse!C:C,MATCH(B6041,nse!B:B,0))</f>
        <v>Tata Investment Corporation Limited</v>
      </c>
    </row>
    <row r="6042" spans="2:4" hidden="1" x14ac:dyDescent="0.3">
      <c r="B6042" t="s">
        <v>1141</v>
      </c>
      <c r="C6042" t="str">
        <f>INDEX(nse!D:D,MATCH(B6042,nse!B:B,0))</f>
        <v>EQ</v>
      </c>
      <c r="D6042" t="str">
        <f>INDEX(nse!C:C,MATCH(B6042,nse!B:B,0))</f>
        <v>Tata Metaliks Limited</v>
      </c>
    </row>
    <row r="6043" spans="2:4" hidden="1" x14ac:dyDescent="0.3">
      <c r="B6043" t="s">
        <v>1142</v>
      </c>
      <c r="C6043" t="str">
        <f>INDEX(nse!D:D,MATCH(B6043,nse!B:B,0))</f>
        <v>EQ</v>
      </c>
      <c r="D6043" t="str">
        <f>INDEX(nse!C:C,MATCH(B6043,nse!B:B,0))</f>
        <v>Tata Motors Limited</v>
      </c>
    </row>
    <row r="6044" spans="2:4" hidden="1" x14ac:dyDescent="0.3">
      <c r="B6044" t="s">
        <v>4517</v>
      </c>
      <c r="C6044" t="str">
        <f>INDEX(nse!D:D,MATCH(B6044,nse!B:B,0))</f>
        <v>EQ</v>
      </c>
      <c r="D6044" t="str">
        <f>INDEX(nse!C:C,MATCH(B6044,nse!B:B,0))</f>
        <v>Tata Motors Limited</v>
      </c>
    </row>
    <row r="6045" spans="2:4" hidden="1" x14ac:dyDescent="0.3">
      <c r="B6045" t="s">
        <v>1143</v>
      </c>
      <c r="C6045" t="str">
        <f>INDEX(nse!D:D,MATCH(B6045,nse!B:B,0))</f>
        <v>EQ</v>
      </c>
      <c r="D6045" t="str">
        <f>INDEX(nse!C:C,MATCH(B6045,nse!B:B,0))</f>
        <v>Tata Power Company Limited</v>
      </c>
    </row>
    <row r="6046" spans="2:4" hidden="1" x14ac:dyDescent="0.3">
      <c r="B6046" t="s">
        <v>1144</v>
      </c>
      <c r="C6046" t="str">
        <f>INDEX(nse!D:D,MATCH(B6046,nse!B:B,0))</f>
        <v>EQ</v>
      </c>
      <c r="D6046" t="str">
        <f>INDEX(nse!C:C,MATCH(B6046,nse!B:B,0))</f>
        <v>Tata Sponge Iron Limited</v>
      </c>
    </row>
    <row r="6047" spans="2:4" hidden="1" x14ac:dyDescent="0.3">
      <c r="B6047" t="s">
        <v>117</v>
      </c>
      <c r="C6047" t="str">
        <f>INDEX(nse!D:D,MATCH(B6047,nse!B:B,0))</f>
        <v>EQ</v>
      </c>
      <c r="D6047" t="str">
        <f>INDEX(nse!C:C,MATCH(B6047,nse!B:B,0))</f>
        <v>Tata Steel Limited</v>
      </c>
    </row>
    <row r="6048" spans="2:4" hidden="1" x14ac:dyDescent="0.3">
      <c r="B6048" t="s">
        <v>1145</v>
      </c>
      <c r="C6048" t="str">
        <f>INDEX(nse!D:D,MATCH(B6048,nse!B:B,0))</f>
        <v>EQ</v>
      </c>
      <c r="D6048" t="str">
        <f>INDEX(nse!C:C,MATCH(B6048,nse!B:B,0))</f>
        <v>Tribhovandas Bhimji Zaveri Limited</v>
      </c>
    </row>
    <row r="6049" spans="2:4" hidden="1" x14ac:dyDescent="0.3">
      <c r="B6049" t="s">
        <v>1146</v>
      </c>
      <c r="C6049" t="str">
        <f>INDEX(nse!D:D,MATCH(B6049,nse!B:B,0))</f>
        <v>EQ</v>
      </c>
      <c r="D6049" t="str">
        <f>INDEX(nse!C:C,MATCH(B6049,nse!B:B,0))</f>
        <v>Transport Corporation of India Limited</v>
      </c>
    </row>
    <row r="6050" spans="2:4" hidden="1" x14ac:dyDescent="0.3">
      <c r="B6050" t="s">
        <v>1147</v>
      </c>
      <c r="C6050" t="str">
        <f>INDEX(nse!D:D,MATCH(B6050,nse!B:B,0))</f>
        <v>EQ</v>
      </c>
      <c r="D6050" t="str">
        <f>INDEX(nse!C:C,MATCH(B6050,nse!B:B,0))</f>
        <v>TCI Developers Limited</v>
      </c>
    </row>
    <row r="6051" spans="2:4" hidden="1" x14ac:dyDescent="0.3">
      <c r="B6051" t="s">
        <v>4525</v>
      </c>
      <c r="C6051" t="str">
        <f>INDEX(nse!D:D,MATCH(B6051,nse!B:B,0))</f>
        <v>EQ</v>
      </c>
      <c r="D6051" t="str">
        <f>INDEX(nse!C:C,MATCH(B6051,nse!B:B,0))</f>
        <v>TCI Express Limited</v>
      </c>
    </row>
    <row r="6052" spans="2:4" hidden="1" x14ac:dyDescent="0.3">
      <c r="B6052" t="s">
        <v>1148</v>
      </c>
      <c r="C6052" t="str">
        <f>INDEX(nse!D:D,MATCH(B6052,nse!B:B,0))</f>
        <v>EQ</v>
      </c>
      <c r="D6052" t="str">
        <f>INDEX(nse!C:C,MATCH(B6052,nse!B:B,0))</f>
        <v>TCI Finance Limited</v>
      </c>
    </row>
    <row r="6053" spans="2:4" hidden="1" x14ac:dyDescent="0.3">
      <c r="B6053" t="s">
        <v>1149</v>
      </c>
      <c r="C6053" t="str">
        <f>INDEX(nse!D:D,MATCH(B6053,nse!B:B,0))</f>
        <v>EQ</v>
      </c>
      <c r="D6053" t="str">
        <f>INDEX(nse!C:C,MATCH(B6053,nse!B:B,0))</f>
        <v>Tata Consultancy Services Limited</v>
      </c>
    </row>
    <row r="6054" spans="2:4" hidden="1" x14ac:dyDescent="0.3">
      <c r="B6054" t="s">
        <v>1150</v>
      </c>
      <c r="C6054" t="str">
        <f>INDEX(nse!D:D,MATCH(B6054,nse!B:B,0))</f>
        <v>EQ</v>
      </c>
      <c r="D6054" t="str">
        <f>INDEX(nse!C:C,MATCH(B6054,nse!B:B,0))</f>
        <v>TD Power Systems Limited</v>
      </c>
    </row>
    <row r="6055" spans="2:4" hidden="1" x14ac:dyDescent="0.3">
      <c r="B6055" t="s">
        <v>4531</v>
      </c>
      <c r="C6055" t="str">
        <f>INDEX(nse!D:D,MATCH(B6055,nse!B:B,0))</f>
        <v>EQ</v>
      </c>
      <c r="D6055" t="str">
        <f>INDEX(nse!C:C,MATCH(B6055,nse!B:B,0))</f>
        <v>Teamlease Services Limited</v>
      </c>
    </row>
    <row r="6056" spans="2:4" hidden="1" x14ac:dyDescent="0.3">
      <c r="B6056" t="s">
        <v>1151</v>
      </c>
      <c r="C6056" t="str">
        <f>INDEX(nse!D:D,MATCH(B6056,nse!B:B,0))</f>
        <v>BE</v>
      </c>
      <c r="D6056" t="str">
        <f>INDEX(nse!C:C,MATCH(B6056,nse!B:B,0))</f>
        <v>Techindia Nirman Limited</v>
      </c>
    </row>
    <row r="6057" spans="2:4" hidden="1" x14ac:dyDescent="0.3">
      <c r="B6057" t="s">
        <v>1152</v>
      </c>
      <c r="C6057" t="str">
        <f>INDEX(nse!D:D,MATCH(B6057,nse!B:B,0))</f>
        <v>EQ</v>
      </c>
      <c r="D6057" t="str">
        <f>INDEX(nse!C:C,MATCH(B6057,nse!B:B,0))</f>
        <v>Tech Mahindra Limited</v>
      </c>
    </row>
    <row r="6058" spans="2:4" hidden="1" x14ac:dyDescent="0.3">
      <c r="B6058" t="s">
        <v>1153</v>
      </c>
      <c r="C6058" t="str">
        <f>INDEX(nse!D:D,MATCH(B6058,nse!B:B,0))</f>
        <v>EQ</v>
      </c>
      <c r="D6058" t="str">
        <f>INDEX(nse!C:C,MATCH(B6058,nse!B:B,0))</f>
        <v>Techno Electric &amp; Engineering Company Limited</v>
      </c>
    </row>
    <row r="6059" spans="2:4" hidden="1" x14ac:dyDescent="0.3">
      <c r="B6059" t="s">
        <v>1154</v>
      </c>
      <c r="C6059" t="str">
        <f>INDEX(nse!D:D,MATCH(B6059,nse!B:B,0))</f>
        <v>EQ</v>
      </c>
      <c r="D6059" t="str">
        <f>INDEX(nse!C:C,MATCH(B6059,nse!B:B,0))</f>
        <v>Technofab Engineering Limited</v>
      </c>
    </row>
    <row r="6060" spans="2:4" hidden="1" x14ac:dyDescent="0.3">
      <c r="B6060" t="s">
        <v>4539</v>
      </c>
      <c r="C6060" t="str">
        <f>INDEX(nse!D:D,MATCH(B6060,nse!B:B,0))</f>
        <v>EQ</v>
      </c>
      <c r="D6060" t="str">
        <f>INDEX(nse!C:C,MATCH(B6060,nse!B:B,0))</f>
        <v>Tera Software Limited</v>
      </c>
    </row>
    <row r="6061" spans="2:4" hidden="1" x14ac:dyDescent="0.3">
      <c r="B6061" t="s">
        <v>1155</v>
      </c>
      <c r="C6061" t="str">
        <f>INDEX(nse!D:D,MATCH(B6061,nse!B:B,0))</f>
        <v>EQ</v>
      </c>
      <c r="D6061" t="str">
        <f>INDEX(nse!C:C,MATCH(B6061,nse!B:B,0))</f>
        <v>Texmaco Infrastructure &amp; Holdings Limited</v>
      </c>
    </row>
    <row r="6062" spans="2:4" hidden="1" x14ac:dyDescent="0.3">
      <c r="B6062" t="s">
        <v>1156</v>
      </c>
      <c r="C6062" t="str">
        <f>INDEX(nse!D:D,MATCH(B6062,nse!B:B,0))</f>
        <v>BE</v>
      </c>
      <c r="D6062" t="str">
        <f>INDEX(nse!C:C,MATCH(B6062,nse!B:B,0))</f>
        <v>Texmo Pipes and Products Limited</v>
      </c>
    </row>
    <row r="6063" spans="2:4" hidden="1" x14ac:dyDescent="0.3">
      <c r="B6063" t="s">
        <v>1157</v>
      </c>
      <c r="C6063" t="str">
        <f>INDEX(nse!D:D,MATCH(B6063,nse!B:B,0))</f>
        <v>EQ</v>
      </c>
      <c r="D6063" t="str">
        <f>INDEX(nse!C:C,MATCH(B6063,nse!B:B,0))</f>
        <v>Texmaco Rail &amp; Engineering Limited</v>
      </c>
    </row>
    <row r="6064" spans="2:4" hidden="1" x14ac:dyDescent="0.3">
      <c r="B6064" t="s">
        <v>1158</v>
      </c>
      <c r="C6064" t="str">
        <f>INDEX(nse!D:D,MATCH(B6064,nse!B:B,0))</f>
        <v>EQ</v>
      </c>
      <c r="D6064" t="str">
        <f>INDEX(nse!C:C,MATCH(B6064,nse!B:B,0))</f>
        <v>Tourism Finance Corporation of India Limited</v>
      </c>
    </row>
    <row r="6065" spans="2:4" hidden="1" x14ac:dyDescent="0.3">
      <c r="B6065" t="s">
        <v>1159</v>
      </c>
      <c r="C6065" t="str">
        <f>INDEX(nse!D:D,MATCH(B6065,nse!B:B,0))</f>
        <v>BE</v>
      </c>
      <c r="D6065" t="str">
        <f>INDEX(nse!C:C,MATCH(B6065,nse!B:B,0))</f>
        <v>Transwarranty Finance Limited</v>
      </c>
    </row>
    <row r="6066" spans="2:4" hidden="1" x14ac:dyDescent="0.3">
      <c r="B6066" t="s">
        <v>1160</v>
      </c>
      <c r="C6066" t="str">
        <f>INDEX(nse!D:D,MATCH(B6066,nse!B:B,0))</f>
        <v>EQ</v>
      </c>
      <c r="D6066" t="str">
        <f>INDEX(nse!C:C,MATCH(B6066,nse!B:B,0))</f>
        <v>TGB Banquets And Hotels Limited</v>
      </c>
    </row>
    <row r="6067" spans="2:4" hidden="1" x14ac:dyDescent="0.3">
      <c r="B6067" t="s">
        <v>1161</v>
      </c>
      <c r="C6067" t="str">
        <f>INDEX(nse!D:D,MATCH(B6067,nse!B:B,0))</f>
        <v>EQ</v>
      </c>
      <c r="D6067" t="str">
        <f>INDEX(nse!C:C,MATCH(B6067,nse!B:B,0))</f>
        <v>Thangamayil Jewellery Limited</v>
      </c>
    </row>
    <row r="6068" spans="2:4" hidden="1" x14ac:dyDescent="0.3">
      <c r="B6068" t="s">
        <v>1162</v>
      </c>
      <c r="C6068" t="str">
        <f>INDEX(nse!D:D,MATCH(B6068,nse!B:B,0))</f>
        <v>EQ</v>
      </c>
      <c r="D6068" t="str">
        <f>INDEX(nse!C:C,MATCH(B6068,nse!B:B,0))</f>
        <v>Themis Medicare Limited</v>
      </c>
    </row>
    <row r="6069" spans="2:4" hidden="1" x14ac:dyDescent="0.3">
      <c r="B6069" t="s">
        <v>101</v>
      </c>
      <c r="C6069" t="str">
        <f>INDEX(nse!D:D,MATCH(B6069,nse!B:B,0))</f>
        <v>EQ</v>
      </c>
      <c r="D6069" t="str">
        <f>INDEX(nse!C:C,MATCH(B6069,nse!B:B,0))</f>
        <v>Thermax Limited</v>
      </c>
    </row>
    <row r="6070" spans="2:4" hidden="1" x14ac:dyDescent="0.3">
      <c r="B6070" t="s">
        <v>1163</v>
      </c>
      <c r="C6070" t="str">
        <f>INDEX(nse!D:D,MATCH(B6070,nse!B:B,0))</f>
        <v>EQ</v>
      </c>
      <c r="D6070" t="str">
        <f>INDEX(nse!C:C,MATCH(B6070,nse!B:B,0))</f>
        <v>Thiru Arooran Sugars Limited</v>
      </c>
    </row>
    <row r="6071" spans="2:4" hidden="1" x14ac:dyDescent="0.3">
      <c r="B6071" t="s">
        <v>1164</v>
      </c>
      <c r="C6071" t="str">
        <f>INDEX(nse!D:D,MATCH(B6071,nse!B:B,0))</f>
        <v>EQ</v>
      </c>
      <c r="D6071" t="str">
        <f>INDEX(nse!C:C,MATCH(B6071,nse!B:B,0))</f>
        <v>Thomas Cook  (India)  Limited</v>
      </c>
    </row>
    <row r="6072" spans="2:4" hidden="1" x14ac:dyDescent="0.3">
      <c r="B6072" t="s">
        <v>1165</v>
      </c>
      <c r="C6072" t="str">
        <f>INDEX(nse!D:D,MATCH(B6072,nse!B:B,0))</f>
        <v>BE</v>
      </c>
      <c r="D6072" t="str">
        <f>INDEX(nse!C:C,MATCH(B6072,nse!B:B,0))</f>
        <v>Thomas Scott (India) Limited</v>
      </c>
    </row>
    <row r="6073" spans="2:4" hidden="1" x14ac:dyDescent="0.3">
      <c r="B6073" t="s">
        <v>4555</v>
      </c>
      <c r="C6073" t="str">
        <f>INDEX(nse!D:D,MATCH(B6073,nse!B:B,0))</f>
        <v>EQ</v>
      </c>
      <c r="D6073" t="str">
        <f>INDEX(nse!C:C,MATCH(B6073,nse!B:B,0))</f>
        <v>Thyrocare Technologies Limited</v>
      </c>
    </row>
    <row r="6074" spans="2:4" hidden="1" x14ac:dyDescent="0.3">
      <c r="B6074" t="s">
        <v>1166</v>
      </c>
      <c r="C6074" t="str">
        <f>INDEX(nse!D:D,MATCH(B6074,nse!B:B,0))</f>
        <v>EQ</v>
      </c>
      <c r="D6074" t="str">
        <f>INDEX(nse!C:C,MATCH(B6074,nse!B:B,0))</f>
        <v>Tilaknagar Industries Limited</v>
      </c>
    </row>
    <row r="6075" spans="2:4" hidden="1" x14ac:dyDescent="0.3">
      <c r="B6075" t="s">
        <v>1167</v>
      </c>
      <c r="C6075" t="str">
        <f>INDEX(nse!D:D,MATCH(B6075,nse!B:B,0))</f>
        <v>EQ</v>
      </c>
      <c r="D6075" t="str">
        <f>INDEX(nse!C:C,MATCH(B6075,nse!B:B,0))</f>
        <v>Tide Water Oil Company (India) Limited</v>
      </c>
    </row>
    <row r="6076" spans="2:4" hidden="1" x14ac:dyDescent="0.3">
      <c r="B6076" t="s">
        <v>1168</v>
      </c>
      <c r="C6076" t="str">
        <f>INDEX(nse!D:D,MATCH(B6076,nse!B:B,0))</f>
        <v>EQ</v>
      </c>
      <c r="D6076" t="str">
        <f>INDEX(nse!C:C,MATCH(B6076,nse!B:B,0))</f>
        <v>Technocraft Industries (India) Limited</v>
      </c>
    </row>
    <row r="6077" spans="2:4" hidden="1" x14ac:dyDescent="0.3">
      <c r="B6077" t="s">
        <v>1336</v>
      </c>
      <c r="C6077" t="str">
        <f>INDEX(nse!D:D,MATCH(B6077,nse!B:B,0))</f>
        <v>BE</v>
      </c>
      <c r="D6077" t="str">
        <f>INDEX(nse!C:C,MATCH(B6077,nse!B:B,0))</f>
        <v>Tijaria Polypipes Limited</v>
      </c>
    </row>
    <row r="6078" spans="2:4" hidden="1" x14ac:dyDescent="0.3">
      <c r="B6078" t="s">
        <v>1169</v>
      </c>
      <c r="C6078" t="str">
        <f>INDEX(nse!D:D,MATCH(B6078,nse!B:B,0))</f>
        <v>EQ</v>
      </c>
      <c r="D6078" t="str">
        <f>INDEX(nse!C:C,MATCH(B6078,nse!B:B,0))</f>
        <v>TIL Limited</v>
      </c>
    </row>
    <row r="6079" spans="2:4" hidden="1" x14ac:dyDescent="0.3">
      <c r="B6079" t="s">
        <v>1170</v>
      </c>
      <c r="C6079" t="str">
        <f>INDEX(nse!D:D,MATCH(B6079,nse!B:B,0))</f>
        <v>BE</v>
      </c>
      <c r="D6079" t="str">
        <f>INDEX(nse!C:C,MATCH(B6079,nse!B:B,0))</f>
        <v>Times Guaranty Limited</v>
      </c>
    </row>
    <row r="6080" spans="2:4" hidden="1" x14ac:dyDescent="0.3">
      <c r="B6080" t="s">
        <v>1171</v>
      </c>
      <c r="C6080" t="str">
        <f>INDEX(nse!D:D,MATCH(B6080,nse!B:B,0))</f>
        <v>EQ</v>
      </c>
      <c r="D6080" t="str">
        <f>INDEX(nse!C:C,MATCH(B6080,nse!B:B,0))</f>
        <v>Time Technoplast Limited</v>
      </c>
    </row>
    <row r="6081" spans="2:4" hidden="1" x14ac:dyDescent="0.3">
      <c r="B6081" t="s">
        <v>1172</v>
      </c>
      <c r="C6081" t="str">
        <f>INDEX(nse!D:D,MATCH(B6081,nse!B:B,0))</f>
        <v>EQ</v>
      </c>
      <c r="D6081" t="str">
        <f>INDEX(nse!C:C,MATCH(B6081,nse!B:B,0))</f>
        <v>Timken India Limited</v>
      </c>
    </row>
    <row r="6082" spans="2:4" hidden="1" x14ac:dyDescent="0.3">
      <c r="B6082" t="s">
        <v>1173</v>
      </c>
      <c r="C6082" t="str">
        <f>INDEX(nse!D:D,MATCH(B6082,nse!B:B,0))</f>
        <v>EQ</v>
      </c>
      <c r="D6082" t="str">
        <f>INDEX(nse!C:C,MATCH(B6082,nse!B:B,0))</f>
        <v>The Tinplate Company of India Limited</v>
      </c>
    </row>
    <row r="6083" spans="2:4" hidden="1" x14ac:dyDescent="0.3">
      <c r="B6083" t="s">
        <v>1174</v>
      </c>
      <c r="C6083" t="str">
        <f>INDEX(nse!D:D,MATCH(B6083,nse!B:B,0))</f>
        <v>EQ</v>
      </c>
      <c r="D6083" t="str">
        <f>INDEX(nse!C:C,MATCH(B6083,nse!B:B,0))</f>
        <v>TIPS Industries Limited</v>
      </c>
    </row>
    <row r="6084" spans="2:4" hidden="1" x14ac:dyDescent="0.3">
      <c r="B6084" t="s">
        <v>1175</v>
      </c>
      <c r="C6084" t="str">
        <f>INDEX(nse!D:D,MATCH(B6084,nse!B:B,0))</f>
        <v>EQ</v>
      </c>
      <c r="D6084" t="str">
        <f>INDEX(nse!C:C,MATCH(B6084,nse!B:B,0))</f>
        <v>Thirumalai Chemicals Limited</v>
      </c>
    </row>
    <row r="6085" spans="2:4" hidden="1" x14ac:dyDescent="0.3">
      <c r="B6085" t="s">
        <v>1176</v>
      </c>
      <c r="C6085" t="str">
        <f>INDEX(nse!D:D,MATCH(B6085,nse!B:B,0))</f>
        <v>EQ</v>
      </c>
      <c r="D6085" t="str">
        <f>INDEX(nse!C:C,MATCH(B6085,nse!B:B,0))</f>
        <v>Titan Company Limited</v>
      </c>
    </row>
    <row r="6086" spans="2:4" hidden="1" x14ac:dyDescent="0.3">
      <c r="B6086" t="s">
        <v>4570</v>
      </c>
      <c r="C6086" t="str">
        <f>INDEX(nse!D:D,MATCH(B6086,nse!B:B,0))</f>
        <v>EQ</v>
      </c>
      <c r="D6086" t="str">
        <f>INDEX(nse!C:C,MATCH(B6086,nse!B:B,0))</f>
        <v>The Mandhana Retail Ventures Limited</v>
      </c>
    </row>
    <row r="6087" spans="2:4" hidden="1" x14ac:dyDescent="0.3">
      <c r="B6087" t="s">
        <v>1177</v>
      </c>
      <c r="C6087" t="str">
        <f>INDEX(nse!D:D,MATCH(B6087,nse!B:B,0))</f>
        <v>EQ</v>
      </c>
      <c r="D6087" t="str">
        <f>INDEX(nse!C:C,MATCH(B6087,nse!B:B,0))</f>
        <v>Tamilnadu PetroProducts Limited</v>
      </c>
    </row>
    <row r="6088" spans="2:4" hidden="1" x14ac:dyDescent="0.3">
      <c r="B6088" t="s">
        <v>1178</v>
      </c>
      <c r="C6088" t="str">
        <f>INDEX(nse!D:D,MATCH(B6088,nse!B:B,0))</f>
        <v>EQ</v>
      </c>
      <c r="D6088" t="str">
        <f>INDEX(nse!C:C,MATCH(B6088,nse!B:B,0))</f>
        <v>Tamil Nadu Newsprint &amp; Papers Limited</v>
      </c>
    </row>
    <row r="6089" spans="2:4" hidden="1" x14ac:dyDescent="0.3">
      <c r="B6089" t="s">
        <v>1179</v>
      </c>
      <c r="C6089" t="str">
        <f>INDEX(nse!D:D,MATCH(B6089,nse!B:B,0))</f>
        <v>BE</v>
      </c>
      <c r="D6089" t="str">
        <f>INDEX(nse!C:C,MATCH(B6089,nse!B:B,0))</f>
        <v>Tamilnadu Telecommunication Limited</v>
      </c>
    </row>
    <row r="6090" spans="2:4" hidden="1" x14ac:dyDescent="0.3">
      <c r="B6090" t="s">
        <v>1337</v>
      </c>
      <c r="C6090" t="str">
        <f>INDEX(nse!D:D,MATCH(B6090,nse!B:B,0))</f>
        <v>BE</v>
      </c>
      <c r="D6090" t="str">
        <f>INDEX(nse!C:C,MATCH(B6090,nse!B:B,0))</f>
        <v>Todays Writing Instruments Limited</v>
      </c>
    </row>
    <row r="6091" spans="2:4" hidden="1" x14ac:dyDescent="0.3">
      <c r="B6091" t="s">
        <v>1180</v>
      </c>
      <c r="C6091" t="str">
        <f>INDEX(nse!D:D,MATCH(B6091,nse!B:B,0))</f>
        <v>EQ</v>
      </c>
      <c r="D6091" t="str">
        <f>INDEX(nse!C:C,MATCH(B6091,nse!B:B,0))</f>
        <v>Tokyo Plast International Limited</v>
      </c>
    </row>
    <row r="6092" spans="2:4" hidden="1" x14ac:dyDescent="0.3">
      <c r="B6092" t="s">
        <v>102</v>
      </c>
      <c r="C6092" t="str">
        <f>INDEX(nse!D:D,MATCH(B6092,nse!B:B,0))</f>
        <v>EQ</v>
      </c>
      <c r="D6092" t="str">
        <f>INDEX(nse!C:C,MATCH(B6092,nse!B:B,0))</f>
        <v>Torrent Pharmaceuticals Limited</v>
      </c>
    </row>
    <row r="6093" spans="2:4" hidden="1" x14ac:dyDescent="0.3">
      <c r="B6093" t="s">
        <v>103</v>
      </c>
      <c r="C6093" t="str">
        <f>INDEX(nse!D:D,MATCH(B6093,nse!B:B,0))</f>
        <v>EQ</v>
      </c>
      <c r="D6093" t="str">
        <f>INDEX(nse!C:C,MATCH(B6093,nse!B:B,0))</f>
        <v>Torrent Power Limited</v>
      </c>
    </row>
    <row r="6094" spans="2:4" hidden="1" x14ac:dyDescent="0.3">
      <c r="B6094" t="s">
        <v>4580</v>
      </c>
      <c r="C6094" t="str">
        <f>INDEX(nse!D:D,MATCH(B6094,nse!B:B,0))</f>
        <v>EQ</v>
      </c>
      <c r="D6094" t="str">
        <f>INDEX(nse!C:C,MATCH(B6094,nse!B:B,0))</f>
        <v>TPL Plastech Limited</v>
      </c>
    </row>
    <row r="6095" spans="2:4" hidden="1" x14ac:dyDescent="0.3">
      <c r="B6095" t="s">
        <v>1181</v>
      </c>
      <c r="C6095" t="str">
        <f>INDEX(nse!D:D,MATCH(B6095,nse!B:B,0))</f>
        <v>EQ</v>
      </c>
      <c r="D6095" t="str">
        <f>INDEX(nse!C:C,MATCH(B6095,nse!B:B,0))</f>
        <v>Tree House Education &amp; Accessories Limited</v>
      </c>
    </row>
    <row r="6096" spans="2:4" hidden="1" x14ac:dyDescent="0.3">
      <c r="B6096" t="s">
        <v>1182</v>
      </c>
      <c r="C6096" t="str">
        <f>INDEX(nse!D:D,MATCH(B6096,nse!B:B,0))</f>
        <v>EQ</v>
      </c>
      <c r="D6096" t="str">
        <f>INDEX(nse!C:C,MATCH(B6096,nse!B:B,0))</f>
        <v>Trent Limited</v>
      </c>
    </row>
    <row r="6097" spans="2:4" hidden="1" x14ac:dyDescent="0.3">
      <c r="B6097" t="s">
        <v>1182</v>
      </c>
      <c r="C6097" t="str">
        <f>INDEX(nse!D:D,MATCH(B6097,nse!B:B,0))</f>
        <v>EQ</v>
      </c>
      <c r="D6097" t="str">
        <f>INDEX(nse!C:C,MATCH(B6097,nse!B:B,0))</f>
        <v>Trent Limited</v>
      </c>
    </row>
    <row r="6098" spans="2:4" hidden="1" x14ac:dyDescent="0.3">
      <c r="B6098" t="s">
        <v>1183</v>
      </c>
      <c r="C6098" t="str">
        <f>INDEX(nse!D:D,MATCH(B6098,nse!B:B,0))</f>
        <v>EQ</v>
      </c>
      <c r="D6098" t="str">
        <f>INDEX(nse!C:C,MATCH(B6098,nse!B:B,0))</f>
        <v>TRF Limited</v>
      </c>
    </row>
    <row r="6099" spans="2:4" hidden="1" x14ac:dyDescent="0.3">
      <c r="B6099" t="s">
        <v>125</v>
      </c>
      <c r="C6099" t="str">
        <f>INDEX(nse!D:D,MATCH(B6099,nse!B:B,0))</f>
        <v>EQ</v>
      </c>
      <c r="D6099" t="str">
        <f>INDEX(nse!C:C,MATCH(B6099,nse!B:B,0))</f>
        <v>Trident Limited</v>
      </c>
    </row>
    <row r="6100" spans="2:4" hidden="1" x14ac:dyDescent="0.3">
      <c r="B6100" t="s">
        <v>1184</v>
      </c>
      <c r="C6100" t="str">
        <f>INDEX(nse!D:D,MATCH(B6100,nse!B:B,0))</f>
        <v>EQ</v>
      </c>
      <c r="D6100" t="str">
        <f>INDEX(nse!C:C,MATCH(B6100,nse!B:B,0))</f>
        <v>Trigyn Technologies Limited</v>
      </c>
    </row>
    <row r="6101" spans="2:4" hidden="1" x14ac:dyDescent="0.3">
      <c r="B6101" t="s">
        <v>1185</v>
      </c>
      <c r="C6101" t="str">
        <f>INDEX(nse!D:D,MATCH(B6101,nse!B:B,0))</f>
        <v>EQ</v>
      </c>
      <c r="D6101" t="str">
        <f>INDEX(nse!C:C,MATCH(B6101,nse!B:B,0))</f>
        <v>Transformers And Rectifiers (India) Limited</v>
      </c>
    </row>
    <row r="6102" spans="2:4" hidden="1" x14ac:dyDescent="0.3">
      <c r="B6102" t="s">
        <v>1186</v>
      </c>
      <c r="C6102" t="str">
        <f>INDEX(nse!D:D,MATCH(B6102,nse!B:B,0))</f>
        <v>EQ</v>
      </c>
      <c r="D6102" t="str">
        <f>INDEX(nse!C:C,MATCH(B6102,nse!B:B,0))</f>
        <v>Triveni Turbine Limited</v>
      </c>
    </row>
    <row r="6103" spans="2:4" hidden="1" x14ac:dyDescent="0.3">
      <c r="B6103" t="s">
        <v>1187</v>
      </c>
      <c r="C6103" t="str">
        <f>INDEX(nse!D:D,MATCH(B6103,nse!B:B,0))</f>
        <v>EQ</v>
      </c>
      <c r="D6103" t="str">
        <f>INDEX(nse!C:C,MATCH(B6103,nse!B:B,0))</f>
        <v>Triveni Engineering &amp; Industries Limited</v>
      </c>
    </row>
    <row r="6104" spans="2:4" hidden="1" x14ac:dyDescent="0.3">
      <c r="B6104" t="s">
        <v>4591</v>
      </c>
      <c r="C6104" t="str">
        <f>INDEX(nse!D:D,MATCH(B6104,nse!B:B,0))</f>
        <v>EQ</v>
      </c>
      <c r="D6104" t="str">
        <f>INDEX(nse!C:C,MATCH(B6104,nse!B:B,0))</f>
        <v>TTK Healthcare Limited</v>
      </c>
    </row>
    <row r="6105" spans="2:4" hidden="1" x14ac:dyDescent="0.3">
      <c r="B6105" t="s">
        <v>1188</v>
      </c>
      <c r="C6105" t="str">
        <f>INDEX(nse!D:D,MATCH(B6105,nse!B:B,0))</f>
        <v>EQ</v>
      </c>
      <c r="D6105" t="str">
        <f>INDEX(nse!C:C,MATCH(B6105,nse!B:B,0))</f>
        <v>TTK Prestige Limited</v>
      </c>
    </row>
    <row r="6106" spans="2:4" hidden="1" x14ac:dyDescent="0.3">
      <c r="B6106" t="s">
        <v>1189</v>
      </c>
      <c r="C6106" t="str">
        <f>INDEX(nse!D:D,MATCH(B6106,nse!B:B,0))</f>
        <v>EQ</v>
      </c>
      <c r="D6106" t="str">
        <f>INDEX(nse!C:C,MATCH(B6106,nse!B:B,0))</f>
        <v>T T Limited</v>
      </c>
    </row>
    <row r="6107" spans="2:4" hidden="1" x14ac:dyDescent="0.3">
      <c r="B6107" t="s">
        <v>1190</v>
      </c>
      <c r="C6107" t="str">
        <f>INDEX(nse!D:D,MATCH(B6107,nse!B:B,0))</f>
        <v>EQ</v>
      </c>
      <c r="D6107" t="str">
        <f>INDEX(nse!C:C,MATCH(B6107,nse!B:B,0))</f>
        <v>Tata Teleservices (Maharashtra) Limited</v>
      </c>
    </row>
    <row r="6108" spans="2:4" hidden="1" x14ac:dyDescent="0.3">
      <c r="B6108" t="s">
        <v>1191</v>
      </c>
      <c r="C6108" t="str">
        <f>INDEX(nse!D:D,MATCH(B6108,nse!B:B,0))</f>
        <v>EQ</v>
      </c>
      <c r="D6108" t="str">
        <f>INDEX(nse!C:C,MATCH(B6108,nse!B:B,0))</f>
        <v>Tube Investments of India Limited</v>
      </c>
    </row>
    <row r="6109" spans="2:4" hidden="1" x14ac:dyDescent="0.3">
      <c r="B6109" t="s">
        <v>1192</v>
      </c>
      <c r="C6109" t="str">
        <f>INDEX(nse!D:D,MATCH(B6109,nse!B:B,0))</f>
        <v>EQ</v>
      </c>
      <c r="D6109" t="str">
        <f>INDEX(nse!C:C,MATCH(B6109,nse!B:B,0))</f>
        <v>Tulsi Extrusions Limited</v>
      </c>
    </row>
    <row r="6110" spans="2:4" hidden="1" x14ac:dyDescent="0.3">
      <c r="B6110" t="s">
        <v>96</v>
      </c>
      <c r="C6110" t="str">
        <f>INDEX(nse!D:D,MATCH(B6110,nse!B:B,0))</f>
        <v>EQ</v>
      </c>
      <c r="D6110" t="str">
        <f>INDEX(nse!C:C,MATCH(B6110,nse!B:B,0))</f>
        <v>TV18 Broadcast Limited</v>
      </c>
    </row>
    <row r="6111" spans="2:4" hidden="1" x14ac:dyDescent="0.3">
      <c r="B6111" t="s">
        <v>1193</v>
      </c>
      <c r="C6111" t="str">
        <f>INDEX(nse!D:D,MATCH(B6111,nse!B:B,0))</f>
        <v>EQ</v>
      </c>
      <c r="D6111" t="str">
        <f>INDEX(nse!C:C,MATCH(B6111,nse!B:B,0))</f>
        <v>TVS Electronics Limited</v>
      </c>
    </row>
    <row r="6112" spans="2:4" hidden="1" x14ac:dyDescent="0.3">
      <c r="B6112" t="s">
        <v>1194</v>
      </c>
      <c r="C6112" t="str">
        <f>INDEX(nse!D:D,MATCH(B6112,nse!B:B,0))</f>
        <v>EQ</v>
      </c>
      <c r="D6112" t="str">
        <f>INDEX(nse!C:C,MATCH(B6112,nse!B:B,0))</f>
        <v>TVS Motor Company Limited</v>
      </c>
    </row>
    <row r="6113" spans="2:4" hidden="1" x14ac:dyDescent="0.3">
      <c r="B6113" t="s">
        <v>1195</v>
      </c>
      <c r="C6113" t="str">
        <f>INDEX(nse!D:D,MATCH(B6113,nse!B:B,0))</f>
        <v>EQ</v>
      </c>
      <c r="D6113" t="str">
        <f>INDEX(nse!C:C,MATCH(B6113,nse!B:B,0))</f>
        <v>TVS Srichakra Limited</v>
      </c>
    </row>
    <row r="6114" spans="2:4" hidden="1" x14ac:dyDescent="0.3">
      <c r="B6114" t="s">
        <v>1196</v>
      </c>
      <c r="C6114" t="str">
        <f>INDEX(nse!D:D,MATCH(B6114,nse!B:B,0))</f>
        <v>EQ</v>
      </c>
      <c r="D6114" t="str">
        <f>INDEX(nse!C:C,MATCH(B6114,nse!B:B,0))</f>
        <v>TV Today Network Limited</v>
      </c>
    </row>
    <row r="6115" spans="2:4" hidden="1" x14ac:dyDescent="0.3">
      <c r="B6115" t="s">
        <v>4604</v>
      </c>
      <c r="C6115" t="str">
        <f>INDEX(nse!D:D,MATCH(B6115,nse!B:B,0))</f>
        <v>EQ</v>
      </c>
      <c r="D6115" t="str">
        <f>INDEX(nse!C:C,MATCH(B6115,nse!B:B,0))</f>
        <v>TV Vision Limited</v>
      </c>
    </row>
    <row r="6116" spans="2:4" hidden="1" x14ac:dyDescent="0.3">
      <c r="B6116" t="s">
        <v>1197</v>
      </c>
      <c r="C6116" t="str">
        <f>INDEX(nse!D:D,MATCH(B6116,nse!B:B,0))</f>
        <v>EQ</v>
      </c>
      <c r="D6116" t="str">
        <f>INDEX(nse!C:C,MATCH(B6116,nse!B:B,0))</f>
        <v>Titagarh Wagons Limited</v>
      </c>
    </row>
    <row r="6117" spans="2:4" hidden="1" x14ac:dyDescent="0.3">
      <c r="B6117" t="s">
        <v>1198</v>
      </c>
      <c r="C6117" t="str">
        <f>INDEX(nse!D:D,MATCH(B6117,nse!B:B,0))</f>
        <v>BE</v>
      </c>
      <c r="D6117" t="str">
        <f>INDEX(nse!C:C,MATCH(B6117,nse!B:B,0))</f>
        <v>United Breweries (Holdings) Limited</v>
      </c>
    </row>
    <row r="6118" spans="2:4" hidden="1" x14ac:dyDescent="0.3">
      <c r="B6118" t="s">
        <v>107</v>
      </c>
      <c r="C6118" t="str">
        <f>INDEX(nse!D:D,MATCH(B6118,nse!B:B,0))</f>
        <v>EQ</v>
      </c>
      <c r="D6118" t="str">
        <f>INDEX(nse!C:C,MATCH(B6118,nse!B:B,0))</f>
        <v>United Breweries Limited</v>
      </c>
    </row>
    <row r="6119" spans="2:4" hidden="1" x14ac:dyDescent="0.3">
      <c r="B6119" t="s">
        <v>1199</v>
      </c>
      <c r="C6119" t="str">
        <f>INDEX(nse!D:D,MATCH(B6119,nse!B:B,0))</f>
        <v>EQ</v>
      </c>
      <c r="D6119" t="str">
        <f>INDEX(nse!C:C,MATCH(B6119,nse!B:B,0))</f>
        <v>Ucal Fuel Systems Limited</v>
      </c>
    </row>
    <row r="6120" spans="2:4" hidden="1" x14ac:dyDescent="0.3">
      <c r="B6120" t="s">
        <v>1200</v>
      </c>
      <c r="C6120" t="str">
        <f>INDEX(nse!D:D,MATCH(B6120,nse!B:B,0))</f>
        <v>EQ</v>
      </c>
      <c r="D6120" t="str">
        <f>INDEX(nse!C:C,MATCH(B6120,nse!B:B,0))</f>
        <v>UCO Bank</v>
      </c>
    </row>
    <row r="6121" spans="2:4" hidden="1" x14ac:dyDescent="0.3">
      <c r="B6121" t="s">
        <v>1201</v>
      </c>
      <c r="C6121" t="str">
        <f>INDEX(nse!D:D,MATCH(B6121,nse!B:B,0))</f>
        <v>EQ</v>
      </c>
      <c r="D6121" t="str">
        <f>INDEX(nse!C:C,MATCH(B6121,nse!B:B,0))</f>
        <v>UFLEX Limited</v>
      </c>
    </row>
    <row r="6122" spans="2:4" hidden="1" x14ac:dyDescent="0.3">
      <c r="B6122" t="s">
        <v>4613</v>
      </c>
      <c r="C6122" t="str">
        <f>INDEX(nse!D:D,MATCH(B6122,nse!B:B,0))</f>
        <v>EQ</v>
      </c>
      <c r="D6122" t="str">
        <f>INDEX(nse!C:C,MATCH(B6122,nse!B:B,0))</f>
        <v>UFO Moviez India Limited</v>
      </c>
    </row>
    <row r="6123" spans="2:4" hidden="1" x14ac:dyDescent="0.3">
      <c r="B6123" t="s">
        <v>1202</v>
      </c>
      <c r="C6123" t="str">
        <f>INDEX(nse!D:D,MATCH(B6123,nse!B:B,0))</f>
        <v>EQ</v>
      </c>
      <c r="D6123" t="str">
        <f>INDEX(nse!C:C,MATCH(B6123,nse!B:B,0))</f>
        <v>The Ugar Sugar Works Limited</v>
      </c>
    </row>
    <row r="6124" spans="2:4" hidden="1" x14ac:dyDescent="0.3">
      <c r="B6124" t="s">
        <v>1203</v>
      </c>
      <c r="C6124" t="str">
        <f>INDEX(nse!D:D,MATCH(B6124,nse!B:B,0))</f>
        <v>EQ</v>
      </c>
      <c r="D6124" t="str">
        <f>INDEX(nse!C:C,MATCH(B6124,nse!B:B,0))</f>
        <v>Ujaas Energy Limited</v>
      </c>
    </row>
    <row r="6125" spans="2:4" hidden="1" x14ac:dyDescent="0.3">
      <c r="B6125" t="s">
        <v>4618</v>
      </c>
      <c r="C6125" t="str">
        <f>INDEX(nse!D:D,MATCH(B6125,nse!B:B,0))</f>
        <v>EQ</v>
      </c>
      <c r="D6125" t="str">
        <f>INDEX(nse!C:C,MATCH(B6125,nse!B:B,0))</f>
        <v>Ujjivan Financial Services Limited</v>
      </c>
    </row>
    <row r="6126" spans="2:4" hidden="1" x14ac:dyDescent="0.3">
      <c r="B6126" t="s">
        <v>4618</v>
      </c>
      <c r="C6126" t="str">
        <f>INDEX(nse!D:D,MATCH(B6126,nse!B:B,0))</f>
        <v>EQ</v>
      </c>
      <c r="D6126" t="str">
        <f>INDEX(nse!C:C,MATCH(B6126,nse!B:B,0))</f>
        <v>Ujjivan Financial Services Limited</v>
      </c>
    </row>
    <row r="6127" spans="2:4" hidden="1" x14ac:dyDescent="0.3">
      <c r="B6127" t="s">
        <v>1204</v>
      </c>
      <c r="C6127" t="str">
        <f>INDEX(nse!D:D,MATCH(B6127,nse!B:B,0))</f>
        <v>EQ</v>
      </c>
      <c r="D6127" t="str">
        <f>INDEX(nse!C:C,MATCH(B6127,nse!B:B,0))</f>
        <v>UltraTech Cement Limited</v>
      </c>
    </row>
    <row r="6128" spans="2:4" hidden="1" x14ac:dyDescent="0.3">
      <c r="B6128" t="s">
        <v>4622</v>
      </c>
      <c r="C6128" t="str">
        <f>INDEX(nse!D:D,MATCH(B6128,nse!B:B,0))</f>
        <v>EQ</v>
      </c>
      <c r="D6128" t="str">
        <f>INDEX(nse!C:C,MATCH(B6128,nse!B:B,0))</f>
        <v>Umang Dairies Limited</v>
      </c>
    </row>
    <row r="6129" spans="2:4" hidden="1" x14ac:dyDescent="0.3">
      <c r="B6129" t="s">
        <v>1205</v>
      </c>
      <c r="C6129" t="str">
        <f>INDEX(nse!D:D,MATCH(B6129,nse!B:B,0))</f>
        <v>EQ</v>
      </c>
      <c r="D6129" t="str">
        <f>INDEX(nse!C:C,MATCH(B6129,nse!B:B,0))</f>
        <v>Usha Martin Education &amp; Solutions Limited</v>
      </c>
    </row>
    <row r="6130" spans="2:4" hidden="1" x14ac:dyDescent="0.3">
      <c r="B6130" t="s">
        <v>1206</v>
      </c>
      <c r="C6130" t="str">
        <f>INDEX(nse!D:D,MATCH(B6130,nse!B:B,0))</f>
        <v>EQ</v>
      </c>
      <c r="D6130" t="str">
        <f>INDEX(nse!C:C,MATCH(B6130,nse!B:B,0))</f>
        <v>Unichem Laboratories Limited</v>
      </c>
    </row>
    <row r="6131" spans="2:4" hidden="1" x14ac:dyDescent="0.3">
      <c r="B6131" t="s">
        <v>1207</v>
      </c>
      <c r="C6131" t="str">
        <f>INDEX(nse!D:D,MATCH(B6131,nse!B:B,0))</f>
        <v>EQ</v>
      </c>
      <c r="D6131" t="str">
        <f>INDEX(nse!C:C,MATCH(B6131,nse!B:B,0))</f>
        <v>Uniphos Enterprises Limited</v>
      </c>
    </row>
    <row r="6132" spans="2:4" hidden="1" x14ac:dyDescent="0.3">
      <c r="B6132" t="s">
        <v>105</v>
      </c>
      <c r="C6132" t="str">
        <f>INDEX(nse!D:D,MATCH(B6132,nse!B:B,0))</f>
        <v>EQ</v>
      </c>
      <c r="D6132" t="str">
        <f>INDEX(nse!C:C,MATCH(B6132,nse!B:B,0))</f>
        <v>Union Bank of India</v>
      </c>
    </row>
    <row r="6133" spans="2:4" hidden="1" x14ac:dyDescent="0.3">
      <c r="B6133" t="s">
        <v>1208</v>
      </c>
      <c r="C6133" t="str">
        <f>INDEX(nse!D:D,MATCH(B6133,nse!B:B,0))</f>
        <v>BE</v>
      </c>
      <c r="D6133" t="str">
        <f>INDEX(nse!C:C,MATCH(B6133,nse!B:B,0))</f>
        <v>Uniply Industries Limited</v>
      </c>
    </row>
    <row r="6134" spans="2:4" hidden="1" x14ac:dyDescent="0.3">
      <c r="B6134" t="s">
        <v>106</v>
      </c>
      <c r="C6134" t="str">
        <f>INDEX(nse!D:D,MATCH(B6134,nse!B:B,0))</f>
        <v>EQ</v>
      </c>
      <c r="D6134" t="str">
        <f>INDEX(nse!C:C,MATCH(B6134,nse!B:B,0))</f>
        <v>Unitech Limited</v>
      </c>
    </row>
    <row r="6135" spans="2:4" hidden="1" x14ac:dyDescent="0.3">
      <c r="B6135" t="s">
        <v>1209</v>
      </c>
      <c r="C6135" t="str">
        <f>INDEX(nse!D:D,MATCH(B6135,nse!B:B,0))</f>
        <v>EQ</v>
      </c>
      <c r="D6135" t="str">
        <f>INDEX(nse!C:C,MATCH(B6135,nse!B:B,0))</f>
        <v>United Bank of India</v>
      </c>
    </row>
    <row r="6136" spans="2:4" hidden="1" x14ac:dyDescent="0.3">
      <c r="B6136" t="s">
        <v>4632</v>
      </c>
      <c r="C6136" t="str">
        <f>INDEX(nse!D:D,MATCH(B6136,nse!B:B,0))</f>
        <v>EQ</v>
      </c>
      <c r="D6136" t="str">
        <f>INDEX(nse!C:C,MATCH(B6136,nse!B:B,0))</f>
        <v>The United Nilgiri Tea Estates Company Limited</v>
      </c>
    </row>
    <row r="6137" spans="2:4" hidden="1" x14ac:dyDescent="0.3">
      <c r="B6137" t="s">
        <v>1210</v>
      </c>
      <c r="C6137" t="str">
        <f>INDEX(nse!D:D,MATCH(B6137,nse!B:B,0))</f>
        <v>EQ</v>
      </c>
      <c r="D6137" t="str">
        <f>INDEX(nse!C:C,MATCH(B6137,nse!B:B,0))</f>
        <v>Unity Infraprojects Limited</v>
      </c>
    </row>
    <row r="6138" spans="2:4" hidden="1" x14ac:dyDescent="0.3">
      <c r="B6138" t="s">
        <v>1211</v>
      </c>
      <c r="C6138" t="str">
        <f>INDEX(nse!D:D,MATCH(B6138,nse!B:B,0))</f>
        <v>EQ</v>
      </c>
      <c r="D6138" t="str">
        <f>INDEX(nse!C:C,MATCH(B6138,nse!B:B,0))</f>
        <v>Universal Cables Limited</v>
      </c>
    </row>
    <row r="6139" spans="2:4" hidden="1" x14ac:dyDescent="0.3">
      <c r="B6139" t="s">
        <v>104</v>
      </c>
      <c r="C6139" t="str">
        <f>INDEX(nse!D:D,MATCH(B6139,nse!B:B,0))</f>
        <v>EQ</v>
      </c>
      <c r="D6139" t="str">
        <f>INDEX(nse!C:C,MATCH(B6139,nse!B:B,0))</f>
        <v>UPL Limited</v>
      </c>
    </row>
    <row r="6140" spans="2:4" hidden="1" x14ac:dyDescent="0.3">
      <c r="B6140" t="s">
        <v>4638</v>
      </c>
      <c r="C6140" t="str">
        <f>INDEX(nse!D:D,MATCH(B6140,nse!B:B,0))</f>
        <v>BE</v>
      </c>
      <c r="D6140" t="str">
        <f>INDEX(nse!C:C,MATCH(B6140,nse!B:B,0))</f>
        <v>Urja Global Limited</v>
      </c>
    </row>
    <row r="6141" spans="2:4" hidden="1" x14ac:dyDescent="0.3">
      <c r="B6141" t="s">
        <v>1212</v>
      </c>
      <c r="C6141" t="str">
        <f>INDEX(nse!D:D,MATCH(B6141,nse!B:B,0))</f>
        <v>EQ</v>
      </c>
      <c r="D6141" t="str">
        <f>INDEX(nse!C:C,MATCH(B6141,nse!B:B,0))</f>
        <v>Usha Martin Limited</v>
      </c>
    </row>
    <row r="6142" spans="2:4" hidden="1" x14ac:dyDescent="0.3">
      <c r="B6142" t="s">
        <v>1213</v>
      </c>
      <c r="C6142" t="str">
        <f>INDEX(nse!D:D,MATCH(B6142,nse!B:B,0))</f>
        <v>EQ</v>
      </c>
      <c r="D6142" t="str">
        <f>INDEX(nse!C:C,MATCH(B6142,nse!B:B,0))</f>
        <v>Usher Agro Limited</v>
      </c>
    </row>
    <row r="6143" spans="2:4" hidden="1" x14ac:dyDescent="0.3">
      <c r="B6143" t="s">
        <v>1214</v>
      </c>
      <c r="C6143" t="str">
        <f>INDEX(nse!D:D,MATCH(B6143,nse!B:B,0))</f>
        <v>EQ</v>
      </c>
      <c r="D6143" t="str">
        <f>INDEX(nse!C:C,MATCH(B6143,nse!B:B,0))</f>
        <v>Uttam Galva Steels Limited</v>
      </c>
    </row>
    <row r="6144" spans="2:4" hidden="1" x14ac:dyDescent="0.3">
      <c r="B6144" t="s">
        <v>1215</v>
      </c>
      <c r="C6144" t="str">
        <f>INDEX(nse!D:D,MATCH(B6144,nse!B:B,0))</f>
        <v>EQ</v>
      </c>
      <c r="D6144" t="str">
        <f>INDEX(nse!C:C,MATCH(B6144,nse!B:B,0))</f>
        <v>Uttam Sugar Mills Limited</v>
      </c>
    </row>
    <row r="6145" spans="2:4" hidden="1" x14ac:dyDescent="0.3">
      <c r="B6145" t="s">
        <v>4645</v>
      </c>
      <c r="C6145" t="str">
        <f>INDEX(nse!D:D,MATCH(B6145,nse!B:B,0))</f>
        <v>BE</v>
      </c>
      <c r="D6145" t="str">
        <f>INDEX(nse!C:C,MATCH(B6145,nse!B:B,0))</f>
        <v>Uttam Value Steels Limited</v>
      </c>
    </row>
    <row r="6146" spans="2:4" hidden="1" x14ac:dyDescent="0.3">
      <c r="B6146" t="s">
        <v>1216</v>
      </c>
      <c r="C6146" t="str">
        <f>INDEX(nse!D:D,MATCH(B6146,nse!B:B,0))</f>
        <v>EQ</v>
      </c>
      <c r="D6146" t="str">
        <f>INDEX(nse!C:C,MATCH(B6146,nse!B:B,0))</f>
        <v>V2 Retail Limited</v>
      </c>
    </row>
    <row r="6147" spans="2:4" hidden="1" x14ac:dyDescent="0.3">
      <c r="B6147" t="s">
        <v>1217</v>
      </c>
      <c r="C6147" t="str">
        <f>INDEX(nse!D:D,MATCH(B6147,nse!B:B,0))</f>
        <v>EQ</v>
      </c>
      <c r="D6147" t="str">
        <f>INDEX(nse!C:C,MATCH(B6147,nse!B:B,0))</f>
        <v>Vadilal Industries Limited</v>
      </c>
    </row>
    <row r="6148" spans="2:4" hidden="1" x14ac:dyDescent="0.3">
      <c r="B6148" t="s">
        <v>1218</v>
      </c>
      <c r="C6148" t="str">
        <f>INDEX(nse!D:D,MATCH(B6148,nse!B:B,0))</f>
        <v>BE</v>
      </c>
      <c r="D6148" t="str">
        <f>INDEX(nse!C:C,MATCH(B6148,nse!B:B,0))</f>
        <v>Vaibhav Global Limited</v>
      </c>
    </row>
    <row r="6149" spans="2:4" hidden="1" x14ac:dyDescent="0.3">
      <c r="B6149" t="s">
        <v>1219</v>
      </c>
      <c r="C6149" t="str">
        <f>INDEX(nse!D:D,MATCH(B6149,nse!B:B,0))</f>
        <v>EQ</v>
      </c>
      <c r="D6149" t="str">
        <f>INDEX(nse!C:C,MATCH(B6149,nse!B:B,0))</f>
        <v>Vakrangee Limited</v>
      </c>
    </row>
    <row r="6150" spans="2:4" hidden="1" x14ac:dyDescent="0.3">
      <c r="B6150" t="s">
        <v>1220</v>
      </c>
      <c r="C6150" t="str">
        <f>INDEX(nse!D:D,MATCH(B6150,nse!B:B,0))</f>
        <v>EQ</v>
      </c>
      <c r="D6150" t="str">
        <f>INDEX(nse!C:C,MATCH(B6150,nse!B:B,0))</f>
        <v>Value Industries Limited</v>
      </c>
    </row>
    <row r="6151" spans="2:4" hidden="1" x14ac:dyDescent="0.3">
      <c r="B6151" t="s">
        <v>1221</v>
      </c>
      <c r="C6151" t="str">
        <f>INDEX(nse!D:D,MATCH(B6151,nse!B:B,0))</f>
        <v>EQ</v>
      </c>
      <c r="D6151" t="str">
        <f>INDEX(nse!C:C,MATCH(B6151,nse!B:B,0))</f>
        <v>Vardhman Acrylics Limited</v>
      </c>
    </row>
    <row r="6152" spans="2:4" hidden="1" x14ac:dyDescent="0.3">
      <c r="B6152" t="s">
        <v>1222</v>
      </c>
      <c r="C6152" t="str">
        <f>INDEX(nse!D:D,MATCH(B6152,nse!B:B,0))</f>
        <v>EQ</v>
      </c>
      <c r="D6152" t="str">
        <f>INDEX(nse!C:C,MATCH(B6152,nse!B:B,0))</f>
        <v>Vardhman Polytex Limited</v>
      </c>
    </row>
    <row r="6153" spans="2:4" hidden="1" x14ac:dyDescent="0.3">
      <c r="B6153" t="s">
        <v>1223</v>
      </c>
      <c r="C6153" t="str">
        <f>INDEX(nse!D:D,MATCH(B6153,nse!B:B,0))</f>
        <v>EQ</v>
      </c>
      <c r="D6153" t="str">
        <f>INDEX(nse!C:C,MATCH(B6153,nse!B:B,0))</f>
        <v>Vascon Engineers Limited</v>
      </c>
    </row>
    <row r="6154" spans="2:4" hidden="1" x14ac:dyDescent="0.3">
      <c r="B6154" t="s">
        <v>1224</v>
      </c>
      <c r="C6154" t="str">
        <f>INDEX(nse!D:D,MATCH(B6154,nse!B:B,0))</f>
        <v>EQ</v>
      </c>
      <c r="D6154" t="str">
        <f>INDEX(nse!C:C,MATCH(B6154,nse!B:B,0))</f>
        <v>Vaswani Industries Limited</v>
      </c>
    </row>
    <row r="6155" spans="2:4" hidden="1" x14ac:dyDescent="0.3">
      <c r="B6155" t="s">
        <v>4657</v>
      </c>
      <c r="C6155" t="str">
        <f>INDEX(nse!D:D,MATCH(B6155,nse!B:B,0))</f>
        <v>EQ</v>
      </c>
      <c r="D6155" t="str">
        <f>INDEX(nse!C:C,MATCH(B6155,nse!B:B,0))</f>
        <v>Varun Beverages Limited</v>
      </c>
    </row>
    <row r="6156" spans="2:4" hidden="1" x14ac:dyDescent="0.3">
      <c r="B6156" t="s">
        <v>4660</v>
      </c>
      <c r="C6156" t="str">
        <f>INDEX(nse!D:D,MATCH(B6156,nse!B:B,0))</f>
        <v>EQ</v>
      </c>
      <c r="D6156" t="str">
        <f>INDEX(nse!C:C,MATCH(B6156,nse!B:B,0))</f>
        <v>Vedanta Limited</v>
      </c>
    </row>
    <row r="6157" spans="2:4" hidden="1" x14ac:dyDescent="0.3">
      <c r="B6157" t="s">
        <v>1225</v>
      </c>
      <c r="C6157" t="str">
        <f>INDEX(nse!D:D,MATCH(B6157,nse!B:B,0))</f>
        <v>EQ</v>
      </c>
      <c r="D6157" t="str">
        <f>INDEX(nse!C:C,MATCH(B6157,nse!B:B,0))</f>
        <v>Venky's (India) Limited</v>
      </c>
    </row>
    <row r="6158" spans="2:4" hidden="1" x14ac:dyDescent="0.3">
      <c r="B6158" t="s">
        <v>1226</v>
      </c>
      <c r="C6158" t="str">
        <f>INDEX(nse!D:D,MATCH(B6158,nse!B:B,0))</f>
        <v>EQ</v>
      </c>
      <c r="D6158" t="str">
        <f>INDEX(nse!C:C,MATCH(B6158,nse!B:B,0))</f>
        <v>Venus Remedies Limited</v>
      </c>
    </row>
    <row r="6159" spans="2:4" hidden="1" x14ac:dyDescent="0.3">
      <c r="B6159" t="s">
        <v>1227</v>
      </c>
      <c r="C6159" t="str">
        <f>INDEX(nse!D:D,MATCH(B6159,nse!B:B,0))</f>
        <v>EQ</v>
      </c>
      <c r="D6159" t="str">
        <f>INDEX(nse!C:C,MATCH(B6159,nse!B:B,0))</f>
        <v>Vesuvius India Limited</v>
      </c>
    </row>
    <row r="6160" spans="2:4" hidden="1" x14ac:dyDescent="0.3">
      <c r="B6160" t="s">
        <v>1339</v>
      </c>
      <c r="C6160" t="str">
        <f>INDEX(nse!D:D,MATCH(B6160,nse!B:B,0))</f>
        <v>EQ</v>
      </c>
      <c r="D6160" t="str">
        <f>INDEX(nse!C:C,MATCH(B6160,nse!B:B,0))</f>
        <v>Veto Switchgears And Cables Limited</v>
      </c>
    </row>
    <row r="6161" spans="2:4" hidden="1" x14ac:dyDescent="0.3">
      <c r="B6161" t="s">
        <v>1228</v>
      </c>
      <c r="C6161" t="str">
        <f>INDEX(nse!D:D,MATCH(B6161,nse!B:B,0))</f>
        <v>EQ</v>
      </c>
      <c r="D6161" t="str">
        <f>INDEX(nse!C:C,MATCH(B6161,nse!B:B,0))</f>
        <v>V-Guard Industries Limited</v>
      </c>
    </row>
    <row r="6162" spans="2:4" hidden="1" x14ac:dyDescent="0.3">
      <c r="B6162" t="s">
        <v>1229</v>
      </c>
      <c r="C6162" t="str">
        <f>INDEX(nse!D:D,MATCH(B6162,nse!B:B,0))</f>
        <v>EQ</v>
      </c>
      <c r="D6162" t="str">
        <f>INDEX(nse!C:C,MATCH(B6162,nse!B:B,0))</f>
        <v>Vardhman Holdings Limited</v>
      </c>
    </row>
    <row r="6163" spans="2:4" hidden="1" x14ac:dyDescent="0.3">
      <c r="B6163" t="s">
        <v>1230</v>
      </c>
      <c r="C6163" t="str">
        <f>INDEX(nse!D:D,MATCH(B6163,nse!B:B,0))</f>
        <v>EQ</v>
      </c>
      <c r="D6163" t="str">
        <f>INDEX(nse!C:C,MATCH(B6163,nse!B:B,0))</f>
        <v>Viceroy Hotels Limited</v>
      </c>
    </row>
    <row r="6164" spans="2:4" hidden="1" x14ac:dyDescent="0.3">
      <c r="B6164" t="s">
        <v>1231</v>
      </c>
      <c r="C6164" t="str">
        <f>INDEX(nse!D:D,MATCH(B6164,nse!B:B,0))</f>
        <v>EQ</v>
      </c>
      <c r="D6164" t="str">
        <f>INDEX(nse!C:C,MATCH(B6164,nse!B:B,0))</f>
        <v>Videocon Industries Limited</v>
      </c>
    </row>
    <row r="6165" spans="2:4" hidden="1" x14ac:dyDescent="0.3">
      <c r="B6165" t="s">
        <v>4671</v>
      </c>
      <c r="C6165" t="str">
        <f>INDEX(nse!D:D,MATCH(B6165,nse!B:B,0))</f>
        <v>EQ</v>
      </c>
      <c r="D6165" t="str">
        <f>INDEX(nse!C:C,MATCH(B6165,nse!B:B,0))</f>
        <v>Vidhi Specialty Food Ingredients Limited</v>
      </c>
    </row>
    <row r="6166" spans="2:4" hidden="1" x14ac:dyDescent="0.3">
      <c r="B6166" t="s">
        <v>1232</v>
      </c>
      <c r="C6166" t="str">
        <f>INDEX(nse!D:D,MATCH(B6166,nse!B:B,0))</f>
        <v>EQ</v>
      </c>
      <c r="D6166" t="str">
        <f>INDEX(nse!C:C,MATCH(B6166,nse!B:B,0))</f>
        <v>Vijaya Bank</v>
      </c>
    </row>
    <row r="6167" spans="2:4" hidden="1" x14ac:dyDescent="0.3">
      <c r="B6167" t="s">
        <v>4675</v>
      </c>
      <c r="C6167" t="str">
        <f>INDEX(nse!D:D,MATCH(B6167,nse!B:B,0))</f>
        <v>BE</v>
      </c>
      <c r="D6167" t="str">
        <f>INDEX(nse!C:C,MATCH(B6167,nse!B:B,0))</f>
        <v>Viji Finance Limited</v>
      </c>
    </row>
    <row r="6168" spans="2:4" hidden="1" x14ac:dyDescent="0.3">
      <c r="B6168" t="s">
        <v>1233</v>
      </c>
      <c r="C6168" t="str">
        <f>INDEX(nse!D:D,MATCH(B6168,nse!B:B,0))</f>
        <v>EQ</v>
      </c>
      <c r="D6168" t="str">
        <f>INDEX(nse!C:C,MATCH(B6168,nse!B:B,0))</f>
        <v>Vijay Shanthi Builders Limited</v>
      </c>
    </row>
    <row r="6169" spans="2:4" hidden="1" x14ac:dyDescent="0.3">
      <c r="B6169" t="s">
        <v>4679</v>
      </c>
      <c r="C6169" t="str">
        <f>INDEX(nse!D:D,MATCH(B6169,nse!B:B,0))</f>
        <v>EQ</v>
      </c>
      <c r="D6169" t="str">
        <f>INDEX(nse!C:C,MATCH(B6169,nse!B:B,0))</f>
        <v>Vikas EcoTech Limited</v>
      </c>
    </row>
    <row r="6170" spans="2:4" hidden="1" x14ac:dyDescent="0.3">
      <c r="B6170" t="s">
        <v>1234</v>
      </c>
      <c r="C6170" t="str">
        <f>INDEX(nse!D:D,MATCH(B6170,nse!B:B,0))</f>
        <v>BE</v>
      </c>
      <c r="D6170" t="str">
        <f>INDEX(nse!C:C,MATCH(B6170,nse!B:B,0))</f>
        <v>Vimal Oil &amp; Foods Limited</v>
      </c>
    </row>
    <row r="6171" spans="2:4" hidden="1" x14ac:dyDescent="0.3">
      <c r="B6171" t="s">
        <v>1235</v>
      </c>
      <c r="C6171" t="str">
        <f>INDEX(nse!D:D,MATCH(B6171,nse!B:B,0))</f>
        <v>EQ</v>
      </c>
      <c r="D6171" t="str">
        <f>INDEX(nse!C:C,MATCH(B6171,nse!B:B,0))</f>
        <v>Vimta Labs Limited</v>
      </c>
    </row>
    <row r="6172" spans="2:4" hidden="1" x14ac:dyDescent="0.3">
      <c r="B6172" t="s">
        <v>1236</v>
      </c>
      <c r="C6172" t="str">
        <f>INDEX(nse!D:D,MATCH(B6172,nse!B:B,0))</f>
        <v>EQ</v>
      </c>
      <c r="D6172" t="str">
        <f>INDEX(nse!C:C,MATCH(B6172,nse!B:B,0))</f>
        <v>Vinati Organics Limited</v>
      </c>
    </row>
    <row r="6173" spans="2:4" hidden="1" x14ac:dyDescent="0.3">
      <c r="B6173" t="s">
        <v>1237</v>
      </c>
      <c r="C6173" t="str">
        <f>INDEX(nse!D:D,MATCH(B6173,nse!B:B,0))</f>
        <v>EQ</v>
      </c>
      <c r="D6173" t="str">
        <f>INDEX(nse!C:C,MATCH(B6173,nse!B:B,0))</f>
        <v>Vindhya Telelinks Limited</v>
      </c>
    </row>
    <row r="6174" spans="2:4" hidden="1" x14ac:dyDescent="0.3">
      <c r="B6174" t="s">
        <v>1238</v>
      </c>
      <c r="C6174" t="str">
        <f>INDEX(nse!D:D,MATCH(B6174,nse!B:B,0))</f>
        <v>EQ</v>
      </c>
      <c r="D6174" t="str">
        <f>INDEX(nse!C:C,MATCH(B6174,nse!B:B,0))</f>
        <v>Vinyl Chemicals (India) Limited</v>
      </c>
    </row>
    <row r="6175" spans="2:4" hidden="1" x14ac:dyDescent="0.3">
      <c r="B6175" t="s">
        <v>4687</v>
      </c>
      <c r="C6175" t="str">
        <f>INDEX(nse!D:D,MATCH(B6175,nse!B:B,0))</f>
        <v>EQ</v>
      </c>
      <c r="D6175" t="str">
        <f>INDEX(nse!C:C,MATCH(B6175,nse!B:B,0))</f>
        <v>VIP Clothing Limited</v>
      </c>
    </row>
    <row r="6176" spans="2:4" hidden="1" x14ac:dyDescent="0.3">
      <c r="B6176" t="s">
        <v>1239</v>
      </c>
      <c r="C6176" t="str">
        <f>INDEX(nse!D:D,MATCH(B6176,nse!B:B,0))</f>
        <v>EQ</v>
      </c>
      <c r="D6176" t="str">
        <f>INDEX(nse!C:C,MATCH(B6176,nse!B:B,0))</f>
        <v>VIP Industries Limited</v>
      </c>
    </row>
    <row r="6177" spans="2:4" hidden="1" x14ac:dyDescent="0.3">
      <c r="B6177" t="s">
        <v>4691</v>
      </c>
      <c r="C6177" t="str">
        <f>INDEX(nse!D:D,MATCH(B6177,nse!B:B,0))</f>
        <v>EQ</v>
      </c>
      <c r="D6177" t="str">
        <f>INDEX(nse!C:C,MATCH(B6177,nse!B:B,0))</f>
        <v>Vipul Limited</v>
      </c>
    </row>
    <row r="6178" spans="2:4" hidden="1" x14ac:dyDescent="0.3">
      <c r="B6178" t="s">
        <v>1240</v>
      </c>
      <c r="C6178" t="str">
        <f>INDEX(nse!D:D,MATCH(B6178,nse!B:B,0))</f>
        <v>EQ</v>
      </c>
      <c r="D6178" t="str">
        <f>INDEX(nse!C:C,MATCH(B6178,nse!B:B,0))</f>
        <v>Visaka Industries Limited</v>
      </c>
    </row>
    <row r="6179" spans="2:4" hidden="1" x14ac:dyDescent="0.3">
      <c r="B6179" t="s">
        <v>1241</v>
      </c>
      <c r="C6179" t="str">
        <f>INDEX(nse!D:D,MATCH(B6179,nse!B:B,0))</f>
        <v>EQ</v>
      </c>
      <c r="D6179" t="str">
        <f>INDEX(nse!C:C,MATCH(B6179,nse!B:B,0))</f>
        <v>Visa Steel Limited</v>
      </c>
    </row>
    <row r="6180" spans="2:4" hidden="1" x14ac:dyDescent="0.3">
      <c r="B6180" t="s">
        <v>1242</v>
      </c>
      <c r="C6180" t="str">
        <f>INDEX(nse!D:D,MATCH(B6180,nse!B:B,0))</f>
        <v>BE</v>
      </c>
      <c r="D6180" t="str">
        <f>INDEX(nse!C:C,MATCH(B6180,nse!B:B,0))</f>
        <v>Visesh Infotecnics Limited</v>
      </c>
    </row>
    <row r="6181" spans="2:4" hidden="1" x14ac:dyDescent="0.3">
      <c r="B6181" t="s">
        <v>4697</v>
      </c>
      <c r="C6181" t="str">
        <f>INDEX(nse!D:D,MATCH(B6181,nse!B:B,0))</f>
        <v>EQ</v>
      </c>
      <c r="D6181" t="str">
        <f>INDEX(nse!C:C,MATCH(B6181,nse!B:B,0))</f>
        <v>Vishnu Chemicals Limited</v>
      </c>
    </row>
    <row r="6182" spans="2:4" hidden="1" x14ac:dyDescent="0.3">
      <c r="B6182" t="s">
        <v>1338</v>
      </c>
      <c r="C6182" t="str">
        <f>INDEX(nse!D:D,MATCH(B6182,nse!B:B,0))</f>
        <v>BE</v>
      </c>
      <c r="D6182" t="str">
        <f>INDEX(nse!C:C,MATCH(B6182,nse!B:B,0))</f>
        <v>Visu International Limited</v>
      </c>
    </row>
    <row r="6183" spans="2:4" hidden="1" x14ac:dyDescent="0.3">
      <c r="B6183" t="s">
        <v>1243</v>
      </c>
      <c r="C6183" t="str">
        <f>INDEX(nse!D:D,MATCH(B6183,nse!B:B,0))</f>
        <v>EQ</v>
      </c>
      <c r="D6183" t="str">
        <f>INDEX(nse!C:C,MATCH(B6183,nse!B:B,0))</f>
        <v>Visagar Polytex Limited</v>
      </c>
    </row>
    <row r="6184" spans="2:4" hidden="1" x14ac:dyDescent="0.3">
      <c r="B6184" t="s">
        <v>1244</v>
      </c>
      <c r="C6184" t="str">
        <f>INDEX(nse!D:D,MATCH(B6184,nse!B:B,0))</f>
        <v>EQ</v>
      </c>
      <c r="D6184" t="str">
        <f>INDEX(nse!C:C,MATCH(B6184,nse!B:B,0))</f>
        <v>Vivimed Labs Limited</v>
      </c>
    </row>
    <row r="6185" spans="2:4" hidden="1" x14ac:dyDescent="0.3">
      <c r="B6185" t="s">
        <v>1245</v>
      </c>
      <c r="C6185" t="str">
        <f>INDEX(nse!D:D,MATCH(B6185,nse!B:B,0))</f>
        <v>EQ</v>
      </c>
      <c r="D6185" t="str">
        <f>INDEX(nse!C:C,MATCH(B6185,nse!B:B,0))</f>
        <v>VLS Finance Limited</v>
      </c>
    </row>
    <row r="6186" spans="2:4" hidden="1" x14ac:dyDescent="0.3">
      <c r="B6186" t="s">
        <v>1246</v>
      </c>
      <c r="C6186" t="str">
        <f>INDEX(nse!D:D,MATCH(B6186,nse!B:B,0))</f>
        <v>EQ</v>
      </c>
      <c r="D6186" t="str">
        <f>INDEX(nse!C:C,MATCH(B6186,nse!B:B,0))</f>
        <v>V-Mart Retail Limited</v>
      </c>
    </row>
    <row r="6187" spans="2:4" hidden="1" x14ac:dyDescent="0.3">
      <c r="B6187" t="s">
        <v>1247</v>
      </c>
      <c r="C6187" t="str">
        <f>INDEX(nse!D:D,MATCH(B6187,nse!B:B,0))</f>
        <v>EQ</v>
      </c>
      <c r="D6187" t="str">
        <f>INDEX(nse!C:C,MATCH(B6187,nse!B:B,0))</f>
        <v>Voltamp Transformers Limited</v>
      </c>
    </row>
    <row r="6188" spans="2:4" hidden="1" x14ac:dyDescent="0.3">
      <c r="B6188" t="s">
        <v>1247</v>
      </c>
      <c r="C6188" t="str">
        <f>INDEX(nse!D:D,MATCH(B6188,nse!B:B,0))</f>
        <v>EQ</v>
      </c>
      <c r="D6188" t="str">
        <f>INDEX(nse!C:C,MATCH(B6188,nse!B:B,0))</f>
        <v>Voltamp Transformers Limited</v>
      </c>
    </row>
    <row r="6189" spans="2:4" hidden="1" x14ac:dyDescent="0.3">
      <c r="B6189" t="s">
        <v>108</v>
      </c>
      <c r="C6189" t="str">
        <f>INDEX(nse!D:D,MATCH(B6189,nse!B:B,0))</f>
        <v>EQ</v>
      </c>
      <c r="D6189" t="str">
        <f>INDEX(nse!C:C,MATCH(B6189,nse!B:B,0))</f>
        <v>Voltas Limited</v>
      </c>
    </row>
    <row r="6190" spans="2:4" hidden="1" x14ac:dyDescent="0.3">
      <c r="B6190" t="s">
        <v>4707</v>
      </c>
      <c r="C6190" t="str">
        <f>INDEX(nse!D:D,MATCH(B6190,nse!B:B,0))</f>
        <v>EQ</v>
      </c>
      <c r="D6190" t="str">
        <f>INDEX(nse!C:C,MATCH(B6190,nse!B:B,0))</f>
        <v>VRL Logistics Limited</v>
      </c>
    </row>
    <row r="6191" spans="2:4" hidden="1" x14ac:dyDescent="0.3">
      <c r="B6191" t="s">
        <v>1248</v>
      </c>
      <c r="C6191" t="str">
        <f>INDEX(nse!D:D,MATCH(B6191,nse!B:B,0))</f>
        <v>EQ</v>
      </c>
      <c r="D6191" t="str">
        <f>INDEX(nse!C:C,MATCH(B6191,nse!B:B,0))</f>
        <v>Vardhman Special Steels Limited</v>
      </c>
    </row>
    <row r="6192" spans="2:4" hidden="1" x14ac:dyDescent="0.3">
      <c r="B6192" t="s">
        <v>1249</v>
      </c>
      <c r="C6192" t="str">
        <f>INDEX(nse!D:D,MATCH(B6192,nse!B:B,0))</f>
        <v>EQ</v>
      </c>
      <c r="D6192" t="str">
        <f>INDEX(nse!C:C,MATCH(B6192,nse!B:B,0))</f>
        <v>VST Industries Limited</v>
      </c>
    </row>
    <row r="6193" spans="2:4" hidden="1" x14ac:dyDescent="0.3">
      <c r="B6193" t="s">
        <v>1250</v>
      </c>
      <c r="C6193" t="str">
        <f>INDEX(nse!D:D,MATCH(B6193,nse!B:B,0))</f>
        <v>EQ</v>
      </c>
      <c r="D6193" t="str">
        <f>INDEX(nse!C:C,MATCH(B6193,nse!B:B,0))</f>
        <v>V.S.T Tillers Tractors Limited</v>
      </c>
    </row>
    <row r="6194" spans="2:4" hidden="1" x14ac:dyDescent="0.3">
      <c r="B6194" t="s">
        <v>1251</v>
      </c>
      <c r="C6194" t="str">
        <f>INDEX(nse!D:D,MATCH(B6194,nse!B:B,0))</f>
        <v>EQ</v>
      </c>
      <c r="D6194" t="str">
        <f>INDEX(nse!C:C,MATCH(B6194,nse!B:B,0))</f>
        <v>Vardhman Textiles Limited</v>
      </c>
    </row>
    <row r="6195" spans="2:4" hidden="1" x14ac:dyDescent="0.3">
      <c r="B6195" t="s">
        <v>1252</v>
      </c>
      <c r="C6195" t="str">
        <f>INDEX(nse!D:D,MATCH(B6195,nse!B:B,0))</f>
        <v>EQ</v>
      </c>
      <c r="D6195" t="str">
        <f>INDEX(nse!C:C,MATCH(B6195,nse!B:B,0))</f>
        <v>VA Tech Wabag Limited</v>
      </c>
    </row>
    <row r="6196" spans="2:4" hidden="1" x14ac:dyDescent="0.3">
      <c r="B6196" t="s">
        <v>1253</v>
      </c>
      <c r="C6196" t="str">
        <f>INDEX(nse!D:D,MATCH(B6196,nse!B:B,0))</f>
        <v>EQ</v>
      </c>
      <c r="D6196" t="str">
        <f>INDEX(nse!C:C,MATCH(B6196,nse!B:B,0))</f>
        <v>WABCO India Limited</v>
      </c>
    </row>
    <row r="6197" spans="2:4" hidden="1" x14ac:dyDescent="0.3">
      <c r="B6197" t="s">
        <v>1254</v>
      </c>
      <c r="C6197" t="str">
        <f>INDEX(nse!D:D,MATCH(B6197,nse!B:B,0))</f>
        <v>EQ</v>
      </c>
      <c r="D6197" t="str">
        <f>INDEX(nse!C:C,MATCH(B6197,nse!B:B,0))</f>
        <v>Walchandnagar Industries Limited</v>
      </c>
    </row>
    <row r="6198" spans="2:4" hidden="1" x14ac:dyDescent="0.3">
      <c r="B6198" t="s">
        <v>1255</v>
      </c>
      <c r="C6198" t="str">
        <f>INDEX(nse!D:D,MATCH(B6198,nse!B:B,0))</f>
        <v>BE</v>
      </c>
      <c r="D6198" t="str">
        <f>INDEX(nse!C:C,MATCH(B6198,nse!B:B,0))</f>
        <v>Wanbury Limited</v>
      </c>
    </row>
    <row r="6199" spans="2:4" hidden="1" x14ac:dyDescent="0.3">
      <c r="B6199" t="s">
        <v>1256</v>
      </c>
      <c r="C6199" t="str">
        <f>INDEX(nse!D:D,MATCH(B6199,nse!B:B,0))</f>
        <v>BE</v>
      </c>
      <c r="D6199" t="str">
        <f>INDEX(nse!C:C,MATCH(B6199,nse!B:B,0))</f>
        <v>Websol Energy System Limited</v>
      </c>
    </row>
    <row r="6200" spans="2:4" hidden="1" x14ac:dyDescent="0.3">
      <c r="B6200" t="s">
        <v>1257</v>
      </c>
      <c r="C6200" t="str">
        <f>INDEX(nse!D:D,MATCH(B6200,nse!B:B,0))</f>
        <v>EQ</v>
      </c>
      <c r="D6200" t="str">
        <f>INDEX(nse!C:C,MATCH(B6200,nse!B:B,0))</f>
        <v>Weizmann Forex Limited</v>
      </c>
    </row>
    <row r="6201" spans="2:4" hidden="1" x14ac:dyDescent="0.3">
      <c r="B6201" t="s">
        <v>1258</v>
      </c>
      <c r="C6201" t="str">
        <f>INDEX(nse!D:D,MATCH(B6201,nse!B:B,0))</f>
        <v>EQ</v>
      </c>
      <c r="D6201" t="str">
        <f>INDEX(nse!C:C,MATCH(B6201,nse!B:B,0))</f>
        <v>Weizmann Limited</v>
      </c>
    </row>
    <row r="6202" spans="2:4" hidden="1" x14ac:dyDescent="0.3">
      <c r="B6202" t="s">
        <v>1259</v>
      </c>
      <c r="C6202" t="str">
        <f>INDEX(nse!D:D,MATCH(B6202,nse!B:B,0))</f>
        <v>EQ</v>
      </c>
      <c r="D6202" t="str">
        <f>INDEX(nse!C:C,MATCH(B6202,nse!B:B,0))</f>
        <v>Welspun Corp Limited</v>
      </c>
    </row>
    <row r="6203" spans="2:4" hidden="1" x14ac:dyDescent="0.3">
      <c r="B6203" t="s">
        <v>4722</v>
      </c>
      <c r="C6203" t="str">
        <f>INDEX(nse!D:D,MATCH(B6203,nse!B:B,0))</f>
        <v>EQ</v>
      </c>
      <c r="D6203" t="str">
        <f>INDEX(nse!C:C,MATCH(B6203,nse!B:B,0))</f>
        <v>Welspun Enterprises Limited</v>
      </c>
    </row>
    <row r="6204" spans="2:4" hidden="1" x14ac:dyDescent="0.3">
      <c r="B6204" t="s">
        <v>1260</v>
      </c>
      <c r="C6204" t="str">
        <f>INDEX(nse!D:D,MATCH(B6204,nse!B:B,0))</f>
        <v>EQ</v>
      </c>
      <c r="D6204" t="str">
        <f>INDEX(nse!C:C,MATCH(B6204,nse!B:B,0))</f>
        <v>Welspun Investments and Commercials Limited</v>
      </c>
    </row>
    <row r="6205" spans="2:4" hidden="1" x14ac:dyDescent="0.3">
      <c r="B6205" t="s">
        <v>1261</v>
      </c>
      <c r="C6205" t="str">
        <f>INDEX(nse!D:D,MATCH(B6205,nse!B:B,0))</f>
        <v>EQ</v>
      </c>
      <c r="D6205" t="str">
        <f>INDEX(nse!C:C,MATCH(B6205,nse!B:B,0))</f>
        <v>Welspun India Limited</v>
      </c>
    </row>
    <row r="6206" spans="2:4" hidden="1" x14ac:dyDescent="0.3">
      <c r="B6206" t="s">
        <v>1262</v>
      </c>
      <c r="C6206" t="str">
        <f>INDEX(nse!D:D,MATCH(B6206,nse!B:B,0))</f>
        <v>EQ</v>
      </c>
      <c r="D6206" t="str">
        <f>INDEX(nse!C:C,MATCH(B6206,nse!B:B,0))</f>
        <v>Wendt (India) Limited</v>
      </c>
    </row>
    <row r="6207" spans="2:4" hidden="1" x14ac:dyDescent="0.3">
      <c r="B6207" t="s">
        <v>1263</v>
      </c>
      <c r="C6207" t="str">
        <f>INDEX(nse!D:D,MATCH(B6207,nse!B:B,0))</f>
        <v>EQ</v>
      </c>
      <c r="D6207" t="str">
        <f>INDEX(nse!C:C,MATCH(B6207,nse!B:B,0))</f>
        <v>Wheels India Limited</v>
      </c>
    </row>
    <row r="6208" spans="2:4" hidden="1" x14ac:dyDescent="0.3">
      <c r="B6208" t="s">
        <v>1264</v>
      </c>
      <c r="C6208" t="str">
        <f>INDEX(nse!D:D,MATCH(B6208,nse!B:B,0))</f>
        <v>EQ</v>
      </c>
      <c r="D6208" t="str">
        <f>INDEX(nse!C:C,MATCH(B6208,nse!B:B,0))</f>
        <v>Whirlpool of India Limited</v>
      </c>
    </row>
    <row r="6209" spans="2:4" hidden="1" x14ac:dyDescent="0.3">
      <c r="B6209" t="s">
        <v>1265</v>
      </c>
      <c r="C6209" t="str">
        <f>INDEX(nse!D:D,MATCH(B6209,nse!B:B,0))</f>
        <v>BE</v>
      </c>
      <c r="D6209" t="str">
        <f>INDEX(nse!C:C,MATCH(B6209,nse!B:B,0))</f>
        <v>Williamson Magor &amp; Company Limited</v>
      </c>
    </row>
    <row r="6210" spans="2:4" hidden="1" x14ac:dyDescent="0.3">
      <c r="B6210" t="s">
        <v>1266</v>
      </c>
      <c r="C6210" t="str">
        <f>INDEX(nse!D:D,MATCH(B6210,nse!B:B,0))</f>
        <v>EQ</v>
      </c>
      <c r="D6210" t="str">
        <f>INDEX(nse!C:C,MATCH(B6210,nse!B:B,0))</f>
        <v>Windsor Machines Limited</v>
      </c>
    </row>
    <row r="6211" spans="2:4" hidden="1" x14ac:dyDescent="0.3">
      <c r="B6211" t="s">
        <v>1267</v>
      </c>
      <c r="C6211" t="str">
        <f>INDEX(nse!D:D,MATCH(B6211,nse!B:B,0))</f>
        <v>EQ</v>
      </c>
      <c r="D6211" t="str">
        <f>INDEX(nse!C:C,MATCH(B6211,nse!B:B,0))</f>
        <v>Winsome Yarns Limited</v>
      </c>
    </row>
    <row r="6212" spans="2:4" hidden="1" x14ac:dyDescent="0.3">
      <c r="B6212" t="s">
        <v>4732</v>
      </c>
      <c r="C6212" t="str">
        <f>INDEX(nse!D:D,MATCH(B6212,nse!B:B,0))</f>
        <v>BE</v>
      </c>
      <c r="D6212" t="str">
        <f>INDEX(nse!C:C,MATCH(B6212,nse!B:B,0))</f>
        <v>The Western India Plywoods Limited</v>
      </c>
    </row>
    <row r="6213" spans="2:4" hidden="1" x14ac:dyDescent="0.3">
      <c r="B6213" t="s">
        <v>126</v>
      </c>
      <c r="C6213" t="str">
        <f>INDEX(nse!D:D,MATCH(B6213,nse!B:B,0))</f>
        <v>EQ</v>
      </c>
      <c r="D6213" t="str">
        <f>INDEX(nse!C:C,MATCH(B6213,nse!B:B,0))</f>
        <v>Wipro Limited</v>
      </c>
    </row>
    <row r="6214" spans="2:4" hidden="1" x14ac:dyDescent="0.3">
      <c r="B6214" t="s">
        <v>1268</v>
      </c>
      <c r="C6214" t="str">
        <f>INDEX(nse!D:D,MATCH(B6214,nse!B:B,0))</f>
        <v>EQ</v>
      </c>
      <c r="D6214" t="str">
        <f>INDEX(nse!C:C,MATCH(B6214,nse!B:B,0))</f>
        <v>Wockhardt Limited</v>
      </c>
    </row>
    <row r="6215" spans="2:4" hidden="1" x14ac:dyDescent="0.3">
      <c r="B6215" t="s">
        <v>1269</v>
      </c>
      <c r="C6215" t="str">
        <f>INDEX(nse!D:D,MATCH(B6215,nse!B:B,0))</f>
        <v>EQ</v>
      </c>
      <c r="D6215" t="str">
        <f>INDEX(nse!C:C,MATCH(B6215,nse!B:B,0))</f>
        <v>Wonderla Holidays Limited</v>
      </c>
    </row>
    <row r="6216" spans="2:4" hidden="1" x14ac:dyDescent="0.3">
      <c r="B6216" t="s">
        <v>1270</v>
      </c>
      <c r="C6216" t="str">
        <f>INDEX(nse!D:D,MATCH(B6216,nse!B:B,0))</f>
        <v>EQ</v>
      </c>
      <c r="D6216" t="str">
        <f>INDEX(nse!C:C,MATCH(B6216,nse!B:B,0))</f>
        <v>W S Industries (I) Limited</v>
      </c>
    </row>
    <row r="6217" spans="2:4" hidden="1" x14ac:dyDescent="0.3">
      <c r="B6217" t="s">
        <v>1271</v>
      </c>
      <c r="C6217" t="str">
        <f>INDEX(nse!D:D,MATCH(B6217,nse!B:B,0))</f>
        <v>EQ</v>
      </c>
      <c r="D6217" t="str">
        <f>INDEX(nse!C:C,MATCH(B6217,nse!B:B,0))</f>
        <v>West Coast Paper Mills Limited</v>
      </c>
    </row>
    <row r="6218" spans="2:4" hidden="1" x14ac:dyDescent="0.3">
      <c r="B6218" t="s">
        <v>1272</v>
      </c>
      <c r="C6218" t="str">
        <f>INDEX(nse!D:D,MATCH(B6218,nse!B:B,0))</f>
        <v>EQ</v>
      </c>
      <c r="D6218" t="str">
        <f>INDEX(nse!C:C,MATCH(B6218,nse!B:B,0))</f>
        <v>Xchanging Solutions Limited</v>
      </c>
    </row>
    <row r="6219" spans="2:4" hidden="1" x14ac:dyDescent="0.3">
      <c r="B6219" t="s">
        <v>1273</v>
      </c>
      <c r="C6219" t="str">
        <f>INDEX(nse!D:D,MATCH(B6219,nse!B:B,0))</f>
        <v>EQ</v>
      </c>
      <c r="D6219" t="str">
        <f>INDEX(nse!C:C,MATCH(B6219,nse!B:B,0))</f>
        <v>XL Energy Limited</v>
      </c>
    </row>
    <row r="6220" spans="2:4" hidden="1" x14ac:dyDescent="0.3">
      <c r="B6220" t="s">
        <v>1274</v>
      </c>
      <c r="C6220" t="str">
        <f>INDEX(nse!D:D,MATCH(B6220,nse!B:B,0))</f>
        <v>EQ</v>
      </c>
      <c r="D6220" t="str">
        <f>INDEX(nse!C:C,MATCH(B6220,nse!B:B,0))</f>
        <v>Xpro India Limited</v>
      </c>
    </row>
    <row r="6221" spans="2:4" hidden="1" x14ac:dyDescent="0.3">
      <c r="B6221" t="s">
        <v>1275</v>
      </c>
      <c r="C6221" t="str">
        <f>INDEX(nse!D:D,MATCH(B6221,nse!B:B,0))</f>
        <v>EQ</v>
      </c>
      <c r="D6221" t="str">
        <f>INDEX(nse!C:C,MATCH(B6221,nse!B:B,0))</f>
        <v>Yes Bank Limited</v>
      </c>
    </row>
    <row r="6222" spans="2:4" hidden="1" x14ac:dyDescent="0.3">
      <c r="B6222" t="s">
        <v>1276</v>
      </c>
      <c r="C6222" t="str">
        <f>INDEX(nse!D:D,MATCH(B6222,nse!B:B,0))</f>
        <v>EQ</v>
      </c>
      <c r="D6222" t="str">
        <f>INDEX(nse!C:C,MATCH(B6222,nse!B:B,0))</f>
        <v>Zandu Realty Limited</v>
      </c>
    </row>
    <row r="6223" spans="2:4" hidden="1" x14ac:dyDescent="0.3">
      <c r="B6223" t="s">
        <v>1277</v>
      </c>
      <c r="C6223" t="str">
        <f>INDEX(nse!D:D,MATCH(B6223,nse!B:B,0))</f>
        <v>EQ</v>
      </c>
      <c r="D6223" t="str">
        <f>INDEX(nse!C:C,MATCH(B6223,nse!B:B,0))</f>
        <v>Zee Entertainment Enterprises Limited</v>
      </c>
    </row>
    <row r="6224" spans="2:4" hidden="1" x14ac:dyDescent="0.3">
      <c r="B6224" t="s">
        <v>1278</v>
      </c>
      <c r="C6224" t="str">
        <f>INDEX(nse!D:D,MATCH(B6224,nse!B:B,0))</f>
        <v>EQ</v>
      </c>
      <c r="D6224" t="str">
        <f>INDEX(nse!C:C,MATCH(B6224,nse!B:B,0))</f>
        <v>Zee Learn Limited</v>
      </c>
    </row>
    <row r="6225" spans="2:4" hidden="1" x14ac:dyDescent="0.3">
      <c r="B6225" t="s">
        <v>1279</v>
      </c>
      <c r="C6225" t="str">
        <f>INDEX(nse!D:D,MATCH(B6225,nse!B:B,0))</f>
        <v>EQ</v>
      </c>
      <c r="D6225" t="str">
        <f>INDEX(nse!C:C,MATCH(B6225,nse!B:B,0))</f>
        <v>Zee Media Corporation Limited</v>
      </c>
    </row>
    <row r="6226" spans="2:4" hidden="1" x14ac:dyDescent="0.3">
      <c r="B6226" t="s">
        <v>1280</v>
      </c>
      <c r="C6226" t="str">
        <f>INDEX(nse!D:D,MATCH(B6226,nse!B:B,0))</f>
        <v>EQ</v>
      </c>
      <c r="D6226" t="str">
        <f>INDEX(nse!C:C,MATCH(B6226,nse!B:B,0))</f>
        <v>Zenith Birla (India) Limited</v>
      </c>
    </row>
    <row r="6227" spans="2:4" hidden="1" x14ac:dyDescent="0.3">
      <c r="B6227" t="s">
        <v>1281</v>
      </c>
      <c r="C6227" t="str">
        <f>INDEX(nse!D:D,MATCH(B6227,nse!B:B,0))</f>
        <v>BE</v>
      </c>
      <c r="D6227" t="str">
        <f>INDEX(nse!C:C,MATCH(B6227,nse!B:B,0))</f>
        <v>Zenith Exports Limited</v>
      </c>
    </row>
    <row r="6228" spans="2:4" hidden="1" x14ac:dyDescent="0.3">
      <c r="B6228" t="s">
        <v>1282</v>
      </c>
      <c r="C6228" t="str">
        <f>INDEX(nse!D:D,MATCH(B6228,nse!B:B,0))</f>
        <v>EQ</v>
      </c>
      <c r="D6228" t="str">
        <f>INDEX(nse!C:C,MATCH(B6228,nse!B:B,0))</f>
        <v>Zensar Technologies Limited</v>
      </c>
    </row>
    <row r="6229" spans="2:4" hidden="1" x14ac:dyDescent="0.3">
      <c r="B6229" t="s">
        <v>4751</v>
      </c>
      <c r="C6229" t="str">
        <f>INDEX(nse!D:D,MATCH(B6229,nse!B:B,0))</f>
        <v>EQ</v>
      </c>
      <c r="D6229" t="str">
        <f>INDEX(nse!C:C,MATCH(B6229,nse!B:B,0))</f>
        <v>Zen Technologies Limited</v>
      </c>
    </row>
    <row r="6230" spans="2:4" hidden="1" x14ac:dyDescent="0.3">
      <c r="B6230" t="s">
        <v>1283</v>
      </c>
      <c r="C6230" t="str">
        <f>INDEX(nse!D:D,MATCH(B6230,nse!B:B,0))</f>
        <v>EQ</v>
      </c>
      <c r="D6230" t="str">
        <f>INDEX(nse!C:C,MATCH(B6230,nse!B:B,0))</f>
        <v>Zicom Electronic Security Systems Limited</v>
      </c>
    </row>
    <row r="6231" spans="2:4" hidden="1" x14ac:dyDescent="0.3">
      <c r="B6231" t="s">
        <v>1284</v>
      </c>
      <c r="C6231" t="str">
        <f>INDEX(nse!D:D,MATCH(B6231,nse!B:B,0))</f>
        <v>EQ</v>
      </c>
      <c r="D6231" t="str">
        <f>INDEX(nse!C:C,MATCH(B6231,nse!B:B,0))</f>
        <v>Zodiac Clothing Company Limited</v>
      </c>
    </row>
    <row r="6232" spans="2:4" hidden="1" x14ac:dyDescent="0.3">
      <c r="B6232" t="s">
        <v>1285</v>
      </c>
      <c r="C6232" t="str">
        <f>INDEX(nse!D:D,MATCH(B6232,nse!B:B,0))</f>
        <v>EQ</v>
      </c>
      <c r="D6232" t="str">
        <f>INDEX(nse!C:C,MATCH(B6232,nse!B:B,0))</f>
        <v>Zodiac JRD- MKJ Limited</v>
      </c>
    </row>
    <row r="6233" spans="2:4" hidden="1" x14ac:dyDescent="0.3">
      <c r="B6233" t="s">
        <v>1286</v>
      </c>
      <c r="C6233" t="str">
        <f>INDEX(nse!D:D,MATCH(B6233,nse!B:B,0))</f>
        <v>EQ</v>
      </c>
      <c r="D6233" t="str">
        <f>INDEX(nse!C:C,MATCH(B6233,nse!B:B,0))</f>
        <v>Zuari Agro Chemicals Limited</v>
      </c>
    </row>
    <row r="6234" spans="2:4" hidden="1" x14ac:dyDescent="0.3">
      <c r="B6234" t="s">
        <v>1287</v>
      </c>
      <c r="C6234" t="str">
        <f>INDEX(nse!D:D,MATCH(B6234,nse!B:B,0))</f>
        <v>EQ</v>
      </c>
      <c r="D6234" t="str">
        <f>INDEX(nse!C:C,MATCH(B6234,nse!B:B,0))</f>
        <v>Zuari Global Limited</v>
      </c>
    </row>
    <row r="6235" spans="2:4" hidden="1" x14ac:dyDescent="0.3">
      <c r="B6235" t="s">
        <v>1288</v>
      </c>
      <c r="C6235" t="str">
        <f>INDEX(nse!D:D,MATCH(B6235,nse!B:B,0))</f>
        <v>EQ</v>
      </c>
      <c r="D6235" t="str">
        <f>INDEX(nse!C:C,MATCH(B6235,nse!B:B,0))</f>
        <v>Zydus Wellness Limited</v>
      </c>
    </row>
    <row r="6236" spans="2:4" hidden="1" x14ac:dyDescent="0.3">
      <c r="B6236" t="s">
        <v>1289</v>
      </c>
      <c r="C6236" t="str">
        <f>INDEX(nse!D:D,MATCH(B6236,nse!B:B,0))</f>
        <v>EQ</v>
      </c>
      <c r="D6236" t="str">
        <f>INDEX(nse!C:C,MATCH(B6236,nse!B:B,0))</f>
        <v>Zylog Systems Limited</v>
      </c>
    </row>
  </sheetData>
  <sheetProtection sheet="1" objects="1" scenarios="1"/>
  <conditionalFormatting sqref="E5:E465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{C367CBD4-1224-46FF-B549-F7FCEA8DDCF5}</x14:id>
        </ext>
      </extLst>
    </cfRule>
  </conditionalFormatting>
  <conditionalFormatting sqref="G5:G465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67CBD4-1224-46FF-B549-F7FCEA8DDCF5}">
            <x14:dataBar minLength="0" maxLength="100" negativeBarColorSameAsPositive="1" axisPosition="none">
              <x14:cfvo type="min"/>
              <x14:cfvo type="max"/>
            </x14:dataBar>
          </x14:cfRule>
          <xm:sqref>E5:E4656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1591"/>
  <sheetViews>
    <sheetView workbookViewId="0">
      <selection activeCell="D15" sqref="D15"/>
    </sheetView>
  </sheetViews>
  <sheetFormatPr defaultRowHeight="14.4" x14ac:dyDescent="0.3"/>
  <cols>
    <col min="2" max="9" width="10.44140625" customWidth="1"/>
  </cols>
  <sheetData>
    <row r="1" spans="2:9" x14ac:dyDescent="0.3">
      <c r="B1" t="s">
        <v>2650</v>
      </c>
      <c r="C1" t="s">
        <v>2651</v>
      </c>
      <c r="D1" t="s">
        <v>2652</v>
      </c>
      <c r="E1" t="s">
        <v>2653</v>
      </c>
      <c r="F1" t="s">
        <v>2654</v>
      </c>
      <c r="G1" t="s">
        <v>2655</v>
      </c>
      <c r="H1" t="s">
        <v>2656</v>
      </c>
      <c r="I1" t="s">
        <v>2657</v>
      </c>
    </row>
    <row r="2" spans="2:9" x14ac:dyDescent="0.3">
      <c r="B2" t="s">
        <v>129</v>
      </c>
      <c r="C2" t="s">
        <v>1341</v>
      </c>
      <c r="D2" t="s">
        <v>2658</v>
      </c>
      <c r="E2" s="24">
        <v>39727</v>
      </c>
      <c r="F2">
        <v>5</v>
      </c>
      <c r="G2">
        <v>1</v>
      </c>
      <c r="H2" t="s">
        <v>2659</v>
      </c>
      <c r="I2">
        <v>5</v>
      </c>
    </row>
    <row r="3" spans="2:9" x14ac:dyDescent="0.3">
      <c r="B3" t="s">
        <v>130</v>
      </c>
      <c r="C3" t="s">
        <v>1342</v>
      </c>
      <c r="D3" t="s">
        <v>2658</v>
      </c>
      <c r="E3" s="24">
        <v>38464</v>
      </c>
      <c r="F3">
        <v>10</v>
      </c>
      <c r="G3">
        <v>1</v>
      </c>
      <c r="H3" t="s">
        <v>2660</v>
      </c>
      <c r="I3">
        <v>10</v>
      </c>
    </row>
    <row r="4" spans="2:9" x14ac:dyDescent="0.3">
      <c r="B4" t="s">
        <v>131</v>
      </c>
      <c r="C4" t="s">
        <v>1343</v>
      </c>
      <c r="D4" t="s">
        <v>2658</v>
      </c>
      <c r="E4" s="24">
        <v>38212</v>
      </c>
      <c r="F4">
        <v>10</v>
      </c>
      <c r="G4">
        <v>1</v>
      </c>
      <c r="H4" t="s">
        <v>2661</v>
      </c>
      <c r="I4">
        <v>10</v>
      </c>
    </row>
    <row r="5" spans="2:9" x14ac:dyDescent="0.3">
      <c r="B5" t="s">
        <v>2662</v>
      </c>
      <c r="C5" t="s">
        <v>2663</v>
      </c>
      <c r="D5" t="s">
        <v>2658</v>
      </c>
      <c r="E5" s="24">
        <v>38523</v>
      </c>
      <c r="F5">
        <v>2</v>
      </c>
      <c r="G5">
        <v>1</v>
      </c>
      <c r="H5" t="s">
        <v>2664</v>
      </c>
      <c r="I5">
        <v>2</v>
      </c>
    </row>
    <row r="6" spans="2:9" x14ac:dyDescent="0.3">
      <c r="B6" t="s">
        <v>132</v>
      </c>
      <c r="C6" t="s">
        <v>1344</v>
      </c>
      <c r="D6" t="s">
        <v>2658</v>
      </c>
      <c r="E6" s="24">
        <v>41668</v>
      </c>
      <c r="F6">
        <v>5</v>
      </c>
      <c r="G6">
        <v>1</v>
      </c>
      <c r="H6" t="s">
        <v>2665</v>
      </c>
      <c r="I6">
        <v>5</v>
      </c>
    </row>
    <row r="7" spans="2:9" x14ac:dyDescent="0.3">
      <c r="B7" t="s">
        <v>2666</v>
      </c>
      <c r="C7" t="s">
        <v>2667</v>
      </c>
      <c r="D7" t="s">
        <v>2658</v>
      </c>
      <c r="E7" s="24">
        <v>40535</v>
      </c>
      <c r="F7">
        <v>10</v>
      </c>
      <c r="G7">
        <v>1</v>
      </c>
      <c r="H7" t="s">
        <v>2668</v>
      </c>
      <c r="I7">
        <v>10</v>
      </c>
    </row>
    <row r="8" spans="2:9" x14ac:dyDescent="0.3">
      <c r="B8" t="s">
        <v>133</v>
      </c>
      <c r="C8" t="s">
        <v>1345</v>
      </c>
      <c r="D8" t="s">
        <v>2658</v>
      </c>
      <c r="E8" s="24">
        <v>37883</v>
      </c>
      <c r="F8">
        <v>10</v>
      </c>
      <c r="G8">
        <v>1</v>
      </c>
      <c r="H8" t="s">
        <v>2669</v>
      </c>
      <c r="I8">
        <v>10</v>
      </c>
    </row>
    <row r="9" spans="2:9" x14ac:dyDescent="0.3">
      <c r="B9" t="s">
        <v>134</v>
      </c>
      <c r="C9" t="s">
        <v>1346</v>
      </c>
      <c r="D9" t="s">
        <v>2658</v>
      </c>
      <c r="E9" s="24">
        <v>34738</v>
      </c>
      <c r="F9">
        <v>5</v>
      </c>
      <c r="G9">
        <v>1</v>
      </c>
      <c r="H9" t="s">
        <v>2670</v>
      </c>
      <c r="I9">
        <v>5</v>
      </c>
    </row>
    <row r="10" spans="2:9" x14ac:dyDescent="0.3">
      <c r="B10" t="s">
        <v>135</v>
      </c>
      <c r="C10" t="s">
        <v>1347</v>
      </c>
      <c r="D10" t="s">
        <v>2658</v>
      </c>
      <c r="E10" s="24">
        <v>39042</v>
      </c>
      <c r="F10">
        <v>10</v>
      </c>
      <c r="G10">
        <v>1</v>
      </c>
      <c r="H10" t="s">
        <v>2671</v>
      </c>
      <c r="I10">
        <v>10</v>
      </c>
    </row>
    <row r="11" spans="2:9" x14ac:dyDescent="0.3">
      <c r="B11" t="s">
        <v>136</v>
      </c>
      <c r="C11" t="s">
        <v>1348</v>
      </c>
      <c r="D11" t="s">
        <v>2658</v>
      </c>
      <c r="E11" s="24">
        <v>34787</v>
      </c>
      <c r="F11">
        <v>2</v>
      </c>
      <c r="G11">
        <v>1</v>
      </c>
      <c r="H11" t="s">
        <v>2672</v>
      </c>
      <c r="I11">
        <v>2</v>
      </c>
    </row>
    <row r="12" spans="2:9" x14ac:dyDescent="0.3">
      <c r="B12" t="s">
        <v>13</v>
      </c>
      <c r="C12" t="s">
        <v>2673</v>
      </c>
      <c r="D12" t="s">
        <v>2658</v>
      </c>
      <c r="E12" s="24">
        <v>34738</v>
      </c>
      <c r="F12">
        <v>2</v>
      </c>
      <c r="G12">
        <v>1</v>
      </c>
      <c r="H12" t="s">
        <v>2674</v>
      </c>
      <c r="I12">
        <v>2</v>
      </c>
    </row>
    <row r="13" spans="2:9" x14ac:dyDescent="0.3">
      <c r="B13" t="s">
        <v>2675</v>
      </c>
      <c r="C13" t="s">
        <v>2676</v>
      </c>
      <c r="D13" t="s">
        <v>2658</v>
      </c>
      <c r="E13" s="24">
        <v>40186</v>
      </c>
      <c r="F13">
        <v>10</v>
      </c>
      <c r="G13">
        <v>1</v>
      </c>
      <c r="H13" t="s">
        <v>2677</v>
      </c>
      <c r="I13">
        <v>10</v>
      </c>
    </row>
    <row r="14" spans="2:9" x14ac:dyDescent="0.3">
      <c r="B14" t="s">
        <v>2678</v>
      </c>
      <c r="C14" t="s">
        <v>2679</v>
      </c>
      <c r="D14" t="s">
        <v>2658</v>
      </c>
      <c r="E14" s="24">
        <v>41472</v>
      </c>
      <c r="F14">
        <v>10</v>
      </c>
      <c r="G14">
        <v>1</v>
      </c>
      <c r="H14" t="s">
        <v>2680</v>
      </c>
      <c r="I14">
        <v>10</v>
      </c>
    </row>
    <row r="15" spans="2:9" x14ac:dyDescent="0.3">
      <c r="B15" t="s">
        <v>137</v>
      </c>
      <c r="C15" t="s">
        <v>1349</v>
      </c>
      <c r="D15" t="s">
        <v>2681</v>
      </c>
      <c r="E15" s="24">
        <v>39183</v>
      </c>
      <c r="F15">
        <v>10</v>
      </c>
      <c r="G15">
        <v>1</v>
      </c>
      <c r="H15" t="s">
        <v>2682</v>
      </c>
      <c r="I15">
        <v>10</v>
      </c>
    </row>
    <row r="16" spans="2:9" x14ac:dyDescent="0.3">
      <c r="B16" t="s">
        <v>28</v>
      </c>
      <c r="C16" t="s">
        <v>1350</v>
      </c>
      <c r="D16" t="s">
        <v>2658</v>
      </c>
      <c r="E16" s="24">
        <v>34955</v>
      </c>
      <c r="F16">
        <v>10</v>
      </c>
      <c r="G16">
        <v>1</v>
      </c>
      <c r="H16" t="s">
        <v>2683</v>
      </c>
      <c r="I16">
        <v>10</v>
      </c>
    </row>
    <row r="17" spans="2:9" x14ac:dyDescent="0.3">
      <c r="B17" t="s">
        <v>2684</v>
      </c>
      <c r="C17" t="s">
        <v>2685</v>
      </c>
      <c r="D17" t="s">
        <v>2686</v>
      </c>
      <c r="E17" s="24">
        <v>42535</v>
      </c>
      <c r="F17">
        <v>10</v>
      </c>
      <c r="G17">
        <v>1</v>
      </c>
      <c r="H17" t="s">
        <v>2687</v>
      </c>
      <c r="I17">
        <v>10</v>
      </c>
    </row>
    <row r="18" spans="2:9" x14ac:dyDescent="0.3">
      <c r="B18" t="s">
        <v>138</v>
      </c>
      <c r="C18" t="s">
        <v>1351</v>
      </c>
      <c r="D18" t="s">
        <v>2658</v>
      </c>
      <c r="E18" s="24">
        <v>35389</v>
      </c>
      <c r="F18">
        <v>10</v>
      </c>
      <c r="G18">
        <v>1</v>
      </c>
      <c r="H18" t="s">
        <v>2688</v>
      </c>
      <c r="I18">
        <v>10</v>
      </c>
    </row>
    <row r="19" spans="2:9" x14ac:dyDescent="0.3">
      <c r="B19" t="s">
        <v>139</v>
      </c>
      <c r="C19" t="s">
        <v>1352</v>
      </c>
      <c r="D19" t="s">
        <v>2658</v>
      </c>
      <c r="E19" s="24">
        <v>36495</v>
      </c>
      <c r="F19">
        <v>10</v>
      </c>
      <c r="G19">
        <v>1</v>
      </c>
      <c r="H19" t="s">
        <v>2689</v>
      </c>
      <c r="I19">
        <v>10</v>
      </c>
    </row>
    <row r="20" spans="2:9" x14ac:dyDescent="0.3">
      <c r="B20" t="s">
        <v>140</v>
      </c>
      <c r="C20" t="s">
        <v>1353</v>
      </c>
      <c r="D20" t="s">
        <v>2658</v>
      </c>
      <c r="E20" s="24">
        <v>38986</v>
      </c>
      <c r="F20">
        <v>2</v>
      </c>
      <c r="G20">
        <v>1</v>
      </c>
      <c r="H20" t="s">
        <v>2690</v>
      </c>
      <c r="I20">
        <v>2</v>
      </c>
    </row>
    <row r="21" spans="2:9" x14ac:dyDescent="0.3">
      <c r="B21" t="s">
        <v>141</v>
      </c>
      <c r="C21" t="s">
        <v>1354</v>
      </c>
      <c r="D21" t="s">
        <v>2658</v>
      </c>
      <c r="E21" s="24">
        <v>35585</v>
      </c>
      <c r="F21">
        <v>1</v>
      </c>
      <c r="G21">
        <v>1</v>
      </c>
      <c r="H21" t="s">
        <v>2691</v>
      </c>
      <c r="I21">
        <v>1</v>
      </c>
    </row>
    <row r="22" spans="2:9" x14ac:dyDescent="0.3">
      <c r="B22" t="s">
        <v>142</v>
      </c>
      <c r="C22" t="s">
        <v>1355</v>
      </c>
      <c r="D22" t="s">
        <v>2658</v>
      </c>
      <c r="E22" s="24">
        <v>39413</v>
      </c>
      <c r="F22">
        <v>2</v>
      </c>
      <c r="G22">
        <v>1</v>
      </c>
      <c r="H22" t="s">
        <v>2692</v>
      </c>
      <c r="I22">
        <v>2</v>
      </c>
    </row>
    <row r="23" spans="2:9" x14ac:dyDescent="0.3">
      <c r="B23" t="s">
        <v>143</v>
      </c>
      <c r="C23" t="s">
        <v>1356</v>
      </c>
      <c r="D23" t="s">
        <v>2658</v>
      </c>
      <c r="E23" s="24">
        <v>40045</v>
      </c>
      <c r="F23">
        <v>10</v>
      </c>
      <c r="G23">
        <v>1</v>
      </c>
      <c r="H23" t="s">
        <v>2693</v>
      </c>
      <c r="I23">
        <v>10</v>
      </c>
    </row>
    <row r="24" spans="2:9" x14ac:dyDescent="0.3">
      <c r="B24" t="s">
        <v>2694</v>
      </c>
      <c r="C24" t="s">
        <v>2695</v>
      </c>
      <c r="D24" t="s">
        <v>2658</v>
      </c>
      <c r="E24" s="24">
        <v>42216</v>
      </c>
      <c r="F24">
        <v>10</v>
      </c>
      <c r="G24">
        <v>1</v>
      </c>
      <c r="H24" t="s">
        <v>2696</v>
      </c>
      <c r="I24">
        <v>10</v>
      </c>
    </row>
    <row r="25" spans="2:9" x14ac:dyDescent="0.3">
      <c r="B25" t="s">
        <v>144</v>
      </c>
      <c r="C25" t="s">
        <v>1357</v>
      </c>
      <c r="D25" t="s">
        <v>2658</v>
      </c>
      <c r="E25" s="24">
        <v>40436</v>
      </c>
      <c r="F25">
        <v>10</v>
      </c>
      <c r="G25">
        <v>1</v>
      </c>
      <c r="H25" t="s">
        <v>2697</v>
      </c>
      <c r="I25">
        <v>10</v>
      </c>
    </row>
    <row r="26" spans="2:9" x14ac:dyDescent="0.3">
      <c r="B26" t="s">
        <v>145</v>
      </c>
      <c r="C26" t="s">
        <v>1358</v>
      </c>
      <c r="D26" t="s">
        <v>2658</v>
      </c>
      <c r="E26" s="24">
        <v>38812</v>
      </c>
      <c r="F26">
        <v>10</v>
      </c>
      <c r="G26">
        <v>1</v>
      </c>
      <c r="H26" t="s">
        <v>2698</v>
      </c>
      <c r="I26">
        <v>10</v>
      </c>
    </row>
    <row r="27" spans="2:9" x14ac:dyDescent="0.3">
      <c r="B27" t="s">
        <v>2699</v>
      </c>
      <c r="C27" t="s">
        <v>2700</v>
      </c>
      <c r="D27" t="s">
        <v>2658</v>
      </c>
      <c r="E27" s="24">
        <v>42552</v>
      </c>
      <c r="F27">
        <v>10</v>
      </c>
      <c r="G27">
        <v>1</v>
      </c>
      <c r="H27" t="s">
        <v>2701</v>
      </c>
      <c r="I27">
        <v>10</v>
      </c>
    </row>
    <row r="28" spans="2:9" x14ac:dyDescent="0.3">
      <c r="B28" t="s">
        <v>2702</v>
      </c>
      <c r="C28" t="s">
        <v>2703</v>
      </c>
      <c r="D28" t="s">
        <v>2658</v>
      </c>
      <c r="E28" s="24">
        <v>42100</v>
      </c>
      <c r="F28">
        <v>10</v>
      </c>
      <c r="G28">
        <v>1</v>
      </c>
      <c r="H28" t="s">
        <v>2704</v>
      </c>
      <c r="I28">
        <v>10</v>
      </c>
    </row>
    <row r="29" spans="2:9" x14ac:dyDescent="0.3">
      <c r="B29" t="s">
        <v>146</v>
      </c>
      <c r="C29" t="s">
        <v>1359</v>
      </c>
      <c r="D29" t="s">
        <v>2658</v>
      </c>
      <c r="E29" s="24">
        <v>34829</v>
      </c>
      <c r="F29">
        <v>10</v>
      </c>
      <c r="G29">
        <v>1</v>
      </c>
      <c r="H29" t="s">
        <v>2705</v>
      </c>
      <c r="I29">
        <v>10</v>
      </c>
    </row>
    <row r="30" spans="2:9" x14ac:dyDescent="0.3">
      <c r="B30" t="s">
        <v>147</v>
      </c>
      <c r="C30" t="s">
        <v>1360</v>
      </c>
      <c r="D30" t="s">
        <v>2686</v>
      </c>
      <c r="E30" s="24">
        <v>39288</v>
      </c>
      <c r="F30">
        <v>5</v>
      </c>
      <c r="G30">
        <v>1</v>
      </c>
      <c r="H30" t="s">
        <v>2706</v>
      </c>
      <c r="I30">
        <v>5</v>
      </c>
    </row>
    <row r="31" spans="2:9" x14ac:dyDescent="0.3">
      <c r="B31" t="s">
        <v>148</v>
      </c>
      <c r="C31" t="s">
        <v>1361</v>
      </c>
      <c r="D31" t="s">
        <v>2658</v>
      </c>
      <c r="E31" s="24">
        <v>39258</v>
      </c>
      <c r="F31">
        <v>2</v>
      </c>
      <c r="G31">
        <v>1</v>
      </c>
      <c r="H31" t="s">
        <v>2707</v>
      </c>
      <c r="I31">
        <v>2</v>
      </c>
    </row>
    <row r="32" spans="2:9" x14ac:dyDescent="0.3">
      <c r="B32" t="s">
        <v>2708</v>
      </c>
      <c r="C32" t="s">
        <v>2709</v>
      </c>
      <c r="D32" t="s">
        <v>2658</v>
      </c>
      <c r="E32" s="24">
        <v>42583</v>
      </c>
      <c r="F32">
        <v>2</v>
      </c>
      <c r="G32">
        <v>1</v>
      </c>
      <c r="H32" t="s">
        <v>2710</v>
      </c>
      <c r="I32">
        <v>2</v>
      </c>
    </row>
    <row r="33" spans="2:9" x14ac:dyDescent="0.3">
      <c r="B33" t="s">
        <v>149</v>
      </c>
      <c r="C33" t="s">
        <v>1362</v>
      </c>
      <c r="D33" t="s">
        <v>2658</v>
      </c>
      <c r="E33" s="24">
        <v>35158</v>
      </c>
      <c r="F33">
        <v>1</v>
      </c>
      <c r="G33">
        <v>1</v>
      </c>
      <c r="H33" t="s">
        <v>2711</v>
      </c>
      <c r="I33">
        <v>1</v>
      </c>
    </row>
    <row r="34" spans="2:9" x14ac:dyDescent="0.3">
      <c r="B34" t="s">
        <v>150</v>
      </c>
      <c r="C34" t="s">
        <v>1363</v>
      </c>
      <c r="D34" t="s">
        <v>2686</v>
      </c>
      <c r="E34" s="24">
        <v>39020</v>
      </c>
      <c r="F34">
        <v>10</v>
      </c>
      <c r="G34">
        <v>1</v>
      </c>
      <c r="H34" t="s">
        <v>2712</v>
      </c>
      <c r="I34">
        <v>10</v>
      </c>
    </row>
    <row r="35" spans="2:9" x14ac:dyDescent="0.3">
      <c r="B35" t="s">
        <v>151</v>
      </c>
      <c r="C35" t="s">
        <v>1364</v>
      </c>
      <c r="D35" t="s">
        <v>2686</v>
      </c>
      <c r="E35" s="24">
        <v>41785</v>
      </c>
      <c r="F35">
        <v>10</v>
      </c>
      <c r="G35">
        <v>1</v>
      </c>
      <c r="H35" t="s">
        <v>2713</v>
      </c>
      <c r="I35">
        <v>10</v>
      </c>
    </row>
    <row r="36" spans="2:9" x14ac:dyDescent="0.3">
      <c r="B36" t="s">
        <v>152</v>
      </c>
      <c r="C36" t="s">
        <v>1365</v>
      </c>
      <c r="D36" t="s">
        <v>2658</v>
      </c>
      <c r="E36" s="24">
        <v>37824</v>
      </c>
      <c r="F36">
        <v>10</v>
      </c>
      <c r="G36">
        <v>1</v>
      </c>
      <c r="H36" t="s">
        <v>2714</v>
      </c>
      <c r="I36">
        <v>10</v>
      </c>
    </row>
    <row r="37" spans="2:9" x14ac:dyDescent="0.3">
      <c r="B37" t="s">
        <v>153</v>
      </c>
      <c r="C37" t="s">
        <v>1366</v>
      </c>
      <c r="D37" t="s">
        <v>2658</v>
      </c>
      <c r="E37" s="24">
        <v>41667</v>
      </c>
      <c r="F37">
        <v>10</v>
      </c>
      <c r="G37">
        <v>1</v>
      </c>
      <c r="H37" t="s">
        <v>2715</v>
      </c>
      <c r="I37">
        <v>10</v>
      </c>
    </row>
    <row r="38" spans="2:9" x14ac:dyDescent="0.3">
      <c r="B38" t="s">
        <v>154</v>
      </c>
      <c r="C38" t="s">
        <v>1367</v>
      </c>
      <c r="D38" t="s">
        <v>2658</v>
      </c>
      <c r="E38" s="24">
        <v>40401</v>
      </c>
      <c r="F38">
        <v>10</v>
      </c>
      <c r="G38">
        <v>1</v>
      </c>
      <c r="H38" t="s">
        <v>2716</v>
      </c>
      <c r="I38">
        <v>10</v>
      </c>
    </row>
    <row r="39" spans="2:9" x14ac:dyDescent="0.3">
      <c r="B39" t="s">
        <v>155</v>
      </c>
      <c r="C39" t="s">
        <v>1368</v>
      </c>
      <c r="D39" t="s">
        <v>2658</v>
      </c>
      <c r="E39" s="24">
        <v>40161</v>
      </c>
      <c r="F39">
        <v>2</v>
      </c>
      <c r="G39">
        <v>1</v>
      </c>
      <c r="H39" t="s">
        <v>2717</v>
      </c>
      <c r="I39">
        <v>2</v>
      </c>
    </row>
    <row r="40" spans="2:9" x14ac:dyDescent="0.3">
      <c r="B40" t="s">
        <v>156</v>
      </c>
      <c r="C40" t="s">
        <v>1369</v>
      </c>
      <c r="D40" t="s">
        <v>2658</v>
      </c>
      <c r="E40" s="24">
        <v>40395</v>
      </c>
      <c r="F40">
        <v>10</v>
      </c>
      <c r="G40">
        <v>1</v>
      </c>
      <c r="H40" t="s">
        <v>2718</v>
      </c>
      <c r="I40">
        <v>10</v>
      </c>
    </row>
    <row r="41" spans="2:9" x14ac:dyDescent="0.3">
      <c r="B41" t="s">
        <v>157</v>
      </c>
      <c r="C41" t="s">
        <v>1370</v>
      </c>
      <c r="D41" t="s">
        <v>2658</v>
      </c>
      <c r="E41" s="24">
        <v>38700</v>
      </c>
      <c r="F41">
        <v>2</v>
      </c>
      <c r="G41">
        <v>1</v>
      </c>
      <c r="H41" t="s">
        <v>2719</v>
      </c>
      <c r="I41">
        <v>2</v>
      </c>
    </row>
    <row r="42" spans="2:9" x14ac:dyDescent="0.3">
      <c r="B42" t="s">
        <v>1290</v>
      </c>
      <c r="C42" t="s">
        <v>1371</v>
      </c>
      <c r="D42" t="s">
        <v>2686</v>
      </c>
      <c r="E42" s="24">
        <v>39127</v>
      </c>
      <c r="F42">
        <v>5</v>
      </c>
      <c r="G42">
        <v>1</v>
      </c>
      <c r="H42" t="s">
        <v>2720</v>
      </c>
      <c r="I42">
        <v>5</v>
      </c>
    </row>
    <row r="43" spans="2:9" x14ac:dyDescent="0.3">
      <c r="B43" t="s">
        <v>2721</v>
      </c>
      <c r="C43" t="s">
        <v>2722</v>
      </c>
      <c r="D43" t="s">
        <v>2658</v>
      </c>
      <c r="E43" s="24">
        <v>42340</v>
      </c>
      <c r="F43">
        <v>10</v>
      </c>
      <c r="G43">
        <v>1</v>
      </c>
      <c r="H43" t="s">
        <v>2723</v>
      </c>
      <c r="I43">
        <v>10</v>
      </c>
    </row>
    <row r="44" spans="2:9" x14ac:dyDescent="0.3">
      <c r="B44" t="s">
        <v>158</v>
      </c>
      <c r="C44" t="s">
        <v>1372</v>
      </c>
      <c r="D44" t="s">
        <v>2658</v>
      </c>
      <c r="E44" s="24">
        <v>36675</v>
      </c>
      <c r="F44">
        <v>2</v>
      </c>
      <c r="G44">
        <v>1</v>
      </c>
      <c r="H44" t="s">
        <v>2724</v>
      </c>
      <c r="I44">
        <v>2</v>
      </c>
    </row>
    <row r="45" spans="2:9" x14ac:dyDescent="0.3">
      <c r="B45" t="s">
        <v>159</v>
      </c>
      <c r="C45" t="s">
        <v>1373</v>
      </c>
      <c r="D45" t="s">
        <v>2658</v>
      </c>
      <c r="E45" s="24">
        <v>39980</v>
      </c>
      <c r="F45">
        <v>10</v>
      </c>
      <c r="G45">
        <v>1</v>
      </c>
      <c r="H45" t="s">
        <v>2725</v>
      </c>
      <c r="I45">
        <v>10</v>
      </c>
    </row>
    <row r="46" spans="2:9" x14ac:dyDescent="0.3">
      <c r="B46" t="s">
        <v>2726</v>
      </c>
      <c r="C46" t="s">
        <v>2727</v>
      </c>
      <c r="D46" t="s">
        <v>2658</v>
      </c>
      <c r="E46" s="24">
        <v>42822</v>
      </c>
      <c r="F46">
        <v>10</v>
      </c>
      <c r="G46">
        <v>1</v>
      </c>
      <c r="H46" t="s">
        <v>2728</v>
      </c>
      <c r="I46">
        <v>10</v>
      </c>
    </row>
    <row r="47" spans="2:9" x14ac:dyDescent="0.3">
      <c r="B47" t="s">
        <v>160</v>
      </c>
      <c r="C47" t="s">
        <v>1374</v>
      </c>
      <c r="D47" t="s">
        <v>2658</v>
      </c>
      <c r="E47" s="24">
        <v>36756</v>
      </c>
      <c r="F47">
        <v>5</v>
      </c>
      <c r="G47">
        <v>1</v>
      </c>
      <c r="H47" t="s">
        <v>2729</v>
      </c>
      <c r="I47">
        <v>5</v>
      </c>
    </row>
    <row r="48" spans="2:9" x14ac:dyDescent="0.3">
      <c r="B48" t="s">
        <v>161</v>
      </c>
      <c r="C48" t="s">
        <v>1375</v>
      </c>
      <c r="D48" t="s">
        <v>2658</v>
      </c>
      <c r="E48" s="24">
        <v>37070</v>
      </c>
      <c r="F48">
        <v>10</v>
      </c>
      <c r="G48">
        <v>1</v>
      </c>
      <c r="H48" t="s">
        <v>2730</v>
      </c>
      <c r="I48">
        <v>10</v>
      </c>
    </row>
    <row r="49" spans="2:9" x14ac:dyDescent="0.3">
      <c r="B49" t="s">
        <v>2731</v>
      </c>
      <c r="C49" t="s">
        <v>2732</v>
      </c>
      <c r="D49" t="s">
        <v>2658</v>
      </c>
      <c r="E49" s="24">
        <v>42185</v>
      </c>
      <c r="F49">
        <v>1</v>
      </c>
      <c r="G49">
        <v>1</v>
      </c>
      <c r="H49" t="s">
        <v>2733</v>
      </c>
      <c r="I49">
        <v>1</v>
      </c>
    </row>
    <row r="50" spans="2:9" x14ac:dyDescent="0.3">
      <c r="B50" t="s">
        <v>2734</v>
      </c>
      <c r="C50" t="s">
        <v>2735</v>
      </c>
      <c r="D50" t="s">
        <v>2658</v>
      </c>
      <c r="E50" s="24">
        <v>42535</v>
      </c>
      <c r="F50">
        <v>10</v>
      </c>
      <c r="G50">
        <v>1</v>
      </c>
      <c r="H50" t="s">
        <v>2736</v>
      </c>
      <c r="I50">
        <v>10</v>
      </c>
    </row>
    <row r="51" spans="2:9" x14ac:dyDescent="0.3">
      <c r="B51" t="s">
        <v>14</v>
      </c>
      <c r="C51" t="s">
        <v>1376</v>
      </c>
      <c r="D51" t="s">
        <v>2658</v>
      </c>
      <c r="E51" s="24">
        <v>37589</v>
      </c>
      <c r="F51">
        <v>10</v>
      </c>
      <c r="G51">
        <v>1</v>
      </c>
      <c r="H51" t="s">
        <v>2737</v>
      </c>
      <c r="I51">
        <v>10</v>
      </c>
    </row>
    <row r="52" spans="2:9" x14ac:dyDescent="0.3">
      <c r="B52" t="s">
        <v>162</v>
      </c>
      <c r="C52" t="s">
        <v>1377</v>
      </c>
      <c r="D52" t="s">
        <v>2658</v>
      </c>
      <c r="E52" s="24">
        <v>39294</v>
      </c>
      <c r="F52">
        <v>10</v>
      </c>
      <c r="G52">
        <v>1</v>
      </c>
      <c r="H52" t="s">
        <v>2738</v>
      </c>
      <c r="I52">
        <v>10</v>
      </c>
    </row>
    <row r="53" spans="2:9" x14ac:dyDescent="0.3">
      <c r="B53" t="s">
        <v>163</v>
      </c>
      <c r="C53" t="s">
        <v>1378</v>
      </c>
      <c r="D53" t="s">
        <v>2658</v>
      </c>
      <c r="E53" s="24">
        <v>36425</v>
      </c>
      <c r="F53">
        <v>2</v>
      </c>
      <c r="G53">
        <v>1</v>
      </c>
      <c r="H53" t="s">
        <v>2739</v>
      </c>
      <c r="I53">
        <v>2</v>
      </c>
    </row>
    <row r="54" spans="2:9" x14ac:dyDescent="0.3">
      <c r="B54" t="s">
        <v>164</v>
      </c>
      <c r="C54" t="s">
        <v>1379</v>
      </c>
      <c r="D54" t="s">
        <v>2658</v>
      </c>
      <c r="E54" s="24">
        <v>38989</v>
      </c>
      <c r="F54">
        <v>5</v>
      </c>
      <c r="G54">
        <v>1</v>
      </c>
      <c r="H54" t="s">
        <v>2740</v>
      </c>
      <c r="I54">
        <v>5</v>
      </c>
    </row>
    <row r="55" spans="2:9" x14ac:dyDescent="0.3">
      <c r="B55" t="s">
        <v>165</v>
      </c>
      <c r="C55" t="s">
        <v>1380</v>
      </c>
      <c r="D55" t="s">
        <v>2658</v>
      </c>
      <c r="E55" s="24">
        <v>39758</v>
      </c>
      <c r="F55">
        <v>10</v>
      </c>
      <c r="G55">
        <v>1</v>
      </c>
      <c r="H55" t="s">
        <v>2741</v>
      </c>
      <c r="I55">
        <v>10</v>
      </c>
    </row>
    <row r="56" spans="2:9" x14ac:dyDescent="0.3">
      <c r="B56" t="s">
        <v>2742</v>
      </c>
      <c r="C56" t="s">
        <v>2743</v>
      </c>
      <c r="D56" t="s">
        <v>2658</v>
      </c>
      <c r="E56" s="24">
        <v>42361</v>
      </c>
      <c r="F56">
        <v>2</v>
      </c>
      <c r="G56">
        <v>1</v>
      </c>
      <c r="H56" t="s">
        <v>2744</v>
      </c>
      <c r="I56">
        <v>2</v>
      </c>
    </row>
    <row r="57" spans="2:9" x14ac:dyDescent="0.3">
      <c r="B57" t="s">
        <v>166</v>
      </c>
      <c r="C57" t="s">
        <v>1381</v>
      </c>
      <c r="D57" t="s">
        <v>2658</v>
      </c>
      <c r="E57" s="24">
        <v>39412</v>
      </c>
      <c r="F57">
        <v>5</v>
      </c>
      <c r="G57">
        <v>1</v>
      </c>
      <c r="H57" t="s">
        <v>2745</v>
      </c>
      <c r="I57">
        <v>5</v>
      </c>
    </row>
    <row r="58" spans="2:9" x14ac:dyDescent="0.3">
      <c r="B58" t="s">
        <v>167</v>
      </c>
      <c r="C58" t="s">
        <v>1382</v>
      </c>
      <c r="D58" t="s">
        <v>2658</v>
      </c>
      <c r="E58" s="24">
        <v>38891</v>
      </c>
      <c r="F58">
        <v>2</v>
      </c>
      <c r="G58">
        <v>1</v>
      </c>
      <c r="H58" t="s">
        <v>2746</v>
      </c>
      <c r="I58">
        <v>2</v>
      </c>
    </row>
    <row r="59" spans="2:9" x14ac:dyDescent="0.3">
      <c r="B59" t="s">
        <v>168</v>
      </c>
      <c r="C59" t="s">
        <v>1383</v>
      </c>
      <c r="D59" t="s">
        <v>2658</v>
      </c>
      <c r="E59" s="24">
        <v>38481</v>
      </c>
      <c r="F59">
        <v>10</v>
      </c>
      <c r="G59">
        <v>1</v>
      </c>
      <c r="H59" t="s">
        <v>2747</v>
      </c>
      <c r="I59">
        <v>10</v>
      </c>
    </row>
    <row r="60" spans="2:9" x14ac:dyDescent="0.3">
      <c r="B60" t="s">
        <v>169</v>
      </c>
      <c r="C60" t="s">
        <v>1384</v>
      </c>
      <c r="D60" t="s">
        <v>2658</v>
      </c>
      <c r="E60" s="24">
        <v>39615</v>
      </c>
      <c r="F60">
        <v>6</v>
      </c>
      <c r="G60">
        <v>1</v>
      </c>
      <c r="H60" t="s">
        <v>2748</v>
      </c>
      <c r="I60">
        <v>6</v>
      </c>
    </row>
    <row r="61" spans="2:9" x14ac:dyDescent="0.3">
      <c r="B61" t="s">
        <v>170</v>
      </c>
      <c r="C61" t="s">
        <v>1385</v>
      </c>
      <c r="D61" t="s">
        <v>2658</v>
      </c>
      <c r="E61" s="24">
        <v>35165</v>
      </c>
      <c r="F61">
        <v>10</v>
      </c>
      <c r="G61">
        <v>1</v>
      </c>
      <c r="H61" t="s">
        <v>2749</v>
      </c>
      <c r="I61">
        <v>10</v>
      </c>
    </row>
    <row r="62" spans="2:9" x14ac:dyDescent="0.3">
      <c r="B62" t="s">
        <v>171</v>
      </c>
      <c r="C62" t="s">
        <v>1386</v>
      </c>
      <c r="D62" t="s">
        <v>2686</v>
      </c>
      <c r="E62" s="24">
        <v>39300</v>
      </c>
      <c r="F62">
        <v>10</v>
      </c>
      <c r="G62">
        <v>1</v>
      </c>
      <c r="H62" t="s">
        <v>2750</v>
      </c>
      <c r="I62">
        <v>10</v>
      </c>
    </row>
    <row r="63" spans="2:9" x14ac:dyDescent="0.3">
      <c r="B63" t="s">
        <v>172</v>
      </c>
      <c r="C63" t="s">
        <v>1387</v>
      </c>
      <c r="D63" t="s">
        <v>2658</v>
      </c>
      <c r="E63" s="24">
        <v>39213</v>
      </c>
      <c r="F63">
        <v>10</v>
      </c>
      <c r="G63">
        <v>1</v>
      </c>
      <c r="H63" t="s">
        <v>2751</v>
      </c>
      <c r="I63">
        <v>10</v>
      </c>
    </row>
    <row r="64" spans="2:9" x14ac:dyDescent="0.3">
      <c r="B64" t="s">
        <v>1291</v>
      </c>
      <c r="C64" t="s">
        <v>1388</v>
      </c>
      <c r="D64" t="s">
        <v>2658</v>
      </c>
      <c r="E64" s="24">
        <v>35179</v>
      </c>
      <c r="F64">
        <v>10</v>
      </c>
      <c r="G64">
        <v>1</v>
      </c>
      <c r="H64" t="s">
        <v>2752</v>
      </c>
      <c r="I64">
        <v>10</v>
      </c>
    </row>
    <row r="65" spans="2:9" x14ac:dyDescent="0.3">
      <c r="B65" t="s">
        <v>29</v>
      </c>
      <c r="C65" t="s">
        <v>1389</v>
      </c>
      <c r="D65" t="s">
        <v>2658</v>
      </c>
      <c r="E65" s="24">
        <v>37869</v>
      </c>
      <c r="F65">
        <v>1</v>
      </c>
      <c r="G65">
        <v>1</v>
      </c>
      <c r="H65" t="s">
        <v>2753</v>
      </c>
      <c r="I65">
        <v>1</v>
      </c>
    </row>
    <row r="66" spans="2:9" x14ac:dyDescent="0.3">
      <c r="B66" t="s">
        <v>173</v>
      </c>
      <c r="C66" t="s">
        <v>1390</v>
      </c>
      <c r="D66" t="s">
        <v>2658</v>
      </c>
      <c r="E66" s="24">
        <v>39476</v>
      </c>
      <c r="F66">
        <v>10</v>
      </c>
      <c r="G66">
        <v>1</v>
      </c>
      <c r="H66" t="s">
        <v>2754</v>
      </c>
      <c r="I66">
        <v>10</v>
      </c>
    </row>
    <row r="67" spans="2:9" x14ac:dyDescent="0.3">
      <c r="B67" t="s">
        <v>174</v>
      </c>
      <c r="C67" t="s">
        <v>1391</v>
      </c>
      <c r="D67" t="s">
        <v>2658</v>
      </c>
      <c r="E67" s="24">
        <v>35844</v>
      </c>
      <c r="F67">
        <v>2</v>
      </c>
      <c r="G67">
        <v>1</v>
      </c>
      <c r="H67" t="s">
        <v>2755</v>
      </c>
      <c r="I67">
        <v>2</v>
      </c>
    </row>
    <row r="68" spans="2:9" x14ac:dyDescent="0.3">
      <c r="B68" t="s">
        <v>175</v>
      </c>
      <c r="C68" t="s">
        <v>1392</v>
      </c>
      <c r="D68" t="s">
        <v>2658</v>
      </c>
      <c r="E68" s="24">
        <v>39160</v>
      </c>
      <c r="F68">
        <v>10</v>
      </c>
      <c r="G68">
        <v>1</v>
      </c>
      <c r="H68" t="s">
        <v>2756</v>
      </c>
      <c r="I68">
        <v>10</v>
      </c>
    </row>
    <row r="69" spans="2:9" x14ac:dyDescent="0.3">
      <c r="B69" t="s">
        <v>2757</v>
      </c>
      <c r="C69" t="s">
        <v>2758</v>
      </c>
      <c r="D69" t="s">
        <v>2658</v>
      </c>
      <c r="E69" s="24">
        <v>42006</v>
      </c>
      <c r="F69">
        <v>2</v>
      </c>
      <c r="G69">
        <v>1</v>
      </c>
      <c r="H69" t="s">
        <v>2759</v>
      </c>
      <c r="I69">
        <v>2</v>
      </c>
    </row>
    <row r="70" spans="2:9" x14ac:dyDescent="0.3">
      <c r="B70" t="s">
        <v>176</v>
      </c>
      <c r="C70" t="s">
        <v>1393</v>
      </c>
      <c r="D70" t="s">
        <v>2658</v>
      </c>
      <c r="E70" s="24">
        <v>38413</v>
      </c>
      <c r="F70">
        <v>2</v>
      </c>
      <c r="G70">
        <v>1</v>
      </c>
      <c r="H70" t="s">
        <v>2760</v>
      </c>
      <c r="I70">
        <v>2</v>
      </c>
    </row>
    <row r="71" spans="2:9" x14ac:dyDescent="0.3">
      <c r="B71" t="s">
        <v>2761</v>
      </c>
      <c r="C71" t="s">
        <v>2762</v>
      </c>
      <c r="D71" t="s">
        <v>2658</v>
      </c>
      <c r="E71" s="24">
        <v>42338</v>
      </c>
      <c r="F71">
        <v>10</v>
      </c>
      <c r="G71">
        <v>1</v>
      </c>
      <c r="H71" t="s">
        <v>2763</v>
      </c>
      <c r="I71">
        <v>10</v>
      </c>
    </row>
    <row r="72" spans="2:9" x14ac:dyDescent="0.3">
      <c r="B72" t="s">
        <v>177</v>
      </c>
      <c r="C72" t="s">
        <v>1394</v>
      </c>
      <c r="D72" t="s">
        <v>2658</v>
      </c>
      <c r="E72" s="24">
        <v>38987</v>
      </c>
      <c r="F72">
        <v>2</v>
      </c>
      <c r="G72">
        <v>1</v>
      </c>
      <c r="H72" t="s">
        <v>2764</v>
      </c>
      <c r="I72">
        <v>2</v>
      </c>
    </row>
    <row r="73" spans="2:9" x14ac:dyDescent="0.3">
      <c r="B73" t="s">
        <v>178</v>
      </c>
      <c r="C73" t="s">
        <v>1395</v>
      </c>
      <c r="D73" t="s">
        <v>2658</v>
      </c>
      <c r="E73" s="24">
        <v>36985</v>
      </c>
      <c r="F73">
        <v>10</v>
      </c>
      <c r="G73">
        <v>1</v>
      </c>
      <c r="H73" t="s">
        <v>2765</v>
      </c>
      <c r="I73">
        <v>10</v>
      </c>
    </row>
    <row r="74" spans="2:9" x14ac:dyDescent="0.3">
      <c r="B74" t="s">
        <v>179</v>
      </c>
      <c r="C74" t="s">
        <v>1396</v>
      </c>
      <c r="D74" t="s">
        <v>2686</v>
      </c>
      <c r="E74" s="24">
        <v>40490</v>
      </c>
      <c r="F74">
        <v>10</v>
      </c>
      <c r="G74">
        <v>1</v>
      </c>
      <c r="H74" t="s">
        <v>2766</v>
      </c>
      <c r="I74">
        <v>10</v>
      </c>
    </row>
    <row r="75" spans="2:9" x14ac:dyDescent="0.3">
      <c r="B75" t="s">
        <v>180</v>
      </c>
      <c r="C75" t="s">
        <v>1397</v>
      </c>
      <c r="D75" t="s">
        <v>2658</v>
      </c>
      <c r="E75" s="24">
        <v>35004</v>
      </c>
      <c r="F75">
        <v>10</v>
      </c>
      <c r="G75">
        <v>1</v>
      </c>
      <c r="H75" t="s">
        <v>2767</v>
      </c>
      <c r="I75">
        <v>10</v>
      </c>
    </row>
    <row r="76" spans="2:9" x14ac:dyDescent="0.3">
      <c r="B76" t="s">
        <v>181</v>
      </c>
      <c r="C76" t="s">
        <v>1398</v>
      </c>
      <c r="D76" t="s">
        <v>2658</v>
      </c>
      <c r="E76" s="24">
        <v>39125</v>
      </c>
      <c r="F76">
        <v>10</v>
      </c>
      <c r="G76">
        <v>1</v>
      </c>
      <c r="H76" t="s">
        <v>2768</v>
      </c>
      <c r="I76">
        <v>10</v>
      </c>
    </row>
    <row r="77" spans="2:9" x14ac:dyDescent="0.3">
      <c r="B77" t="s">
        <v>182</v>
      </c>
      <c r="C77" t="s">
        <v>1399</v>
      </c>
      <c r="D77" t="s">
        <v>2686</v>
      </c>
      <c r="E77" s="24">
        <v>39589</v>
      </c>
      <c r="F77">
        <v>10</v>
      </c>
      <c r="G77">
        <v>1</v>
      </c>
      <c r="H77" t="s">
        <v>2769</v>
      </c>
      <c r="I77">
        <v>10</v>
      </c>
    </row>
    <row r="78" spans="2:9" x14ac:dyDescent="0.3">
      <c r="B78" t="s">
        <v>183</v>
      </c>
      <c r="C78" t="s">
        <v>1400</v>
      </c>
      <c r="D78" t="s">
        <v>2658</v>
      </c>
      <c r="E78" s="24">
        <v>41347</v>
      </c>
      <c r="F78">
        <v>10</v>
      </c>
      <c r="G78">
        <v>1</v>
      </c>
      <c r="H78" t="s">
        <v>2770</v>
      </c>
      <c r="I78">
        <v>10</v>
      </c>
    </row>
    <row r="79" spans="2:9" x14ac:dyDescent="0.3">
      <c r="B79" t="s">
        <v>184</v>
      </c>
      <c r="C79" t="s">
        <v>1401</v>
      </c>
      <c r="D79" t="s">
        <v>2658</v>
      </c>
      <c r="E79" s="24">
        <v>38744</v>
      </c>
      <c r="F79">
        <v>5</v>
      </c>
      <c r="G79">
        <v>1</v>
      </c>
      <c r="H79" t="s">
        <v>2771</v>
      </c>
      <c r="I79">
        <v>5</v>
      </c>
    </row>
    <row r="80" spans="2:9" x14ac:dyDescent="0.3">
      <c r="B80" t="s">
        <v>185</v>
      </c>
      <c r="C80" t="s">
        <v>1402</v>
      </c>
      <c r="D80" t="s">
        <v>2658</v>
      </c>
      <c r="E80" s="24">
        <v>38996</v>
      </c>
      <c r="F80">
        <v>10</v>
      </c>
      <c r="G80">
        <v>1</v>
      </c>
      <c r="H80" t="s">
        <v>2772</v>
      </c>
      <c r="I80">
        <v>10</v>
      </c>
    </row>
    <row r="81" spans="2:9" x14ac:dyDescent="0.3">
      <c r="B81" t="s">
        <v>186</v>
      </c>
      <c r="C81" t="s">
        <v>1403</v>
      </c>
      <c r="D81" t="s">
        <v>2686</v>
      </c>
      <c r="E81" s="24">
        <v>36691</v>
      </c>
      <c r="F81">
        <v>1</v>
      </c>
      <c r="G81">
        <v>1</v>
      </c>
      <c r="H81" t="s">
        <v>2773</v>
      </c>
      <c r="I81">
        <v>1</v>
      </c>
    </row>
    <row r="82" spans="2:9" x14ac:dyDescent="0.3">
      <c r="B82" t="s">
        <v>187</v>
      </c>
      <c r="C82" t="s">
        <v>1404</v>
      </c>
      <c r="D82" t="s">
        <v>2658</v>
      </c>
      <c r="E82" s="24">
        <v>38180</v>
      </c>
      <c r="F82">
        <v>10</v>
      </c>
      <c r="G82">
        <v>1</v>
      </c>
      <c r="H82" t="s">
        <v>2774</v>
      </c>
      <c r="I82">
        <v>10</v>
      </c>
    </row>
    <row r="83" spans="2:9" x14ac:dyDescent="0.3">
      <c r="B83" t="s">
        <v>2775</v>
      </c>
      <c r="C83" t="s">
        <v>2776</v>
      </c>
      <c r="D83" t="s">
        <v>2658</v>
      </c>
      <c r="E83" s="24">
        <v>42835</v>
      </c>
      <c r="F83">
        <v>10</v>
      </c>
      <c r="G83">
        <v>1</v>
      </c>
      <c r="H83" t="s">
        <v>2777</v>
      </c>
      <c r="I83">
        <v>10</v>
      </c>
    </row>
    <row r="84" spans="2:9" x14ac:dyDescent="0.3">
      <c r="B84" t="s">
        <v>188</v>
      </c>
      <c r="C84" t="s">
        <v>1405</v>
      </c>
      <c r="D84" t="s">
        <v>2658</v>
      </c>
      <c r="E84" s="24">
        <v>34948</v>
      </c>
      <c r="F84">
        <v>5</v>
      </c>
      <c r="G84">
        <v>1</v>
      </c>
      <c r="H84" t="s">
        <v>2778</v>
      </c>
      <c r="I84">
        <v>5</v>
      </c>
    </row>
    <row r="85" spans="2:9" x14ac:dyDescent="0.3">
      <c r="B85" t="s">
        <v>189</v>
      </c>
      <c r="C85" t="s">
        <v>1406</v>
      </c>
      <c r="D85" t="s">
        <v>2658</v>
      </c>
      <c r="E85" s="24">
        <v>40891</v>
      </c>
      <c r="F85">
        <v>10</v>
      </c>
      <c r="G85">
        <v>1</v>
      </c>
      <c r="H85" t="s">
        <v>2779</v>
      </c>
      <c r="I85">
        <v>10</v>
      </c>
    </row>
    <row r="86" spans="2:9" x14ac:dyDescent="0.3">
      <c r="B86" t="s">
        <v>190</v>
      </c>
      <c r="C86" t="s">
        <v>1407</v>
      </c>
      <c r="D86" t="s">
        <v>2658</v>
      </c>
      <c r="E86" s="24">
        <v>40806</v>
      </c>
      <c r="F86">
        <v>2</v>
      </c>
      <c r="G86">
        <v>1</v>
      </c>
      <c r="H86" t="s">
        <v>2780</v>
      </c>
      <c r="I86">
        <v>2</v>
      </c>
    </row>
    <row r="87" spans="2:9" x14ac:dyDescent="0.3">
      <c r="B87" t="s">
        <v>30</v>
      </c>
      <c r="C87" t="s">
        <v>1408</v>
      </c>
      <c r="D87" t="s">
        <v>2658</v>
      </c>
      <c r="E87" s="24">
        <v>35074</v>
      </c>
      <c r="F87">
        <v>5</v>
      </c>
      <c r="G87">
        <v>1</v>
      </c>
      <c r="H87" t="s">
        <v>2781</v>
      </c>
      <c r="I87">
        <v>5</v>
      </c>
    </row>
    <row r="88" spans="2:9" x14ac:dyDescent="0.3">
      <c r="B88" t="s">
        <v>31</v>
      </c>
      <c r="C88" t="s">
        <v>1409</v>
      </c>
      <c r="D88" t="s">
        <v>2658</v>
      </c>
      <c r="E88" s="24">
        <v>34850</v>
      </c>
      <c r="F88">
        <v>1</v>
      </c>
      <c r="G88">
        <v>1</v>
      </c>
      <c r="H88" t="s">
        <v>2782</v>
      </c>
      <c r="I88">
        <v>1</v>
      </c>
    </row>
    <row r="89" spans="2:9" x14ac:dyDescent="0.3">
      <c r="B89" t="s">
        <v>2783</v>
      </c>
      <c r="C89" t="s">
        <v>2784</v>
      </c>
      <c r="D89" t="s">
        <v>2686</v>
      </c>
      <c r="E89" s="24">
        <v>42032</v>
      </c>
      <c r="F89">
        <v>10</v>
      </c>
      <c r="G89">
        <v>1</v>
      </c>
      <c r="H89" t="s">
        <v>2785</v>
      </c>
      <c r="I89">
        <v>10</v>
      </c>
    </row>
    <row r="90" spans="2:9" x14ac:dyDescent="0.3">
      <c r="B90" t="s">
        <v>191</v>
      </c>
      <c r="C90" t="s">
        <v>1410</v>
      </c>
      <c r="D90" t="s">
        <v>2658</v>
      </c>
      <c r="E90" s="24">
        <v>37526</v>
      </c>
      <c r="F90">
        <v>10</v>
      </c>
      <c r="G90">
        <v>1</v>
      </c>
      <c r="H90" t="s">
        <v>2786</v>
      </c>
      <c r="I90">
        <v>10</v>
      </c>
    </row>
    <row r="91" spans="2:9" x14ac:dyDescent="0.3">
      <c r="B91" t="s">
        <v>192</v>
      </c>
      <c r="C91" t="s">
        <v>1411</v>
      </c>
      <c r="D91" t="s">
        <v>2658</v>
      </c>
      <c r="E91" s="24">
        <v>39633</v>
      </c>
      <c r="F91">
        <v>10</v>
      </c>
      <c r="G91">
        <v>1</v>
      </c>
      <c r="H91" t="s">
        <v>2787</v>
      </c>
      <c r="I91">
        <v>10</v>
      </c>
    </row>
    <row r="92" spans="2:9" x14ac:dyDescent="0.3">
      <c r="B92" t="s">
        <v>193</v>
      </c>
      <c r="C92" t="s">
        <v>1412</v>
      </c>
      <c r="D92" t="s">
        <v>2658</v>
      </c>
      <c r="E92" s="24">
        <v>36040</v>
      </c>
      <c r="F92">
        <v>2</v>
      </c>
      <c r="G92">
        <v>1</v>
      </c>
      <c r="H92" t="s">
        <v>2788</v>
      </c>
      <c r="I92">
        <v>2</v>
      </c>
    </row>
    <row r="93" spans="2:9" x14ac:dyDescent="0.3">
      <c r="B93" t="s">
        <v>194</v>
      </c>
      <c r="C93" t="s">
        <v>1413</v>
      </c>
      <c r="D93" t="s">
        <v>2658</v>
      </c>
      <c r="E93" s="24">
        <v>41745</v>
      </c>
      <c r="F93">
        <v>10</v>
      </c>
      <c r="G93">
        <v>1</v>
      </c>
      <c r="H93" t="s">
        <v>2789</v>
      </c>
      <c r="I93">
        <v>10</v>
      </c>
    </row>
    <row r="94" spans="2:9" x14ac:dyDescent="0.3">
      <c r="B94" t="s">
        <v>195</v>
      </c>
      <c r="C94" t="s">
        <v>1414</v>
      </c>
      <c r="D94" t="s">
        <v>2658</v>
      </c>
      <c r="E94" s="24">
        <v>39458</v>
      </c>
      <c r="F94">
        <v>10</v>
      </c>
      <c r="G94">
        <v>1</v>
      </c>
      <c r="H94" t="s">
        <v>2790</v>
      </c>
      <c r="I94">
        <v>10</v>
      </c>
    </row>
    <row r="95" spans="2:9" x14ac:dyDescent="0.3">
      <c r="B95" t="s">
        <v>196</v>
      </c>
      <c r="C95" t="s">
        <v>1415</v>
      </c>
      <c r="D95" t="s">
        <v>2686</v>
      </c>
      <c r="E95" s="24">
        <v>39077</v>
      </c>
      <c r="F95">
        <v>10</v>
      </c>
      <c r="G95">
        <v>1</v>
      </c>
      <c r="H95" t="s">
        <v>2791</v>
      </c>
      <c r="I95">
        <v>10</v>
      </c>
    </row>
    <row r="96" spans="2:9" x14ac:dyDescent="0.3">
      <c r="B96" t="s">
        <v>2792</v>
      </c>
      <c r="C96" t="s">
        <v>2793</v>
      </c>
      <c r="D96" t="s">
        <v>2658</v>
      </c>
      <c r="E96" s="24">
        <v>42822</v>
      </c>
      <c r="F96">
        <v>10</v>
      </c>
      <c r="G96">
        <v>1</v>
      </c>
      <c r="H96" t="s">
        <v>2794</v>
      </c>
      <c r="I96">
        <v>10</v>
      </c>
    </row>
    <row r="97" spans="2:9" x14ac:dyDescent="0.3">
      <c r="B97" t="s">
        <v>2795</v>
      </c>
      <c r="C97" t="s">
        <v>2796</v>
      </c>
      <c r="D97" t="s">
        <v>2658</v>
      </c>
      <c r="E97" s="24">
        <v>42535</v>
      </c>
      <c r="F97">
        <v>10</v>
      </c>
      <c r="G97">
        <v>1</v>
      </c>
      <c r="H97" t="s">
        <v>2797</v>
      </c>
      <c r="I97">
        <v>10</v>
      </c>
    </row>
    <row r="98" spans="2:9" x14ac:dyDescent="0.3">
      <c r="B98" t="s">
        <v>197</v>
      </c>
      <c r="C98" t="s">
        <v>1416</v>
      </c>
      <c r="D98" t="s">
        <v>2658</v>
      </c>
      <c r="E98" s="24">
        <v>39196</v>
      </c>
      <c r="F98">
        <v>10</v>
      </c>
      <c r="G98">
        <v>1</v>
      </c>
      <c r="H98" t="s">
        <v>2798</v>
      </c>
      <c r="I98">
        <v>10</v>
      </c>
    </row>
    <row r="99" spans="2:9" x14ac:dyDescent="0.3">
      <c r="B99" t="s">
        <v>2799</v>
      </c>
      <c r="C99" t="s">
        <v>2800</v>
      </c>
      <c r="D99" t="s">
        <v>2658</v>
      </c>
      <c r="E99" s="24">
        <v>42145</v>
      </c>
      <c r="F99">
        <v>10</v>
      </c>
      <c r="G99">
        <v>1</v>
      </c>
      <c r="H99" t="s">
        <v>2801</v>
      </c>
      <c r="I99">
        <v>10</v>
      </c>
    </row>
    <row r="100" spans="2:9" x14ac:dyDescent="0.3">
      <c r="B100" t="s">
        <v>198</v>
      </c>
      <c r="C100" t="s">
        <v>1417</v>
      </c>
      <c r="D100" t="s">
        <v>2658</v>
      </c>
      <c r="E100" s="24">
        <v>39944</v>
      </c>
      <c r="F100">
        <v>10</v>
      </c>
      <c r="G100">
        <v>1</v>
      </c>
      <c r="H100" t="s">
        <v>2802</v>
      </c>
      <c r="I100">
        <v>10</v>
      </c>
    </row>
    <row r="101" spans="2:9" x14ac:dyDescent="0.3">
      <c r="B101" t="s">
        <v>199</v>
      </c>
      <c r="C101" t="s">
        <v>1418</v>
      </c>
      <c r="D101" t="s">
        <v>2686</v>
      </c>
      <c r="E101" s="24">
        <v>40161</v>
      </c>
      <c r="F101">
        <v>2</v>
      </c>
      <c r="G101">
        <v>1</v>
      </c>
      <c r="H101" t="s">
        <v>2803</v>
      </c>
      <c r="I101">
        <v>2</v>
      </c>
    </row>
    <row r="102" spans="2:9" x14ac:dyDescent="0.3">
      <c r="B102" t="s">
        <v>200</v>
      </c>
      <c r="C102" t="s">
        <v>1419</v>
      </c>
      <c r="D102" t="s">
        <v>2658</v>
      </c>
      <c r="E102" s="24">
        <v>40240</v>
      </c>
      <c r="F102">
        <v>10</v>
      </c>
      <c r="G102">
        <v>1</v>
      </c>
      <c r="H102" t="s">
        <v>2804</v>
      </c>
      <c r="I102">
        <v>10</v>
      </c>
    </row>
    <row r="103" spans="2:9" x14ac:dyDescent="0.3">
      <c r="B103" t="s">
        <v>32</v>
      </c>
      <c r="C103" t="s">
        <v>1420</v>
      </c>
      <c r="D103" t="s">
        <v>2658</v>
      </c>
      <c r="E103" s="24">
        <v>34738</v>
      </c>
      <c r="F103">
        <v>10</v>
      </c>
      <c r="G103">
        <v>1</v>
      </c>
      <c r="H103" t="s">
        <v>2805</v>
      </c>
      <c r="I103">
        <v>10</v>
      </c>
    </row>
    <row r="104" spans="2:9" x14ac:dyDescent="0.3">
      <c r="B104" t="s">
        <v>2806</v>
      </c>
      <c r="C104" t="s">
        <v>2807</v>
      </c>
      <c r="D104" t="s">
        <v>2658</v>
      </c>
      <c r="E104" s="24">
        <v>42242</v>
      </c>
      <c r="F104">
        <v>10</v>
      </c>
      <c r="G104">
        <v>1</v>
      </c>
      <c r="H104" t="s">
        <v>2808</v>
      </c>
      <c r="I104">
        <v>10</v>
      </c>
    </row>
    <row r="105" spans="2:9" x14ac:dyDescent="0.3">
      <c r="B105" t="s">
        <v>201</v>
      </c>
      <c r="C105" t="s">
        <v>1421</v>
      </c>
      <c r="D105" t="s">
        <v>2658</v>
      </c>
      <c r="E105" s="24">
        <v>35872</v>
      </c>
      <c r="F105">
        <v>1</v>
      </c>
      <c r="G105">
        <v>1</v>
      </c>
      <c r="H105" t="s">
        <v>2809</v>
      </c>
      <c r="I105">
        <v>1</v>
      </c>
    </row>
    <row r="106" spans="2:9" x14ac:dyDescent="0.3">
      <c r="B106" t="s">
        <v>202</v>
      </c>
      <c r="C106" t="s">
        <v>1422</v>
      </c>
      <c r="D106" t="s">
        <v>2658</v>
      </c>
      <c r="E106" s="24">
        <v>40784</v>
      </c>
      <c r="F106">
        <v>10</v>
      </c>
      <c r="G106">
        <v>1</v>
      </c>
      <c r="H106" t="s">
        <v>2810</v>
      </c>
      <c r="I106">
        <v>10</v>
      </c>
    </row>
    <row r="107" spans="2:9" x14ac:dyDescent="0.3">
      <c r="B107" t="s">
        <v>203</v>
      </c>
      <c r="C107" t="s">
        <v>1423</v>
      </c>
      <c r="D107" t="s">
        <v>2658</v>
      </c>
      <c r="E107" s="24">
        <v>37327</v>
      </c>
      <c r="F107">
        <v>10</v>
      </c>
      <c r="G107">
        <v>1</v>
      </c>
      <c r="H107" t="s">
        <v>2811</v>
      </c>
      <c r="I107">
        <v>10</v>
      </c>
    </row>
    <row r="108" spans="2:9" x14ac:dyDescent="0.3">
      <c r="B108" t="s">
        <v>204</v>
      </c>
      <c r="C108" t="s">
        <v>1424</v>
      </c>
      <c r="D108" t="s">
        <v>2658</v>
      </c>
      <c r="E108" s="24">
        <v>34962</v>
      </c>
      <c r="F108">
        <v>2</v>
      </c>
      <c r="G108">
        <v>1</v>
      </c>
      <c r="H108" t="s">
        <v>2812</v>
      </c>
      <c r="I108">
        <v>2</v>
      </c>
    </row>
    <row r="109" spans="2:9" x14ac:dyDescent="0.3">
      <c r="B109" t="s">
        <v>205</v>
      </c>
      <c r="C109" t="s">
        <v>1425</v>
      </c>
      <c r="D109" t="s">
        <v>2658</v>
      </c>
      <c r="E109" s="24">
        <v>40723</v>
      </c>
      <c r="F109">
        <v>2</v>
      </c>
      <c r="G109">
        <v>1</v>
      </c>
      <c r="H109" t="s">
        <v>2813</v>
      </c>
      <c r="I109">
        <v>2</v>
      </c>
    </row>
    <row r="110" spans="2:9" x14ac:dyDescent="0.3">
      <c r="B110" t="s">
        <v>206</v>
      </c>
      <c r="C110" t="s">
        <v>1426</v>
      </c>
      <c r="D110" t="s">
        <v>2658</v>
      </c>
      <c r="E110" s="24">
        <v>34907</v>
      </c>
      <c r="F110">
        <v>10</v>
      </c>
      <c r="G110">
        <v>1</v>
      </c>
      <c r="H110" t="s">
        <v>2814</v>
      </c>
      <c r="I110">
        <v>10</v>
      </c>
    </row>
    <row r="111" spans="2:9" x14ac:dyDescent="0.3">
      <c r="B111" t="s">
        <v>207</v>
      </c>
      <c r="C111" t="s">
        <v>1427</v>
      </c>
      <c r="D111" t="s">
        <v>2658</v>
      </c>
      <c r="E111" s="24">
        <v>40465</v>
      </c>
      <c r="F111">
        <v>5</v>
      </c>
      <c r="G111">
        <v>1</v>
      </c>
      <c r="H111" t="s">
        <v>2815</v>
      </c>
      <c r="I111">
        <v>5</v>
      </c>
    </row>
    <row r="112" spans="2:9" x14ac:dyDescent="0.3">
      <c r="B112" t="s">
        <v>33</v>
      </c>
      <c r="C112" t="s">
        <v>1428</v>
      </c>
      <c r="D112" t="s">
        <v>2658</v>
      </c>
      <c r="E112" s="24">
        <v>34844</v>
      </c>
      <c r="F112">
        <v>1</v>
      </c>
      <c r="G112">
        <v>1</v>
      </c>
      <c r="H112" t="s">
        <v>2816</v>
      </c>
      <c r="I112">
        <v>1</v>
      </c>
    </row>
    <row r="113" spans="2:9" x14ac:dyDescent="0.3">
      <c r="B113" t="s">
        <v>208</v>
      </c>
      <c r="C113" t="s">
        <v>1429</v>
      </c>
      <c r="D113" t="s">
        <v>2658</v>
      </c>
      <c r="E113" s="24">
        <v>40275</v>
      </c>
      <c r="F113">
        <v>10</v>
      </c>
      <c r="G113">
        <v>1</v>
      </c>
      <c r="H113" t="s">
        <v>2817</v>
      </c>
      <c r="I113">
        <v>10</v>
      </c>
    </row>
    <row r="114" spans="2:9" x14ac:dyDescent="0.3">
      <c r="B114" t="s">
        <v>209</v>
      </c>
      <c r="C114" t="s">
        <v>1430</v>
      </c>
      <c r="D114" t="s">
        <v>2658</v>
      </c>
      <c r="E114" s="24">
        <v>34850</v>
      </c>
      <c r="F114">
        <v>1</v>
      </c>
      <c r="G114">
        <v>1</v>
      </c>
      <c r="H114" t="s">
        <v>2818</v>
      </c>
      <c r="I114">
        <v>1</v>
      </c>
    </row>
    <row r="115" spans="2:9" x14ac:dyDescent="0.3">
      <c r="B115" t="s">
        <v>210</v>
      </c>
      <c r="C115" t="s">
        <v>1431</v>
      </c>
      <c r="D115" t="s">
        <v>2658</v>
      </c>
      <c r="E115" s="24">
        <v>39317</v>
      </c>
      <c r="F115">
        <v>10</v>
      </c>
      <c r="G115">
        <v>1</v>
      </c>
      <c r="H115" t="s">
        <v>2819</v>
      </c>
      <c r="I115">
        <v>10</v>
      </c>
    </row>
    <row r="116" spans="2:9" x14ac:dyDescent="0.3">
      <c r="B116" t="s">
        <v>1292</v>
      </c>
      <c r="C116" t="s">
        <v>1432</v>
      </c>
      <c r="D116" t="s">
        <v>2686</v>
      </c>
      <c r="E116" s="24">
        <v>38642</v>
      </c>
      <c r="F116">
        <v>5</v>
      </c>
      <c r="G116">
        <v>1</v>
      </c>
      <c r="H116" t="s">
        <v>2820</v>
      </c>
      <c r="I116">
        <v>5</v>
      </c>
    </row>
    <row r="117" spans="2:9" x14ac:dyDescent="0.3">
      <c r="B117" t="s">
        <v>2821</v>
      </c>
      <c r="C117" t="s">
        <v>2822</v>
      </c>
      <c r="D117" t="s">
        <v>2686</v>
      </c>
      <c r="E117" s="24">
        <v>42535</v>
      </c>
      <c r="F117">
        <v>10</v>
      </c>
      <c r="G117">
        <v>1</v>
      </c>
      <c r="H117" t="s">
        <v>2823</v>
      </c>
      <c r="I117">
        <v>10</v>
      </c>
    </row>
    <row r="118" spans="2:9" x14ac:dyDescent="0.3">
      <c r="B118" t="s">
        <v>211</v>
      </c>
      <c r="C118" t="s">
        <v>1433</v>
      </c>
      <c r="D118" t="s">
        <v>2658</v>
      </c>
      <c r="E118" s="24">
        <v>38989</v>
      </c>
      <c r="F118">
        <v>1</v>
      </c>
      <c r="G118">
        <v>1</v>
      </c>
      <c r="H118" t="s">
        <v>2824</v>
      </c>
      <c r="I118">
        <v>1</v>
      </c>
    </row>
    <row r="119" spans="2:9" x14ac:dyDescent="0.3">
      <c r="B119" t="s">
        <v>212</v>
      </c>
      <c r="C119" t="s">
        <v>1434</v>
      </c>
      <c r="D119" t="s">
        <v>2658</v>
      </c>
      <c r="E119" s="24">
        <v>40142</v>
      </c>
      <c r="F119">
        <v>10</v>
      </c>
      <c r="G119">
        <v>1</v>
      </c>
      <c r="H119" t="s">
        <v>2825</v>
      </c>
      <c r="I119">
        <v>10</v>
      </c>
    </row>
    <row r="120" spans="2:9" x14ac:dyDescent="0.3">
      <c r="B120" t="s">
        <v>213</v>
      </c>
      <c r="C120" t="s">
        <v>1435</v>
      </c>
      <c r="D120" t="s">
        <v>2658</v>
      </c>
      <c r="E120" s="24">
        <v>39161</v>
      </c>
      <c r="F120">
        <v>1</v>
      </c>
      <c r="G120">
        <v>1</v>
      </c>
      <c r="H120" t="s">
        <v>2826</v>
      </c>
      <c r="I120">
        <v>1</v>
      </c>
    </row>
    <row r="121" spans="2:9" x14ac:dyDescent="0.3">
      <c r="B121" t="s">
        <v>214</v>
      </c>
      <c r="C121" t="s">
        <v>1436</v>
      </c>
      <c r="D121" t="s">
        <v>2658</v>
      </c>
      <c r="E121" s="24">
        <v>38292</v>
      </c>
      <c r="F121">
        <v>2</v>
      </c>
      <c r="G121">
        <v>1</v>
      </c>
      <c r="H121" t="s">
        <v>2827</v>
      </c>
      <c r="I121">
        <v>2</v>
      </c>
    </row>
    <row r="122" spans="2:9" x14ac:dyDescent="0.3">
      <c r="B122" t="s">
        <v>215</v>
      </c>
      <c r="C122" t="s">
        <v>1437</v>
      </c>
      <c r="D122" t="s">
        <v>2658</v>
      </c>
      <c r="E122" s="24">
        <v>37015</v>
      </c>
      <c r="F122">
        <v>2</v>
      </c>
      <c r="G122">
        <v>1</v>
      </c>
      <c r="H122" t="s">
        <v>2828</v>
      </c>
      <c r="I122">
        <v>2</v>
      </c>
    </row>
    <row r="123" spans="2:9" x14ac:dyDescent="0.3">
      <c r="B123" t="s">
        <v>216</v>
      </c>
      <c r="C123" t="s">
        <v>1438</v>
      </c>
      <c r="D123" t="s">
        <v>2658</v>
      </c>
      <c r="E123" s="24">
        <v>37596</v>
      </c>
      <c r="F123">
        <v>10</v>
      </c>
      <c r="G123">
        <v>1</v>
      </c>
      <c r="H123" t="s">
        <v>2829</v>
      </c>
      <c r="I123">
        <v>10</v>
      </c>
    </row>
    <row r="124" spans="2:9" x14ac:dyDescent="0.3">
      <c r="B124" t="s">
        <v>217</v>
      </c>
      <c r="C124" t="s">
        <v>1439</v>
      </c>
      <c r="D124" t="s">
        <v>2658</v>
      </c>
      <c r="E124" s="24">
        <v>38985</v>
      </c>
      <c r="F124">
        <v>2</v>
      </c>
      <c r="G124">
        <v>1</v>
      </c>
      <c r="H124" t="s">
        <v>2830</v>
      </c>
      <c r="I124">
        <v>2</v>
      </c>
    </row>
    <row r="125" spans="2:9" x14ac:dyDescent="0.3">
      <c r="B125" t="s">
        <v>218</v>
      </c>
      <c r="C125" t="s">
        <v>1440</v>
      </c>
      <c r="D125" t="s">
        <v>2686</v>
      </c>
      <c r="E125" s="24">
        <v>36642</v>
      </c>
      <c r="F125">
        <v>10</v>
      </c>
      <c r="G125">
        <v>1</v>
      </c>
      <c r="H125" t="s">
        <v>2831</v>
      </c>
      <c r="I125">
        <v>10</v>
      </c>
    </row>
    <row r="126" spans="2:9" x14ac:dyDescent="0.3">
      <c r="B126" t="s">
        <v>1293</v>
      </c>
      <c r="C126" t="s">
        <v>1441</v>
      </c>
      <c r="D126" t="s">
        <v>2686</v>
      </c>
      <c r="E126" s="24">
        <v>38961</v>
      </c>
      <c r="F126">
        <v>4</v>
      </c>
      <c r="G126">
        <v>1</v>
      </c>
      <c r="H126" t="s">
        <v>2832</v>
      </c>
      <c r="I126">
        <v>4</v>
      </c>
    </row>
    <row r="127" spans="2:9" x14ac:dyDescent="0.3">
      <c r="B127" t="s">
        <v>219</v>
      </c>
      <c r="C127" t="s">
        <v>1442</v>
      </c>
      <c r="D127" t="s">
        <v>2658</v>
      </c>
      <c r="E127" s="24">
        <v>35921</v>
      </c>
      <c r="F127">
        <v>10</v>
      </c>
      <c r="G127">
        <v>1</v>
      </c>
      <c r="H127" t="s">
        <v>2833</v>
      </c>
      <c r="I127">
        <v>10</v>
      </c>
    </row>
    <row r="128" spans="2:9" x14ac:dyDescent="0.3">
      <c r="B128" t="s">
        <v>220</v>
      </c>
      <c r="C128" t="s">
        <v>1443</v>
      </c>
      <c r="D128" t="s">
        <v>2658</v>
      </c>
      <c r="E128" s="24">
        <v>41451</v>
      </c>
      <c r="F128">
        <v>5</v>
      </c>
      <c r="G128">
        <v>1</v>
      </c>
      <c r="H128" t="s">
        <v>2834</v>
      </c>
      <c r="I128">
        <v>5</v>
      </c>
    </row>
    <row r="129" spans="2:9" x14ac:dyDescent="0.3">
      <c r="B129" t="s">
        <v>221</v>
      </c>
      <c r="C129" t="s">
        <v>1444</v>
      </c>
      <c r="D129" t="s">
        <v>2658</v>
      </c>
      <c r="E129" s="24">
        <v>38650</v>
      </c>
      <c r="F129">
        <v>10</v>
      </c>
      <c r="G129">
        <v>1</v>
      </c>
      <c r="H129" t="s">
        <v>2835</v>
      </c>
      <c r="I129">
        <v>10</v>
      </c>
    </row>
    <row r="130" spans="2:9" x14ac:dyDescent="0.3">
      <c r="B130" t="s">
        <v>34</v>
      </c>
      <c r="C130" t="s">
        <v>1445</v>
      </c>
      <c r="D130" t="s">
        <v>2658</v>
      </c>
      <c r="E130" s="24">
        <v>36726</v>
      </c>
      <c r="F130">
        <v>1</v>
      </c>
      <c r="G130">
        <v>1</v>
      </c>
      <c r="H130" t="s">
        <v>2836</v>
      </c>
      <c r="I130">
        <v>1</v>
      </c>
    </row>
    <row r="131" spans="2:9" x14ac:dyDescent="0.3">
      <c r="B131" t="s">
        <v>1294</v>
      </c>
      <c r="C131" t="s">
        <v>1446</v>
      </c>
      <c r="D131" t="s">
        <v>2658</v>
      </c>
      <c r="E131" s="24">
        <v>35172</v>
      </c>
      <c r="F131">
        <v>10</v>
      </c>
      <c r="G131">
        <v>1</v>
      </c>
      <c r="H131" t="s">
        <v>2837</v>
      </c>
      <c r="I131">
        <v>10</v>
      </c>
    </row>
    <row r="132" spans="2:9" x14ac:dyDescent="0.3">
      <c r="B132" t="s">
        <v>222</v>
      </c>
      <c r="C132" t="s">
        <v>1447</v>
      </c>
      <c r="D132" t="s">
        <v>2686</v>
      </c>
      <c r="E132" s="24">
        <v>39695</v>
      </c>
      <c r="F132">
        <v>1</v>
      </c>
      <c r="G132">
        <v>1</v>
      </c>
      <c r="H132" t="s">
        <v>2838</v>
      </c>
      <c r="I132">
        <v>1</v>
      </c>
    </row>
    <row r="133" spans="2:9" x14ac:dyDescent="0.3">
      <c r="B133" t="s">
        <v>223</v>
      </c>
      <c r="C133" t="s">
        <v>1448</v>
      </c>
      <c r="D133" t="s">
        <v>2658</v>
      </c>
      <c r="E133" s="24">
        <v>37770</v>
      </c>
      <c r="F133">
        <v>10</v>
      </c>
      <c r="G133">
        <v>1</v>
      </c>
      <c r="H133" t="s">
        <v>2839</v>
      </c>
      <c r="I133">
        <v>10</v>
      </c>
    </row>
    <row r="134" spans="2:9" x14ac:dyDescent="0.3">
      <c r="B134" t="s">
        <v>224</v>
      </c>
      <c r="C134" t="s">
        <v>1449</v>
      </c>
      <c r="D134" t="s">
        <v>2658</v>
      </c>
      <c r="E134" s="24">
        <v>39113</v>
      </c>
      <c r="F134">
        <v>10</v>
      </c>
      <c r="G134">
        <v>1</v>
      </c>
      <c r="H134" t="s">
        <v>2840</v>
      </c>
      <c r="I134">
        <v>10</v>
      </c>
    </row>
    <row r="135" spans="2:9" x14ac:dyDescent="0.3">
      <c r="B135" t="s">
        <v>225</v>
      </c>
      <c r="C135" t="s">
        <v>1450</v>
      </c>
      <c r="D135" t="s">
        <v>2658</v>
      </c>
      <c r="E135" s="24">
        <v>34850</v>
      </c>
      <c r="F135">
        <v>10</v>
      </c>
      <c r="G135">
        <v>1</v>
      </c>
      <c r="H135" t="s">
        <v>2841</v>
      </c>
      <c r="I135">
        <v>10</v>
      </c>
    </row>
    <row r="136" spans="2:9" x14ac:dyDescent="0.3">
      <c r="B136" t="s">
        <v>2842</v>
      </c>
      <c r="C136" t="s">
        <v>2843</v>
      </c>
      <c r="D136" t="s">
        <v>2658</v>
      </c>
      <c r="E136" s="24">
        <v>42109</v>
      </c>
      <c r="F136">
        <v>2</v>
      </c>
      <c r="G136">
        <v>1</v>
      </c>
      <c r="H136" t="s">
        <v>2844</v>
      </c>
      <c r="I136">
        <v>2</v>
      </c>
    </row>
    <row r="137" spans="2:9" x14ac:dyDescent="0.3">
      <c r="B137" t="s">
        <v>226</v>
      </c>
      <c r="C137" t="s">
        <v>1451</v>
      </c>
      <c r="D137" t="s">
        <v>2658</v>
      </c>
      <c r="E137" s="24">
        <v>39092</v>
      </c>
      <c r="F137">
        <v>1</v>
      </c>
      <c r="G137">
        <v>1</v>
      </c>
      <c r="H137" t="s">
        <v>2845</v>
      </c>
      <c r="I137">
        <v>1</v>
      </c>
    </row>
    <row r="138" spans="2:9" x14ac:dyDescent="0.3">
      <c r="B138" t="s">
        <v>227</v>
      </c>
      <c r="C138" t="s">
        <v>1452</v>
      </c>
      <c r="D138" t="s">
        <v>2658</v>
      </c>
      <c r="E138" s="24">
        <v>36115</v>
      </c>
      <c r="F138">
        <v>2</v>
      </c>
      <c r="G138">
        <v>1</v>
      </c>
      <c r="H138" t="s">
        <v>2846</v>
      </c>
      <c r="I138">
        <v>2</v>
      </c>
    </row>
    <row r="139" spans="2:9" x14ac:dyDescent="0.3">
      <c r="B139" t="s">
        <v>228</v>
      </c>
      <c r="C139" t="s">
        <v>1453</v>
      </c>
      <c r="D139" t="s">
        <v>2658</v>
      </c>
      <c r="E139" s="24">
        <v>36881</v>
      </c>
      <c r="F139">
        <v>5</v>
      </c>
      <c r="G139">
        <v>1</v>
      </c>
      <c r="H139" t="s">
        <v>2847</v>
      </c>
      <c r="I139">
        <v>5</v>
      </c>
    </row>
    <row r="140" spans="2:9" x14ac:dyDescent="0.3">
      <c r="B140" t="s">
        <v>2848</v>
      </c>
      <c r="C140" t="s">
        <v>2849</v>
      </c>
      <c r="D140" t="s">
        <v>2658</v>
      </c>
      <c r="E140" s="24">
        <v>42230</v>
      </c>
      <c r="F140">
        <v>10</v>
      </c>
      <c r="G140">
        <v>1</v>
      </c>
      <c r="H140" t="s">
        <v>2850</v>
      </c>
      <c r="I140">
        <v>10</v>
      </c>
    </row>
    <row r="141" spans="2:9" x14ac:dyDescent="0.3">
      <c r="B141" t="s">
        <v>229</v>
      </c>
      <c r="C141" t="s">
        <v>1454</v>
      </c>
      <c r="D141" t="s">
        <v>2658</v>
      </c>
      <c r="E141" s="24">
        <v>41225</v>
      </c>
      <c r="F141">
        <v>10</v>
      </c>
      <c r="G141">
        <v>1</v>
      </c>
      <c r="H141" t="s">
        <v>2851</v>
      </c>
      <c r="I141">
        <v>10</v>
      </c>
    </row>
    <row r="142" spans="2:9" x14ac:dyDescent="0.3">
      <c r="B142" t="s">
        <v>230</v>
      </c>
      <c r="C142" t="s">
        <v>1455</v>
      </c>
      <c r="D142" t="s">
        <v>2658</v>
      </c>
      <c r="E142" s="24">
        <v>37911</v>
      </c>
      <c r="F142">
        <v>2</v>
      </c>
      <c r="G142">
        <v>1</v>
      </c>
      <c r="H142" t="s">
        <v>2852</v>
      </c>
      <c r="I142">
        <v>2</v>
      </c>
    </row>
    <row r="143" spans="2:9" x14ac:dyDescent="0.3">
      <c r="B143" t="s">
        <v>231</v>
      </c>
      <c r="C143" t="s">
        <v>1456</v>
      </c>
      <c r="D143" t="s">
        <v>2658</v>
      </c>
      <c r="E143" s="24">
        <v>39594</v>
      </c>
      <c r="F143">
        <v>10</v>
      </c>
      <c r="G143">
        <v>1</v>
      </c>
      <c r="H143" t="s">
        <v>2853</v>
      </c>
      <c r="I143">
        <v>10</v>
      </c>
    </row>
    <row r="144" spans="2:9" x14ac:dyDescent="0.3">
      <c r="B144" t="s">
        <v>232</v>
      </c>
      <c r="C144" t="s">
        <v>1457</v>
      </c>
      <c r="D144" t="s">
        <v>2658</v>
      </c>
      <c r="E144" s="24">
        <v>40408</v>
      </c>
      <c r="F144">
        <v>1</v>
      </c>
      <c r="G144">
        <v>1</v>
      </c>
      <c r="H144" t="s">
        <v>2854</v>
      </c>
      <c r="I144">
        <v>1</v>
      </c>
    </row>
    <row r="145" spans="2:9" x14ac:dyDescent="0.3">
      <c r="B145" t="s">
        <v>233</v>
      </c>
      <c r="C145" t="s">
        <v>1458</v>
      </c>
      <c r="D145" t="s">
        <v>2658</v>
      </c>
      <c r="E145" s="24">
        <v>39388</v>
      </c>
      <c r="F145">
        <v>2</v>
      </c>
      <c r="G145">
        <v>1</v>
      </c>
      <c r="H145" t="s">
        <v>2855</v>
      </c>
      <c r="I145">
        <v>2</v>
      </c>
    </row>
    <row r="146" spans="2:9" x14ac:dyDescent="0.3">
      <c r="B146" t="s">
        <v>36</v>
      </c>
      <c r="C146" t="s">
        <v>1459</v>
      </c>
      <c r="D146" t="s">
        <v>2658</v>
      </c>
      <c r="E146" s="24">
        <v>39594</v>
      </c>
      <c r="F146">
        <v>5</v>
      </c>
      <c r="G146">
        <v>1</v>
      </c>
      <c r="H146" t="s">
        <v>2856</v>
      </c>
      <c r="I146">
        <v>5</v>
      </c>
    </row>
    <row r="147" spans="2:9" x14ac:dyDescent="0.3">
      <c r="B147" t="s">
        <v>234</v>
      </c>
      <c r="C147" t="s">
        <v>2857</v>
      </c>
      <c r="D147" t="s">
        <v>2658</v>
      </c>
      <c r="E147" s="24">
        <v>34829</v>
      </c>
      <c r="F147">
        <v>1</v>
      </c>
      <c r="G147">
        <v>1</v>
      </c>
      <c r="H147" t="s">
        <v>2858</v>
      </c>
      <c r="I147">
        <v>1</v>
      </c>
    </row>
    <row r="148" spans="2:9" x14ac:dyDescent="0.3">
      <c r="B148" t="s">
        <v>235</v>
      </c>
      <c r="C148" t="s">
        <v>1460</v>
      </c>
      <c r="D148" t="s">
        <v>2658</v>
      </c>
      <c r="E148" s="24">
        <v>34773</v>
      </c>
      <c r="F148">
        <v>10</v>
      </c>
      <c r="G148">
        <v>1</v>
      </c>
      <c r="H148" t="s">
        <v>2859</v>
      </c>
      <c r="I148">
        <v>10</v>
      </c>
    </row>
    <row r="149" spans="2:9" x14ac:dyDescent="0.3">
      <c r="B149" t="s">
        <v>35</v>
      </c>
      <c r="C149" t="s">
        <v>1461</v>
      </c>
      <c r="D149" t="s">
        <v>2658</v>
      </c>
      <c r="E149" s="24">
        <v>37712</v>
      </c>
      <c r="F149">
        <v>2</v>
      </c>
      <c r="G149">
        <v>1</v>
      </c>
      <c r="H149" t="s">
        <v>2860</v>
      </c>
      <c r="I149">
        <v>2</v>
      </c>
    </row>
    <row r="150" spans="2:9" x14ac:dyDescent="0.3">
      <c r="B150" t="s">
        <v>236</v>
      </c>
      <c r="C150" t="s">
        <v>1462</v>
      </c>
      <c r="D150" t="s">
        <v>2658</v>
      </c>
      <c r="E150" s="24">
        <v>36852</v>
      </c>
      <c r="F150">
        <v>2</v>
      </c>
      <c r="G150">
        <v>1</v>
      </c>
      <c r="H150" t="s">
        <v>2861</v>
      </c>
      <c r="I150">
        <v>2</v>
      </c>
    </row>
    <row r="151" spans="2:9" x14ac:dyDescent="0.3">
      <c r="B151" t="s">
        <v>237</v>
      </c>
      <c r="C151" t="s">
        <v>1463</v>
      </c>
      <c r="D151" t="s">
        <v>2658</v>
      </c>
      <c r="E151" s="24">
        <v>39177</v>
      </c>
      <c r="F151">
        <v>2</v>
      </c>
      <c r="G151">
        <v>1</v>
      </c>
      <c r="H151" t="s">
        <v>2862</v>
      </c>
      <c r="I151">
        <v>2</v>
      </c>
    </row>
    <row r="152" spans="2:9" x14ac:dyDescent="0.3">
      <c r="B152" t="s">
        <v>2863</v>
      </c>
      <c r="C152" t="s">
        <v>2864</v>
      </c>
      <c r="D152" t="s">
        <v>2658</v>
      </c>
      <c r="E152" s="24">
        <v>42213</v>
      </c>
      <c r="F152">
        <v>10</v>
      </c>
      <c r="G152">
        <v>1</v>
      </c>
      <c r="H152" t="s">
        <v>2865</v>
      </c>
      <c r="I152">
        <v>10</v>
      </c>
    </row>
    <row r="153" spans="2:9" x14ac:dyDescent="0.3">
      <c r="B153" t="s">
        <v>238</v>
      </c>
      <c r="C153" t="s">
        <v>1464</v>
      </c>
      <c r="D153" t="s">
        <v>2658</v>
      </c>
      <c r="E153" s="24">
        <v>38744</v>
      </c>
      <c r="F153">
        <v>2</v>
      </c>
      <c r="G153">
        <v>1</v>
      </c>
      <c r="H153" t="s">
        <v>2866</v>
      </c>
      <c r="I153">
        <v>2</v>
      </c>
    </row>
    <row r="154" spans="2:9" x14ac:dyDescent="0.3">
      <c r="B154" t="s">
        <v>239</v>
      </c>
      <c r="C154" t="s">
        <v>1465</v>
      </c>
      <c r="D154" t="s">
        <v>2658</v>
      </c>
      <c r="E154" s="24">
        <v>39538</v>
      </c>
      <c r="F154">
        <v>2</v>
      </c>
      <c r="G154">
        <v>1</v>
      </c>
      <c r="H154" t="s">
        <v>2867</v>
      </c>
      <c r="I154">
        <v>2</v>
      </c>
    </row>
    <row r="155" spans="2:9" x14ac:dyDescent="0.3">
      <c r="B155" t="s">
        <v>240</v>
      </c>
      <c r="C155" t="s">
        <v>1466</v>
      </c>
      <c r="D155" t="s">
        <v>2658</v>
      </c>
      <c r="E155" s="24">
        <v>34886</v>
      </c>
      <c r="F155">
        <v>10</v>
      </c>
      <c r="G155">
        <v>1</v>
      </c>
      <c r="H155" t="s">
        <v>2868</v>
      </c>
      <c r="I155">
        <v>10</v>
      </c>
    </row>
    <row r="156" spans="2:9" x14ac:dyDescent="0.3">
      <c r="B156" t="s">
        <v>241</v>
      </c>
      <c r="C156" t="s">
        <v>1467</v>
      </c>
      <c r="D156" t="s">
        <v>2658</v>
      </c>
      <c r="E156" s="24">
        <v>38845</v>
      </c>
      <c r="F156">
        <v>10</v>
      </c>
      <c r="G156">
        <v>1</v>
      </c>
      <c r="H156" t="s">
        <v>2869</v>
      </c>
      <c r="I156">
        <v>10</v>
      </c>
    </row>
    <row r="157" spans="2:9" x14ac:dyDescent="0.3">
      <c r="B157" t="s">
        <v>242</v>
      </c>
      <c r="C157" t="s">
        <v>1468</v>
      </c>
      <c r="D157" t="s">
        <v>2658</v>
      </c>
      <c r="E157" s="24">
        <v>34738</v>
      </c>
      <c r="F157">
        <v>1</v>
      </c>
      <c r="G157">
        <v>1</v>
      </c>
      <c r="H157" t="s">
        <v>2870</v>
      </c>
      <c r="I157">
        <v>1</v>
      </c>
    </row>
    <row r="158" spans="2:9" x14ac:dyDescent="0.3">
      <c r="B158" t="s">
        <v>243</v>
      </c>
      <c r="C158" t="s">
        <v>1469</v>
      </c>
      <c r="D158" t="s">
        <v>2686</v>
      </c>
      <c r="E158" s="24">
        <v>36922</v>
      </c>
      <c r="F158">
        <v>10</v>
      </c>
      <c r="G158">
        <v>1</v>
      </c>
      <c r="H158" t="s">
        <v>2871</v>
      </c>
      <c r="I158">
        <v>10</v>
      </c>
    </row>
    <row r="159" spans="2:9" x14ac:dyDescent="0.3">
      <c r="B159" t="s">
        <v>244</v>
      </c>
      <c r="C159" t="s">
        <v>1470</v>
      </c>
      <c r="D159" t="s">
        <v>2658</v>
      </c>
      <c r="E159" s="24">
        <v>37769</v>
      </c>
      <c r="F159">
        <v>10</v>
      </c>
      <c r="G159">
        <v>1</v>
      </c>
      <c r="H159" t="s">
        <v>2872</v>
      </c>
      <c r="I159">
        <v>10</v>
      </c>
    </row>
    <row r="160" spans="2:9" x14ac:dyDescent="0.3">
      <c r="B160" t="s">
        <v>245</v>
      </c>
      <c r="C160" t="s">
        <v>1471</v>
      </c>
      <c r="D160" t="s">
        <v>2658</v>
      </c>
      <c r="E160" s="24">
        <v>39073</v>
      </c>
      <c r="F160">
        <v>2</v>
      </c>
      <c r="G160">
        <v>1</v>
      </c>
      <c r="H160" t="s">
        <v>2873</v>
      </c>
      <c r="I160">
        <v>2</v>
      </c>
    </row>
    <row r="161" spans="2:9" x14ac:dyDescent="0.3">
      <c r="B161" t="s">
        <v>246</v>
      </c>
      <c r="C161" t="s">
        <v>1472</v>
      </c>
      <c r="D161" t="s">
        <v>2686</v>
      </c>
      <c r="E161" s="24">
        <v>39498</v>
      </c>
      <c r="F161">
        <v>10</v>
      </c>
      <c r="G161">
        <v>1</v>
      </c>
      <c r="H161" t="s">
        <v>2874</v>
      </c>
      <c r="I161">
        <v>10</v>
      </c>
    </row>
    <row r="162" spans="2:9" x14ac:dyDescent="0.3">
      <c r="B162" t="s">
        <v>247</v>
      </c>
      <c r="C162" t="s">
        <v>1473</v>
      </c>
      <c r="D162" t="s">
        <v>2658</v>
      </c>
      <c r="E162" s="24">
        <v>35480</v>
      </c>
      <c r="F162">
        <v>2</v>
      </c>
      <c r="G162">
        <v>1</v>
      </c>
      <c r="H162" t="s">
        <v>2875</v>
      </c>
      <c r="I162">
        <v>2</v>
      </c>
    </row>
    <row r="163" spans="2:9" x14ac:dyDescent="0.3">
      <c r="B163" t="s">
        <v>37</v>
      </c>
      <c r="C163" t="s">
        <v>1474</v>
      </c>
      <c r="D163" t="s">
        <v>2658</v>
      </c>
      <c r="E163" s="24">
        <v>35550</v>
      </c>
      <c r="F163">
        <v>10</v>
      </c>
      <c r="G163">
        <v>1</v>
      </c>
      <c r="H163" t="s">
        <v>2876</v>
      </c>
      <c r="I163">
        <v>10</v>
      </c>
    </row>
    <row r="164" spans="2:9" x14ac:dyDescent="0.3">
      <c r="B164" t="s">
        <v>248</v>
      </c>
      <c r="C164" t="s">
        <v>1475</v>
      </c>
      <c r="D164" t="s">
        <v>2658</v>
      </c>
      <c r="E164" s="24">
        <v>39183</v>
      </c>
      <c r="F164">
        <v>10</v>
      </c>
      <c r="G164">
        <v>1</v>
      </c>
      <c r="H164" t="s">
        <v>2877</v>
      </c>
      <c r="I164">
        <v>10</v>
      </c>
    </row>
    <row r="165" spans="2:9" x14ac:dyDescent="0.3">
      <c r="B165" t="s">
        <v>249</v>
      </c>
      <c r="C165" t="s">
        <v>1476</v>
      </c>
      <c r="D165" t="s">
        <v>2658</v>
      </c>
      <c r="E165" s="24">
        <v>38729</v>
      </c>
      <c r="F165">
        <v>10</v>
      </c>
      <c r="G165">
        <v>1</v>
      </c>
      <c r="H165" t="s">
        <v>2878</v>
      </c>
      <c r="I165">
        <v>10</v>
      </c>
    </row>
    <row r="166" spans="2:9" x14ac:dyDescent="0.3">
      <c r="B166" t="s">
        <v>250</v>
      </c>
      <c r="C166" t="s">
        <v>1477</v>
      </c>
      <c r="D166" t="s">
        <v>2658</v>
      </c>
      <c r="E166" s="24">
        <v>34836</v>
      </c>
      <c r="F166">
        <v>10</v>
      </c>
      <c r="G166">
        <v>1</v>
      </c>
      <c r="H166" t="s">
        <v>2879</v>
      </c>
      <c r="I166">
        <v>10</v>
      </c>
    </row>
    <row r="167" spans="2:9" x14ac:dyDescent="0.3">
      <c r="B167" t="s">
        <v>251</v>
      </c>
      <c r="C167" t="s">
        <v>1478</v>
      </c>
      <c r="D167" t="s">
        <v>2658</v>
      </c>
      <c r="E167" s="24">
        <v>38670</v>
      </c>
      <c r="F167">
        <v>10</v>
      </c>
      <c r="G167">
        <v>1</v>
      </c>
      <c r="H167" t="s">
        <v>2880</v>
      </c>
      <c r="I167">
        <v>10</v>
      </c>
    </row>
    <row r="168" spans="2:9" x14ac:dyDescent="0.3">
      <c r="B168" t="s">
        <v>38</v>
      </c>
      <c r="C168" t="s">
        <v>1479</v>
      </c>
      <c r="D168" t="s">
        <v>2658</v>
      </c>
      <c r="E168" s="24">
        <v>37790</v>
      </c>
      <c r="F168">
        <v>5</v>
      </c>
      <c r="G168">
        <v>1</v>
      </c>
      <c r="H168" t="s">
        <v>2881</v>
      </c>
      <c r="I168">
        <v>5</v>
      </c>
    </row>
    <row r="169" spans="2:9" x14ac:dyDescent="0.3">
      <c r="B169" t="s">
        <v>2882</v>
      </c>
      <c r="C169" t="s">
        <v>2883</v>
      </c>
      <c r="D169" t="s">
        <v>2658</v>
      </c>
      <c r="E169" s="24">
        <v>40186</v>
      </c>
      <c r="F169">
        <v>10</v>
      </c>
      <c r="G169">
        <v>1</v>
      </c>
      <c r="H169" t="s">
        <v>2884</v>
      </c>
      <c r="I169">
        <v>10</v>
      </c>
    </row>
    <row r="170" spans="2:9" x14ac:dyDescent="0.3">
      <c r="B170" t="s">
        <v>252</v>
      </c>
      <c r="C170" t="s">
        <v>1480</v>
      </c>
      <c r="D170" t="s">
        <v>2658</v>
      </c>
      <c r="E170" s="24">
        <v>39042</v>
      </c>
      <c r="F170">
        <v>10</v>
      </c>
      <c r="G170">
        <v>1</v>
      </c>
      <c r="H170" t="s">
        <v>2885</v>
      </c>
      <c r="I170">
        <v>10</v>
      </c>
    </row>
    <row r="171" spans="2:9" x14ac:dyDescent="0.3">
      <c r="B171" t="s">
        <v>253</v>
      </c>
      <c r="C171" t="s">
        <v>1481</v>
      </c>
      <c r="D171" t="s">
        <v>2658</v>
      </c>
      <c r="E171" s="24">
        <v>35158</v>
      </c>
      <c r="F171">
        <v>2</v>
      </c>
      <c r="G171">
        <v>1</v>
      </c>
      <c r="H171" t="s">
        <v>2886</v>
      </c>
      <c r="I171">
        <v>2</v>
      </c>
    </row>
    <row r="172" spans="2:9" x14ac:dyDescent="0.3">
      <c r="B172" t="s">
        <v>2887</v>
      </c>
      <c r="C172" t="s">
        <v>2888</v>
      </c>
      <c r="D172" t="s">
        <v>2686</v>
      </c>
      <c r="E172" s="24">
        <v>42017</v>
      </c>
      <c r="F172">
        <v>2</v>
      </c>
      <c r="G172">
        <v>1</v>
      </c>
      <c r="H172" t="s">
        <v>2889</v>
      </c>
      <c r="I172">
        <v>2</v>
      </c>
    </row>
    <row r="173" spans="2:9" x14ac:dyDescent="0.3">
      <c r="B173" t="s">
        <v>254</v>
      </c>
      <c r="C173" t="s">
        <v>1482</v>
      </c>
      <c r="D173" t="s">
        <v>2658</v>
      </c>
      <c r="E173" s="24">
        <v>40465</v>
      </c>
      <c r="F173">
        <v>10</v>
      </c>
      <c r="G173">
        <v>1</v>
      </c>
      <c r="H173" t="s">
        <v>2890</v>
      </c>
      <c r="I173">
        <v>10</v>
      </c>
    </row>
    <row r="174" spans="2:9" x14ac:dyDescent="0.3">
      <c r="B174" t="s">
        <v>39</v>
      </c>
      <c r="C174" t="s">
        <v>1483</v>
      </c>
      <c r="D174" t="s">
        <v>2658</v>
      </c>
      <c r="E174" s="24">
        <v>36726</v>
      </c>
      <c r="F174">
        <v>1</v>
      </c>
      <c r="G174">
        <v>1</v>
      </c>
      <c r="H174" t="s">
        <v>2891</v>
      </c>
      <c r="I174">
        <v>1</v>
      </c>
    </row>
    <row r="175" spans="2:9" x14ac:dyDescent="0.3">
      <c r="B175" t="s">
        <v>255</v>
      </c>
      <c r="C175" t="s">
        <v>1484</v>
      </c>
      <c r="D175" t="s">
        <v>2658</v>
      </c>
      <c r="E175" s="24">
        <v>37930</v>
      </c>
      <c r="F175">
        <v>10</v>
      </c>
      <c r="G175">
        <v>1</v>
      </c>
      <c r="H175" t="s">
        <v>2892</v>
      </c>
      <c r="I175">
        <v>10</v>
      </c>
    </row>
    <row r="176" spans="2:9" x14ac:dyDescent="0.3">
      <c r="B176" t="s">
        <v>256</v>
      </c>
      <c r="C176" t="s">
        <v>1485</v>
      </c>
      <c r="D176" t="s">
        <v>2658</v>
      </c>
      <c r="E176" s="24">
        <v>38432</v>
      </c>
      <c r="F176">
        <v>1</v>
      </c>
      <c r="G176">
        <v>1</v>
      </c>
      <c r="H176" t="s">
        <v>2893</v>
      </c>
      <c r="I176">
        <v>1</v>
      </c>
    </row>
    <row r="177" spans="2:9" x14ac:dyDescent="0.3">
      <c r="B177" t="s">
        <v>257</v>
      </c>
      <c r="C177" t="s">
        <v>1486</v>
      </c>
      <c r="D177" t="s">
        <v>2658</v>
      </c>
      <c r="E177" s="24">
        <v>36488</v>
      </c>
      <c r="F177">
        <v>1</v>
      </c>
      <c r="G177">
        <v>1</v>
      </c>
      <c r="H177" t="s">
        <v>2894</v>
      </c>
      <c r="I177">
        <v>1</v>
      </c>
    </row>
    <row r="178" spans="2:9" x14ac:dyDescent="0.3">
      <c r="B178" t="s">
        <v>258</v>
      </c>
      <c r="C178" t="s">
        <v>1487</v>
      </c>
      <c r="D178" t="s">
        <v>2658</v>
      </c>
      <c r="E178" s="24">
        <v>40557</v>
      </c>
      <c r="F178">
        <v>5</v>
      </c>
      <c r="G178">
        <v>1</v>
      </c>
      <c r="H178" t="s">
        <v>2895</v>
      </c>
      <c r="I178">
        <v>5</v>
      </c>
    </row>
    <row r="179" spans="2:9" x14ac:dyDescent="0.3">
      <c r="B179" t="s">
        <v>259</v>
      </c>
      <c r="C179" t="s">
        <v>1488</v>
      </c>
      <c r="D179" t="s">
        <v>2658</v>
      </c>
      <c r="E179" s="24">
        <v>39205</v>
      </c>
      <c r="F179">
        <v>5</v>
      </c>
      <c r="G179">
        <v>1</v>
      </c>
      <c r="H179" t="s">
        <v>2896</v>
      </c>
      <c r="I179">
        <v>5</v>
      </c>
    </row>
    <row r="180" spans="2:9" x14ac:dyDescent="0.3">
      <c r="B180" t="s">
        <v>260</v>
      </c>
      <c r="C180" t="s">
        <v>1489</v>
      </c>
      <c r="D180" t="s">
        <v>2686</v>
      </c>
      <c r="E180" s="24">
        <v>40752</v>
      </c>
      <c r="F180">
        <v>10</v>
      </c>
      <c r="G180">
        <v>1</v>
      </c>
      <c r="H180" t="s">
        <v>2897</v>
      </c>
      <c r="I180">
        <v>10</v>
      </c>
    </row>
    <row r="181" spans="2:9" x14ac:dyDescent="0.3">
      <c r="B181" t="s">
        <v>261</v>
      </c>
      <c r="C181" t="s">
        <v>1490</v>
      </c>
      <c r="D181" t="s">
        <v>2658</v>
      </c>
      <c r="E181" s="24">
        <v>39450</v>
      </c>
      <c r="F181">
        <v>10</v>
      </c>
      <c r="G181">
        <v>1</v>
      </c>
      <c r="H181" t="s">
        <v>2898</v>
      </c>
      <c r="I181">
        <v>10</v>
      </c>
    </row>
    <row r="182" spans="2:9" x14ac:dyDescent="0.3">
      <c r="B182" t="s">
        <v>2899</v>
      </c>
      <c r="C182" t="s">
        <v>2900</v>
      </c>
      <c r="D182" t="s">
        <v>2658</v>
      </c>
      <c r="E182" s="24">
        <v>42431</v>
      </c>
      <c r="F182">
        <v>5</v>
      </c>
      <c r="G182">
        <v>1</v>
      </c>
      <c r="H182" t="s">
        <v>2901</v>
      </c>
      <c r="I182">
        <v>5</v>
      </c>
    </row>
    <row r="183" spans="2:9" x14ac:dyDescent="0.3">
      <c r="B183" t="s">
        <v>2902</v>
      </c>
      <c r="C183" t="s">
        <v>1491</v>
      </c>
      <c r="D183" t="s">
        <v>2686</v>
      </c>
      <c r="E183" s="24">
        <v>42872</v>
      </c>
      <c r="F183">
        <v>2</v>
      </c>
      <c r="G183">
        <v>1</v>
      </c>
      <c r="H183" t="s">
        <v>2903</v>
      </c>
      <c r="I183">
        <v>2</v>
      </c>
    </row>
    <row r="184" spans="2:9" x14ac:dyDescent="0.3">
      <c r="B184" t="s">
        <v>2904</v>
      </c>
      <c r="C184" t="s">
        <v>2905</v>
      </c>
      <c r="D184" t="s">
        <v>2658</v>
      </c>
      <c r="E184" s="24">
        <v>42765</v>
      </c>
      <c r="F184">
        <v>1</v>
      </c>
      <c r="G184">
        <v>1</v>
      </c>
      <c r="H184" t="s">
        <v>2906</v>
      </c>
      <c r="I184">
        <v>1</v>
      </c>
    </row>
    <row r="185" spans="2:9" x14ac:dyDescent="0.3">
      <c r="B185" t="s">
        <v>2907</v>
      </c>
      <c r="C185" t="s">
        <v>2908</v>
      </c>
      <c r="D185" t="s">
        <v>2658</v>
      </c>
      <c r="E185" s="24">
        <v>40406</v>
      </c>
      <c r="F185">
        <v>10</v>
      </c>
      <c r="G185">
        <v>1</v>
      </c>
      <c r="H185" t="s">
        <v>2909</v>
      </c>
      <c r="I185">
        <v>10</v>
      </c>
    </row>
    <row r="186" spans="2:9" x14ac:dyDescent="0.3">
      <c r="B186" t="s">
        <v>40</v>
      </c>
      <c r="C186" t="s">
        <v>1492</v>
      </c>
      <c r="D186" t="s">
        <v>2658</v>
      </c>
      <c r="E186" s="24">
        <v>37715</v>
      </c>
      <c r="F186">
        <v>2</v>
      </c>
      <c r="G186">
        <v>1</v>
      </c>
      <c r="H186" t="s">
        <v>2910</v>
      </c>
      <c r="I186">
        <v>2</v>
      </c>
    </row>
    <row r="187" spans="2:9" x14ac:dyDescent="0.3">
      <c r="B187" t="s">
        <v>262</v>
      </c>
      <c r="C187" t="s">
        <v>1493</v>
      </c>
      <c r="D187" t="s">
        <v>2658</v>
      </c>
      <c r="E187" s="24">
        <v>35158</v>
      </c>
      <c r="F187">
        <v>10</v>
      </c>
      <c r="G187">
        <v>1</v>
      </c>
      <c r="H187" t="s">
        <v>2911</v>
      </c>
      <c r="I187">
        <v>10</v>
      </c>
    </row>
    <row r="188" spans="2:9" x14ac:dyDescent="0.3">
      <c r="B188" t="s">
        <v>2912</v>
      </c>
      <c r="C188" t="s">
        <v>2913</v>
      </c>
      <c r="D188" t="s">
        <v>2658</v>
      </c>
      <c r="E188" s="24">
        <v>38351</v>
      </c>
      <c r="F188">
        <v>10</v>
      </c>
      <c r="G188">
        <v>1</v>
      </c>
      <c r="H188" t="s">
        <v>2914</v>
      </c>
      <c r="I188">
        <v>10</v>
      </c>
    </row>
    <row r="189" spans="2:9" x14ac:dyDescent="0.3">
      <c r="B189" t="s">
        <v>263</v>
      </c>
      <c r="C189" t="s">
        <v>1494</v>
      </c>
      <c r="D189" t="s">
        <v>2658</v>
      </c>
      <c r="E189" s="24">
        <v>34983</v>
      </c>
      <c r="F189">
        <v>10</v>
      </c>
      <c r="G189">
        <v>1</v>
      </c>
      <c r="H189" t="s">
        <v>2915</v>
      </c>
      <c r="I189">
        <v>10</v>
      </c>
    </row>
    <row r="190" spans="2:9" x14ac:dyDescent="0.3">
      <c r="B190" t="s">
        <v>2916</v>
      </c>
      <c r="C190" t="s">
        <v>2917</v>
      </c>
      <c r="D190" t="s">
        <v>2658</v>
      </c>
      <c r="E190" s="24">
        <v>42461</v>
      </c>
      <c r="F190">
        <v>10</v>
      </c>
      <c r="G190">
        <v>1</v>
      </c>
      <c r="H190" t="s">
        <v>2918</v>
      </c>
      <c r="I190">
        <v>10</v>
      </c>
    </row>
    <row r="191" spans="2:9" x14ac:dyDescent="0.3">
      <c r="B191" t="s">
        <v>264</v>
      </c>
      <c r="C191" t="s">
        <v>1495</v>
      </c>
      <c r="D191" t="s">
        <v>2658</v>
      </c>
      <c r="E191" s="24">
        <v>37302</v>
      </c>
      <c r="F191">
        <v>5</v>
      </c>
      <c r="G191">
        <v>1</v>
      </c>
      <c r="H191" t="s">
        <v>2919</v>
      </c>
      <c r="I191">
        <v>5</v>
      </c>
    </row>
    <row r="192" spans="2:9" x14ac:dyDescent="0.3">
      <c r="B192" t="s">
        <v>128</v>
      </c>
      <c r="C192" t="s">
        <v>1496</v>
      </c>
      <c r="D192" t="s">
        <v>2658</v>
      </c>
      <c r="E192" s="24">
        <v>37936</v>
      </c>
      <c r="F192">
        <v>2</v>
      </c>
      <c r="G192">
        <v>1</v>
      </c>
      <c r="H192" t="s">
        <v>2920</v>
      </c>
      <c r="I192">
        <v>2</v>
      </c>
    </row>
    <row r="193" spans="2:9" x14ac:dyDescent="0.3">
      <c r="B193" t="s">
        <v>42</v>
      </c>
      <c r="C193" t="s">
        <v>1497</v>
      </c>
      <c r="D193" t="s">
        <v>2658</v>
      </c>
      <c r="E193" s="24">
        <v>37946</v>
      </c>
      <c r="F193">
        <v>2</v>
      </c>
      <c r="G193">
        <v>1</v>
      </c>
      <c r="H193" t="s">
        <v>2921</v>
      </c>
      <c r="I193">
        <v>2</v>
      </c>
    </row>
    <row r="194" spans="2:9" x14ac:dyDescent="0.3">
      <c r="B194" t="s">
        <v>2922</v>
      </c>
      <c r="C194" t="s">
        <v>2923</v>
      </c>
      <c r="D194" t="s">
        <v>2658</v>
      </c>
      <c r="E194" s="24">
        <v>42615</v>
      </c>
      <c r="F194">
        <v>10</v>
      </c>
      <c r="G194">
        <v>1</v>
      </c>
      <c r="H194" t="s">
        <v>2924</v>
      </c>
      <c r="I194">
        <v>10</v>
      </c>
    </row>
    <row r="195" spans="2:9" x14ac:dyDescent="0.3">
      <c r="B195" t="s">
        <v>265</v>
      </c>
      <c r="C195" t="s">
        <v>1498</v>
      </c>
      <c r="D195" t="s">
        <v>2658</v>
      </c>
      <c r="E195" s="24">
        <v>36628</v>
      </c>
      <c r="F195">
        <v>10</v>
      </c>
      <c r="G195">
        <v>1</v>
      </c>
      <c r="H195" t="s">
        <v>2925</v>
      </c>
      <c r="I195">
        <v>10</v>
      </c>
    </row>
    <row r="196" spans="2:9" x14ac:dyDescent="0.3">
      <c r="B196" t="s">
        <v>266</v>
      </c>
      <c r="C196" t="s">
        <v>1499</v>
      </c>
      <c r="D196" t="s">
        <v>2658</v>
      </c>
      <c r="E196" s="24">
        <v>40589</v>
      </c>
      <c r="F196">
        <v>1</v>
      </c>
      <c r="G196">
        <v>1</v>
      </c>
      <c r="H196" t="s">
        <v>2926</v>
      </c>
      <c r="I196">
        <v>1</v>
      </c>
    </row>
    <row r="197" spans="2:9" x14ac:dyDescent="0.3">
      <c r="B197" t="s">
        <v>1295</v>
      </c>
      <c r="C197" t="s">
        <v>1500</v>
      </c>
      <c r="D197" t="s">
        <v>2658</v>
      </c>
      <c r="E197" s="24">
        <v>39111</v>
      </c>
      <c r="F197">
        <v>10</v>
      </c>
      <c r="G197">
        <v>1</v>
      </c>
      <c r="H197" t="s">
        <v>2927</v>
      </c>
      <c r="I197">
        <v>10</v>
      </c>
    </row>
    <row r="198" spans="2:9" x14ac:dyDescent="0.3">
      <c r="B198" t="s">
        <v>267</v>
      </c>
      <c r="C198" t="s">
        <v>1501</v>
      </c>
      <c r="D198" t="s">
        <v>2658</v>
      </c>
      <c r="E198" s="24">
        <v>38987</v>
      </c>
      <c r="F198">
        <v>10</v>
      </c>
      <c r="G198">
        <v>1</v>
      </c>
      <c r="H198" t="s">
        <v>2928</v>
      </c>
      <c r="I198">
        <v>10</v>
      </c>
    </row>
    <row r="199" spans="2:9" x14ac:dyDescent="0.3">
      <c r="B199" t="s">
        <v>268</v>
      </c>
      <c r="C199" t="s">
        <v>1502</v>
      </c>
      <c r="D199" t="s">
        <v>2658</v>
      </c>
      <c r="E199" s="24">
        <v>35305</v>
      </c>
      <c r="F199">
        <v>10</v>
      </c>
      <c r="G199">
        <v>1</v>
      </c>
      <c r="H199" t="s">
        <v>2929</v>
      </c>
      <c r="I199">
        <v>10</v>
      </c>
    </row>
    <row r="200" spans="2:9" x14ac:dyDescent="0.3">
      <c r="B200" t="s">
        <v>43</v>
      </c>
      <c r="C200" t="s">
        <v>1503</v>
      </c>
      <c r="D200" t="s">
        <v>2658</v>
      </c>
      <c r="E200" s="24">
        <v>38084</v>
      </c>
      <c r="F200">
        <v>5</v>
      </c>
      <c r="G200">
        <v>1</v>
      </c>
      <c r="H200" t="s">
        <v>2930</v>
      </c>
      <c r="I200">
        <v>5</v>
      </c>
    </row>
    <row r="201" spans="2:9" x14ac:dyDescent="0.3">
      <c r="B201" t="s">
        <v>2931</v>
      </c>
      <c r="C201" t="s">
        <v>2932</v>
      </c>
      <c r="D201" t="s">
        <v>2658</v>
      </c>
      <c r="E201" s="24">
        <v>35039</v>
      </c>
      <c r="F201">
        <v>10</v>
      </c>
      <c r="G201">
        <v>1</v>
      </c>
      <c r="H201" t="s">
        <v>2933</v>
      </c>
      <c r="I201">
        <v>10</v>
      </c>
    </row>
    <row r="202" spans="2:9" x14ac:dyDescent="0.3">
      <c r="B202" t="s">
        <v>269</v>
      </c>
      <c r="C202" t="s">
        <v>1504</v>
      </c>
      <c r="D202" t="s">
        <v>2658</v>
      </c>
      <c r="E202" s="24">
        <v>34801</v>
      </c>
      <c r="F202">
        <v>10</v>
      </c>
      <c r="G202">
        <v>1</v>
      </c>
      <c r="H202" t="s">
        <v>2934</v>
      </c>
      <c r="I202">
        <v>10</v>
      </c>
    </row>
    <row r="203" spans="2:9" x14ac:dyDescent="0.3">
      <c r="B203" t="s">
        <v>270</v>
      </c>
      <c r="C203" t="s">
        <v>1505</v>
      </c>
      <c r="D203" t="s">
        <v>2686</v>
      </c>
      <c r="E203" s="24">
        <v>39485</v>
      </c>
      <c r="F203">
        <v>1</v>
      </c>
      <c r="G203">
        <v>1</v>
      </c>
      <c r="H203" t="s">
        <v>2935</v>
      </c>
      <c r="I203">
        <v>1</v>
      </c>
    </row>
    <row r="204" spans="2:9" x14ac:dyDescent="0.3">
      <c r="B204" t="s">
        <v>271</v>
      </c>
      <c r="C204" t="s">
        <v>1506</v>
      </c>
      <c r="D204" t="s">
        <v>2686</v>
      </c>
      <c r="E204" s="24">
        <v>36677</v>
      </c>
      <c r="F204">
        <v>1</v>
      </c>
      <c r="G204">
        <v>1</v>
      </c>
      <c r="H204" t="s">
        <v>2936</v>
      </c>
      <c r="I204">
        <v>1</v>
      </c>
    </row>
    <row r="205" spans="2:9" x14ac:dyDescent="0.3">
      <c r="B205" t="s">
        <v>272</v>
      </c>
      <c r="C205" t="s">
        <v>1507</v>
      </c>
      <c r="D205" t="s">
        <v>2658</v>
      </c>
      <c r="E205" s="24">
        <v>40385</v>
      </c>
      <c r="F205">
        <v>1</v>
      </c>
      <c r="G205">
        <v>1</v>
      </c>
      <c r="H205" t="s">
        <v>2937</v>
      </c>
      <c r="I205">
        <v>1</v>
      </c>
    </row>
    <row r="206" spans="2:9" x14ac:dyDescent="0.3">
      <c r="B206" t="s">
        <v>273</v>
      </c>
      <c r="C206" t="s">
        <v>1508</v>
      </c>
      <c r="D206" t="s">
        <v>2658</v>
      </c>
      <c r="E206" s="24">
        <v>38793</v>
      </c>
      <c r="F206">
        <v>1</v>
      </c>
      <c r="G206">
        <v>1</v>
      </c>
      <c r="H206" t="s">
        <v>2938</v>
      </c>
      <c r="I206">
        <v>1</v>
      </c>
    </row>
    <row r="207" spans="2:9" x14ac:dyDescent="0.3">
      <c r="B207" t="s">
        <v>2939</v>
      </c>
      <c r="C207" t="s">
        <v>2940</v>
      </c>
      <c r="D207" t="s">
        <v>2658</v>
      </c>
      <c r="E207" s="24">
        <v>42535</v>
      </c>
      <c r="F207">
        <v>1</v>
      </c>
      <c r="G207">
        <v>1</v>
      </c>
      <c r="H207" t="s">
        <v>2941</v>
      </c>
      <c r="I207">
        <v>1</v>
      </c>
    </row>
    <row r="208" spans="2:9" x14ac:dyDescent="0.3">
      <c r="B208" t="s">
        <v>1296</v>
      </c>
      <c r="C208" t="s">
        <v>1509</v>
      </c>
      <c r="D208" t="s">
        <v>2658</v>
      </c>
      <c r="E208" s="24">
        <v>34738</v>
      </c>
      <c r="F208">
        <v>10</v>
      </c>
      <c r="G208">
        <v>1</v>
      </c>
      <c r="H208" t="s">
        <v>2942</v>
      </c>
      <c r="I208">
        <v>10</v>
      </c>
    </row>
    <row r="209" spans="2:9" x14ac:dyDescent="0.3">
      <c r="B209" t="s">
        <v>1297</v>
      </c>
      <c r="C209" t="s">
        <v>1510</v>
      </c>
      <c r="D209" t="s">
        <v>2658</v>
      </c>
      <c r="E209" s="24">
        <v>36572</v>
      </c>
      <c r="F209">
        <v>10</v>
      </c>
      <c r="G209">
        <v>1</v>
      </c>
      <c r="H209" t="s">
        <v>2943</v>
      </c>
      <c r="I209">
        <v>10</v>
      </c>
    </row>
    <row r="210" spans="2:9" x14ac:dyDescent="0.3">
      <c r="B210" t="s">
        <v>274</v>
      </c>
      <c r="C210" t="s">
        <v>1511</v>
      </c>
      <c r="D210" t="s">
        <v>2658</v>
      </c>
      <c r="E210" s="24">
        <v>37602</v>
      </c>
      <c r="F210">
        <v>10</v>
      </c>
      <c r="G210">
        <v>1</v>
      </c>
      <c r="H210" t="s">
        <v>2944</v>
      </c>
      <c r="I210">
        <v>10</v>
      </c>
    </row>
    <row r="211" spans="2:9" x14ac:dyDescent="0.3">
      <c r="B211" t="s">
        <v>275</v>
      </c>
      <c r="C211" t="s">
        <v>1512</v>
      </c>
      <c r="D211" t="s">
        <v>2658</v>
      </c>
      <c r="E211" s="24">
        <v>36692</v>
      </c>
      <c r="F211">
        <v>2</v>
      </c>
      <c r="G211">
        <v>1</v>
      </c>
      <c r="H211" t="s">
        <v>2945</v>
      </c>
      <c r="I211">
        <v>2</v>
      </c>
    </row>
    <row r="212" spans="2:9" x14ac:dyDescent="0.3">
      <c r="B212" t="s">
        <v>276</v>
      </c>
      <c r="C212" t="s">
        <v>1513</v>
      </c>
      <c r="D212" t="s">
        <v>2658</v>
      </c>
      <c r="E212" s="24">
        <v>40777</v>
      </c>
      <c r="F212">
        <v>2</v>
      </c>
      <c r="G212">
        <v>1</v>
      </c>
      <c r="H212" t="s">
        <v>2946</v>
      </c>
      <c r="I212">
        <v>2</v>
      </c>
    </row>
    <row r="213" spans="2:9" x14ac:dyDescent="0.3">
      <c r="B213" t="s">
        <v>277</v>
      </c>
      <c r="C213" t="s">
        <v>1514</v>
      </c>
      <c r="D213" t="s">
        <v>2658</v>
      </c>
      <c r="E213" s="24">
        <v>34815</v>
      </c>
      <c r="F213">
        <v>2</v>
      </c>
      <c r="G213">
        <v>1</v>
      </c>
      <c r="H213" t="s">
        <v>2947</v>
      </c>
      <c r="I213">
        <v>2</v>
      </c>
    </row>
    <row r="214" spans="2:9" x14ac:dyDescent="0.3">
      <c r="B214" t="s">
        <v>278</v>
      </c>
      <c r="C214" t="s">
        <v>1515</v>
      </c>
      <c r="D214" t="s">
        <v>2658</v>
      </c>
      <c r="E214" s="24">
        <v>37753</v>
      </c>
      <c r="F214">
        <v>10</v>
      </c>
      <c r="G214">
        <v>1</v>
      </c>
      <c r="H214" t="s">
        <v>2948</v>
      </c>
      <c r="I214">
        <v>10</v>
      </c>
    </row>
    <row r="215" spans="2:9" x14ac:dyDescent="0.3">
      <c r="B215" t="s">
        <v>279</v>
      </c>
      <c r="C215" t="s">
        <v>1516</v>
      </c>
      <c r="D215" t="s">
        <v>2658</v>
      </c>
      <c r="E215" s="24">
        <v>34955</v>
      </c>
      <c r="F215">
        <v>10</v>
      </c>
      <c r="G215">
        <v>1</v>
      </c>
      <c r="H215" t="s">
        <v>2949</v>
      </c>
      <c r="I215">
        <v>10</v>
      </c>
    </row>
    <row r="216" spans="2:9" x14ac:dyDescent="0.3">
      <c r="B216" t="s">
        <v>280</v>
      </c>
      <c r="C216" t="s">
        <v>1517</v>
      </c>
      <c r="D216" t="s">
        <v>2658</v>
      </c>
      <c r="E216" s="24">
        <v>34864</v>
      </c>
      <c r="F216">
        <v>10</v>
      </c>
      <c r="G216">
        <v>1</v>
      </c>
      <c r="H216" t="s">
        <v>2950</v>
      </c>
      <c r="I216">
        <v>10</v>
      </c>
    </row>
    <row r="217" spans="2:9" x14ac:dyDescent="0.3">
      <c r="B217" t="s">
        <v>281</v>
      </c>
      <c r="C217" t="s">
        <v>1518</v>
      </c>
      <c r="D217" t="s">
        <v>2658</v>
      </c>
      <c r="E217" s="24">
        <v>38691</v>
      </c>
      <c r="F217">
        <v>10</v>
      </c>
      <c r="G217">
        <v>1</v>
      </c>
      <c r="H217" t="s">
        <v>2951</v>
      </c>
      <c r="I217">
        <v>10</v>
      </c>
    </row>
    <row r="218" spans="2:9" x14ac:dyDescent="0.3">
      <c r="B218" t="s">
        <v>282</v>
      </c>
      <c r="C218" t="s">
        <v>1519</v>
      </c>
      <c r="D218" t="s">
        <v>2658</v>
      </c>
      <c r="E218" s="24">
        <v>39447</v>
      </c>
      <c r="F218">
        <v>10</v>
      </c>
      <c r="G218">
        <v>1</v>
      </c>
      <c r="H218" t="s">
        <v>2952</v>
      </c>
      <c r="I218">
        <v>10</v>
      </c>
    </row>
    <row r="219" spans="2:9" x14ac:dyDescent="0.3">
      <c r="B219" t="s">
        <v>44</v>
      </c>
      <c r="C219" t="s">
        <v>1520</v>
      </c>
      <c r="D219" t="s">
        <v>2658</v>
      </c>
      <c r="E219" s="24">
        <v>36104</v>
      </c>
      <c r="F219">
        <v>2</v>
      </c>
      <c r="G219">
        <v>1</v>
      </c>
      <c r="H219" t="s">
        <v>2953</v>
      </c>
      <c r="I219">
        <v>2</v>
      </c>
    </row>
    <row r="220" spans="2:9" x14ac:dyDescent="0.3">
      <c r="B220" t="s">
        <v>283</v>
      </c>
      <c r="C220" t="s">
        <v>1521</v>
      </c>
      <c r="D220" t="s">
        <v>2658</v>
      </c>
      <c r="E220" s="24">
        <v>40791</v>
      </c>
      <c r="F220">
        <v>10</v>
      </c>
      <c r="G220">
        <v>1</v>
      </c>
      <c r="H220" t="s">
        <v>2954</v>
      </c>
      <c r="I220">
        <v>10</v>
      </c>
    </row>
    <row r="221" spans="2:9" x14ac:dyDescent="0.3">
      <c r="B221" t="s">
        <v>2955</v>
      </c>
      <c r="C221" t="s">
        <v>2956</v>
      </c>
      <c r="D221" t="s">
        <v>2658</v>
      </c>
      <c r="E221" s="24">
        <v>42769</v>
      </c>
      <c r="F221">
        <v>2</v>
      </c>
      <c r="G221">
        <v>1</v>
      </c>
      <c r="H221" t="s">
        <v>2957</v>
      </c>
      <c r="I221">
        <v>2</v>
      </c>
    </row>
    <row r="222" spans="2:9" x14ac:dyDescent="0.3">
      <c r="B222" t="s">
        <v>284</v>
      </c>
      <c r="C222" t="s">
        <v>1522</v>
      </c>
      <c r="D222" t="s">
        <v>2686</v>
      </c>
      <c r="E222" s="24">
        <v>36929</v>
      </c>
      <c r="F222">
        <v>10</v>
      </c>
      <c r="G222">
        <v>1</v>
      </c>
      <c r="H222" t="s">
        <v>2958</v>
      </c>
      <c r="I222">
        <v>10</v>
      </c>
    </row>
    <row r="223" spans="2:9" x14ac:dyDescent="0.3">
      <c r="B223" t="s">
        <v>285</v>
      </c>
      <c r="C223" t="s">
        <v>1523</v>
      </c>
      <c r="D223" t="s">
        <v>2658</v>
      </c>
      <c r="E223" s="24">
        <v>34907</v>
      </c>
      <c r="F223">
        <v>10</v>
      </c>
      <c r="G223">
        <v>1</v>
      </c>
      <c r="H223" t="s">
        <v>2959</v>
      </c>
      <c r="I223">
        <v>10</v>
      </c>
    </row>
    <row r="224" spans="2:9" x14ac:dyDescent="0.3">
      <c r="B224" t="s">
        <v>286</v>
      </c>
      <c r="C224" t="s">
        <v>2960</v>
      </c>
      <c r="D224" t="s">
        <v>2658</v>
      </c>
      <c r="E224" s="24">
        <v>40478</v>
      </c>
      <c r="F224">
        <v>1</v>
      </c>
      <c r="G224">
        <v>1</v>
      </c>
      <c r="H224" t="s">
        <v>2961</v>
      </c>
      <c r="I224">
        <v>1</v>
      </c>
    </row>
    <row r="225" spans="2:9" x14ac:dyDescent="0.3">
      <c r="B225" t="s">
        <v>287</v>
      </c>
      <c r="C225" t="s">
        <v>1524</v>
      </c>
      <c r="D225" t="s">
        <v>2658</v>
      </c>
      <c r="E225" s="24">
        <v>39450</v>
      </c>
      <c r="F225">
        <v>10</v>
      </c>
      <c r="G225">
        <v>1</v>
      </c>
      <c r="H225" t="s">
        <v>2962</v>
      </c>
      <c r="I225">
        <v>10</v>
      </c>
    </row>
    <row r="226" spans="2:9" x14ac:dyDescent="0.3">
      <c r="B226" t="s">
        <v>288</v>
      </c>
      <c r="C226" t="s">
        <v>1525</v>
      </c>
      <c r="D226" t="s">
        <v>2658</v>
      </c>
      <c r="E226" s="24">
        <v>41757</v>
      </c>
      <c r="F226">
        <v>10</v>
      </c>
      <c r="G226">
        <v>1</v>
      </c>
      <c r="H226" t="s">
        <v>2963</v>
      </c>
      <c r="I226">
        <v>10</v>
      </c>
    </row>
    <row r="227" spans="2:9" x14ac:dyDescent="0.3">
      <c r="B227" t="s">
        <v>289</v>
      </c>
      <c r="C227" t="s">
        <v>1526</v>
      </c>
      <c r="D227" t="s">
        <v>2686</v>
      </c>
      <c r="E227" s="24">
        <v>39409</v>
      </c>
      <c r="F227">
        <v>10</v>
      </c>
      <c r="G227">
        <v>1</v>
      </c>
      <c r="H227" t="s">
        <v>2964</v>
      </c>
      <c r="I227">
        <v>10</v>
      </c>
    </row>
    <row r="228" spans="2:9" x14ac:dyDescent="0.3">
      <c r="B228" t="s">
        <v>2965</v>
      </c>
      <c r="C228" t="s">
        <v>2966</v>
      </c>
      <c r="D228" t="s">
        <v>2658</v>
      </c>
      <c r="E228" s="24">
        <v>42109</v>
      </c>
      <c r="F228">
        <v>10</v>
      </c>
      <c r="G228">
        <v>1</v>
      </c>
      <c r="H228" t="s">
        <v>2967</v>
      </c>
      <c r="I228">
        <v>10</v>
      </c>
    </row>
    <row r="229" spans="2:9" x14ac:dyDescent="0.3">
      <c r="B229" t="s">
        <v>45</v>
      </c>
      <c r="C229" t="s">
        <v>1527</v>
      </c>
      <c r="D229" t="s">
        <v>2658</v>
      </c>
      <c r="E229" s="24">
        <v>36634</v>
      </c>
      <c r="F229">
        <v>1</v>
      </c>
      <c r="G229">
        <v>1</v>
      </c>
      <c r="H229" t="s">
        <v>2968</v>
      </c>
      <c r="I229">
        <v>1</v>
      </c>
    </row>
    <row r="230" spans="2:9" x14ac:dyDescent="0.3">
      <c r="B230" t="s">
        <v>290</v>
      </c>
      <c r="C230" t="s">
        <v>1528</v>
      </c>
      <c r="D230" t="s">
        <v>2681</v>
      </c>
      <c r="E230" s="24">
        <v>36705</v>
      </c>
      <c r="F230">
        <v>10</v>
      </c>
      <c r="G230">
        <v>1</v>
      </c>
      <c r="H230" t="s">
        <v>2969</v>
      </c>
      <c r="I230">
        <v>10</v>
      </c>
    </row>
    <row r="231" spans="2:9" x14ac:dyDescent="0.3">
      <c r="B231" t="s">
        <v>290</v>
      </c>
      <c r="C231" t="s">
        <v>1528</v>
      </c>
      <c r="D231" t="s">
        <v>2658</v>
      </c>
      <c r="E231" s="24">
        <v>36705</v>
      </c>
      <c r="F231">
        <v>10</v>
      </c>
      <c r="G231">
        <v>1</v>
      </c>
      <c r="H231" t="s">
        <v>2969</v>
      </c>
      <c r="I231">
        <v>10</v>
      </c>
    </row>
    <row r="232" spans="2:9" x14ac:dyDescent="0.3">
      <c r="B232" t="s">
        <v>2970</v>
      </c>
      <c r="C232" t="s">
        <v>2971</v>
      </c>
      <c r="D232" t="s">
        <v>2658</v>
      </c>
      <c r="E232" s="24">
        <v>42024</v>
      </c>
      <c r="F232">
        <v>1</v>
      </c>
      <c r="G232">
        <v>1</v>
      </c>
      <c r="H232" t="s">
        <v>2972</v>
      </c>
      <c r="I232">
        <v>1</v>
      </c>
    </row>
    <row r="233" spans="2:9" x14ac:dyDescent="0.3">
      <c r="B233" t="s">
        <v>46</v>
      </c>
      <c r="C233" t="s">
        <v>1529</v>
      </c>
      <c r="D233" t="s">
        <v>2658</v>
      </c>
      <c r="E233" s="24">
        <v>37613</v>
      </c>
      <c r="F233">
        <v>10</v>
      </c>
      <c r="G233">
        <v>1</v>
      </c>
      <c r="H233" t="s">
        <v>2973</v>
      </c>
      <c r="I233">
        <v>10</v>
      </c>
    </row>
    <row r="234" spans="2:9" x14ac:dyDescent="0.3">
      <c r="B234" t="s">
        <v>291</v>
      </c>
      <c r="C234" t="s">
        <v>1530</v>
      </c>
      <c r="D234" t="s">
        <v>2686</v>
      </c>
      <c r="E234" s="24">
        <v>39139</v>
      </c>
      <c r="F234">
        <v>10</v>
      </c>
      <c r="G234">
        <v>1</v>
      </c>
      <c r="H234" t="s">
        <v>2974</v>
      </c>
      <c r="I234">
        <v>10</v>
      </c>
    </row>
    <row r="235" spans="2:9" x14ac:dyDescent="0.3">
      <c r="B235" t="s">
        <v>292</v>
      </c>
      <c r="C235" t="s">
        <v>1531</v>
      </c>
      <c r="D235" t="s">
        <v>2658</v>
      </c>
      <c r="E235" s="24">
        <v>34829</v>
      </c>
      <c r="F235">
        <v>10</v>
      </c>
      <c r="G235">
        <v>1</v>
      </c>
      <c r="H235" t="s">
        <v>2975</v>
      </c>
      <c r="I235">
        <v>10</v>
      </c>
    </row>
    <row r="236" spans="2:9" x14ac:dyDescent="0.3">
      <c r="B236" t="s">
        <v>293</v>
      </c>
      <c r="C236" t="s">
        <v>1532</v>
      </c>
      <c r="D236" t="s">
        <v>2658</v>
      </c>
      <c r="E236" s="24">
        <v>40463</v>
      </c>
      <c r="F236">
        <v>10</v>
      </c>
      <c r="G236">
        <v>1</v>
      </c>
      <c r="H236" t="s">
        <v>2976</v>
      </c>
      <c r="I236">
        <v>10</v>
      </c>
    </row>
    <row r="237" spans="2:9" x14ac:dyDescent="0.3">
      <c r="B237" t="s">
        <v>294</v>
      </c>
      <c r="C237" t="s">
        <v>1533</v>
      </c>
      <c r="D237" t="s">
        <v>2658</v>
      </c>
      <c r="E237" s="24">
        <v>39479</v>
      </c>
      <c r="F237">
        <v>10</v>
      </c>
      <c r="G237">
        <v>1</v>
      </c>
      <c r="H237" t="s">
        <v>2977</v>
      </c>
      <c r="I237">
        <v>10</v>
      </c>
    </row>
    <row r="238" spans="2:9" x14ac:dyDescent="0.3">
      <c r="B238" t="s">
        <v>295</v>
      </c>
      <c r="C238" t="s">
        <v>1534</v>
      </c>
      <c r="D238" t="s">
        <v>2658</v>
      </c>
      <c r="E238" s="24">
        <v>41813</v>
      </c>
      <c r="F238">
        <v>2</v>
      </c>
      <c r="G238">
        <v>1</v>
      </c>
      <c r="H238" t="s">
        <v>2978</v>
      </c>
      <c r="I238">
        <v>2</v>
      </c>
    </row>
    <row r="239" spans="2:9" x14ac:dyDescent="0.3">
      <c r="B239" t="s">
        <v>2979</v>
      </c>
      <c r="C239" t="s">
        <v>2980</v>
      </c>
      <c r="D239" t="s">
        <v>2658</v>
      </c>
      <c r="E239" s="24">
        <v>42751</v>
      </c>
      <c r="F239">
        <v>10</v>
      </c>
      <c r="G239">
        <v>1</v>
      </c>
      <c r="H239" t="s">
        <v>2981</v>
      </c>
      <c r="I239">
        <v>10</v>
      </c>
    </row>
    <row r="240" spans="2:9" x14ac:dyDescent="0.3">
      <c r="B240" t="s">
        <v>296</v>
      </c>
      <c r="C240" t="s">
        <v>1535</v>
      </c>
      <c r="D240" t="s">
        <v>2658</v>
      </c>
      <c r="E240" s="24">
        <v>35158</v>
      </c>
      <c r="F240">
        <v>1</v>
      </c>
      <c r="G240">
        <v>1</v>
      </c>
      <c r="H240" t="s">
        <v>2982</v>
      </c>
      <c r="I240">
        <v>1</v>
      </c>
    </row>
    <row r="241" spans="2:9" x14ac:dyDescent="0.3">
      <c r="B241" t="s">
        <v>297</v>
      </c>
      <c r="C241" t="s">
        <v>1536</v>
      </c>
      <c r="D241" t="s">
        <v>2658</v>
      </c>
      <c r="E241" s="24">
        <v>40457</v>
      </c>
      <c r="F241">
        <v>10</v>
      </c>
      <c r="G241">
        <v>1</v>
      </c>
      <c r="H241" t="s">
        <v>2983</v>
      </c>
      <c r="I241">
        <v>10</v>
      </c>
    </row>
    <row r="242" spans="2:9" x14ac:dyDescent="0.3">
      <c r="B242" t="s">
        <v>298</v>
      </c>
      <c r="C242" t="s">
        <v>1537</v>
      </c>
      <c r="D242" t="s">
        <v>2658</v>
      </c>
      <c r="E242" s="24">
        <v>41269</v>
      </c>
      <c r="F242">
        <v>10</v>
      </c>
      <c r="G242">
        <v>1</v>
      </c>
      <c r="H242" t="s">
        <v>2984</v>
      </c>
      <c r="I242">
        <v>10</v>
      </c>
    </row>
    <row r="243" spans="2:9" x14ac:dyDescent="0.3">
      <c r="B243" t="s">
        <v>2985</v>
      </c>
      <c r="C243" t="s">
        <v>2986</v>
      </c>
      <c r="D243" t="s">
        <v>2658</v>
      </c>
      <c r="E243" s="24">
        <v>38530</v>
      </c>
      <c r="F243">
        <v>2</v>
      </c>
      <c r="G243">
        <v>1</v>
      </c>
      <c r="H243" t="s">
        <v>2987</v>
      </c>
      <c r="I243">
        <v>2</v>
      </c>
    </row>
    <row r="244" spans="2:9" x14ac:dyDescent="0.3">
      <c r="B244" t="s">
        <v>299</v>
      </c>
      <c r="C244" t="s">
        <v>1538</v>
      </c>
      <c r="D244" t="s">
        <v>2658</v>
      </c>
      <c r="E244" s="24">
        <v>41712</v>
      </c>
      <c r="F244">
        <v>5</v>
      </c>
      <c r="G244">
        <v>1</v>
      </c>
      <c r="H244" t="s">
        <v>2988</v>
      </c>
      <c r="I244">
        <v>5</v>
      </c>
    </row>
    <row r="245" spans="2:9" x14ac:dyDescent="0.3">
      <c r="B245" t="s">
        <v>300</v>
      </c>
      <c r="C245" t="s">
        <v>1539</v>
      </c>
      <c r="D245" t="s">
        <v>2686</v>
      </c>
      <c r="E245" s="24">
        <v>39370</v>
      </c>
      <c r="F245">
        <v>2</v>
      </c>
      <c r="G245">
        <v>1</v>
      </c>
      <c r="H245" t="s">
        <v>2989</v>
      </c>
      <c r="I245">
        <v>2</v>
      </c>
    </row>
    <row r="246" spans="2:9" x14ac:dyDescent="0.3">
      <c r="B246" t="s">
        <v>2990</v>
      </c>
      <c r="C246" t="s">
        <v>2991</v>
      </c>
      <c r="D246" t="s">
        <v>2658</v>
      </c>
      <c r="E246" s="24">
        <v>42038</v>
      </c>
      <c r="F246">
        <v>2</v>
      </c>
      <c r="G246">
        <v>1</v>
      </c>
      <c r="H246" t="s">
        <v>2992</v>
      </c>
      <c r="I246">
        <v>2</v>
      </c>
    </row>
    <row r="247" spans="2:9" x14ac:dyDescent="0.3">
      <c r="B247" t="s">
        <v>301</v>
      </c>
      <c r="C247" t="s">
        <v>1540</v>
      </c>
      <c r="D247" t="s">
        <v>2658</v>
      </c>
      <c r="E247" s="24">
        <v>38145</v>
      </c>
      <c r="F247">
        <v>2</v>
      </c>
      <c r="G247">
        <v>1</v>
      </c>
      <c r="H247" t="s">
        <v>2993</v>
      </c>
      <c r="I247">
        <v>2</v>
      </c>
    </row>
    <row r="248" spans="2:9" x14ac:dyDescent="0.3">
      <c r="B248" t="s">
        <v>302</v>
      </c>
      <c r="C248" t="s">
        <v>1541</v>
      </c>
      <c r="D248" t="s">
        <v>2658</v>
      </c>
      <c r="E248" s="24">
        <v>39479</v>
      </c>
      <c r="F248">
        <v>10</v>
      </c>
      <c r="G248">
        <v>1</v>
      </c>
      <c r="H248" t="s">
        <v>2994</v>
      </c>
      <c r="I248">
        <v>10</v>
      </c>
    </row>
    <row r="249" spans="2:9" x14ac:dyDescent="0.3">
      <c r="B249" t="s">
        <v>303</v>
      </c>
      <c r="C249" t="s">
        <v>1542</v>
      </c>
      <c r="D249" t="s">
        <v>2658</v>
      </c>
      <c r="E249" s="24">
        <v>40469</v>
      </c>
      <c r="F249">
        <v>10</v>
      </c>
      <c r="G249">
        <v>1</v>
      </c>
      <c r="H249" t="s">
        <v>2995</v>
      </c>
      <c r="I249">
        <v>10</v>
      </c>
    </row>
    <row r="250" spans="2:9" x14ac:dyDescent="0.3">
      <c r="B250" t="s">
        <v>304</v>
      </c>
      <c r="C250" t="s">
        <v>1543</v>
      </c>
      <c r="D250" t="s">
        <v>2658</v>
      </c>
      <c r="E250" s="24">
        <v>38729</v>
      </c>
      <c r="F250">
        <v>10</v>
      </c>
      <c r="G250">
        <v>1</v>
      </c>
      <c r="H250" t="s">
        <v>2996</v>
      </c>
      <c r="I250">
        <v>10</v>
      </c>
    </row>
    <row r="251" spans="2:9" x14ac:dyDescent="0.3">
      <c r="B251" t="s">
        <v>305</v>
      </c>
      <c r="C251" t="s">
        <v>1544</v>
      </c>
      <c r="D251" t="s">
        <v>2658</v>
      </c>
      <c r="E251" s="24">
        <v>39280</v>
      </c>
      <c r="F251">
        <v>10</v>
      </c>
      <c r="G251">
        <v>1</v>
      </c>
      <c r="H251" t="s">
        <v>2997</v>
      </c>
      <c r="I251">
        <v>10</v>
      </c>
    </row>
    <row r="252" spans="2:9" x14ac:dyDescent="0.3">
      <c r="B252" t="s">
        <v>306</v>
      </c>
      <c r="C252" t="s">
        <v>1545</v>
      </c>
      <c r="D252" t="s">
        <v>2658</v>
      </c>
      <c r="E252" s="24">
        <v>34829</v>
      </c>
      <c r="F252">
        <v>10</v>
      </c>
      <c r="G252">
        <v>1</v>
      </c>
      <c r="H252" t="s">
        <v>2998</v>
      </c>
      <c r="I252">
        <v>10</v>
      </c>
    </row>
    <row r="253" spans="2:9" x14ac:dyDescent="0.3">
      <c r="B253" t="s">
        <v>307</v>
      </c>
      <c r="C253" t="s">
        <v>1546</v>
      </c>
      <c r="D253" t="s">
        <v>2686</v>
      </c>
      <c r="E253" s="24">
        <v>38188</v>
      </c>
      <c r="F253">
        <v>1</v>
      </c>
      <c r="G253">
        <v>1</v>
      </c>
      <c r="H253" t="s">
        <v>2999</v>
      </c>
      <c r="I253">
        <v>1</v>
      </c>
    </row>
    <row r="254" spans="2:9" x14ac:dyDescent="0.3">
      <c r="B254" t="s">
        <v>308</v>
      </c>
      <c r="C254" t="s">
        <v>1547</v>
      </c>
      <c r="D254" t="s">
        <v>2658</v>
      </c>
      <c r="E254" s="24">
        <v>39315</v>
      </c>
      <c r="F254">
        <v>10</v>
      </c>
      <c r="G254">
        <v>1</v>
      </c>
      <c r="H254" t="s">
        <v>3000</v>
      </c>
      <c r="I254">
        <v>10</v>
      </c>
    </row>
    <row r="255" spans="2:9" x14ac:dyDescent="0.3">
      <c r="B255" t="s">
        <v>309</v>
      </c>
      <c r="C255" t="s">
        <v>1548</v>
      </c>
      <c r="D255" t="s">
        <v>2658</v>
      </c>
      <c r="E255" s="24">
        <v>39360</v>
      </c>
      <c r="F255">
        <v>10</v>
      </c>
      <c r="G255">
        <v>1</v>
      </c>
      <c r="H255" t="s">
        <v>3001</v>
      </c>
      <c r="I255">
        <v>10</v>
      </c>
    </row>
    <row r="256" spans="2:9" x14ac:dyDescent="0.3">
      <c r="B256" t="s">
        <v>310</v>
      </c>
      <c r="C256" t="s">
        <v>1549</v>
      </c>
      <c r="D256" t="s">
        <v>2658</v>
      </c>
      <c r="E256" s="24">
        <v>38799</v>
      </c>
      <c r="F256">
        <v>1</v>
      </c>
      <c r="G256">
        <v>1</v>
      </c>
      <c r="H256" t="s">
        <v>3002</v>
      </c>
      <c r="I256">
        <v>1</v>
      </c>
    </row>
    <row r="257" spans="2:9" x14ac:dyDescent="0.3">
      <c r="B257" t="s">
        <v>47</v>
      </c>
      <c r="C257" t="s">
        <v>1550</v>
      </c>
      <c r="D257" t="s">
        <v>2658</v>
      </c>
      <c r="E257" s="24">
        <v>37799</v>
      </c>
      <c r="F257">
        <v>10</v>
      </c>
      <c r="G257">
        <v>1</v>
      </c>
      <c r="H257" t="s">
        <v>3003</v>
      </c>
      <c r="I257">
        <v>10</v>
      </c>
    </row>
    <row r="258" spans="2:9" x14ac:dyDescent="0.3">
      <c r="B258" t="s">
        <v>311</v>
      </c>
      <c r="C258" t="s">
        <v>1551</v>
      </c>
      <c r="D258" t="s">
        <v>2658</v>
      </c>
      <c r="E258" s="24">
        <v>39388</v>
      </c>
      <c r="F258">
        <v>5</v>
      </c>
      <c r="G258">
        <v>1</v>
      </c>
      <c r="H258" t="s">
        <v>3004</v>
      </c>
      <c r="I258">
        <v>5</v>
      </c>
    </row>
    <row r="259" spans="2:9" x14ac:dyDescent="0.3">
      <c r="B259" t="s">
        <v>312</v>
      </c>
      <c r="C259" t="s">
        <v>1552</v>
      </c>
      <c r="D259" t="s">
        <v>2658</v>
      </c>
      <c r="E259" s="24">
        <v>41451</v>
      </c>
      <c r="F259">
        <v>10</v>
      </c>
      <c r="G259">
        <v>1</v>
      </c>
      <c r="H259" t="s">
        <v>3005</v>
      </c>
      <c r="I259">
        <v>10</v>
      </c>
    </row>
    <row r="260" spans="2:9" x14ac:dyDescent="0.3">
      <c r="B260" t="s">
        <v>15</v>
      </c>
      <c r="C260" t="s">
        <v>1553</v>
      </c>
      <c r="D260" t="s">
        <v>2658</v>
      </c>
      <c r="E260" s="24">
        <v>34738</v>
      </c>
      <c r="F260">
        <v>10</v>
      </c>
      <c r="G260">
        <v>1</v>
      </c>
      <c r="H260" t="s">
        <v>3006</v>
      </c>
      <c r="I260">
        <v>10</v>
      </c>
    </row>
    <row r="261" spans="2:9" x14ac:dyDescent="0.3">
      <c r="B261" t="s">
        <v>313</v>
      </c>
      <c r="C261" t="s">
        <v>1554</v>
      </c>
      <c r="D261" t="s">
        <v>2658</v>
      </c>
      <c r="E261" s="24">
        <v>40480</v>
      </c>
      <c r="F261">
        <v>2</v>
      </c>
      <c r="G261">
        <v>1</v>
      </c>
      <c r="H261" t="s">
        <v>3007</v>
      </c>
      <c r="I261">
        <v>2</v>
      </c>
    </row>
    <row r="262" spans="2:9" x14ac:dyDescent="0.3">
      <c r="B262" t="s">
        <v>3008</v>
      </c>
      <c r="C262" t="s">
        <v>3009</v>
      </c>
      <c r="D262" t="s">
        <v>2658</v>
      </c>
      <c r="E262" s="24">
        <v>34759</v>
      </c>
      <c r="F262">
        <v>2</v>
      </c>
      <c r="G262">
        <v>1</v>
      </c>
      <c r="H262" t="s">
        <v>3010</v>
      </c>
      <c r="I262">
        <v>2</v>
      </c>
    </row>
    <row r="263" spans="2:9" x14ac:dyDescent="0.3">
      <c r="B263" t="s">
        <v>314</v>
      </c>
      <c r="C263" t="s">
        <v>1555</v>
      </c>
      <c r="D263" t="s">
        <v>2658</v>
      </c>
      <c r="E263" s="24">
        <v>34864</v>
      </c>
      <c r="F263">
        <v>10</v>
      </c>
      <c r="G263">
        <v>1</v>
      </c>
      <c r="H263" t="s">
        <v>3011</v>
      </c>
      <c r="I263">
        <v>10</v>
      </c>
    </row>
    <row r="264" spans="2:9" x14ac:dyDescent="0.3">
      <c r="B264" t="s">
        <v>315</v>
      </c>
      <c r="C264" t="s">
        <v>1556</v>
      </c>
      <c r="D264" t="s">
        <v>2658</v>
      </c>
      <c r="E264" s="24">
        <v>36684</v>
      </c>
      <c r="F264">
        <v>10</v>
      </c>
      <c r="G264">
        <v>1</v>
      </c>
      <c r="H264" t="s">
        <v>3012</v>
      </c>
      <c r="I264">
        <v>10</v>
      </c>
    </row>
    <row r="265" spans="2:9" x14ac:dyDescent="0.3">
      <c r="B265" t="s">
        <v>110</v>
      </c>
      <c r="C265" t="s">
        <v>1557</v>
      </c>
      <c r="D265" t="s">
        <v>2658</v>
      </c>
      <c r="E265" s="24">
        <v>35200</v>
      </c>
      <c r="F265">
        <v>10</v>
      </c>
      <c r="G265">
        <v>1</v>
      </c>
      <c r="H265" t="s">
        <v>3013</v>
      </c>
      <c r="I265">
        <v>10</v>
      </c>
    </row>
    <row r="266" spans="2:9" x14ac:dyDescent="0.3">
      <c r="B266" t="s">
        <v>316</v>
      </c>
      <c r="C266" t="s">
        <v>1558</v>
      </c>
      <c r="D266" t="s">
        <v>2658</v>
      </c>
      <c r="E266" s="24">
        <v>41058</v>
      </c>
      <c r="F266">
        <v>10</v>
      </c>
      <c r="G266">
        <v>1</v>
      </c>
      <c r="H266" t="s">
        <v>3014</v>
      </c>
      <c r="I266">
        <v>10</v>
      </c>
    </row>
    <row r="267" spans="2:9" x14ac:dyDescent="0.3">
      <c r="B267" t="s">
        <v>317</v>
      </c>
      <c r="C267" t="s">
        <v>1559</v>
      </c>
      <c r="D267" t="s">
        <v>2658</v>
      </c>
      <c r="E267" s="24">
        <v>41925</v>
      </c>
      <c r="F267">
        <v>10</v>
      </c>
      <c r="G267">
        <v>1</v>
      </c>
      <c r="H267" t="s">
        <v>3015</v>
      </c>
      <c r="I267">
        <v>10</v>
      </c>
    </row>
    <row r="268" spans="2:9" x14ac:dyDescent="0.3">
      <c r="B268" t="s">
        <v>318</v>
      </c>
      <c r="C268" t="s">
        <v>1560</v>
      </c>
      <c r="D268" t="s">
        <v>2686</v>
      </c>
      <c r="E268" s="24">
        <v>40794</v>
      </c>
      <c r="F268">
        <v>10</v>
      </c>
      <c r="G268">
        <v>1</v>
      </c>
      <c r="H268" t="s">
        <v>3016</v>
      </c>
      <c r="I268">
        <v>10</v>
      </c>
    </row>
    <row r="269" spans="2:9" x14ac:dyDescent="0.3">
      <c r="B269" t="s">
        <v>319</v>
      </c>
      <c r="C269" t="s">
        <v>1561</v>
      </c>
      <c r="D269" t="s">
        <v>2658</v>
      </c>
      <c r="E269" s="24">
        <v>41073</v>
      </c>
      <c r="F269">
        <v>5</v>
      </c>
      <c r="G269">
        <v>1</v>
      </c>
      <c r="H269" t="s">
        <v>3017</v>
      </c>
      <c r="I269">
        <v>5</v>
      </c>
    </row>
    <row r="270" spans="2:9" x14ac:dyDescent="0.3">
      <c r="B270" t="s">
        <v>320</v>
      </c>
      <c r="C270" t="s">
        <v>1562</v>
      </c>
      <c r="D270" t="s">
        <v>2686</v>
      </c>
      <c r="E270" s="24">
        <v>36649</v>
      </c>
      <c r="F270">
        <v>2</v>
      </c>
      <c r="G270">
        <v>1</v>
      </c>
      <c r="H270" t="s">
        <v>3018</v>
      </c>
      <c r="I270">
        <v>2</v>
      </c>
    </row>
    <row r="271" spans="2:9" x14ac:dyDescent="0.3">
      <c r="B271" t="s">
        <v>321</v>
      </c>
      <c r="C271" t="s">
        <v>1563</v>
      </c>
      <c r="D271" t="s">
        <v>2658</v>
      </c>
      <c r="E271" s="24">
        <v>34738</v>
      </c>
      <c r="F271">
        <v>2</v>
      </c>
      <c r="G271">
        <v>1</v>
      </c>
      <c r="H271" t="s">
        <v>3019</v>
      </c>
      <c r="I271">
        <v>2</v>
      </c>
    </row>
    <row r="272" spans="2:9" x14ac:dyDescent="0.3">
      <c r="B272" t="s">
        <v>3020</v>
      </c>
      <c r="C272" t="s">
        <v>3021</v>
      </c>
      <c r="D272" t="s">
        <v>2658</v>
      </c>
      <c r="E272" s="24">
        <v>42825</v>
      </c>
      <c r="F272">
        <v>10</v>
      </c>
      <c r="G272">
        <v>1</v>
      </c>
      <c r="H272" t="s">
        <v>3022</v>
      </c>
      <c r="I272">
        <v>10</v>
      </c>
    </row>
    <row r="273" spans="2:9" x14ac:dyDescent="0.3">
      <c r="B273" t="s">
        <v>322</v>
      </c>
      <c r="C273" t="s">
        <v>1564</v>
      </c>
      <c r="D273" t="s">
        <v>2658</v>
      </c>
      <c r="E273" s="24">
        <v>34864</v>
      </c>
      <c r="F273">
        <v>10</v>
      </c>
      <c r="G273">
        <v>1</v>
      </c>
      <c r="H273" t="s">
        <v>3023</v>
      </c>
      <c r="I273">
        <v>10</v>
      </c>
    </row>
    <row r="274" spans="2:9" x14ac:dyDescent="0.3">
      <c r="B274" t="s">
        <v>3024</v>
      </c>
      <c r="C274" t="s">
        <v>3025</v>
      </c>
      <c r="D274" t="s">
        <v>2658</v>
      </c>
      <c r="E274" s="24">
        <v>42703</v>
      </c>
      <c r="F274">
        <v>10</v>
      </c>
      <c r="G274">
        <v>1</v>
      </c>
      <c r="H274" t="s">
        <v>3026</v>
      </c>
      <c r="I274">
        <v>10</v>
      </c>
    </row>
    <row r="275" spans="2:9" x14ac:dyDescent="0.3">
      <c r="B275" t="s">
        <v>1298</v>
      </c>
      <c r="C275" t="s">
        <v>1565</v>
      </c>
      <c r="D275" t="s">
        <v>2658</v>
      </c>
      <c r="E275" s="24">
        <v>41640</v>
      </c>
      <c r="F275">
        <v>10</v>
      </c>
      <c r="G275">
        <v>1</v>
      </c>
      <c r="H275" t="s">
        <v>3027</v>
      </c>
      <c r="I275">
        <v>10</v>
      </c>
    </row>
    <row r="276" spans="2:9" x14ac:dyDescent="0.3">
      <c r="B276" t="s">
        <v>323</v>
      </c>
      <c r="C276" t="s">
        <v>1566</v>
      </c>
      <c r="D276" t="s">
        <v>2658</v>
      </c>
      <c r="E276" s="24">
        <v>40486</v>
      </c>
      <c r="F276">
        <v>10</v>
      </c>
      <c r="G276">
        <v>1</v>
      </c>
      <c r="H276" t="s">
        <v>3028</v>
      </c>
      <c r="I276">
        <v>10</v>
      </c>
    </row>
    <row r="277" spans="2:9" x14ac:dyDescent="0.3">
      <c r="B277" t="s">
        <v>3029</v>
      </c>
      <c r="C277" t="s">
        <v>3030</v>
      </c>
      <c r="D277" t="s">
        <v>2658</v>
      </c>
      <c r="E277" s="24">
        <v>42310</v>
      </c>
      <c r="F277">
        <v>10</v>
      </c>
      <c r="G277">
        <v>1</v>
      </c>
      <c r="H277" t="s">
        <v>3031</v>
      </c>
      <c r="I277">
        <v>10</v>
      </c>
    </row>
    <row r="278" spans="2:9" x14ac:dyDescent="0.3">
      <c r="B278" t="s">
        <v>324</v>
      </c>
      <c r="C278" t="s">
        <v>1567</v>
      </c>
      <c r="D278" t="s">
        <v>2658</v>
      </c>
      <c r="E278" s="24">
        <v>39433</v>
      </c>
      <c r="F278">
        <v>1</v>
      </c>
      <c r="G278">
        <v>1</v>
      </c>
      <c r="H278" t="s">
        <v>3032</v>
      </c>
      <c r="I278">
        <v>1</v>
      </c>
    </row>
    <row r="279" spans="2:9" x14ac:dyDescent="0.3">
      <c r="B279" t="s">
        <v>3033</v>
      </c>
      <c r="C279" t="s">
        <v>3034</v>
      </c>
      <c r="D279" t="s">
        <v>2658</v>
      </c>
      <c r="E279" s="24">
        <v>42558</v>
      </c>
      <c r="F279">
        <v>2</v>
      </c>
      <c r="G279">
        <v>1</v>
      </c>
      <c r="H279" t="s">
        <v>3035</v>
      </c>
      <c r="I279">
        <v>2</v>
      </c>
    </row>
    <row r="280" spans="2:9" x14ac:dyDescent="0.3">
      <c r="B280" t="s">
        <v>325</v>
      </c>
      <c r="C280" t="s">
        <v>1568</v>
      </c>
      <c r="D280" t="s">
        <v>2658</v>
      </c>
      <c r="E280" s="24">
        <v>40970</v>
      </c>
      <c r="F280">
        <v>2</v>
      </c>
      <c r="G280">
        <v>1</v>
      </c>
      <c r="H280" t="s">
        <v>3036</v>
      </c>
      <c r="I280">
        <v>2</v>
      </c>
    </row>
    <row r="281" spans="2:9" x14ac:dyDescent="0.3">
      <c r="B281" t="s">
        <v>48</v>
      </c>
      <c r="C281" t="s">
        <v>1569</v>
      </c>
      <c r="D281" t="s">
        <v>2658</v>
      </c>
      <c r="E281" s="24">
        <v>35557</v>
      </c>
      <c r="F281">
        <v>10</v>
      </c>
      <c r="G281">
        <v>1</v>
      </c>
      <c r="H281" t="s">
        <v>3037</v>
      </c>
      <c r="I281">
        <v>10</v>
      </c>
    </row>
    <row r="282" spans="2:9" x14ac:dyDescent="0.3">
      <c r="B282" t="s">
        <v>326</v>
      </c>
      <c r="C282" t="s">
        <v>1570</v>
      </c>
      <c r="D282" t="s">
        <v>2658</v>
      </c>
      <c r="E282" s="24">
        <v>38440</v>
      </c>
      <c r="F282">
        <v>10</v>
      </c>
      <c r="G282">
        <v>1</v>
      </c>
      <c r="H282" t="s">
        <v>3038</v>
      </c>
      <c r="I282">
        <v>10</v>
      </c>
    </row>
    <row r="283" spans="2:9" x14ac:dyDescent="0.3">
      <c r="B283" t="s">
        <v>3039</v>
      </c>
      <c r="C283" t="s">
        <v>3040</v>
      </c>
      <c r="D283" t="s">
        <v>2658</v>
      </c>
      <c r="E283" s="24">
        <v>42545</v>
      </c>
      <c r="F283">
        <v>10</v>
      </c>
      <c r="G283">
        <v>1</v>
      </c>
      <c r="H283" t="s">
        <v>3041</v>
      </c>
      <c r="I283">
        <v>10</v>
      </c>
    </row>
    <row r="284" spans="2:9" x14ac:dyDescent="0.3">
      <c r="B284" t="s">
        <v>1299</v>
      </c>
      <c r="C284" t="s">
        <v>1571</v>
      </c>
      <c r="D284" t="s">
        <v>2686</v>
      </c>
      <c r="E284" s="24">
        <v>37083</v>
      </c>
      <c r="F284">
        <v>10</v>
      </c>
      <c r="G284">
        <v>100</v>
      </c>
      <c r="H284" t="s">
        <v>3042</v>
      </c>
      <c r="I284">
        <v>10</v>
      </c>
    </row>
    <row r="285" spans="2:9" x14ac:dyDescent="0.3">
      <c r="B285" t="s">
        <v>327</v>
      </c>
      <c r="C285" t="s">
        <v>1572</v>
      </c>
      <c r="D285" t="s">
        <v>2658</v>
      </c>
      <c r="E285" s="24">
        <v>39491</v>
      </c>
      <c r="F285">
        <v>10</v>
      </c>
      <c r="G285">
        <v>1</v>
      </c>
      <c r="H285" t="s">
        <v>3043</v>
      </c>
      <c r="I285">
        <v>10</v>
      </c>
    </row>
    <row r="286" spans="2:9" x14ac:dyDescent="0.3">
      <c r="B286" t="s">
        <v>328</v>
      </c>
      <c r="C286" t="s">
        <v>1573</v>
      </c>
      <c r="D286" t="s">
        <v>2658</v>
      </c>
      <c r="E286" s="24">
        <v>34850</v>
      </c>
      <c r="F286">
        <v>1</v>
      </c>
      <c r="G286">
        <v>1</v>
      </c>
      <c r="H286" t="s">
        <v>3044</v>
      </c>
      <c r="I286">
        <v>1</v>
      </c>
    </row>
    <row r="287" spans="2:9" x14ac:dyDescent="0.3">
      <c r="B287" t="s">
        <v>329</v>
      </c>
      <c r="C287" t="s">
        <v>1574</v>
      </c>
      <c r="D287" t="s">
        <v>2658</v>
      </c>
      <c r="E287" s="24">
        <v>35765</v>
      </c>
      <c r="F287">
        <v>2</v>
      </c>
      <c r="G287">
        <v>1</v>
      </c>
      <c r="H287" t="s">
        <v>3045</v>
      </c>
      <c r="I287">
        <v>2</v>
      </c>
    </row>
    <row r="288" spans="2:9" x14ac:dyDescent="0.3">
      <c r="B288" t="s">
        <v>330</v>
      </c>
      <c r="C288" t="s">
        <v>1575</v>
      </c>
      <c r="D288" t="s">
        <v>2658</v>
      </c>
      <c r="E288" s="24">
        <v>34844</v>
      </c>
      <c r="F288">
        <v>10</v>
      </c>
      <c r="G288">
        <v>1</v>
      </c>
      <c r="H288" t="s">
        <v>3046</v>
      </c>
      <c r="I288">
        <v>10</v>
      </c>
    </row>
    <row r="289" spans="2:9" x14ac:dyDescent="0.3">
      <c r="B289" t="s">
        <v>331</v>
      </c>
      <c r="C289" t="s">
        <v>1576</v>
      </c>
      <c r="D289" t="s">
        <v>2658</v>
      </c>
      <c r="E289" s="24">
        <v>39835</v>
      </c>
      <c r="F289">
        <v>1</v>
      </c>
      <c r="G289">
        <v>1</v>
      </c>
      <c r="H289" t="s">
        <v>3047</v>
      </c>
      <c r="I289">
        <v>1</v>
      </c>
    </row>
    <row r="290" spans="2:9" x14ac:dyDescent="0.3">
      <c r="B290" t="s">
        <v>332</v>
      </c>
      <c r="C290" t="s">
        <v>1577</v>
      </c>
      <c r="D290" t="s">
        <v>2658</v>
      </c>
      <c r="E290" s="24">
        <v>40158</v>
      </c>
      <c r="F290">
        <v>5</v>
      </c>
      <c r="G290">
        <v>1</v>
      </c>
      <c r="H290" t="s">
        <v>3048</v>
      </c>
      <c r="I290">
        <v>5</v>
      </c>
    </row>
    <row r="291" spans="2:9" x14ac:dyDescent="0.3">
      <c r="B291" t="s">
        <v>333</v>
      </c>
      <c r="C291" t="s">
        <v>1578</v>
      </c>
      <c r="D291" t="s">
        <v>2658</v>
      </c>
      <c r="E291" s="24">
        <v>36880</v>
      </c>
      <c r="F291">
        <v>5</v>
      </c>
      <c r="G291">
        <v>1</v>
      </c>
      <c r="H291" t="s">
        <v>3049</v>
      </c>
      <c r="I291">
        <v>5</v>
      </c>
    </row>
    <row r="292" spans="2:9" x14ac:dyDescent="0.3">
      <c r="B292" t="s">
        <v>334</v>
      </c>
      <c r="C292" t="s">
        <v>1579</v>
      </c>
      <c r="D292" t="s">
        <v>2686</v>
      </c>
      <c r="E292" s="24">
        <v>39078</v>
      </c>
      <c r="F292">
        <v>10</v>
      </c>
      <c r="G292">
        <v>1</v>
      </c>
      <c r="H292" t="s">
        <v>3050</v>
      </c>
      <c r="I292">
        <v>10</v>
      </c>
    </row>
    <row r="293" spans="2:9" x14ac:dyDescent="0.3">
      <c r="B293" t="s">
        <v>16</v>
      </c>
      <c r="C293" t="s">
        <v>1580</v>
      </c>
      <c r="D293" t="s">
        <v>2658</v>
      </c>
      <c r="E293" s="24">
        <v>34878</v>
      </c>
      <c r="F293">
        <v>1</v>
      </c>
      <c r="G293">
        <v>1</v>
      </c>
      <c r="H293" t="s">
        <v>3051</v>
      </c>
      <c r="I293">
        <v>1</v>
      </c>
    </row>
    <row r="294" spans="2:9" x14ac:dyDescent="0.3">
      <c r="B294" t="s">
        <v>3052</v>
      </c>
      <c r="C294" t="s">
        <v>3053</v>
      </c>
      <c r="D294" t="s">
        <v>2658</v>
      </c>
      <c r="E294" s="24">
        <v>42503</v>
      </c>
      <c r="F294">
        <v>2</v>
      </c>
      <c r="G294">
        <v>1</v>
      </c>
      <c r="H294" t="s">
        <v>3054</v>
      </c>
      <c r="I294">
        <v>2</v>
      </c>
    </row>
    <row r="295" spans="2:9" x14ac:dyDescent="0.3">
      <c r="B295" t="s">
        <v>335</v>
      </c>
      <c r="C295" t="s">
        <v>1581</v>
      </c>
      <c r="D295" t="s">
        <v>2658</v>
      </c>
      <c r="E295" s="24">
        <v>39120</v>
      </c>
      <c r="F295">
        <v>10</v>
      </c>
      <c r="G295">
        <v>1</v>
      </c>
      <c r="H295" t="s">
        <v>3055</v>
      </c>
      <c r="I295">
        <v>10</v>
      </c>
    </row>
    <row r="296" spans="2:9" x14ac:dyDescent="0.3">
      <c r="B296" t="s">
        <v>336</v>
      </c>
      <c r="C296" t="s">
        <v>1582</v>
      </c>
      <c r="D296" t="s">
        <v>2658</v>
      </c>
      <c r="E296" s="24">
        <v>36032</v>
      </c>
      <c r="F296">
        <v>1</v>
      </c>
      <c r="G296">
        <v>1</v>
      </c>
      <c r="H296" t="s">
        <v>3056</v>
      </c>
      <c r="I296">
        <v>1</v>
      </c>
    </row>
    <row r="297" spans="2:9" x14ac:dyDescent="0.3">
      <c r="B297" t="s">
        <v>337</v>
      </c>
      <c r="C297" t="s">
        <v>1583</v>
      </c>
      <c r="D297" t="s">
        <v>2686</v>
      </c>
      <c r="E297" s="24">
        <v>36992</v>
      </c>
      <c r="F297">
        <v>10</v>
      </c>
      <c r="G297">
        <v>1</v>
      </c>
      <c r="H297" t="s">
        <v>3057</v>
      </c>
      <c r="I297">
        <v>10</v>
      </c>
    </row>
    <row r="298" spans="2:9" x14ac:dyDescent="0.3">
      <c r="B298" t="s">
        <v>338</v>
      </c>
      <c r="C298" t="s">
        <v>1584</v>
      </c>
      <c r="D298" t="s">
        <v>2658</v>
      </c>
      <c r="E298" s="24">
        <v>34787</v>
      </c>
      <c r="F298">
        <v>2</v>
      </c>
      <c r="G298">
        <v>1</v>
      </c>
      <c r="H298" t="s">
        <v>3058</v>
      </c>
      <c r="I298">
        <v>2</v>
      </c>
    </row>
    <row r="299" spans="2:9" x14ac:dyDescent="0.3">
      <c r="B299" t="s">
        <v>3059</v>
      </c>
      <c r="C299" t="s">
        <v>3060</v>
      </c>
      <c r="D299" t="s">
        <v>2658</v>
      </c>
      <c r="E299" s="24">
        <v>42629</v>
      </c>
      <c r="F299">
        <v>10</v>
      </c>
      <c r="G299">
        <v>1</v>
      </c>
      <c r="H299" t="s">
        <v>3061</v>
      </c>
      <c r="I299">
        <v>10</v>
      </c>
    </row>
    <row r="300" spans="2:9" x14ac:dyDescent="0.3">
      <c r="B300" t="s">
        <v>339</v>
      </c>
      <c r="C300" t="s">
        <v>1585</v>
      </c>
      <c r="D300" t="s">
        <v>2658</v>
      </c>
      <c r="E300" s="24">
        <v>36676</v>
      </c>
      <c r="F300">
        <v>10</v>
      </c>
      <c r="G300">
        <v>1</v>
      </c>
      <c r="H300" t="s">
        <v>3062</v>
      </c>
      <c r="I300">
        <v>10</v>
      </c>
    </row>
    <row r="301" spans="2:9" x14ac:dyDescent="0.3">
      <c r="B301" t="s">
        <v>1300</v>
      </c>
      <c r="C301" t="s">
        <v>1586</v>
      </c>
      <c r="D301" t="s">
        <v>2686</v>
      </c>
      <c r="E301" s="24">
        <v>38513</v>
      </c>
      <c r="F301">
        <v>10</v>
      </c>
      <c r="G301">
        <v>1</v>
      </c>
      <c r="H301" t="s">
        <v>3063</v>
      </c>
      <c r="I301">
        <v>10</v>
      </c>
    </row>
    <row r="302" spans="2:9" x14ac:dyDescent="0.3">
      <c r="B302" t="s">
        <v>340</v>
      </c>
      <c r="C302" t="s">
        <v>1587</v>
      </c>
      <c r="D302" t="s">
        <v>2658</v>
      </c>
      <c r="E302" s="24">
        <v>36187</v>
      </c>
      <c r="F302">
        <v>10</v>
      </c>
      <c r="G302">
        <v>1</v>
      </c>
      <c r="H302" t="s">
        <v>3064</v>
      </c>
      <c r="I302">
        <v>10</v>
      </c>
    </row>
    <row r="303" spans="2:9" x14ac:dyDescent="0.3">
      <c r="B303" t="s">
        <v>341</v>
      </c>
      <c r="C303" t="s">
        <v>1588</v>
      </c>
      <c r="D303" t="s">
        <v>2658</v>
      </c>
      <c r="E303" s="24">
        <v>36068</v>
      </c>
      <c r="F303">
        <v>5</v>
      </c>
      <c r="G303">
        <v>1</v>
      </c>
      <c r="H303" t="s">
        <v>3065</v>
      </c>
      <c r="I303">
        <v>5</v>
      </c>
    </row>
    <row r="304" spans="2:9" x14ac:dyDescent="0.3">
      <c r="B304" t="s">
        <v>342</v>
      </c>
      <c r="C304" t="s">
        <v>1589</v>
      </c>
      <c r="D304" t="s">
        <v>2658</v>
      </c>
      <c r="E304" s="24">
        <v>39069</v>
      </c>
      <c r="F304">
        <v>1</v>
      </c>
      <c r="G304">
        <v>1</v>
      </c>
      <c r="H304" t="s">
        <v>3066</v>
      </c>
      <c r="I304">
        <v>1</v>
      </c>
    </row>
    <row r="305" spans="2:9" x14ac:dyDescent="0.3">
      <c r="B305" t="s">
        <v>343</v>
      </c>
      <c r="C305" t="s">
        <v>1590</v>
      </c>
      <c r="D305" t="s">
        <v>2658</v>
      </c>
      <c r="E305" s="24">
        <v>36278</v>
      </c>
      <c r="F305">
        <v>1</v>
      </c>
      <c r="G305">
        <v>1</v>
      </c>
      <c r="H305" t="s">
        <v>3067</v>
      </c>
      <c r="I305">
        <v>1</v>
      </c>
    </row>
    <row r="306" spans="2:9" x14ac:dyDescent="0.3">
      <c r="B306" t="s">
        <v>344</v>
      </c>
      <c r="C306" t="s">
        <v>1591</v>
      </c>
      <c r="D306" t="s">
        <v>2658</v>
      </c>
      <c r="E306" s="24">
        <v>40570</v>
      </c>
      <c r="F306">
        <v>2</v>
      </c>
      <c r="G306">
        <v>1</v>
      </c>
      <c r="H306" t="s">
        <v>3068</v>
      </c>
      <c r="I306">
        <v>2</v>
      </c>
    </row>
    <row r="307" spans="2:9" x14ac:dyDescent="0.3">
      <c r="B307" t="s">
        <v>345</v>
      </c>
      <c r="C307" t="s">
        <v>1592</v>
      </c>
      <c r="D307" t="s">
        <v>2658</v>
      </c>
      <c r="E307" s="24">
        <v>35081</v>
      </c>
      <c r="F307">
        <v>2</v>
      </c>
      <c r="G307">
        <v>1</v>
      </c>
      <c r="H307" t="s">
        <v>3069</v>
      </c>
      <c r="I307">
        <v>2</v>
      </c>
    </row>
    <row r="308" spans="2:9" x14ac:dyDescent="0.3">
      <c r="B308" t="s">
        <v>3070</v>
      </c>
      <c r="C308" t="s">
        <v>3071</v>
      </c>
      <c r="D308" t="s">
        <v>2658</v>
      </c>
      <c r="E308" s="24">
        <v>42555</v>
      </c>
      <c r="F308">
        <v>10</v>
      </c>
      <c r="G308">
        <v>1</v>
      </c>
      <c r="H308" t="s">
        <v>3072</v>
      </c>
      <c r="I308">
        <v>10</v>
      </c>
    </row>
    <row r="309" spans="2:9" x14ac:dyDescent="0.3">
      <c r="B309" t="s">
        <v>346</v>
      </c>
      <c r="C309" t="s">
        <v>1593</v>
      </c>
      <c r="D309" t="s">
        <v>2658</v>
      </c>
      <c r="E309" s="24">
        <v>38114</v>
      </c>
      <c r="F309">
        <v>5</v>
      </c>
      <c r="G309">
        <v>1</v>
      </c>
      <c r="H309" t="s">
        <v>3073</v>
      </c>
      <c r="I309">
        <v>5</v>
      </c>
    </row>
    <row r="310" spans="2:9" x14ac:dyDescent="0.3">
      <c r="B310" t="s">
        <v>347</v>
      </c>
      <c r="C310" t="s">
        <v>1594</v>
      </c>
      <c r="D310" t="s">
        <v>2658</v>
      </c>
      <c r="E310" s="24">
        <v>40184</v>
      </c>
      <c r="F310">
        <v>10</v>
      </c>
      <c r="G310">
        <v>1</v>
      </c>
      <c r="H310" t="s">
        <v>3074</v>
      </c>
      <c r="I310">
        <v>10</v>
      </c>
    </row>
    <row r="311" spans="2:9" x14ac:dyDescent="0.3">
      <c r="B311" t="s">
        <v>3075</v>
      </c>
      <c r="C311" t="s">
        <v>3076</v>
      </c>
      <c r="D311" t="s">
        <v>2658</v>
      </c>
      <c r="E311" s="24">
        <v>42593</v>
      </c>
      <c r="F311">
        <v>10</v>
      </c>
      <c r="G311">
        <v>1</v>
      </c>
      <c r="H311" t="s">
        <v>3077</v>
      </c>
      <c r="I311">
        <v>10</v>
      </c>
    </row>
    <row r="312" spans="2:9" x14ac:dyDescent="0.3">
      <c r="B312" t="s">
        <v>348</v>
      </c>
      <c r="C312" t="s">
        <v>1595</v>
      </c>
      <c r="D312" t="s">
        <v>2658</v>
      </c>
      <c r="E312" s="24">
        <v>40233</v>
      </c>
      <c r="F312">
        <v>10</v>
      </c>
      <c r="G312">
        <v>1</v>
      </c>
      <c r="H312" t="s">
        <v>3078</v>
      </c>
      <c r="I312">
        <v>10</v>
      </c>
    </row>
    <row r="313" spans="2:9" x14ac:dyDescent="0.3">
      <c r="B313" t="s">
        <v>349</v>
      </c>
      <c r="C313" t="s">
        <v>1596</v>
      </c>
      <c r="D313" t="s">
        <v>2658</v>
      </c>
      <c r="E313" s="24">
        <v>40968</v>
      </c>
      <c r="F313">
        <v>2</v>
      </c>
      <c r="G313">
        <v>1</v>
      </c>
      <c r="H313" t="s">
        <v>3079</v>
      </c>
      <c r="I313">
        <v>2</v>
      </c>
    </row>
    <row r="314" spans="2:9" x14ac:dyDescent="0.3">
      <c r="B314" t="s">
        <v>350</v>
      </c>
      <c r="C314" t="s">
        <v>3080</v>
      </c>
      <c r="D314" t="s">
        <v>2658</v>
      </c>
      <c r="E314" s="24">
        <v>39017</v>
      </c>
      <c r="F314">
        <v>10</v>
      </c>
      <c r="G314">
        <v>1</v>
      </c>
      <c r="H314" t="s">
        <v>3081</v>
      </c>
      <c r="I314">
        <v>10</v>
      </c>
    </row>
    <row r="315" spans="2:9" x14ac:dyDescent="0.3">
      <c r="B315" t="s">
        <v>351</v>
      </c>
      <c r="C315" t="s">
        <v>1597</v>
      </c>
      <c r="D315" t="s">
        <v>2658</v>
      </c>
      <c r="E315" s="24">
        <v>34787</v>
      </c>
      <c r="F315">
        <v>10</v>
      </c>
      <c r="G315">
        <v>1</v>
      </c>
      <c r="H315" t="s">
        <v>3082</v>
      </c>
      <c r="I315">
        <v>10</v>
      </c>
    </row>
    <row r="316" spans="2:9" x14ac:dyDescent="0.3">
      <c r="B316" t="s">
        <v>352</v>
      </c>
      <c r="C316" t="s">
        <v>1598</v>
      </c>
      <c r="D316" t="s">
        <v>2658</v>
      </c>
      <c r="E316" s="24">
        <v>34801</v>
      </c>
      <c r="F316">
        <v>2</v>
      </c>
      <c r="G316">
        <v>1</v>
      </c>
      <c r="H316" t="s">
        <v>3083</v>
      </c>
      <c r="I316">
        <v>2</v>
      </c>
    </row>
    <row r="317" spans="2:9" x14ac:dyDescent="0.3">
      <c r="B317" t="s">
        <v>353</v>
      </c>
      <c r="C317" t="s">
        <v>1599</v>
      </c>
      <c r="D317" t="s">
        <v>2658</v>
      </c>
      <c r="E317" s="24">
        <v>34844</v>
      </c>
      <c r="F317">
        <v>2</v>
      </c>
      <c r="G317">
        <v>1</v>
      </c>
      <c r="H317" t="s">
        <v>3084</v>
      </c>
      <c r="I317">
        <v>2</v>
      </c>
    </row>
    <row r="318" spans="2:9" x14ac:dyDescent="0.3">
      <c r="B318" t="s">
        <v>354</v>
      </c>
      <c r="C318" t="s">
        <v>1600</v>
      </c>
      <c r="D318" t="s">
        <v>2658</v>
      </c>
      <c r="E318" s="24">
        <v>39296</v>
      </c>
      <c r="F318">
        <v>10</v>
      </c>
      <c r="G318">
        <v>1</v>
      </c>
      <c r="H318" t="s">
        <v>3085</v>
      </c>
      <c r="I318">
        <v>10</v>
      </c>
    </row>
    <row r="319" spans="2:9" x14ac:dyDescent="0.3">
      <c r="B319" t="s">
        <v>355</v>
      </c>
      <c r="C319" t="s">
        <v>1601</v>
      </c>
      <c r="D319" t="s">
        <v>2658</v>
      </c>
      <c r="E319" s="24">
        <v>37638</v>
      </c>
      <c r="F319">
        <v>10</v>
      </c>
      <c r="G319">
        <v>1</v>
      </c>
      <c r="H319" t="s">
        <v>3086</v>
      </c>
      <c r="I319">
        <v>10</v>
      </c>
    </row>
    <row r="320" spans="2:9" x14ac:dyDescent="0.3">
      <c r="B320" t="s">
        <v>356</v>
      </c>
      <c r="C320" t="s">
        <v>1602</v>
      </c>
      <c r="D320" t="s">
        <v>2658</v>
      </c>
      <c r="E320" s="24">
        <v>40450</v>
      </c>
      <c r="F320">
        <v>2</v>
      </c>
      <c r="G320">
        <v>1</v>
      </c>
      <c r="H320" t="s">
        <v>3087</v>
      </c>
      <c r="I320">
        <v>2</v>
      </c>
    </row>
    <row r="321" spans="2:9" x14ac:dyDescent="0.3">
      <c r="B321" t="s">
        <v>357</v>
      </c>
      <c r="C321" t="s">
        <v>1603</v>
      </c>
      <c r="D321" t="s">
        <v>2658</v>
      </c>
      <c r="E321" s="24">
        <v>40246</v>
      </c>
      <c r="F321">
        <v>10</v>
      </c>
      <c r="G321">
        <v>1</v>
      </c>
      <c r="H321" t="s">
        <v>3088</v>
      </c>
      <c r="I321">
        <v>10</v>
      </c>
    </row>
    <row r="322" spans="2:9" x14ac:dyDescent="0.3">
      <c r="B322" t="s">
        <v>358</v>
      </c>
      <c r="C322" t="s">
        <v>1604</v>
      </c>
      <c r="D322" t="s">
        <v>2658</v>
      </c>
      <c r="E322" s="24">
        <v>39388</v>
      </c>
      <c r="F322">
        <v>1</v>
      </c>
      <c r="G322">
        <v>1</v>
      </c>
      <c r="H322" t="s">
        <v>3089</v>
      </c>
      <c r="I322">
        <v>1</v>
      </c>
    </row>
    <row r="323" spans="2:9" x14ac:dyDescent="0.3">
      <c r="B323" t="s">
        <v>1301</v>
      </c>
      <c r="C323" t="s">
        <v>1605</v>
      </c>
      <c r="D323" t="s">
        <v>2658</v>
      </c>
      <c r="E323" s="24">
        <v>34990</v>
      </c>
      <c r="F323">
        <v>10</v>
      </c>
      <c r="G323">
        <v>1</v>
      </c>
      <c r="H323" t="s">
        <v>3090</v>
      </c>
      <c r="I323">
        <v>10</v>
      </c>
    </row>
    <row r="324" spans="2:9" x14ac:dyDescent="0.3">
      <c r="B324" t="s">
        <v>359</v>
      </c>
      <c r="C324" t="s">
        <v>1606</v>
      </c>
      <c r="D324" t="s">
        <v>2658</v>
      </c>
      <c r="E324" s="24">
        <v>40141</v>
      </c>
      <c r="F324">
        <v>10</v>
      </c>
      <c r="G324">
        <v>1</v>
      </c>
      <c r="H324" t="s">
        <v>3091</v>
      </c>
      <c r="I324">
        <v>10</v>
      </c>
    </row>
    <row r="325" spans="2:9" x14ac:dyDescent="0.3">
      <c r="B325" t="s">
        <v>111</v>
      </c>
      <c r="C325" t="s">
        <v>1607</v>
      </c>
      <c r="D325" t="s">
        <v>2658</v>
      </c>
      <c r="E325" s="24">
        <v>35445</v>
      </c>
      <c r="F325">
        <v>10</v>
      </c>
      <c r="G325">
        <v>1</v>
      </c>
      <c r="H325" t="s">
        <v>3092</v>
      </c>
      <c r="I325">
        <v>10</v>
      </c>
    </row>
    <row r="326" spans="2:9" x14ac:dyDescent="0.3">
      <c r="B326" t="s">
        <v>360</v>
      </c>
      <c r="C326" t="s">
        <v>1608</v>
      </c>
      <c r="D326" t="s">
        <v>2658</v>
      </c>
      <c r="E326" s="24">
        <v>35649</v>
      </c>
      <c r="F326">
        <v>10</v>
      </c>
      <c r="G326">
        <v>1</v>
      </c>
      <c r="H326" t="s">
        <v>3093</v>
      </c>
      <c r="I326">
        <v>10</v>
      </c>
    </row>
    <row r="327" spans="2:9" x14ac:dyDescent="0.3">
      <c r="B327" t="s">
        <v>3094</v>
      </c>
      <c r="C327" t="s">
        <v>3095</v>
      </c>
      <c r="D327" t="s">
        <v>2658</v>
      </c>
      <c r="E327" s="24">
        <v>42733</v>
      </c>
      <c r="F327">
        <v>10</v>
      </c>
      <c r="G327">
        <v>1</v>
      </c>
      <c r="H327" t="s">
        <v>3096</v>
      </c>
      <c r="I327">
        <v>10</v>
      </c>
    </row>
    <row r="328" spans="2:9" x14ac:dyDescent="0.3">
      <c r="B328" t="s">
        <v>361</v>
      </c>
      <c r="C328" t="s">
        <v>3097</v>
      </c>
      <c r="D328" t="s">
        <v>2658</v>
      </c>
      <c r="E328" s="24">
        <v>34787</v>
      </c>
      <c r="F328">
        <v>10</v>
      </c>
      <c r="G328">
        <v>1</v>
      </c>
      <c r="H328" t="s">
        <v>3098</v>
      </c>
      <c r="I328">
        <v>10</v>
      </c>
    </row>
    <row r="329" spans="2:9" x14ac:dyDescent="0.3">
      <c r="B329" t="s">
        <v>362</v>
      </c>
      <c r="C329" t="s">
        <v>1609</v>
      </c>
      <c r="D329" t="s">
        <v>2658</v>
      </c>
      <c r="E329" s="24">
        <v>38078</v>
      </c>
      <c r="F329">
        <v>10</v>
      </c>
      <c r="G329">
        <v>1</v>
      </c>
      <c r="H329" t="s">
        <v>3099</v>
      </c>
      <c r="I329">
        <v>10</v>
      </c>
    </row>
    <row r="330" spans="2:9" x14ac:dyDescent="0.3">
      <c r="B330" t="s">
        <v>363</v>
      </c>
      <c r="C330" t="s">
        <v>1610</v>
      </c>
      <c r="D330" t="s">
        <v>2658</v>
      </c>
      <c r="E330" s="24">
        <v>40723</v>
      </c>
      <c r="F330">
        <v>2</v>
      </c>
      <c r="G330">
        <v>1</v>
      </c>
      <c r="H330" t="s">
        <v>3100</v>
      </c>
      <c r="I330">
        <v>2</v>
      </c>
    </row>
    <row r="331" spans="2:9" x14ac:dyDescent="0.3">
      <c r="B331" t="s">
        <v>364</v>
      </c>
      <c r="C331" t="s">
        <v>1611</v>
      </c>
      <c r="D331" t="s">
        <v>2658</v>
      </c>
      <c r="E331" s="24">
        <v>35207</v>
      </c>
      <c r="F331">
        <v>10</v>
      </c>
      <c r="G331">
        <v>1</v>
      </c>
      <c r="H331" t="s">
        <v>3101</v>
      </c>
      <c r="I331">
        <v>10</v>
      </c>
    </row>
    <row r="332" spans="2:9" x14ac:dyDescent="0.3">
      <c r="B332" t="s">
        <v>365</v>
      </c>
      <c r="C332" t="s">
        <v>1612</v>
      </c>
      <c r="D332" t="s">
        <v>2658</v>
      </c>
      <c r="E332" s="24">
        <v>37530</v>
      </c>
      <c r="F332">
        <v>10</v>
      </c>
      <c r="G332">
        <v>1</v>
      </c>
      <c r="H332" t="s">
        <v>3102</v>
      </c>
      <c r="I332">
        <v>10</v>
      </c>
    </row>
    <row r="333" spans="2:9" x14ac:dyDescent="0.3">
      <c r="B333" t="s">
        <v>366</v>
      </c>
      <c r="C333" t="s">
        <v>1613</v>
      </c>
      <c r="D333" t="s">
        <v>2658</v>
      </c>
      <c r="E333" s="24">
        <v>40620</v>
      </c>
      <c r="F333">
        <v>10</v>
      </c>
      <c r="G333">
        <v>1</v>
      </c>
      <c r="H333" t="s">
        <v>3103</v>
      </c>
      <c r="I333">
        <v>10</v>
      </c>
    </row>
    <row r="334" spans="2:9" x14ac:dyDescent="0.3">
      <c r="B334" t="s">
        <v>367</v>
      </c>
      <c r="C334" t="s">
        <v>1614</v>
      </c>
      <c r="D334" t="s">
        <v>2658</v>
      </c>
      <c r="E334" s="24">
        <v>40450</v>
      </c>
      <c r="F334">
        <v>10</v>
      </c>
      <c r="G334">
        <v>1</v>
      </c>
      <c r="H334" t="s">
        <v>3104</v>
      </c>
      <c r="I334">
        <v>10</v>
      </c>
    </row>
    <row r="335" spans="2:9" x14ac:dyDescent="0.3">
      <c r="B335" t="s">
        <v>368</v>
      </c>
      <c r="C335" t="s">
        <v>1615</v>
      </c>
      <c r="D335" t="s">
        <v>2658</v>
      </c>
      <c r="E335" s="24">
        <v>34941</v>
      </c>
      <c r="F335">
        <v>10</v>
      </c>
      <c r="G335">
        <v>1</v>
      </c>
      <c r="H335" t="s">
        <v>3105</v>
      </c>
      <c r="I335">
        <v>10</v>
      </c>
    </row>
    <row r="336" spans="2:9" x14ac:dyDescent="0.3">
      <c r="B336" t="s">
        <v>3106</v>
      </c>
      <c r="C336" t="s">
        <v>1616</v>
      </c>
      <c r="D336" t="s">
        <v>2658</v>
      </c>
      <c r="E336" s="24">
        <v>42564</v>
      </c>
      <c r="F336">
        <v>10</v>
      </c>
      <c r="G336">
        <v>1</v>
      </c>
      <c r="H336" t="s">
        <v>3107</v>
      </c>
      <c r="I336">
        <v>10</v>
      </c>
    </row>
    <row r="337" spans="2:9" x14ac:dyDescent="0.3">
      <c r="B337" t="s">
        <v>369</v>
      </c>
      <c r="C337" t="s">
        <v>1617</v>
      </c>
      <c r="D337" t="s">
        <v>2658</v>
      </c>
      <c r="E337" s="24">
        <v>38099</v>
      </c>
      <c r="F337">
        <v>2</v>
      </c>
      <c r="G337">
        <v>1</v>
      </c>
      <c r="H337" t="s">
        <v>3108</v>
      </c>
      <c r="I337">
        <v>2</v>
      </c>
    </row>
    <row r="338" spans="2:9" x14ac:dyDescent="0.3">
      <c r="B338" t="s">
        <v>370</v>
      </c>
      <c r="C338" t="s">
        <v>1618</v>
      </c>
      <c r="D338" t="s">
        <v>2658</v>
      </c>
      <c r="E338" s="24">
        <v>39190</v>
      </c>
      <c r="F338">
        <v>1</v>
      </c>
      <c r="G338">
        <v>1</v>
      </c>
      <c r="H338" t="s">
        <v>3109</v>
      </c>
      <c r="I338">
        <v>1</v>
      </c>
    </row>
    <row r="339" spans="2:9" x14ac:dyDescent="0.3">
      <c r="B339" t="s">
        <v>49</v>
      </c>
      <c r="C339" t="s">
        <v>1619</v>
      </c>
      <c r="D339" t="s">
        <v>2658</v>
      </c>
      <c r="E339" s="24">
        <v>37692</v>
      </c>
      <c r="F339">
        <v>2</v>
      </c>
      <c r="G339">
        <v>1</v>
      </c>
      <c r="H339" t="s">
        <v>3110</v>
      </c>
      <c r="I339">
        <v>2</v>
      </c>
    </row>
    <row r="340" spans="2:9" x14ac:dyDescent="0.3">
      <c r="B340" t="s">
        <v>371</v>
      </c>
      <c r="C340" t="s">
        <v>1620</v>
      </c>
      <c r="D340" t="s">
        <v>2658</v>
      </c>
      <c r="E340" s="24">
        <v>39268</v>
      </c>
      <c r="F340">
        <v>2</v>
      </c>
      <c r="G340">
        <v>1</v>
      </c>
      <c r="H340" t="s">
        <v>3111</v>
      </c>
      <c r="I340">
        <v>2</v>
      </c>
    </row>
    <row r="341" spans="2:9" x14ac:dyDescent="0.3">
      <c r="B341" t="s">
        <v>372</v>
      </c>
      <c r="C341" t="s">
        <v>1621</v>
      </c>
      <c r="D341" t="s">
        <v>2658</v>
      </c>
      <c r="E341" s="24">
        <v>40165</v>
      </c>
      <c r="F341">
        <v>2</v>
      </c>
      <c r="G341">
        <v>1</v>
      </c>
      <c r="H341" t="s">
        <v>3112</v>
      </c>
      <c r="I341">
        <v>2</v>
      </c>
    </row>
    <row r="342" spans="2:9" x14ac:dyDescent="0.3">
      <c r="B342" t="s">
        <v>3113</v>
      </c>
      <c r="C342" t="s">
        <v>3114</v>
      </c>
      <c r="D342" t="s">
        <v>2658</v>
      </c>
      <c r="E342" s="24">
        <v>42815</v>
      </c>
      <c r="F342">
        <v>10</v>
      </c>
      <c r="G342">
        <v>1</v>
      </c>
      <c r="H342" t="s">
        <v>3115</v>
      </c>
      <c r="I342">
        <v>10</v>
      </c>
    </row>
    <row r="343" spans="2:9" x14ac:dyDescent="0.3">
      <c r="B343" t="s">
        <v>3116</v>
      </c>
      <c r="C343" t="s">
        <v>3117</v>
      </c>
      <c r="D343" t="s">
        <v>2686</v>
      </c>
      <c r="E343" s="24">
        <v>42846</v>
      </c>
      <c r="F343">
        <v>10</v>
      </c>
      <c r="G343">
        <v>1</v>
      </c>
      <c r="H343" t="s">
        <v>3118</v>
      </c>
      <c r="I343">
        <v>10</v>
      </c>
    </row>
    <row r="344" spans="2:9" x14ac:dyDescent="0.3">
      <c r="B344" t="s">
        <v>373</v>
      </c>
      <c r="C344" t="s">
        <v>1622</v>
      </c>
      <c r="D344" t="s">
        <v>2658</v>
      </c>
      <c r="E344" s="24">
        <v>38996</v>
      </c>
      <c r="F344">
        <v>10</v>
      </c>
      <c r="G344">
        <v>1</v>
      </c>
      <c r="H344" t="s">
        <v>3119</v>
      </c>
      <c r="I344">
        <v>10</v>
      </c>
    </row>
    <row r="345" spans="2:9" x14ac:dyDescent="0.3">
      <c r="B345" t="s">
        <v>374</v>
      </c>
      <c r="C345" t="s">
        <v>1623</v>
      </c>
      <c r="D345" t="s">
        <v>2658</v>
      </c>
      <c r="E345" s="24">
        <v>39071</v>
      </c>
      <c r="F345">
        <v>2</v>
      </c>
      <c r="G345">
        <v>1</v>
      </c>
      <c r="H345" t="s">
        <v>3120</v>
      </c>
      <c r="I345">
        <v>2</v>
      </c>
    </row>
    <row r="346" spans="2:9" x14ac:dyDescent="0.3">
      <c r="B346" t="s">
        <v>375</v>
      </c>
      <c r="C346" t="s">
        <v>1625</v>
      </c>
      <c r="D346" t="s">
        <v>2658</v>
      </c>
      <c r="E346" s="24">
        <v>39458</v>
      </c>
      <c r="F346">
        <v>10</v>
      </c>
      <c r="G346">
        <v>1</v>
      </c>
      <c r="H346" t="s">
        <v>3121</v>
      </c>
      <c r="I346">
        <v>10</v>
      </c>
    </row>
    <row r="347" spans="2:9" x14ac:dyDescent="0.3">
      <c r="B347" t="s">
        <v>376</v>
      </c>
      <c r="C347" t="s">
        <v>1624</v>
      </c>
      <c r="D347" t="s">
        <v>2658</v>
      </c>
      <c r="E347" s="24">
        <v>39559</v>
      </c>
      <c r="F347">
        <v>1</v>
      </c>
      <c r="G347">
        <v>1</v>
      </c>
      <c r="H347" t="s">
        <v>3122</v>
      </c>
      <c r="I347">
        <v>1</v>
      </c>
    </row>
    <row r="348" spans="2:9" x14ac:dyDescent="0.3">
      <c r="B348" t="s">
        <v>377</v>
      </c>
      <c r="C348" t="s">
        <v>1626</v>
      </c>
      <c r="D348" t="s">
        <v>2686</v>
      </c>
      <c r="E348" s="24">
        <v>40714</v>
      </c>
      <c r="F348">
        <v>10</v>
      </c>
      <c r="G348">
        <v>1</v>
      </c>
      <c r="H348" t="s">
        <v>3123</v>
      </c>
      <c r="I348">
        <v>10</v>
      </c>
    </row>
    <row r="349" spans="2:9" x14ac:dyDescent="0.3">
      <c r="B349" t="s">
        <v>378</v>
      </c>
      <c r="C349" t="s">
        <v>1627</v>
      </c>
      <c r="D349" t="s">
        <v>2658</v>
      </c>
      <c r="E349" s="24">
        <v>38001</v>
      </c>
      <c r="F349">
        <v>10</v>
      </c>
      <c r="G349">
        <v>1</v>
      </c>
      <c r="H349" t="s">
        <v>3124</v>
      </c>
      <c r="I349">
        <v>10</v>
      </c>
    </row>
    <row r="350" spans="2:9" x14ac:dyDescent="0.3">
      <c r="B350" t="s">
        <v>379</v>
      </c>
      <c r="C350" t="s">
        <v>1628</v>
      </c>
      <c r="D350" t="s">
        <v>2658</v>
      </c>
      <c r="E350" s="24">
        <v>37771</v>
      </c>
      <c r="F350">
        <v>5</v>
      </c>
      <c r="G350">
        <v>1</v>
      </c>
      <c r="H350" t="s">
        <v>3125</v>
      </c>
      <c r="I350">
        <v>5</v>
      </c>
    </row>
    <row r="351" spans="2:9" x14ac:dyDescent="0.3">
      <c r="B351" t="s">
        <v>380</v>
      </c>
      <c r="C351" t="s">
        <v>1629</v>
      </c>
      <c r="D351" t="s">
        <v>2686</v>
      </c>
      <c r="E351" s="24">
        <v>36796</v>
      </c>
      <c r="F351">
        <v>10</v>
      </c>
      <c r="G351">
        <v>1</v>
      </c>
      <c r="H351" t="s">
        <v>3126</v>
      </c>
      <c r="I351">
        <v>10</v>
      </c>
    </row>
    <row r="352" spans="2:9" x14ac:dyDescent="0.3">
      <c r="B352" t="s">
        <v>1302</v>
      </c>
      <c r="C352" t="s">
        <v>1630</v>
      </c>
      <c r="D352" t="s">
        <v>2658</v>
      </c>
      <c r="E352" s="24">
        <v>40878</v>
      </c>
      <c r="F352">
        <v>10</v>
      </c>
      <c r="G352">
        <v>1</v>
      </c>
      <c r="H352" t="s">
        <v>3127</v>
      </c>
      <c r="I352">
        <v>10</v>
      </c>
    </row>
    <row r="353" spans="2:9" x14ac:dyDescent="0.3">
      <c r="B353" t="s">
        <v>3128</v>
      </c>
      <c r="C353" t="s">
        <v>3129</v>
      </c>
      <c r="D353" t="s">
        <v>2658</v>
      </c>
      <c r="E353" s="24">
        <v>42024</v>
      </c>
      <c r="F353">
        <v>10</v>
      </c>
      <c r="G353">
        <v>1</v>
      </c>
      <c r="H353" t="s">
        <v>3130</v>
      </c>
      <c r="I353">
        <v>10</v>
      </c>
    </row>
    <row r="354" spans="2:9" x14ac:dyDescent="0.3">
      <c r="B354" t="s">
        <v>3131</v>
      </c>
      <c r="C354" t="s">
        <v>3132</v>
      </c>
      <c r="D354" t="s">
        <v>2658</v>
      </c>
      <c r="E354" s="24">
        <v>41191</v>
      </c>
      <c r="F354">
        <v>1</v>
      </c>
      <c r="G354">
        <v>1</v>
      </c>
      <c r="H354" t="s">
        <v>3133</v>
      </c>
      <c r="I354">
        <v>1</v>
      </c>
    </row>
    <row r="355" spans="2:9" x14ac:dyDescent="0.3">
      <c r="B355" t="s">
        <v>381</v>
      </c>
      <c r="C355" t="s">
        <v>1631</v>
      </c>
      <c r="D355" t="s">
        <v>2658</v>
      </c>
      <c r="E355" s="24">
        <v>38352</v>
      </c>
      <c r="F355">
        <v>10</v>
      </c>
      <c r="G355">
        <v>1</v>
      </c>
      <c r="H355" t="s">
        <v>3134</v>
      </c>
      <c r="I355">
        <v>10</v>
      </c>
    </row>
    <row r="356" spans="2:9" x14ac:dyDescent="0.3">
      <c r="B356" t="s">
        <v>382</v>
      </c>
      <c r="C356" t="s">
        <v>1632</v>
      </c>
      <c r="D356" t="s">
        <v>2658</v>
      </c>
      <c r="E356" s="24">
        <v>38974</v>
      </c>
      <c r="F356">
        <v>10</v>
      </c>
      <c r="G356">
        <v>1</v>
      </c>
      <c r="H356" t="s">
        <v>3135</v>
      </c>
      <c r="I356">
        <v>10</v>
      </c>
    </row>
    <row r="357" spans="2:9" x14ac:dyDescent="0.3">
      <c r="B357" t="s">
        <v>383</v>
      </c>
      <c r="C357" t="s">
        <v>1633</v>
      </c>
      <c r="D357" t="s">
        <v>2658</v>
      </c>
      <c r="E357" s="24">
        <v>35249</v>
      </c>
      <c r="F357">
        <v>2</v>
      </c>
      <c r="G357">
        <v>1</v>
      </c>
      <c r="H357" t="s">
        <v>3136</v>
      </c>
      <c r="I357">
        <v>2</v>
      </c>
    </row>
    <row r="358" spans="2:9" x14ac:dyDescent="0.3">
      <c r="B358" t="s">
        <v>384</v>
      </c>
      <c r="C358" t="s">
        <v>1634</v>
      </c>
      <c r="D358" t="s">
        <v>2686</v>
      </c>
      <c r="E358" s="24">
        <v>36838</v>
      </c>
      <c r="F358">
        <v>2</v>
      </c>
      <c r="G358">
        <v>1</v>
      </c>
      <c r="H358" t="s">
        <v>3137</v>
      </c>
      <c r="I358">
        <v>2</v>
      </c>
    </row>
    <row r="359" spans="2:9" x14ac:dyDescent="0.3">
      <c r="B359" t="s">
        <v>385</v>
      </c>
      <c r="C359" t="s">
        <v>1635</v>
      </c>
      <c r="D359" t="s">
        <v>2658</v>
      </c>
      <c r="E359" s="24">
        <v>39349</v>
      </c>
      <c r="F359">
        <v>10</v>
      </c>
      <c r="G359">
        <v>1</v>
      </c>
      <c r="H359" t="s">
        <v>3138</v>
      </c>
      <c r="I359">
        <v>10</v>
      </c>
    </row>
    <row r="360" spans="2:9" x14ac:dyDescent="0.3">
      <c r="B360" t="s">
        <v>386</v>
      </c>
      <c r="C360" t="s">
        <v>1636</v>
      </c>
      <c r="D360" t="s">
        <v>2658</v>
      </c>
      <c r="E360" s="24">
        <v>39447</v>
      </c>
      <c r="F360">
        <v>10</v>
      </c>
      <c r="G360">
        <v>1</v>
      </c>
      <c r="H360" t="s">
        <v>3139</v>
      </c>
      <c r="I360">
        <v>10</v>
      </c>
    </row>
    <row r="361" spans="2:9" x14ac:dyDescent="0.3">
      <c r="B361" t="s">
        <v>387</v>
      </c>
      <c r="C361" t="s">
        <v>1637</v>
      </c>
      <c r="D361" t="s">
        <v>2658</v>
      </c>
      <c r="E361" s="24">
        <v>39428</v>
      </c>
      <c r="F361">
        <v>1</v>
      </c>
      <c r="G361">
        <v>1</v>
      </c>
      <c r="H361" t="s">
        <v>3140</v>
      </c>
      <c r="I361">
        <v>1</v>
      </c>
    </row>
    <row r="362" spans="2:9" x14ac:dyDescent="0.3">
      <c r="B362" t="s">
        <v>388</v>
      </c>
      <c r="C362" t="s">
        <v>1638</v>
      </c>
      <c r="D362" t="s">
        <v>2658</v>
      </c>
      <c r="E362" s="24">
        <v>39412</v>
      </c>
      <c r="F362">
        <v>10</v>
      </c>
      <c r="G362">
        <v>1</v>
      </c>
      <c r="H362" t="s">
        <v>3141</v>
      </c>
      <c r="I362">
        <v>10</v>
      </c>
    </row>
    <row r="363" spans="2:9" x14ac:dyDescent="0.3">
      <c r="B363" t="s">
        <v>389</v>
      </c>
      <c r="C363" t="s">
        <v>1639</v>
      </c>
      <c r="D363" t="s">
        <v>2658</v>
      </c>
      <c r="E363" s="24">
        <v>38730</v>
      </c>
      <c r="F363">
        <v>2</v>
      </c>
      <c r="G363">
        <v>1</v>
      </c>
      <c r="H363" t="s">
        <v>3142</v>
      </c>
      <c r="I363">
        <v>2</v>
      </c>
    </row>
    <row r="364" spans="2:9" x14ac:dyDescent="0.3">
      <c r="B364" t="s">
        <v>50</v>
      </c>
      <c r="C364" t="s">
        <v>1640</v>
      </c>
      <c r="D364" t="s">
        <v>2658</v>
      </c>
      <c r="E364" s="24">
        <v>38237</v>
      </c>
      <c r="F364">
        <v>10</v>
      </c>
      <c r="G364">
        <v>1</v>
      </c>
      <c r="H364" t="s">
        <v>3143</v>
      </c>
      <c r="I364">
        <v>10</v>
      </c>
    </row>
    <row r="365" spans="2:9" x14ac:dyDescent="0.3">
      <c r="B365" t="s">
        <v>390</v>
      </c>
      <c r="C365" t="s">
        <v>1641</v>
      </c>
      <c r="D365" t="s">
        <v>2658</v>
      </c>
      <c r="E365" s="24">
        <v>34829</v>
      </c>
      <c r="F365">
        <v>1</v>
      </c>
      <c r="G365">
        <v>1</v>
      </c>
      <c r="H365" t="s">
        <v>3144</v>
      </c>
      <c r="I365">
        <v>1</v>
      </c>
    </row>
    <row r="366" spans="2:9" x14ac:dyDescent="0.3">
      <c r="B366" t="s">
        <v>391</v>
      </c>
      <c r="C366" t="s">
        <v>1642</v>
      </c>
      <c r="D366" t="s">
        <v>2658</v>
      </c>
      <c r="E366" s="24">
        <v>39546</v>
      </c>
      <c r="F366">
        <v>10</v>
      </c>
      <c r="G366">
        <v>1</v>
      </c>
      <c r="H366" t="s">
        <v>3145</v>
      </c>
      <c r="I366">
        <v>10</v>
      </c>
    </row>
    <row r="367" spans="2:9" x14ac:dyDescent="0.3">
      <c r="B367" t="s">
        <v>392</v>
      </c>
      <c r="C367" t="s">
        <v>1643</v>
      </c>
      <c r="D367" t="s">
        <v>2658</v>
      </c>
      <c r="E367" s="24">
        <v>34738</v>
      </c>
      <c r="F367">
        <v>2</v>
      </c>
      <c r="G367">
        <v>1</v>
      </c>
      <c r="H367" t="s">
        <v>3146</v>
      </c>
      <c r="I367">
        <v>2</v>
      </c>
    </row>
    <row r="368" spans="2:9" x14ac:dyDescent="0.3">
      <c r="B368" t="s">
        <v>393</v>
      </c>
      <c r="C368" t="s">
        <v>1644</v>
      </c>
      <c r="D368" t="s">
        <v>2658</v>
      </c>
      <c r="E368" s="24">
        <v>35172</v>
      </c>
      <c r="F368">
        <v>10</v>
      </c>
      <c r="G368">
        <v>1</v>
      </c>
      <c r="H368" t="s">
        <v>3147</v>
      </c>
      <c r="I368">
        <v>10</v>
      </c>
    </row>
    <row r="369" spans="2:9" x14ac:dyDescent="0.3">
      <c r="B369" t="s">
        <v>394</v>
      </c>
      <c r="C369" t="s">
        <v>1645</v>
      </c>
      <c r="D369" t="s">
        <v>2658</v>
      </c>
      <c r="E369" s="24">
        <v>38701</v>
      </c>
      <c r="F369">
        <v>2</v>
      </c>
      <c r="G369">
        <v>1</v>
      </c>
      <c r="H369" t="s">
        <v>3148</v>
      </c>
      <c r="I369">
        <v>2</v>
      </c>
    </row>
    <row r="370" spans="2:9" x14ac:dyDescent="0.3">
      <c r="B370" t="s">
        <v>3149</v>
      </c>
      <c r="C370" t="s">
        <v>3150</v>
      </c>
      <c r="D370" t="s">
        <v>2658</v>
      </c>
      <c r="E370" s="24">
        <v>39150</v>
      </c>
      <c r="F370">
        <v>10</v>
      </c>
      <c r="G370">
        <v>1</v>
      </c>
      <c r="H370" t="s">
        <v>3151</v>
      </c>
      <c r="I370">
        <v>10</v>
      </c>
    </row>
    <row r="371" spans="2:9" x14ac:dyDescent="0.3">
      <c r="B371" t="s">
        <v>395</v>
      </c>
      <c r="C371" t="s">
        <v>1646</v>
      </c>
      <c r="D371" t="s">
        <v>2658</v>
      </c>
      <c r="E371" s="24">
        <v>38989</v>
      </c>
      <c r="F371">
        <v>2</v>
      </c>
      <c r="G371">
        <v>1</v>
      </c>
      <c r="H371" t="s">
        <v>3152</v>
      </c>
      <c r="I371">
        <v>2</v>
      </c>
    </row>
    <row r="372" spans="2:9" x14ac:dyDescent="0.3">
      <c r="B372" t="s">
        <v>396</v>
      </c>
      <c r="C372" t="s">
        <v>1647</v>
      </c>
      <c r="D372" t="s">
        <v>2658</v>
      </c>
      <c r="E372" s="24">
        <v>37792</v>
      </c>
      <c r="F372">
        <v>1</v>
      </c>
      <c r="G372">
        <v>1</v>
      </c>
      <c r="H372" t="s">
        <v>3153</v>
      </c>
      <c r="I372">
        <v>1</v>
      </c>
    </row>
    <row r="373" spans="2:9" x14ac:dyDescent="0.3">
      <c r="B373" t="s">
        <v>397</v>
      </c>
      <c r="C373" t="s">
        <v>1648</v>
      </c>
      <c r="D373" t="s">
        <v>2658</v>
      </c>
      <c r="E373" s="24">
        <v>39314</v>
      </c>
      <c r="F373">
        <v>10</v>
      </c>
      <c r="G373">
        <v>1</v>
      </c>
      <c r="H373" t="s">
        <v>3154</v>
      </c>
      <c r="I373">
        <v>10</v>
      </c>
    </row>
    <row r="374" spans="2:9" x14ac:dyDescent="0.3">
      <c r="B374" t="s">
        <v>398</v>
      </c>
      <c r="C374" t="s">
        <v>1649</v>
      </c>
      <c r="D374" t="s">
        <v>2658</v>
      </c>
      <c r="E374" s="24">
        <v>35025</v>
      </c>
      <c r="F374">
        <v>1</v>
      </c>
      <c r="G374">
        <v>1</v>
      </c>
      <c r="H374" t="s">
        <v>3155</v>
      </c>
      <c r="I374">
        <v>1</v>
      </c>
    </row>
    <row r="375" spans="2:9" x14ac:dyDescent="0.3">
      <c r="B375" t="s">
        <v>399</v>
      </c>
      <c r="C375" t="s">
        <v>1650</v>
      </c>
      <c r="D375" t="s">
        <v>2658</v>
      </c>
      <c r="E375" s="24">
        <v>40765</v>
      </c>
      <c r="F375">
        <v>1</v>
      </c>
      <c r="G375">
        <v>1</v>
      </c>
      <c r="H375" t="s">
        <v>3156</v>
      </c>
      <c r="I375">
        <v>1</v>
      </c>
    </row>
    <row r="376" spans="2:9" x14ac:dyDescent="0.3">
      <c r="B376" t="s">
        <v>400</v>
      </c>
      <c r="C376" t="s">
        <v>1651</v>
      </c>
      <c r="D376" t="s">
        <v>2686</v>
      </c>
      <c r="E376" s="24">
        <v>40387</v>
      </c>
      <c r="F376">
        <v>2</v>
      </c>
      <c r="G376">
        <v>1</v>
      </c>
      <c r="H376" t="s">
        <v>3157</v>
      </c>
      <c r="I376">
        <v>2</v>
      </c>
    </row>
    <row r="377" spans="2:9" x14ac:dyDescent="0.3">
      <c r="B377" t="s">
        <v>51</v>
      </c>
      <c r="C377" t="s">
        <v>1652</v>
      </c>
      <c r="D377" t="s">
        <v>2658</v>
      </c>
      <c r="E377" s="24">
        <v>38932</v>
      </c>
      <c r="F377">
        <v>1</v>
      </c>
      <c r="G377">
        <v>1</v>
      </c>
      <c r="H377" t="s">
        <v>3158</v>
      </c>
      <c r="I377">
        <v>1</v>
      </c>
    </row>
    <row r="378" spans="2:9" x14ac:dyDescent="0.3">
      <c r="B378" t="s">
        <v>401</v>
      </c>
      <c r="C378" t="s">
        <v>1653</v>
      </c>
      <c r="D378" t="s">
        <v>2658</v>
      </c>
      <c r="E378" s="24">
        <v>38701</v>
      </c>
      <c r="F378">
        <v>2</v>
      </c>
      <c r="G378">
        <v>1</v>
      </c>
      <c r="H378" t="s">
        <v>3159</v>
      </c>
      <c r="I378">
        <v>2</v>
      </c>
    </row>
    <row r="379" spans="2:9" x14ac:dyDescent="0.3">
      <c r="B379" t="s">
        <v>402</v>
      </c>
      <c r="C379" t="s">
        <v>1654</v>
      </c>
      <c r="D379" t="s">
        <v>2658</v>
      </c>
      <c r="E379" s="24">
        <v>38835</v>
      </c>
      <c r="F379">
        <v>10</v>
      </c>
      <c r="G379">
        <v>1</v>
      </c>
      <c r="H379" t="s">
        <v>3160</v>
      </c>
      <c r="I379">
        <v>10</v>
      </c>
    </row>
    <row r="380" spans="2:9" x14ac:dyDescent="0.3">
      <c r="B380" t="s">
        <v>403</v>
      </c>
      <c r="C380" t="s">
        <v>3161</v>
      </c>
      <c r="D380" t="s">
        <v>2658</v>
      </c>
      <c r="E380" s="24">
        <v>40233</v>
      </c>
      <c r="F380">
        <v>10</v>
      </c>
      <c r="G380">
        <v>1</v>
      </c>
      <c r="H380" t="s">
        <v>3162</v>
      </c>
      <c r="I380">
        <v>10</v>
      </c>
    </row>
    <row r="381" spans="2:9" x14ac:dyDescent="0.3">
      <c r="B381" t="s">
        <v>3163</v>
      </c>
      <c r="C381" t="s">
        <v>3164</v>
      </c>
      <c r="D381" t="s">
        <v>2658</v>
      </c>
      <c r="E381" s="24">
        <v>42662</v>
      </c>
      <c r="F381">
        <v>10</v>
      </c>
      <c r="G381">
        <v>1</v>
      </c>
      <c r="H381" t="s">
        <v>3165</v>
      </c>
      <c r="I381">
        <v>10</v>
      </c>
    </row>
    <row r="382" spans="2:9" x14ac:dyDescent="0.3">
      <c r="B382" t="s">
        <v>404</v>
      </c>
      <c r="C382" t="s">
        <v>1655</v>
      </c>
      <c r="D382" t="s">
        <v>2658</v>
      </c>
      <c r="E382" s="24">
        <v>39388</v>
      </c>
      <c r="F382">
        <v>10</v>
      </c>
      <c r="G382">
        <v>1</v>
      </c>
      <c r="H382" t="s">
        <v>3166</v>
      </c>
      <c r="I382">
        <v>10</v>
      </c>
    </row>
    <row r="383" spans="2:9" x14ac:dyDescent="0.3">
      <c r="B383" t="s">
        <v>405</v>
      </c>
      <c r="C383" t="s">
        <v>1656</v>
      </c>
      <c r="D383" t="s">
        <v>2658</v>
      </c>
      <c r="E383" s="24">
        <v>35662</v>
      </c>
      <c r="F383">
        <v>5</v>
      </c>
      <c r="G383">
        <v>1</v>
      </c>
      <c r="H383" t="s">
        <v>3167</v>
      </c>
      <c r="I383">
        <v>5</v>
      </c>
    </row>
    <row r="384" spans="2:9" x14ac:dyDescent="0.3">
      <c r="B384" t="s">
        <v>406</v>
      </c>
      <c r="C384" t="s">
        <v>1657</v>
      </c>
      <c r="D384" t="s">
        <v>2658</v>
      </c>
      <c r="E384" s="24">
        <v>38763</v>
      </c>
      <c r="F384">
        <v>10</v>
      </c>
      <c r="G384">
        <v>1</v>
      </c>
      <c r="H384" t="s">
        <v>3168</v>
      </c>
      <c r="I384">
        <v>10</v>
      </c>
    </row>
    <row r="385" spans="2:9" x14ac:dyDescent="0.3">
      <c r="B385" t="s">
        <v>407</v>
      </c>
      <c r="C385" t="s">
        <v>1658</v>
      </c>
      <c r="D385" t="s">
        <v>2658</v>
      </c>
      <c r="E385" s="24">
        <v>41067</v>
      </c>
      <c r="F385">
        <v>5</v>
      </c>
      <c r="G385">
        <v>1</v>
      </c>
      <c r="H385" t="s">
        <v>3169</v>
      </c>
      <c r="I385">
        <v>5</v>
      </c>
    </row>
    <row r="386" spans="2:9" x14ac:dyDescent="0.3">
      <c r="B386" t="s">
        <v>3170</v>
      </c>
      <c r="C386" t="s">
        <v>3171</v>
      </c>
      <c r="D386" t="s">
        <v>2658</v>
      </c>
      <c r="E386" s="24">
        <v>42481</v>
      </c>
      <c r="F386">
        <v>10</v>
      </c>
      <c r="G386">
        <v>1</v>
      </c>
      <c r="H386" t="s">
        <v>3172</v>
      </c>
      <c r="I386">
        <v>10</v>
      </c>
    </row>
    <row r="387" spans="2:9" x14ac:dyDescent="0.3">
      <c r="B387" t="s">
        <v>3170</v>
      </c>
      <c r="C387" t="s">
        <v>3171</v>
      </c>
      <c r="D387" t="s">
        <v>3173</v>
      </c>
      <c r="E387" s="24">
        <v>42481</v>
      </c>
      <c r="F387">
        <v>10</v>
      </c>
      <c r="G387">
        <v>1</v>
      </c>
      <c r="H387" t="s">
        <v>3172</v>
      </c>
      <c r="I387">
        <v>10</v>
      </c>
    </row>
    <row r="388" spans="2:9" x14ac:dyDescent="0.3">
      <c r="B388" t="s">
        <v>408</v>
      </c>
      <c r="C388" t="s">
        <v>1659</v>
      </c>
      <c r="D388" t="s">
        <v>2658</v>
      </c>
      <c r="E388" s="24">
        <v>40457</v>
      </c>
      <c r="F388">
        <v>10</v>
      </c>
      <c r="G388">
        <v>1</v>
      </c>
      <c r="H388" t="s">
        <v>3174</v>
      </c>
      <c r="I388">
        <v>10</v>
      </c>
    </row>
    <row r="389" spans="2:9" x14ac:dyDescent="0.3">
      <c r="B389" t="s">
        <v>409</v>
      </c>
      <c r="C389" t="s">
        <v>1660</v>
      </c>
      <c r="D389" t="s">
        <v>2658</v>
      </c>
      <c r="E389" s="24">
        <v>35004</v>
      </c>
      <c r="F389">
        <v>10</v>
      </c>
      <c r="G389">
        <v>1</v>
      </c>
      <c r="H389" t="s">
        <v>3175</v>
      </c>
      <c r="I389">
        <v>10</v>
      </c>
    </row>
    <row r="390" spans="2:9" x14ac:dyDescent="0.3">
      <c r="B390" t="s">
        <v>410</v>
      </c>
      <c r="C390" t="s">
        <v>1661</v>
      </c>
      <c r="D390" t="s">
        <v>2658</v>
      </c>
      <c r="E390" s="24">
        <v>34759</v>
      </c>
      <c r="F390">
        <v>10</v>
      </c>
      <c r="G390">
        <v>1</v>
      </c>
      <c r="H390" t="s">
        <v>3176</v>
      </c>
      <c r="I390">
        <v>10</v>
      </c>
    </row>
    <row r="391" spans="2:9" x14ac:dyDescent="0.3">
      <c r="B391" t="s">
        <v>411</v>
      </c>
      <c r="C391" t="s">
        <v>1662</v>
      </c>
      <c r="D391" t="s">
        <v>2658</v>
      </c>
      <c r="E391" s="24">
        <v>40459</v>
      </c>
      <c r="F391">
        <v>10</v>
      </c>
      <c r="G391">
        <v>1</v>
      </c>
      <c r="H391" t="s">
        <v>3177</v>
      </c>
      <c r="I391">
        <v>10</v>
      </c>
    </row>
    <row r="392" spans="2:9" x14ac:dyDescent="0.3">
      <c r="B392" t="s">
        <v>412</v>
      </c>
      <c r="C392" t="s">
        <v>1663</v>
      </c>
      <c r="D392" t="s">
        <v>2658</v>
      </c>
      <c r="E392" s="24">
        <v>40862</v>
      </c>
      <c r="F392">
        <v>10</v>
      </c>
      <c r="G392">
        <v>1</v>
      </c>
      <c r="H392" t="s">
        <v>3178</v>
      </c>
      <c r="I392">
        <v>10</v>
      </c>
    </row>
    <row r="393" spans="2:9" x14ac:dyDescent="0.3">
      <c r="B393" t="s">
        <v>413</v>
      </c>
      <c r="C393" t="s">
        <v>1664</v>
      </c>
      <c r="D393" t="s">
        <v>2686</v>
      </c>
      <c r="E393" s="24">
        <v>39079</v>
      </c>
      <c r="F393">
        <v>10</v>
      </c>
      <c r="G393">
        <v>1</v>
      </c>
      <c r="H393" t="s">
        <v>3179</v>
      </c>
      <c r="I393">
        <v>10</v>
      </c>
    </row>
    <row r="394" spans="2:9" x14ac:dyDescent="0.3">
      <c r="B394" t="s">
        <v>414</v>
      </c>
      <c r="C394" t="s">
        <v>1665</v>
      </c>
      <c r="D394" t="s">
        <v>2658</v>
      </c>
      <c r="E394" s="24">
        <v>37298</v>
      </c>
      <c r="F394">
        <v>2</v>
      </c>
      <c r="G394">
        <v>1</v>
      </c>
      <c r="H394" t="s">
        <v>3180</v>
      </c>
      <c r="I394">
        <v>2</v>
      </c>
    </row>
    <row r="395" spans="2:9" x14ac:dyDescent="0.3">
      <c r="B395" t="s">
        <v>415</v>
      </c>
      <c r="C395" t="s">
        <v>1666</v>
      </c>
      <c r="D395" t="s">
        <v>2658</v>
      </c>
      <c r="E395" s="24">
        <v>40714</v>
      </c>
      <c r="F395">
        <v>5</v>
      </c>
      <c r="G395">
        <v>1</v>
      </c>
      <c r="H395" t="s">
        <v>3181</v>
      </c>
      <c r="I395">
        <v>5</v>
      </c>
    </row>
    <row r="396" spans="2:9" x14ac:dyDescent="0.3">
      <c r="B396" t="s">
        <v>416</v>
      </c>
      <c r="C396" t="s">
        <v>1667</v>
      </c>
      <c r="D396" t="s">
        <v>2686</v>
      </c>
      <c r="E396" s="24">
        <v>39150</v>
      </c>
      <c r="F396">
        <v>10</v>
      </c>
      <c r="G396">
        <v>1</v>
      </c>
      <c r="H396" t="s">
        <v>3182</v>
      </c>
      <c r="I396">
        <v>10</v>
      </c>
    </row>
    <row r="397" spans="2:9" x14ac:dyDescent="0.3">
      <c r="B397" t="s">
        <v>1303</v>
      </c>
      <c r="C397" t="s">
        <v>1668</v>
      </c>
      <c r="D397" t="s">
        <v>2686</v>
      </c>
      <c r="E397" s="24">
        <v>40101</v>
      </c>
      <c r="F397">
        <v>10</v>
      </c>
      <c r="G397">
        <v>1</v>
      </c>
      <c r="H397" t="s">
        <v>3183</v>
      </c>
      <c r="I397">
        <v>10</v>
      </c>
    </row>
    <row r="398" spans="2:9" x14ac:dyDescent="0.3">
      <c r="B398" t="s">
        <v>417</v>
      </c>
      <c r="C398" t="s">
        <v>1669</v>
      </c>
      <c r="D398" t="s">
        <v>2658</v>
      </c>
      <c r="E398" s="24">
        <v>35095</v>
      </c>
      <c r="F398">
        <v>10</v>
      </c>
      <c r="G398">
        <v>1</v>
      </c>
      <c r="H398" t="s">
        <v>3184</v>
      </c>
      <c r="I398">
        <v>10</v>
      </c>
    </row>
    <row r="399" spans="2:9" x14ac:dyDescent="0.3">
      <c r="B399" t="s">
        <v>418</v>
      </c>
      <c r="C399" t="s">
        <v>1670</v>
      </c>
      <c r="D399" t="s">
        <v>2658</v>
      </c>
      <c r="E399" s="24">
        <v>38469</v>
      </c>
      <c r="F399">
        <v>5</v>
      </c>
      <c r="G399">
        <v>1</v>
      </c>
      <c r="H399" t="s">
        <v>3185</v>
      </c>
      <c r="I399">
        <v>5</v>
      </c>
    </row>
    <row r="400" spans="2:9" x14ac:dyDescent="0.3">
      <c r="B400" t="s">
        <v>419</v>
      </c>
      <c r="C400" t="s">
        <v>1671</v>
      </c>
      <c r="D400" t="s">
        <v>2658</v>
      </c>
      <c r="E400" s="24">
        <v>34787</v>
      </c>
      <c r="F400">
        <v>10</v>
      </c>
      <c r="G400">
        <v>1</v>
      </c>
      <c r="H400" t="s">
        <v>3186</v>
      </c>
      <c r="I400">
        <v>10</v>
      </c>
    </row>
    <row r="401" spans="2:9" x14ac:dyDescent="0.3">
      <c r="B401" t="s">
        <v>3187</v>
      </c>
      <c r="C401" t="s">
        <v>3188</v>
      </c>
      <c r="D401" t="s">
        <v>2658</v>
      </c>
      <c r="E401" s="24">
        <v>40028</v>
      </c>
      <c r="F401">
        <v>10</v>
      </c>
      <c r="G401">
        <v>1</v>
      </c>
      <c r="H401" t="s">
        <v>3189</v>
      </c>
      <c r="I401">
        <v>10</v>
      </c>
    </row>
    <row r="402" spans="2:9" x14ac:dyDescent="0.3">
      <c r="B402" t="s">
        <v>420</v>
      </c>
      <c r="C402" t="s">
        <v>1672</v>
      </c>
      <c r="D402" t="s">
        <v>2658</v>
      </c>
      <c r="E402" s="24">
        <v>38154</v>
      </c>
      <c r="F402">
        <v>5</v>
      </c>
      <c r="G402">
        <v>1</v>
      </c>
      <c r="H402" t="s">
        <v>3190</v>
      </c>
      <c r="I402">
        <v>5</v>
      </c>
    </row>
    <row r="403" spans="2:9" x14ac:dyDescent="0.3">
      <c r="B403" t="s">
        <v>421</v>
      </c>
      <c r="C403" t="s">
        <v>1673</v>
      </c>
      <c r="D403" t="s">
        <v>2658</v>
      </c>
      <c r="E403" s="24">
        <v>38154</v>
      </c>
      <c r="F403">
        <v>5</v>
      </c>
      <c r="G403">
        <v>1</v>
      </c>
      <c r="H403" t="s">
        <v>3191</v>
      </c>
      <c r="I403">
        <v>5</v>
      </c>
    </row>
    <row r="404" spans="2:9" x14ac:dyDescent="0.3">
      <c r="B404" t="s">
        <v>52</v>
      </c>
      <c r="C404" t="s">
        <v>1674</v>
      </c>
      <c r="D404" t="s">
        <v>2658</v>
      </c>
      <c r="E404" s="24">
        <v>37789</v>
      </c>
      <c r="F404">
        <v>1</v>
      </c>
      <c r="G404">
        <v>1</v>
      </c>
      <c r="H404" t="s">
        <v>3192</v>
      </c>
      <c r="I404">
        <v>1</v>
      </c>
    </row>
    <row r="405" spans="2:9" x14ac:dyDescent="0.3">
      <c r="B405" t="s">
        <v>422</v>
      </c>
      <c r="C405" t="s">
        <v>1675</v>
      </c>
      <c r="D405" t="s">
        <v>2658</v>
      </c>
      <c r="E405" s="24">
        <v>34801</v>
      </c>
      <c r="F405">
        <v>10</v>
      </c>
      <c r="G405">
        <v>1</v>
      </c>
      <c r="H405" t="s">
        <v>3193</v>
      </c>
      <c r="I405">
        <v>10</v>
      </c>
    </row>
    <row r="406" spans="2:9" x14ac:dyDescent="0.3">
      <c r="B406" t="s">
        <v>423</v>
      </c>
      <c r="C406" t="s">
        <v>1676</v>
      </c>
      <c r="D406" t="s">
        <v>2658</v>
      </c>
      <c r="E406" s="24">
        <v>36859</v>
      </c>
      <c r="F406">
        <v>10</v>
      </c>
      <c r="G406">
        <v>1</v>
      </c>
      <c r="H406" t="s">
        <v>3194</v>
      </c>
      <c r="I406">
        <v>10</v>
      </c>
    </row>
    <row r="407" spans="2:9" x14ac:dyDescent="0.3">
      <c r="B407" t="s">
        <v>3195</v>
      </c>
      <c r="C407" t="s">
        <v>3196</v>
      </c>
      <c r="D407" t="s">
        <v>2658</v>
      </c>
      <c r="E407" s="24">
        <v>42132</v>
      </c>
      <c r="F407">
        <v>10</v>
      </c>
      <c r="G407">
        <v>1</v>
      </c>
      <c r="H407" t="s">
        <v>3197</v>
      </c>
      <c r="I407">
        <v>10</v>
      </c>
    </row>
    <row r="408" spans="2:9" x14ac:dyDescent="0.3">
      <c r="B408" t="s">
        <v>3198</v>
      </c>
      <c r="C408" t="s">
        <v>3199</v>
      </c>
      <c r="D408" t="s">
        <v>2658</v>
      </c>
      <c r="E408" s="24">
        <v>42019</v>
      </c>
      <c r="F408">
        <v>2</v>
      </c>
      <c r="G408">
        <v>1</v>
      </c>
      <c r="H408" t="s">
        <v>3200</v>
      </c>
      <c r="I408">
        <v>2</v>
      </c>
    </row>
    <row r="409" spans="2:9" x14ac:dyDescent="0.3">
      <c r="B409" t="s">
        <v>3201</v>
      </c>
      <c r="C409" t="s">
        <v>3202</v>
      </c>
      <c r="D409" t="s">
        <v>2658</v>
      </c>
      <c r="E409" s="24">
        <v>41459</v>
      </c>
      <c r="F409">
        <v>6</v>
      </c>
      <c r="G409">
        <v>1</v>
      </c>
      <c r="H409" t="s">
        <v>3203</v>
      </c>
      <c r="I409">
        <v>6</v>
      </c>
    </row>
    <row r="410" spans="2:9" x14ac:dyDescent="0.3">
      <c r="B410" t="s">
        <v>424</v>
      </c>
      <c r="C410" t="s">
        <v>1677</v>
      </c>
      <c r="D410" t="s">
        <v>2686</v>
      </c>
      <c r="E410" s="24">
        <v>38616</v>
      </c>
      <c r="F410">
        <v>1</v>
      </c>
      <c r="G410">
        <v>1</v>
      </c>
      <c r="H410" t="s">
        <v>3204</v>
      </c>
      <c r="I410">
        <v>1</v>
      </c>
    </row>
    <row r="411" spans="2:9" x14ac:dyDescent="0.3">
      <c r="B411" t="s">
        <v>425</v>
      </c>
      <c r="C411" t="s">
        <v>1678</v>
      </c>
      <c r="D411" t="s">
        <v>2658</v>
      </c>
      <c r="E411" s="24">
        <v>35649</v>
      </c>
      <c r="F411">
        <v>1</v>
      </c>
      <c r="G411">
        <v>1</v>
      </c>
      <c r="H411" t="s">
        <v>3205</v>
      </c>
      <c r="I411">
        <v>1</v>
      </c>
    </row>
    <row r="412" spans="2:9" x14ac:dyDescent="0.3">
      <c r="B412" t="s">
        <v>426</v>
      </c>
      <c r="C412" t="s">
        <v>1679</v>
      </c>
      <c r="D412" t="s">
        <v>2658</v>
      </c>
      <c r="E412" s="24">
        <v>38610</v>
      </c>
      <c r="F412">
        <v>10</v>
      </c>
      <c r="G412">
        <v>1</v>
      </c>
      <c r="H412" t="s">
        <v>3206</v>
      </c>
      <c r="I412">
        <v>10</v>
      </c>
    </row>
    <row r="413" spans="2:9" x14ac:dyDescent="0.3">
      <c r="B413" t="s">
        <v>427</v>
      </c>
      <c r="C413" t="s">
        <v>1680</v>
      </c>
      <c r="D413" t="s">
        <v>2658</v>
      </c>
      <c r="E413" s="24">
        <v>34738</v>
      </c>
      <c r="F413">
        <v>2</v>
      </c>
      <c r="G413">
        <v>1</v>
      </c>
      <c r="H413" t="s">
        <v>3207</v>
      </c>
      <c r="I413">
        <v>2</v>
      </c>
    </row>
    <row r="414" spans="2:9" x14ac:dyDescent="0.3">
      <c r="B414" t="s">
        <v>3208</v>
      </c>
      <c r="C414" t="s">
        <v>3209</v>
      </c>
      <c r="D414" t="s">
        <v>2658</v>
      </c>
      <c r="E414" s="24">
        <v>37200</v>
      </c>
      <c r="F414">
        <v>2</v>
      </c>
      <c r="G414">
        <v>1</v>
      </c>
      <c r="H414" t="s">
        <v>3210</v>
      </c>
      <c r="I414">
        <v>2</v>
      </c>
    </row>
    <row r="415" spans="2:9" x14ac:dyDescent="0.3">
      <c r="B415" t="s">
        <v>3211</v>
      </c>
      <c r="C415" t="s">
        <v>3209</v>
      </c>
      <c r="D415" t="s">
        <v>2658</v>
      </c>
      <c r="E415" s="24">
        <v>39857</v>
      </c>
      <c r="F415">
        <v>2</v>
      </c>
      <c r="G415">
        <v>1</v>
      </c>
      <c r="H415" t="s">
        <v>3212</v>
      </c>
      <c r="I415">
        <v>2</v>
      </c>
    </row>
    <row r="416" spans="2:9" x14ac:dyDescent="0.3">
      <c r="B416" t="s">
        <v>428</v>
      </c>
      <c r="C416" t="s">
        <v>1681</v>
      </c>
      <c r="D416" t="s">
        <v>2658</v>
      </c>
      <c r="E416" s="24">
        <v>39009</v>
      </c>
      <c r="F416">
        <v>10</v>
      </c>
      <c r="G416">
        <v>1</v>
      </c>
      <c r="H416" t="s">
        <v>3213</v>
      </c>
      <c r="I416">
        <v>10</v>
      </c>
    </row>
    <row r="417" spans="2:9" x14ac:dyDescent="0.3">
      <c r="B417" t="s">
        <v>429</v>
      </c>
      <c r="C417" t="s">
        <v>1682</v>
      </c>
      <c r="D417" t="s">
        <v>2658</v>
      </c>
      <c r="E417" s="24">
        <v>40784</v>
      </c>
      <c r="F417">
        <v>10</v>
      </c>
      <c r="G417">
        <v>1</v>
      </c>
      <c r="H417" t="s">
        <v>3214</v>
      </c>
      <c r="I417">
        <v>10</v>
      </c>
    </row>
    <row r="418" spans="2:9" x14ac:dyDescent="0.3">
      <c r="B418" t="s">
        <v>430</v>
      </c>
      <c r="C418" t="s">
        <v>1683</v>
      </c>
      <c r="D418" t="s">
        <v>2658</v>
      </c>
      <c r="E418" s="24">
        <v>34745</v>
      </c>
      <c r="F418">
        <v>2</v>
      </c>
      <c r="G418">
        <v>1</v>
      </c>
      <c r="H418" t="s">
        <v>3215</v>
      </c>
      <c r="I418">
        <v>2</v>
      </c>
    </row>
    <row r="419" spans="2:9" x14ac:dyDescent="0.3">
      <c r="B419" t="s">
        <v>431</v>
      </c>
      <c r="C419" t="s">
        <v>1684</v>
      </c>
      <c r="D419" t="s">
        <v>2658</v>
      </c>
      <c r="E419" s="24">
        <v>34738</v>
      </c>
      <c r="F419">
        <v>10</v>
      </c>
      <c r="G419">
        <v>1</v>
      </c>
      <c r="H419" t="s">
        <v>3216</v>
      </c>
      <c r="I419">
        <v>10</v>
      </c>
    </row>
    <row r="420" spans="2:9" x14ac:dyDescent="0.3">
      <c r="B420" t="s">
        <v>1304</v>
      </c>
      <c r="C420" t="s">
        <v>1685</v>
      </c>
      <c r="D420" t="s">
        <v>2686</v>
      </c>
      <c r="E420" s="24">
        <v>39637</v>
      </c>
      <c r="F420">
        <v>10</v>
      </c>
      <c r="G420">
        <v>1</v>
      </c>
      <c r="H420" t="s">
        <v>3217</v>
      </c>
      <c r="I420">
        <v>10</v>
      </c>
    </row>
    <row r="421" spans="2:9" x14ac:dyDescent="0.3">
      <c r="B421" t="s">
        <v>432</v>
      </c>
      <c r="C421" t="s">
        <v>1686</v>
      </c>
      <c r="D421" t="s">
        <v>2658</v>
      </c>
      <c r="E421" s="24">
        <v>40835</v>
      </c>
      <c r="F421">
        <v>10</v>
      </c>
      <c r="G421">
        <v>1</v>
      </c>
      <c r="H421" t="s">
        <v>3218</v>
      </c>
      <c r="I421">
        <v>10</v>
      </c>
    </row>
    <row r="422" spans="2:9" x14ac:dyDescent="0.3">
      <c r="B422" t="s">
        <v>433</v>
      </c>
      <c r="C422" t="s">
        <v>1687</v>
      </c>
      <c r="D422" t="s">
        <v>2658</v>
      </c>
      <c r="E422" s="24">
        <v>41548</v>
      </c>
      <c r="F422">
        <v>2</v>
      </c>
      <c r="G422">
        <v>1</v>
      </c>
      <c r="H422" t="s">
        <v>3219</v>
      </c>
      <c r="I422">
        <v>2</v>
      </c>
    </row>
    <row r="423" spans="2:9" x14ac:dyDescent="0.3">
      <c r="B423" t="s">
        <v>434</v>
      </c>
      <c r="C423" t="s">
        <v>1688</v>
      </c>
      <c r="D423" t="s">
        <v>2658</v>
      </c>
      <c r="E423" s="24">
        <v>34738</v>
      </c>
      <c r="F423">
        <v>10</v>
      </c>
      <c r="G423">
        <v>1</v>
      </c>
      <c r="H423" t="s">
        <v>3220</v>
      </c>
      <c r="I423">
        <v>10</v>
      </c>
    </row>
    <row r="424" spans="2:9" x14ac:dyDescent="0.3">
      <c r="B424" t="s">
        <v>435</v>
      </c>
      <c r="C424" t="s">
        <v>1689</v>
      </c>
      <c r="D424" t="s">
        <v>2658</v>
      </c>
      <c r="E424" s="24">
        <v>40543</v>
      </c>
      <c r="F424">
        <v>10</v>
      </c>
      <c r="G424">
        <v>1</v>
      </c>
      <c r="H424" t="s">
        <v>3221</v>
      </c>
      <c r="I424">
        <v>10</v>
      </c>
    </row>
    <row r="425" spans="2:9" x14ac:dyDescent="0.3">
      <c r="B425" t="s">
        <v>436</v>
      </c>
      <c r="C425" t="s">
        <v>1690</v>
      </c>
      <c r="D425" t="s">
        <v>2658</v>
      </c>
      <c r="E425" s="24">
        <v>39211</v>
      </c>
      <c r="F425">
        <v>10</v>
      </c>
      <c r="G425">
        <v>1</v>
      </c>
      <c r="H425" t="s">
        <v>3222</v>
      </c>
      <c r="I425">
        <v>10</v>
      </c>
    </row>
    <row r="426" spans="2:9" x14ac:dyDescent="0.3">
      <c r="B426" t="s">
        <v>436</v>
      </c>
      <c r="C426" t="s">
        <v>1690</v>
      </c>
      <c r="D426" t="s">
        <v>3173</v>
      </c>
      <c r="E426" s="24">
        <v>39211</v>
      </c>
      <c r="F426">
        <v>10</v>
      </c>
      <c r="G426">
        <v>1</v>
      </c>
      <c r="H426" t="s">
        <v>3222</v>
      </c>
      <c r="I426">
        <v>10</v>
      </c>
    </row>
    <row r="427" spans="2:9" x14ac:dyDescent="0.3">
      <c r="B427" t="s">
        <v>437</v>
      </c>
      <c r="C427" t="s">
        <v>1691</v>
      </c>
      <c r="D427" t="s">
        <v>2658</v>
      </c>
      <c r="E427" s="24">
        <v>37746</v>
      </c>
      <c r="F427">
        <v>10</v>
      </c>
      <c r="G427">
        <v>1</v>
      </c>
      <c r="H427" t="s">
        <v>3223</v>
      </c>
      <c r="I427">
        <v>10</v>
      </c>
    </row>
    <row r="428" spans="2:9" x14ac:dyDescent="0.3">
      <c r="B428" t="s">
        <v>3224</v>
      </c>
      <c r="C428" t="s">
        <v>1692</v>
      </c>
      <c r="D428" t="s">
        <v>2658</v>
      </c>
      <c r="E428" s="24">
        <v>42611</v>
      </c>
      <c r="F428">
        <v>2</v>
      </c>
      <c r="G428">
        <v>1</v>
      </c>
      <c r="H428" t="s">
        <v>3225</v>
      </c>
      <c r="I428">
        <v>2</v>
      </c>
    </row>
    <row r="429" spans="2:9" x14ac:dyDescent="0.3">
      <c r="B429" t="s">
        <v>438</v>
      </c>
      <c r="C429" t="s">
        <v>1693</v>
      </c>
      <c r="D429" t="s">
        <v>2658</v>
      </c>
      <c r="E429" s="24">
        <v>39135</v>
      </c>
      <c r="F429">
        <v>10</v>
      </c>
      <c r="G429">
        <v>1</v>
      </c>
      <c r="H429" t="s">
        <v>3226</v>
      </c>
      <c r="I429">
        <v>10</v>
      </c>
    </row>
    <row r="430" spans="2:9" x14ac:dyDescent="0.3">
      <c r="B430" t="s">
        <v>439</v>
      </c>
      <c r="C430" t="s">
        <v>1694</v>
      </c>
      <c r="D430" t="s">
        <v>2658</v>
      </c>
      <c r="E430" s="24">
        <v>38462</v>
      </c>
      <c r="F430">
        <v>1</v>
      </c>
      <c r="G430">
        <v>1</v>
      </c>
      <c r="H430" t="s">
        <v>3227</v>
      </c>
      <c r="I430">
        <v>1</v>
      </c>
    </row>
    <row r="431" spans="2:9" x14ac:dyDescent="0.3">
      <c r="B431" t="s">
        <v>440</v>
      </c>
      <c r="C431" t="s">
        <v>1695</v>
      </c>
      <c r="D431" t="s">
        <v>2658</v>
      </c>
      <c r="E431" s="24">
        <v>36810</v>
      </c>
      <c r="F431">
        <v>2</v>
      </c>
      <c r="G431">
        <v>1</v>
      </c>
      <c r="H431" t="s">
        <v>3228</v>
      </c>
      <c r="I431">
        <v>2</v>
      </c>
    </row>
    <row r="432" spans="2:9" x14ac:dyDescent="0.3">
      <c r="B432" t="s">
        <v>441</v>
      </c>
      <c r="C432" t="s">
        <v>1696</v>
      </c>
      <c r="D432" t="s">
        <v>2658</v>
      </c>
      <c r="E432" s="24">
        <v>35522</v>
      </c>
      <c r="F432">
        <v>10</v>
      </c>
      <c r="G432">
        <v>1</v>
      </c>
      <c r="H432" t="s">
        <v>3229</v>
      </c>
      <c r="I432">
        <v>10</v>
      </c>
    </row>
    <row r="433" spans="2:9" x14ac:dyDescent="0.3">
      <c r="B433" t="s">
        <v>442</v>
      </c>
      <c r="C433" t="s">
        <v>1697</v>
      </c>
      <c r="D433" t="s">
        <v>2658</v>
      </c>
      <c r="E433" s="24">
        <v>40478</v>
      </c>
      <c r="F433">
        <v>1</v>
      </c>
      <c r="G433">
        <v>1</v>
      </c>
      <c r="H433" t="s">
        <v>3230</v>
      </c>
      <c r="I433">
        <v>1</v>
      </c>
    </row>
    <row r="434" spans="2:9" x14ac:dyDescent="0.3">
      <c r="B434" t="s">
        <v>443</v>
      </c>
      <c r="C434" t="s">
        <v>1698</v>
      </c>
      <c r="D434" t="s">
        <v>2658</v>
      </c>
      <c r="E434" s="24">
        <v>38811</v>
      </c>
      <c r="F434">
        <v>10</v>
      </c>
      <c r="G434">
        <v>1</v>
      </c>
      <c r="H434" t="s">
        <v>3231</v>
      </c>
      <c r="I434">
        <v>10</v>
      </c>
    </row>
    <row r="435" spans="2:9" x14ac:dyDescent="0.3">
      <c r="B435" t="s">
        <v>444</v>
      </c>
      <c r="C435" t="s">
        <v>1699</v>
      </c>
      <c r="D435" t="s">
        <v>2658</v>
      </c>
      <c r="E435" s="24">
        <v>40462</v>
      </c>
      <c r="F435">
        <v>10</v>
      </c>
      <c r="G435">
        <v>1</v>
      </c>
      <c r="H435" t="s">
        <v>3232</v>
      </c>
      <c r="I435">
        <v>10</v>
      </c>
    </row>
    <row r="436" spans="2:9" x14ac:dyDescent="0.3">
      <c r="B436" t="s">
        <v>445</v>
      </c>
      <c r="C436" t="s">
        <v>1700</v>
      </c>
      <c r="D436" t="s">
        <v>2658</v>
      </c>
      <c r="E436" s="24">
        <v>39541</v>
      </c>
      <c r="F436">
        <v>2</v>
      </c>
      <c r="G436">
        <v>1</v>
      </c>
      <c r="H436" t="s">
        <v>3233</v>
      </c>
      <c r="I436">
        <v>2</v>
      </c>
    </row>
    <row r="437" spans="2:9" x14ac:dyDescent="0.3">
      <c r="B437" t="s">
        <v>446</v>
      </c>
      <c r="C437" t="s">
        <v>1701</v>
      </c>
      <c r="D437" t="s">
        <v>2658</v>
      </c>
      <c r="E437" s="24">
        <v>35354</v>
      </c>
      <c r="F437">
        <v>2</v>
      </c>
      <c r="G437">
        <v>1</v>
      </c>
      <c r="H437" t="s">
        <v>3234</v>
      </c>
      <c r="I437">
        <v>2</v>
      </c>
    </row>
    <row r="438" spans="2:9" x14ac:dyDescent="0.3">
      <c r="B438" t="s">
        <v>447</v>
      </c>
      <c r="C438" t="s">
        <v>1702</v>
      </c>
      <c r="D438" t="s">
        <v>2658</v>
      </c>
      <c r="E438" s="24">
        <v>39113</v>
      </c>
      <c r="F438">
        <v>5</v>
      </c>
      <c r="G438">
        <v>1</v>
      </c>
      <c r="H438" t="s">
        <v>3235</v>
      </c>
      <c r="I438">
        <v>5</v>
      </c>
    </row>
    <row r="439" spans="2:9" x14ac:dyDescent="0.3">
      <c r="B439" t="s">
        <v>3236</v>
      </c>
      <c r="C439" t="s">
        <v>3237</v>
      </c>
      <c r="D439" t="s">
        <v>2658</v>
      </c>
      <c r="E439" s="24">
        <v>42072</v>
      </c>
      <c r="F439">
        <v>10</v>
      </c>
      <c r="G439">
        <v>1</v>
      </c>
      <c r="H439" t="s">
        <v>3238</v>
      </c>
      <c r="I439">
        <v>10</v>
      </c>
    </row>
    <row r="440" spans="2:9" x14ac:dyDescent="0.3">
      <c r="B440" t="s">
        <v>448</v>
      </c>
      <c r="C440" t="s">
        <v>1703</v>
      </c>
      <c r="D440" t="s">
        <v>2658</v>
      </c>
      <c r="E440" s="24">
        <v>39143</v>
      </c>
      <c r="F440">
        <v>10</v>
      </c>
      <c r="G440">
        <v>1</v>
      </c>
      <c r="H440" t="s">
        <v>3239</v>
      </c>
      <c r="I440">
        <v>10</v>
      </c>
    </row>
    <row r="441" spans="2:9" x14ac:dyDescent="0.3">
      <c r="B441" t="s">
        <v>449</v>
      </c>
      <c r="C441" t="s">
        <v>1704</v>
      </c>
      <c r="D441" t="s">
        <v>2681</v>
      </c>
      <c r="E441" s="24">
        <v>38814</v>
      </c>
      <c r="F441">
        <v>5</v>
      </c>
      <c r="G441">
        <v>1</v>
      </c>
      <c r="H441" t="s">
        <v>3240</v>
      </c>
      <c r="I441">
        <v>5</v>
      </c>
    </row>
    <row r="442" spans="2:9" x14ac:dyDescent="0.3">
      <c r="B442" t="s">
        <v>449</v>
      </c>
      <c r="C442" t="s">
        <v>1704</v>
      </c>
      <c r="D442" t="s">
        <v>2658</v>
      </c>
      <c r="E442" s="24">
        <v>38814</v>
      </c>
      <c r="F442">
        <v>5</v>
      </c>
      <c r="G442">
        <v>1</v>
      </c>
      <c r="H442" t="s">
        <v>3240</v>
      </c>
      <c r="I442">
        <v>5</v>
      </c>
    </row>
    <row r="443" spans="2:9" x14ac:dyDescent="0.3">
      <c r="B443" t="s">
        <v>450</v>
      </c>
      <c r="C443" t="s">
        <v>1705</v>
      </c>
      <c r="D443" t="s">
        <v>2658</v>
      </c>
      <c r="E443" s="24">
        <v>37712</v>
      </c>
      <c r="F443">
        <v>10</v>
      </c>
      <c r="G443">
        <v>1</v>
      </c>
      <c r="H443" t="s">
        <v>3241</v>
      </c>
      <c r="I443">
        <v>10</v>
      </c>
    </row>
    <row r="444" spans="2:9" x14ac:dyDescent="0.3">
      <c r="B444" t="s">
        <v>451</v>
      </c>
      <c r="C444" t="s">
        <v>1706</v>
      </c>
      <c r="D444" t="s">
        <v>2658</v>
      </c>
      <c r="E444" s="24">
        <v>39175</v>
      </c>
      <c r="F444">
        <v>10</v>
      </c>
      <c r="G444">
        <v>1</v>
      </c>
      <c r="H444" t="s">
        <v>3242</v>
      </c>
      <c r="I444">
        <v>10</v>
      </c>
    </row>
    <row r="445" spans="2:9" x14ac:dyDescent="0.3">
      <c r="B445" t="s">
        <v>452</v>
      </c>
      <c r="C445" t="s">
        <v>1707</v>
      </c>
      <c r="D445" t="s">
        <v>2658</v>
      </c>
      <c r="E445" s="24">
        <v>39000</v>
      </c>
      <c r="F445">
        <v>2</v>
      </c>
      <c r="G445">
        <v>1</v>
      </c>
      <c r="H445" t="s">
        <v>3243</v>
      </c>
      <c r="I445">
        <v>2</v>
      </c>
    </row>
    <row r="446" spans="2:9" x14ac:dyDescent="0.3">
      <c r="B446" t="s">
        <v>453</v>
      </c>
      <c r="C446" t="s">
        <v>1708</v>
      </c>
      <c r="D446" t="s">
        <v>2658</v>
      </c>
      <c r="E446" s="24">
        <v>40777</v>
      </c>
      <c r="F446">
        <v>2</v>
      </c>
      <c r="G446">
        <v>1</v>
      </c>
      <c r="H446" t="s">
        <v>3244</v>
      </c>
      <c r="I446">
        <v>2</v>
      </c>
    </row>
    <row r="447" spans="2:9" x14ac:dyDescent="0.3">
      <c r="B447" t="s">
        <v>454</v>
      </c>
      <c r="C447" t="s">
        <v>1709</v>
      </c>
      <c r="D447" t="s">
        <v>2658</v>
      </c>
      <c r="E447" s="24">
        <v>38442</v>
      </c>
      <c r="F447">
        <v>10</v>
      </c>
      <c r="G447">
        <v>1</v>
      </c>
      <c r="H447" t="s">
        <v>3245</v>
      </c>
      <c r="I447">
        <v>10</v>
      </c>
    </row>
    <row r="448" spans="2:9" x14ac:dyDescent="0.3">
      <c r="B448" t="s">
        <v>455</v>
      </c>
      <c r="C448" t="s">
        <v>1710</v>
      </c>
      <c r="D448" t="s">
        <v>2658</v>
      </c>
      <c r="E448" s="24">
        <v>38994</v>
      </c>
      <c r="F448">
        <v>10</v>
      </c>
      <c r="G448">
        <v>1</v>
      </c>
      <c r="H448" t="s">
        <v>3246</v>
      </c>
      <c r="I448">
        <v>10</v>
      </c>
    </row>
    <row r="449" spans="2:9" x14ac:dyDescent="0.3">
      <c r="B449" t="s">
        <v>456</v>
      </c>
      <c r="C449" t="s">
        <v>1711</v>
      </c>
      <c r="D449" t="s">
        <v>2686</v>
      </c>
      <c r="E449" s="24">
        <v>39100</v>
      </c>
      <c r="F449">
        <v>1</v>
      </c>
      <c r="G449">
        <v>1</v>
      </c>
      <c r="H449" t="s">
        <v>3247</v>
      </c>
      <c r="I449">
        <v>1</v>
      </c>
    </row>
    <row r="450" spans="2:9" x14ac:dyDescent="0.3">
      <c r="B450" t="s">
        <v>457</v>
      </c>
      <c r="C450" t="s">
        <v>1712</v>
      </c>
      <c r="D450" t="s">
        <v>2658</v>
      </c>
      <c r="E450" s="24">
        <v>37644</v>
      </c>
      <c r="F450">
        <v>5</v>
      </c>
      <c r="G450">
        <v>1</v>
      </c>
      <c r="H450" t="s">
        <v>3248</v>
      </c>
      <c r="I450">
        <v>5</v>
      </c>
    </row>
    <row r="451" spans="2:9" x14ac:dyDescent="0.3">
      <c r="B451" t="s">
        <v>3249</v>
      </c>
      <c r="C451" t="s">
        <v>3250</v>
      </c>
      <c r="D451" t="s">
        <v>2658</v>
      </c>
      <c r="E451" s="24">
        <v>42051</v>
      </c>
      <c r="F451">
        <v>1</v>
      </c>
      <c r="G451">
        <v>1</v>
      </c>
      <c r="H451" t="s">
        <v>3251</v>
      </c>
      <c r="I451">
        <v>1</v>
      </c>
    </row>
    <row r="452" spans="2:9" x14ac:dyDescent="0.3">
      <c r="B452" t="s">
        <v>458</v>
      </c>
      <c r="C452" t="s">
        <v>1713</v>
      </c>
      <c r="D452" t="s">
        <v>2658</v>
      </c>
      <c r="E452" s="24">
        <v>38541</v>
      </c>
      <c r="F452">
        <v>1</v>
      </c>
      <c r="G452">
        <v>1</v>
      </c>
      <c r="H452" t="s">
        <v>3252</v>
      </c>
      <c r="I452">
        <v>1</v>
      </c>
    </row>
    <row r="453" spans="2:9" x14ac:dyDescent="0.3">
      <c r="B453" t="s">
        <v>3253</v>
      </c>
      <c r="C453" t="s">
        <v>3254</v>
      </c>
      <c r="D453" t="s">
        <v>2658</v>
      </c>
      <c r="E453" s="24">
        <v>38534</v>
      </c>
      <c r="F453">
        <v>1</v>
      </c>
      <c r="G453">
        <v>1</v>
      </c>
      <c r="H453" t="s">
        <v>3255</v>
      </c>
      <c r="I453">
        <v>1</v>
      </c>
    </row>
    <row r="454" spans="2:9" x14ac:dyDescent="0.3">
      <c r="B454" t="s">
        <v>3256</v>
      </c>
      <c r="C454" t="s">
        <v>3257</v>
      </c>
      <c r="D454" t="s">
        <v>2658</v>
      </c>
      <c r="E454" s="24">
        <v>36635</v>
      </c>
      <c r="F454">
        <v>10</v>
      </c>
      <c r="G454">
        <v>1</v>
      </c>
      <c r="H454" t="s">
        <v>3258</v>
      </c>
      <c r="I454">
        <v>10</v>
      </c>
    </row>
    <row r="455" spans="2:9" x14ac:dyDescent="0.3">
      <c r="B455" t="s">
        <v>57</v>
      </c>
      <c r="C455" t="s">
        <v>1714</v>
      </c>
      <c r="D455" t="s">
        <v>2658</v>
      </c>
      <c r="E455" s="24">
        <v>39048</v>
      </c>
      <c r="F455">
        <v>10</v>
      </c>
      <c r="G455">
        <v>1</v>
      </c>
      <c r="H455" t="s">
        <v>3259</v>
      </c>
      <c r="I455">
        <v>10</v>
      </c>
    </row>
    <row r="456" spans="2:9" x14ac:dyDescent="0.3">
      <c r="B456" t="s">
        <v>3260</v>
      </c>
      <c r="C456" t="s">
        <v>3261</v>
      </c>
      <c r="D456" t="s">
        <v>2658</v>
      </c>
      <c r="E456" s="24">
        <v>39629</v>
      </c>
      <c r="F456">
        <v>2</v>
      </c>
      <c r="G456">
        <v>1</v>
      </c>
      <c r="H456" t="s">
        <v>3262</v>
      </c>
      <c r="I456">
        <v>2</v>
      </c>
    </row>
    <row r="457" spans="2:9" x14ac:dyDescent="0.3">
      <c r="B457" t="s">
        <v>459</v>
      </c>
      <c r="C457" t="s">
        <v>1715</v>
      </c>
      <c r="D457" t="s">
        <v>2658</v>
      </c>
      <c r="E457" s="24">
        <v>37833</v>
      </c>
      <c r="F457">
        <v>10</v>
      </c>
      <c r="G457">
        <v>1</v>
      </c>
      <c r="H457" t="s">
        <v>3263</v>
      </c>
      <c r="I457">
        <v>10</v>
      </c>
    </row>
    <row r="458" spans="2:9" x14ac:dyDescent="0.3">
      <c r="B458" t="s">
        <v>460</v>
      </c>
      <c r="C458" t="s">
        <v>1716</v>
      </c>
      <c r="D458" t="s">
        <v>2658</v>
      </c>
      <c r="E458" s="24">
        <v>35193</v>
      </c>
      <c r="F458">
        <v>10</v>
      </c>
      <c r="G458">
        <v>1</v>
      </c>
      <c r="H458" t="s">
        <v>3264</v>
      </c>
      <c r="I458">
        <v>10</v>
      </c>
    </row>
    <row r="459" spans="2:9" x14ac:dyDescent="0.3">
      <c r="B459" t="s">
        <v>461</v>
      </c>
      <c r="C459" t="s">
        <v>1717</v>
      </c>
      <c r="D459" t="s">
        <v>2658</v>
      </c>
      <c r="E459" s="24">
        <v>40161</v>
      </c>
      <c r="F459">
        <v>10</v>
      </c>
      <c r="G459">
        <v>1</v>
      </c>
      <c r="H459" t="s">
        <v>3265</v>
      </c>
      <c r="I459">
        <v>10</v>
      </c>
    </row>
    <row r="460" spans="2:9" x14ac:dyDescent="0.3">
      <c r="B460" t="s">
        <v>462</v>
      </c>
      <c r="C460" t="s">
        <v>1718</v>
      </c>
      <c r="D460" t="s">
        <v>2658</v>
      </c>
      <c r="E460" s="24">
        <v>37832</v>
      </c>
      <c r="F460">
        <v>10</v>
      </c>
      <c r="G460">
        <v>1</v>
      </c>
      <c r="H460" t="s">
        <v>3266</v>
      </c>
      <c r="I460">
        <v>10</v>
      </c>
    </row>
    <row r="461" spans="2:9" x14ac:dyDescent="0.3">
      <c r="B461" t="s">
        <v>463</v>
      </c>
      <c r="C461" t="s">
        <v>1719</v>
      </c>
      <c r="D461" t="s">
        <v>2658</v>
      </c>
      <c r="E461" s="24">
        <v>34829</v>
      </c>
      <c r="F461">
        <v>10</v>
      </c>
      <c r="G461">
        <v>1</v>
      </c>
      <c r="H461" t="s">
        <v>3267</v>
      </c>
      <c r="I461">
        <v>10</v>
      </c>
    </row>
    <row r="462" spans="2:9" x14ac:dyDescent="0.3">
      <c r="B462" t="s">
        <v>464</v>
      </c>
      <c r="C462" t="s">
        <v>1720</v>
      </c>
      <c r="D462" t="s">
        <v>2658</v>
      </c>
      <c r="E462" s="24">
        <v>34738</v>
      </c>
      <c r="F462">
        <v>10</v>
      </c>
      <c r="G462">
        <v>1</v>
      </c>
      <c r="H462" t="s">
        <v>3268</v>
      </c>
      <c r="I462">
        <v>10</v>
      </c>
    </row>
    <row r="463" spans="2:9" x14ac:dyDescent="0.3">
      <c r="B463" t="s">
        <v>1305</v>
      </c>
      <c r="C463" t="s">
        <v>1721</v>
      </c>
      <c r="D463" t="s">
        <v>2686</v>
      </c>
      <c r="E463" s="24">
        <v>39843</v>
      </c>
      <c r="F463">
        <v>10</v>
      </c>
      <c r="G463">
        <v>1</v>
      </c>
      <c r="H463" t="s">
        <v>3269</v>
      </c>
      <c r="I463">
        <v>10</v>
      </c>
    </row>
    <row r="464" spans="2:9" x14ac:dyDescent="0.3">
      <c r="B464" t="s">
        <v>465</v>
      </c>
      <c r="C464" t="s">
        <v>1722</v>
      </c>
      <c r="D464" t="s">
        <v>2658</v>
      </c>
      <c r="E464" s="24">
        <v>38786</v>
      </c>
      <c r="F464">
        <v>10</v>
      </c>
      <c r="G464">
        <v>1</v>
      </c>
      <c r="H464" t="s">
        <v>3270</v>
      </c>
      <c r="I464">
        <v>10</v>
      </c>
    </row>
    <row r="465" spans="2:9" x14ac:dyDescent="0.3">
      <c r="B465" t="s">
        <v>466</v>
      </c>
      <c r="C465" t="s">
        <v>1723</v>
      </c>
      <c r="D465" t="s">
        <v>2658</v>
      </c>
      <c r="E465" s="24">
        <v>40014</v>
      </c>
      <c r="F465">
        <v>10</v>
      </c>
      <c r="G465">
        <v>1</v>
      </c>
      <c r="H465" t="s">
        <v>3271</v>
      </c>
      <c r="I465">
        <v>10</v>
      </c>
    </row>
    <row r="466" spans="2:9" x14ac:dyDescent="0.3">
      <c r="B466" t="s">
        <v>467</v>
      </c>
      <c r="C466" t="s">
        <v>1724</v>
      </c>
      <c r="D466" t="s">
        <v>2658</v>
      </c>
      <c r="E466" s="24">
        <v>36875</v>
      </c>
      <c r="F466">
        <v>10</v>
      </c>
      <c r="G466">
        <v>1</v>
      </c>
      <c r="H466" t="s">
        <v>3272</v>
      </c>
      <c r="I466">
        <v>10</v>
      </c>
    </row>
    <row r="467" spans="2:9" x14ac:dyDescent="0.3">
      <c r="B467" t="s">
        <v>55</v>
      </c>
      <c r="C467" t="s">
        <v>1725</v>
      </c>
      <c r="D467" t="s">
        <v>2658</v>
      </c>
      <c r="E467" s="24">
        <v>36563</v>
      </c>
      <c r="F467">
        <v>1</v>
      </c>
      <c r="G467">
        <v>1</v>
      </c>
      <c r="H467" t="s">
        <v>3273</v>
      </c>
      <c r="I467">
        <v>1</v>
      </c>
    </row>
    <row r="468" spans="2:9" x14ac:dyDescent="0.3">
      <c r="B468" t="s">
        <v>1306</v>
      </c>
      <c r="C468" t="s">
        <v>1726</v>
      </c>
      <c r="D468" t="s">
        <v>2686</v>
      </c>
      <c r="E468" s="24">
        <v>36719</v>
      </c>
      <c r="F468">
        <v>10</v>
      </c>
      <c r="G468">
        <v>1</v>
      </c>
      <c r="H468" t="s">
        <v>3274</v>
      </c>
      <c r="I468">
        <v>10</v>
      </c>
    </row>
    <row r="469" spans="2:9" x14ac:dyDescent="0.3">
      <c r="B469" t="s">
        <v>468</v>
      </c>
      <c r="C469" t="s">
        <v>1727</v>
      </c>
      <c r="D469" t="s">
        <v>2658</v>
      </c>
      <c r="E469" s="24">
        <v>39017</v>
      </c>
      <c r="F469">
        <v>10</v>
      </c>
      <c r="G469">
        <v>1</v>
      </c>
      <c r="H469" t="s">
        <v>3275</v>
      </c>
      <c r="I469">
        <v>10</v>
      </c>
    </row>
    <row r="470" spans="2:9" x14ac:dyDescent="0.3">
      <c r="B470" t="s">
        <v>469</v>
      </c>
      <c r="C470" t="s">
        <v>1728</v>
      </c>
      <c r="D470" t="s">
        <v>2658</v>
      </c>
      <c r="E470" s="24">
        <v>39205</v>
      </c>
      <c r="F470">
        <v>10</v>
      </c>
      <c r="G470">
        <v>1</v>
      </c>
      <c r="H470" t="s">
        <v>3276</v>
      </c>
      <c r="I470">
        <v>10</v>
      </c>
    </row>
    <row r="471" spans="2:9" x14ac:dyDescent="0.3">
      <c r="B471" t="s">
        <v>470</v>
      </c>
      <c r="C471" t="s">
        <v>1729</v>
      </c>
      <c r="D471" t="s">
        <v>2658</v>
      </c>
      <c r="E471" s="24">
        <v>40079</v>
      </c>
      <c r="F471">
        <v>10</v>
      </c>
      <c r="G471">
        <v>1</v>
      </c>
      <c r="H471" t="s">
        <v>3277</v>
      </c>
      <c r="I471">
        <v>10</v>
      </c>
    </row>
    <row r="472" spans="2:9" x14ac:dyDescent="0.3">
      <c r="B472" t="s">
        <v>471</v>
      </c>
      <c r="C472" t="s">
        <v>1730</v>
      </c>
      <c r="D472" t="s">
        <v>2658</v>
      </c>
      <c r="E472" s="24">
        <v>34934</v>
      </c>
      <c r="F472">
        <v>10</v>
      </c>
      <c r="G472">
        <v>1</v>
      </c>
      <c r="H472" t="s">
        <v>3278</v>
      </c>
      <c r="I472">
        <v>10</v>
      </c>
    </row>
    <row r="473" spans="2:9" x14ac:dyDescent="0.3">
      <c r="B473" t="s">
        <v>472</v>
      </c>
      <c r="C473" t="s">
        <v>1731</v>
      </c>
      <c r="D473" t="s">
        <v>2658</v>
      </c>
      <c r="E473" s="24">
        <v>35781</v>
      </c>
      <c r="F473">
        <v>2</v>
      </c>
      <c r="G473">
        <v>1</v>
      </c>
      <c r="H473" t="s">
        <v>3279</v>
      </c>
      <c r="I473">
        <v>2</v>
      </c>
    </row>
    <row r="474" spans="2:9" x14ac:dyDescent="0.3">
      <c r="B474" t="s">
        <v>53</v>
      </c>
      <c r="C474" t="s">
        <v>1732</v>
      </c>
      <c r="D474" t="s">
        <v>2658</v>
      </c>
      <c r="E474" s="24">
        <v>38950</v>
      </c>
      <c r="F474">
        <v>1</v>
      </c>
      <c r="G474">
        <v>1</v>
      </c>
      <c r="H474" t="s">
        <v>3280</v>
      </c>
      <c r="I474">
        <v>1</v>
      </c>
    </row>
    <row r="475" spans="2:9" x14ac:dyDescent="0.3">
      <c r="B475" t="s">
        <v>3281</v>
      </c>
      <c r="C475" t="s">
        <v>3282</v>
      </c>
      <c r="D475" t="s">
        <v>2658</v>
      </c>
      <c r="E475" s="24">
        <v>42639</v>
      </c>
      <c r="F475">
        <v>10</v>
      </c>
      <c r="G475">
        <v>1</v>
      </c>
      <c r="H475" t="s">
        <v>3283</v>
      </c>
      <c r="I475">
        <v>10</v>
      </c>
    </row>
    <row r="476" spans="2:9" x14ac:dyDescent="0.3">
      <c r="B476" t="s">
        <v>473</v>
      </c>
      <c r="C476" t="s">
        <v>1733</v>
      </c>
      <c r="D476" t="s">
        <v>2658</v>
      </c>
      <c r="E476" s="24">
        <v>34836</v>
      </c>
      <c r="F476">
        <v>10</v>
      </c>
      <c r="G476">
        <v>1</v>
      </c>
      <c r="H476" t="s">
        <v>3284</v>
      </c>
      <c r="I476">
        <v>10</v>
      </c>
    </row>
    <row r="477" spans="2:9" x14ac:dyDescent="0.3">
      <c r="B477" t="s">
        <v>474</v>
      </c>
      <c r="C477" t="s">
        <v>1734</v>
      </c>
      <c r="D477" t="s">
        <v>2658</v>
      </c>
      <c r="E477" s="24">
        <v>39238</v>
      </c>
      <c r="F477">
        <v>10</v>
      </c>
      <c r="G477">
        <v>1</v>
      </c>
      <c r="H477" t="s">
        <v>3285</v>
      </c>
      <c r="I477">
        <v>10</v>
      </c>
    </row>
    <row r="478" spans="2:9" x14ac:dyDescent="0.3">
      <c r="B478" t="s">
        <v>3286</v>
      </c>
      <c r="C478" t="s">
        <v>3287</v>
      </c>
      <c r="D478" t="s">
        <v>2658</v>
      </c>
      <c r="E478" s="24">
        <v>41816</v>
      </c>
      <c r="F478">
        <v>2</v>
      </c>
      <c r="G478">
        <v>1</v>
      </c>
      <c r="H478" t="s">
        <v>3288</v>
      </c>
      <c r="I478">
        <v>2</v>
      </c>
    </row>
    <row r="479" spans="2:9" x14ac:dyDescent="0.3">
      <c r="B479" t="s">
        <v>475</v>
      </c>
      <c r="C479" t="s">
        <v>1735</v>
      </c>
      <c r="D479" t="s">
        <v>2658</v>
      </c>
      <c r="E479" s="24">
        <v>35270</v>
      </c>
      <c r="F479">
        <v>2</v>
      </c>
      <c r="G479">
        <v>1</v>
      </c>
      <c r="H479" t="s">
        <v>3289</v>
      </c>
      <c r="I479">
        <v>2</v>
      </c>
    </row>
    <row r="480" spans="2:9" x14ac:dyDescent="0.3">
      <c r="B480" t="s">
        <v>476</v>
      </c>
      <c r="C480" t="s">
        <v>1736</v>
      </c>
      <c r="D480" t="s">
        <v>2658</v>
      </c>
      <c r="E480" s="24">
        <v>37062</v>
      </c>
      <c r="F480">
        <v>1</v>
      </c>
      <c r="G480">
        <v>1</v>
      </c>
      <c r="H480" t="s">
        <v>3290</v>
      </c>
      <c r="I480">
        <v>1</v>
      </c>
    </row>
    <row r="481" spans="2:9" x14ac:dyDescent="0.3">
      <c r="B481" t="s">
        <v>56</v>
      </c>
      <c r="C481" t="s">
        <v>1737</v>
      </c>
      <c r="D481" t="s">
        <v>2658</v>
      </c>
      <c r="E481" s="24">
        <v>37677</v>
      </c>
      <c r="F481">
        <v>1</v>
      </c>
      <c r="G481">
        <v>1</v>
      </c>
      <c r="H481" t="s">
        <v>3291</v>
      </c>
      <c r="I481">
        <v>1</v>
      </c>
    </row>
    <row r="482" spans="2:9" x14ac:dyDescent="0.3">
      <c r="B482" t="s">
        <v>477</v>
      </c>
      <c r="C482" t="s">
        <v>1738</v>
      </c>
      <c r="D482" t="s">
        <v>2658</v>
      </c>
      <c r="E482" s="24">
        <v>40183</v>
      </c>
      <c r="F482">
        <v>5</v>
      </c>
      <c r="G482">
        <v>1</v>
      </c>
      <c r="H482" t="s">
        <v>3292</v>
      </c>
      <c r="I482">
        <v>5</v>
      </c>
    </row>
    <row r="483" spans="2:9" x14ac:dyDescent="0.3">
      <c r="B483" t="s">
        <v>478</v>
      </c>
      <c r="C483" t="s">
        <v>1739</v>
      </c>
      <c r="D483" t="s">
        <v>2681</v>
      </c>
      <c r="E483" s="24">
        <v>40284</v>
      </c>
      <c r="F483">
        <v>1</v>
      </c>
      <c r="G483">
        <v>1</v>
      </c>
      <c r="H483" t="s">
        <v>3293</v>
      </c>
      <c r="I483">
        <v>1</v>
      </c>
    </row>
    <row r="484" spans="2:9" x14ac:dyDescent="0.3">
      <c r="B484" t="s">
        <v>479</v>
      </c>
      <c r="C484" t="s">
        <v>1740</v>
      </c>
      <c r="D484" t="s">
        <v>2686</v>
      </c>
      <c r="E484" s="24">
        <v>38469</v>
      </c>
      <c r="F484">
        <v>5</v>
      </c>
      <c r="G484">
        <v>1</v>
      </c>
      <c r="H484" t="s">
        <v>3294</v>
      </c>
      <c r="I484">
        <v>5</v>
      </c>
    </row>
    <row r="485" spans="2:9" x14ac:dyDescent="0.3">
      <c r="B485" t="s">
        <v>480</v>
      </c>
      <c r="C485" t="s">
        <v>1741</v>
      </c>
      <c r="D485" t="s">
        <v>2658</v>
      </c>
      <c r="E485" s="24">
        <v>39603</v>
      </c>
      <c r="F485">
        <v>2</v>
      </c>
      <c r="G485">
        <v>1</v>
      </c>
      <c r="H485" t="s">
        <v>3295</v>
      </c>
      <c r="I485">
        <v>2</v>
      </c>
    </row>
    <row r="486" spans="2:9" x14ac:dyDescent="0.3">
      <c r="B486" t="s">
        <v>3296</v>
      </c>
      <c r="C486" t="s">
        <v>3297</v>
      </c>
      <c r="D486" t="s">
        <v>2658</v>
      </c>
      <c r="E486" s="24">
        <v>42440</v>
      </c>
      <c r="F486">
        <v>2</v>
      </c>
      <c r="G486">
        <v>1</v>
      </c>
      <c r="H486" t="s">
        <v>3298</v>
      </c>
      <c r="I486">
        <v>2</v>
      </c>
    </row>
    <row r="487" spans="2:9" x14ac:dyDescent="0.3">
      <c r="B487" t="s">
        <v>481</v>
      </c>
      <c r="C487" t="s">
        <v>1742</v>
      </c>
      <c r="D487" t="s">
        <v>2686</v>
      </c>
      <c r="E487" s="24">
        <v>36789</v>
      </c>
      <c r="F487">
        <v>10</v>
      </c>
      <c r="G487">
        <v>1</v>
      </c>
      <c r="H487" t="s">
        <v>3299</v>
      </c>
      <c r="I487">
        <v>10</v>
      </c>
    </row>
    <row r="488" spans="2:9" x14ac:dyDescent="0.3">
      <c r="B488" t="s">
        <v>482</v>
      </c>
      <c r="C488" t="s">
        <v>1743</v>
      </c>
      <c r="D488" t="s">
        <v>2658</v>
      </c>
      <c r="E488" s="24">
        <v>38593</v>
      </c>
      <c r="F488">
        <v>10</v>
      </c>
      <c r="G488">
        <v>1</v>
      </c>
      <c r="H488" t="s">
        <v>3300</v>
      </c>
      <c r="I488">
        <v>10</v>
      </c>
    </row>
    <row r="489" spans="2:9" x14ac:dyDescent="0.3">
      <c r="B489" t="s">
        <v>483</v>
      </c>
      <c r="C489" t="s">
        <v>1744</v>
      </c>
      <c r="D489" t="s">
        <v>2686</v>
      </c>
      <c r="E489" s="24">
        <v>37335</v>
      </c>
      <c r="F489">
        <v>4</v>
      </c>
      <c r="G489">
        <v>1</v>
      </c>
      <c r="H489" t="s">
        <v>3301</v>
      </c>
      <c r="I489">
        <v>4</v>
      </c>
    </row>
    <row r="490" spans="2:9" x14ac:dyDescent="0.3">
      <c r="B490" t="s">
        <v>484</v>
      </c>
      <c r="C490" t="s">
        <v>1745</v>
      </c>
      <c r="D490" t="s">
        <v>2686</v>
      </c>
      <c r="E490" s="24">
        <v>36992</v>
      </c>
      <c r="F490">
        <v>10</v>
      </c>
      <c r="G490">
        <v>1</v>
      </c>
      <c r="H490" t="s">
        <v>3302</v>
      </c>
      <c r="I490">
        <v>10</v>
      </c>
    </row>
    <row r="491" spans="2:9" x14ac:dyDescent="0.3">
      <c r="B491" t="s">
        <v>3303</v>
      </c>
      <c r="C491" t="s">
        <v>3304</v>
      </c>
      <c r="D491" t="s">
        <v>2658</v>
      </c>
      <c r="E491" s="24">
        <v>42012</v>
      </c>
      <c r="F491">
        <v>2</v>
      </c>
      <c r="G491">
        <v>1</v>
      </c>
      <c r="H491" t="s">
        <v>3305</v>
      </c>
      <c r="I491">
        <v>2</v>
      </c>
    </row>
    <row r="492" spans="2:9" x14ac:dyDescent="0.3">
      <c r="B492" t="s">
        <v>485</v>
      </c>
      <c r="C492" t="s">
        <v>1746</v>
      </c>
      <c r="D492" t="s">
        <v>2658</v>
      </c>
      <c r="E492" s="24">
        <v>38832</v>
      </c>
      <c r="F492">
        <v>10</v>
      </c>
      <c r="G492">
        <v>1</v>
      </c>
      <c r="H492" t="s">
        <v>3306</v>
      </c>
      <c r="I492">
        <v>10</v>
      </c>
    </row>
    <row r="493" spans="2:9" x14ac:dyDescent="0.3">
      <c r="B493" t="s">
        <v>486</v>
      </c>
      <c r="C493" t="s">
        <v>1747</v>
      </c>
      <c r="D493" t="s">
        <v>2658</v>
      </c>
      <c r="E493" s="24">
        <v>40430</v>
      </c>
      <c r="F493">
        <v>10</v>
      </c>
      <c r="G493">
        <v>1</v>
      </c>
      <c r="H493" t="s">
        <v>3307</v>
      </c>
      <c r="I493">
        <v>10</v>
      </c>
    </row>
    <row r="494" spans="2:9" x14ac:dyDescent="0.3">
      <c r="B494" t="s">
        <v>3308</v>
      </c>
      <c r="C494" t="s">
        <v>3309</v>
      </c>
      <c r="D494" t="s">
        <v>2658</v>
      </c>
      <c r="E494" s="24">
        <v>42562</v>
      </c>
      <c r="F494">
        <v>10</v>
      </c>
      <c r="G494">
        <v>1</v>
      </c>
      <c r="H494" t="s">
        <v>3310</v>
      </c>
      <c r="I494">
        <v>10</v>
      </c>
    </row>
    <row r="495" spans="2:9" x14ac:dyDescent="0.3">
      <c r="B495" t="s">
        <v>487</v>
      </c>
      <c r="C495" t="s">
        <v>1748</v>
      </c>
      <c r="D495" t="s">
        <v>2658</v>
      </c>
      <c r="E495" s="24">
        <v>38523</v>
      </c>
      <c r="F495">
        <v>1</v>
      </c>
      <c r="G495">
        <v>1</v>
      </c>
      <c r="H495" t="s">
        <v>3311</v>
      </c>
      <c r="I495">
        <v>1</v>
      </c>
    </row>
    <row r="496" spans="2:9" x14ac:dyDescent="0.3">
      <c r="B496" t="s">
        <v>488</v>
      </c>
      <c r="C496" t="s">
        <v>1749</v>
      </c>
      <c r="D496" t="s">
        <v>2658</v>
      </c>
      <c r="E496" s="24">
        <v>37659</v>
      </c>
      <c r="F496">
        <v>2</v>
      </c>
      <c r="G496">
        <v>1</v>
      </c>
      <c r="H496" t="s">
        <v>3312</v>
      </c>
      <c r="I496">
        <v>2</v>
      </c>
    </row>
    <row r="497" spans="2:9" x14ac:dyDescent="0.3">
      <c r="B497" t="s">
        <v>489</v>
      </c>
      <c r="C497" t="s">
        <v>1750</v>
      </c>
      <c r="D497" t="s">
        <v>2658</v>
      </c>
      <c r="E497" s="24">
        <v>34829</v>
      </c>
      <c r="F497">
        <v>2</v>
      </c>
      <c r="G497">
        <v>1</v>
      </c>
      <c r="H497" t="s">
        <v>3313</v>
      </c>
      <c r="I497">
        <v>2</v>
      </c>
    </row>
    <row r="498" spans="2:9" x14ac:dyDescent="0.3">
      <c r="B498" t="s">
        <v>490</v>
      </c>
      <c r="C498" t="s">
        <v>1751</v>
      </c>
      <c r="D498" t="s">
        <v>2658</v>
      </c>
      <c r="E498" s="24">
        <v>40498</v>
      </c>
      <c r="F498">
        <v>2</v>
      </c>
      <c r="G498">
        <v>1</v>
      </c>
      <c r="H498" t="s">
        <v>3314</v>
      </c>
      <c r="I498">
        <v>2</v>
      </c>
    </row>
    <row r="499" spans="2:9" x14ac:dyDescent="0.3">
      <c r="B499" t="s">
        <v>491</v>
      </c>
      <c r="C499" t="s">
        <v>1752</v>
      </c>
      <c r="D499" t="s">
        <v>2658</v>
      </c>
      <c r="E499" s="24">
        <v>38239</v>
      </c>
      <c r="F499">
        <v>2</v>
      </c>
      <c r="G499">
        <v>1</v>
      </c>
      <c r="H499" t="s">
        <v>3315</v>
      </c>
      <c r="I499">
        <v>2</v>
      </c>
    </row>
    <row r="500" spans="2:9" x14ac:dyDescent="0.3">
      <c r="B500" t="s">
        <v>1307</v>
      </c>
      <c r="C500" t="s">
        <v>1753</v>
      </c>
      <c r="D500" t="s">
        <v>2686</v>
      </c>
      <c r="E500" s="24">
        <v>41198</v>
      </c>
      <c r="F500">
        <v>1</v>
      </c>
      <c r="G500">
        <v>1</v>
      </c>
      <c r="H500" t="s">
        <v>3316</v>
      </c>
      <c r="I500">
        <v>1</v>
      </c>
    </row>
    <row r="501" spans="2:9" x14ac:dyDescent="0.3">
      <c r="B501" t="s">
        <v>3317</v>
      </c>
      <c r="C501" t="s">
        <v>3318</v>
      </c>
      <c r="D501" t="s">
        <v>2658</v>
      </c>
      <c r="E501" s="24">
        <v>42065</v>
      </c>
      <c r="F501">
        <v>5</v>
      </c>
      <c r="G501">
        <v>1</v>
      </c>
      <c r="H501" t="s">
        <v>3319</v>
      </c>
      <c r="I501">
        <v>5</v>
      </c>
    </row>
    <row r="502" spans="2:9" x14ac:dyDescent="0.3">
      <c r="B502" t="s">
        <v>492</v>
      </c>
      <c r="C502" t="s">
        <v>1754</v>
      </c>
      <c r="D502" t="s">
        <v>2658</v>
      </c>
      <c r="E502" s="24">
        <v>35130</v>
      </c>
      <c r="F502">
        <v>1</v>
      </c>
      <c r="G502">
        <v>1</v>
      </c>
      <c r="H502" t="s">
        <v>3320</v>
      </c>
      <c r="I502">
        <v>1</v>
      </c>
    </row>
    <row r="503" spans="2:9" x14ac:dyDescent="0.3">
      <c r="B503" t="s">
        <v>493</v>
      </c>
      <c r="C503" t="s">
        <v>1755</v>
      </c>
      <c r="D503" t="s">
        <v>2658</v>
      </c>
      <c r="E503" s="24">
        <v>40459</v>
      </c>
      <c r="F503">
        <v>10</v>
      </c>
      <c r="G503">
        <v>1</v>
      </c>
      <c r="H503" t="s">
        <v>3321</v>
      </c>
      <c r="I503">
        <v>10</v>
      </c>
    </row>
    <row r="504" spans="2:9" x14ac:dyDescent="0.3">
      <c r="B504" t="s">
        <v>494</v>
      </c>
      <c r="C504" t="s">
        <v>1756</v>
      </c>
      <c r="D504" t="s">
        <v>2658</v>
      </c>
      <c r="E504" s="24">
        <v>38971</v>
      </c>
      <c r="F504">
        <v>5</v>
      </c>
      <c r="G504">
        <v>1</v>
      </c>
      <c r="H504" t="s">
        <v>3322</v>
      </c>
      <c r="I504">
        <v>5</v>
      </c>
    </row>
    <row r="505" spans="2:9" x14ac:dyDescent="0.3">
      <c r="B505" t="s">
        <v>3323</v>
      </c>
      <c r="C505" t="s">
        <v>3324</v>
      </c>
      <c r="D505" t="s">
        <v>2658</v>
      </c>
      <c r="E505" s="24">
        <v>42565</v>
      </c>
      <c r="F505">
        <v>10</v>
      </c>
      <c r="G505">
        <v>1</v>
      </c>
      <c r="H505" t="s">
        <v>3325</v>
      </c>
      <c r="I505">
        <v>10</v>
      </c>
    </row>
    <row r="506" spans="2:9" x14ac:dyDescent="0.3">
      <c r="B506" t="s">
        <v>3326</v>
      </c>
      <c r="C506" t="s">
        <v>3327</v>
      </c>
      <c r="D506" t="s">
        <v>2658</v>
      </c>
      <c r="E506" s="24">
        <v>42047</v>
      </c>
      <c r="F506">
        <v>10</v>
      </c>
      <c r="G506">
        <v>1</v>
      </c>
      <c r="H506" t="s">
        <v>3328</v>
      </c>
      <c r="I506">
        <v>10</v>
      </c>
    </row>
    <row r="507" spans="2:9" x14ac:dyDescent="0.3">
      <c r="B507" t="s">
        <v>495</v>
      </c>
      <c r="C507" t="s">
        <v>1757</v>
      </c>
      <c r="D507" t="s">
        <v>2658</v>
      </c>
      <c r="E507" s="24">
        <v>38240</v>
      </c>
      <c r="F507">
        <v>2</v>
      </c>
      <c r="G507">
        <v>1</v>
      </c>
      <c r="H507" t="s">
        <v>3329</v>
      </c>
      <c r="I507">
        <v>2</v>
      </c>
    </row>
    <row r="508" spans="2:9" x14ac:dyDescent="0.3">
      <c r="B508" t="s">
        <v>496</v>
      </c>
      <c r="C508" t="s">
        <v>3330</v>
      </c>
      <c r="D508" t="s">
        <v>2658</v>
      </c>
      <c r="E508" s="24">
        <v>41409</v>
      </c>
      <c r="F508">
        <v>10</v>
      </c>
      <c r="G508">
        <v>1</v>
      </c>
      <c r="H508" t="s">
        <v>3331</v>
      </c>
      <c r="I508">
        <v>10</v>
      </c>
    </row>
    <row r="509" spans="2:9" x14ac:dyDescent="0.3">
      <c r="B509" t="s">
        <v>497</v>
      </c>
      <c r="C509" t="s">
        <v>1758</v>
      </c>
      <c r="D509" t="s">
        <v>2658</v>
      </c>
      <c r="E509" s="24">
        <v>34948</v>
      </c>
      <c r="F509">
        <v>2</v>
      </c>
      <c r="G509">
        <v>1</v>
      </c>
      <c r="H509" t="s">
        <v>3332</v>
      </c>
      <c r="I509">
        <v>2</v>
      </c>
    </row>
    <row r="510" spans="2:9" x14ac:dyDescent="0.3">
      <c r="B510" t="s">
        <v>497</v>
      </c>
      <c r="C510" t="s">
        <v>1758</v>
      </c>
      <c r="D510" t="s">
        <v>3173</v>
      </c>
      <c r="E510" s="24">
        <v>34948</v>
      </c>
      <c r="F510">
        <v>2</v>
      </c>
      <c r="G510">
        <v>1</v>
      </c>
      <c r="H510" t="s">
        <v>3332</v>
      </c>
      <c r="I510">
        <v>2</v>
      </c>
    </row>
    <row r="511" spans="2:9" x14ac:dyDescent="0.3">
      <c r="B511" t="s">
        <v>54</v>
      </c>
      <c r="C511" t="s">
        <v>1759</v>
      </c>
      <c r="D511" t="s">
        <v>2658</v>
      </c>
      <c r="E511" s="24">
        <v>37788</v>
      </c>
      <c r="F511">
        <v>10</v>
      </c>
      <c r="G511">
        <v>1</v>
      </c>
      <c r="H511" t="s">
        <v>3333</v>
      </c>
      <c r="I511">
        <v>10</v>
      </c>
    </row>
    <row r="512" spans="2:9" x14ac:dyDescent="0.3">
      <c r="B512" t="s">
        <v>58</v>
      </c>
      <c r="C512" t="s">
        <v>1760</v>
      </c>
      <c r="D512" t="s">
        <v>2658</v>
      </c>
      <c r="E512" s="24">
        <v>38764</v>
      </c>
      <c r="F512">
        <v>10</v>
      </c>
      <c r="G512">
        <v>1</v>
      </c>
      <c r="H512" t="s">
        <v>3334</v>
      </c>
      <c r="I512">
        <v>10</v>
      </c>
    </row>
    <row r="513" spans="2:9" x14ac:dyDescent="0.3">
      <c r="B513" t="s">
        <v>498</v>
      </c>
      <c r="C513" t="s">
        <v>1761</v>
      </c>
      <c r="D513" t="s">
        <v>2658</v>
      </c>
      <c r="E513" s="24">
        <v>39514</v>
      </c>
      <c r="F513">
        <v>10</v>
      </c>
      <c r="G513">
        <v>1</v>
      </c>
      <c r="H513" t="s">
        <v>3335</v>
      </c>
      <c r="I513">
        <v>10</v>
      </c>
    </row>
    <row r="514" spans="2:9" x14ac:dyDescent="0.3">
      <c r="B514" t="s">
        <v>499</v>
      </c>
      <c r="C514" t="s">
        <v>1762</v>
      </c>
      <c r="D514" t="s">
        <v>2658</v>
      </c>
      <c r="E514" s="24">
        <v>34787</v>
      </c>
      <c r="F514">
        <v>10</v>
      </c>
      <c r="G514">
        <v>1</v>
      </c>
      <c r="H514" t="s">
        <v>3336</v>
      </c>
      <c r="I514">
        <v>10</v>
      </c>
    </row>
    <row r="515" spans="2:9" x14ac:dyDescent="0.3">
      <c r="B515" t="s">
        <v>500</v>
      </c>
      <c r="C515" t="s">
        <v>1763</v>
      </c>
      <c r="D515" t="s">
        <v>2658</v>
      </c>
      <c r="E515" s="24">
        <v>39030</v>
      </c>
      <c r="F515">
        <v>10</v>
      </c>
      <c r="G515">
        <v>1</v>
      </c>
      <c r="H515" t="s">
        <v>3337</v>
      </c>
      <c r="I515">
        <v>10</v>
      </c>
    </row>
    <row r="516" spans="2:9" x14ac:dyDescent="0.3">
      <c r="B516" t="s">
        <v>501</v>
      </c>
      <c r="C516" t="s">
        <v>1764</v>
      </c>
      <c r="D516" t="s">
        <v>2658</v>
      </c>
      <c r="E516" s="24">
        <v>34913</v>
      </c>
      <c r="F516">
        <v>10</v>
      </c>
      <c r="G516">
        <v>1</v>
      </c>
      <c r="H516" t="s">
        <v>3338</v>
      </c>
      <c r="I516">
        <v>10</v>
      </c>
    </row>
    <row r="517" spans="2:9" x14ac:dyDescent="0.3">
      <c r="B517" t="s">
        <v>502</v>
      </c>
      <c r="C517" t="s">
        <v>1765</v>
      </c>
      <c r="D517" t="s">
        <v>2686</v>
      </c>
      <c r="E517" s="24">
        <v>38855</v>
      </c>
      <c r="F517">
        <v>10</v>
      </c>
      <c r="G517">
        <v>1</v>
      </c>
      <c r="H517" t="s">
        <v>3339</v>
      </c>
      <c r="I517">
        <v>10</v>
      </c>
    </row>
    <row r="518" spans="2:9" x14ac:dyDescent="0.3">
      <c r="B518" t="s">
        <v>503</v>
      </c>
      <c r="C518" t="s">
        <v>1766</v>
      </c>
      <c r="D518" t="s">
        <v>2658</v>
      </c>
      <c r="E518" s="24">
        <v>39072</v>
      </c>
      <c r="F518">
        <v>10</v>
      </c>
      <c r="G518">
        <v>1</v>
      </c>
      <c r="H518" t="s">
        <v>3340</v>
      </c>
      <c r="I518">
        <v>10</v>
      </c>
    </row>
    <row r="519" spans="2:9" x14ac:dyDescent="0.3">
      <c r="B519" t="s">
        <v>504</v>
      </c>
      <c r="C519" t="s">
        <v>1767</v>
      </c>
      <c r="D519" t="s">
        <v>2658</v>
      </c>
      <c r="E519" s="24">
        <v>38279</v>
      </c>
      <c r="F519">
        <v>1</v>
      </c>
      <c r="G519">
        <v>1</v>
      </c>
      <c r="H519" t="s">
        <v>3341</v>
      </c>
      <c r="I519">
        <v>1</v>
      </c>
    </row>
    <row r="520" spans="2:9" x14ac:dyDescent="0.3">
      <c r="B520" t="s">
        <v>505</v>
      </c>
      <c r="C520" t="s">
        <v>1768</v>
      </c>
      <c r="D520" t="s">
        <v>2658</v>
      </c>
      <c r="E520" s="24">
        <v>35649</v>
      </c>
      <c r="F520">
        <v>10</v>
      </c>
      <c r="G520">
        <v>1</v>
      </c>
      <c r="H520" t="s">
        <v>3342</v>
      </c>
      <c r="I520">
        <v>10</v>
      </c>
    </row>
    <row r="521" spans="2:9" x14ac:dyDescent="0.3">
      <c r="B521" t="s">
        <v>506</v>
      </c>
      <c r="C521" t="s">
        <v>1769</v>
      </c>
      <c r="D521" t="s">
        <v>2658</v>
      </c>
      <c r="E521" s="24">
        <v>39237</v>
      </c>
      <c r="F521">
        <v>10</v>
      </c>
      <c r="G521">
        <v>1</v>
      </c>
      <c r="H521" t="s">
        <v>3343</v>
      </c>
      <c r="I521">
        <v>10</v>
      </c>
    </row>
    <row r="522" spans="2:9" x14ac:dyDescent="0.3">
      <c r="B522" t="s">
        <v>507</v>
      </c>
      <c r="C522" t="s">
        <v>1770</v>
      </c>
      <c r="D522" t="s">
        <v>2658</v>
      </c>
      <c r="E522" s="24">
        <v>34844</v>
      </c>
      <c r="F522">
        <v>1</v>
      </c>
      <c r="G522">
        <v>1</v>
      </c>
      <c r="H522" t="s">
        <v>3344</v>
      </c>
      <c r="I522">
        <v>1</v>
      </c>
    </row>
    <row r="523" spans="2:9" x14ac:dyDescent="0.3">
      <c r="B523" t="s">
        <v>3345</v>
      </c>
      <c r="C523" t="s">
        <v>3346</v>
      </c>
      <c r="D523" t="s">
        <v>2658</v>
      </c>
      <c r="E523" s="24">
        <v>42262</v>
      </c>
      <c r="F523">
        <v>10</v>
      </c>
      <c r="G523">
        <v>1</v>
      </c>
      <c r="H523" t="s">
        <v>3347</v>
      </c>
      <c r="I523">
        <v>10</v>
      </c>
    </row>
    <row r="524" spans="2:9" x14ac:dyDescent="0.3">
      <c r="B524" t="s">
        <v>508</v>
      </c>
      <c r="C524" t="s">
        <v>1771</v>
      </c>
      <c r="D524" t="s">
        <v>2658</v>
      </c>
      <c r="E524" s="24">
        <v>38201</v>
      </c>
      <c r="F524">
        <v>10</v>
      </c>
      <c r="G524">
        <v>1</v>
      </c>
      <c r="H524" t="s">
        <v>3348</v>
      </c>
      <c r="I524">
        <v>10</v>
      </c>
    </row>
    <row r="525" spans="2:9" x14ac:dyDescent="0.3">
      <c r="B525" t="s">
        <v>3349</v>
      </c>
      <c r="C525" t="s">
        <v>1771</v>
      </c>
      <c r="D525" t="s">
        <v>2658</v>
      </c>
      <c r="E525" s="24">
        <v>40324</v>
      </c>
      <c r="F525">
        <v>10</v>
      </c>
      <c r="G525">
        <v>1</v>
      </c>
      <c r="H525" t="s">
        <v>3350</v>
      </c>
      <c r="I525">
        <v>10</v>
      </c>
    </row>
    <row r="526" spans="2:9" x14ac:dyDescent="0.3">
      <c r="B526" t="s">
        <v>509</v>
      </c>
      <c r="C526" t="s">
        <v>1772</v>
      </c>
      <c r="D526" t="s">
        <v>2658</v>
      </c>
      <c r="E526" s="24">
        <v>41851</v>
      </c>
      <c r="F526">
        <v>2</v>
      </c>
      <c r="G526">
        <v>1</v>
      </c>
      <c r="H526" t="s">
        <v>3351</v>
      </c>
      <c r="I526">
        <v>2</v>
      </c>
    </row>
    <row r="527" spans="2:9" x14ac:dyDescent="0.3">
      <c r="B527" t="s">
        <v>3352</v>
      </c>
      <c r="C527" t="s">
        <v>3353</v>
      </c>
      <c r="D527" t="s">
        <v>2658</v>
      </c>
      <c r="E527" s="24">
        <v>38254</v>
      </c>
      <c r="F527">
        <v>5</v>
      </c>
      <c r="G527">
        <v>1</v>
      </c>
      <c r="H527" t="s">
        <v>3354</v>
      </c>
      <c r="I527">
        <v>5</v>
      </c>
    </row>
    <row r="528" spans="2:9" x14ac:dyDescent="0.3">
      <c r="B528" t="s">
        <v>3355</v>
      </c>
      <c r="C528" t="s">
        <v>3356</v>
      </c>
      <c r="D528" t="s">
        <v>2658</v>
      </c>
      <c r="E528" s="24">
        <v>42032</v>
      </c>
      <c r="F528">
        <v>1</v>
      </c>
      <c r="G528">
        <v>1</v>
      </c>
      <c r="H528" t="s">
        <v>3357</v>
      </c>
      <c r="I528">
        <v>1</v>
      </c>
    </row>
    <row r="529" spans="2:9" x14ac:dyDescent="0.3">
      <c r="B529" t="s">
        <v>510</v>
      </c>
      <c r="C529" t="s">
        <v>1773</v>
      </c>
      <c r="D529" t="s">
        <v>2658</v>
      </c>
      <c r="E529" s="24">
        <v>38775</v>
      </c>
      <c r="F529">
        <v>1</v>
      </c>
      <c r="G529">
        <v>1</v>
      </c>
      <c r="H529" t="s">
        <v>3358</v>
      </c>
      <c r="I529">
        <v>1</v>
      </c>
    </row>
    <row r="530" spans="2:9" x14ac:dyDescent="0.3">
      <c r="B530" t="s">
        <v>511</v>
      </c>
      <c r="C530" t="s">
        <v>1774</v>
      </c>
      <c r="D530" t="s">
        <v>2658</v>
      </c>
      <c r="E530" s="24">
        <v>39010</v>
      </c>
      <c r="F530">
        <v>10</v>
      </c>
      <c r="G530">
        <v>1</v>
      </c>
      <c r="H530" t="s">
        <v>3359</v>
      </c>
      <c r="I530">
        <v>10</v>
      </c>
    </row>
    <row r="531" spans="2:9" x14ac:dyDescent="0.3">
      <c r="B531" t="s">
        <v>512</v>
      </c>
      <c r="C531" t="s">
        <v>1775</v>
      </c>
      <c r="D531" t="s">
        <v>2658</v>
      </c>
      <c r="E531" s="24">
        <v>39909</v>
      </c>
      <c r="F531">
        <v>10</v>
      </c>
      <c r="G531">
        <v>1</v>
      </c>
      <c r="H531" t="s">
        <v>3360</v>
      </c>
      <c r="I531">
        <v>10</v>
      </c>
    </row>
    <row r="532" spans="2:9" x14ac:dyDescent="0.3">
      <c r="B532" t="s">
        <v>513</v>
      </c>
      <c r="C532" t="s">
        <v>1776</v>
      </c>
      <c r="D532" t="s">
        <v>2658</v>
      </c>
      <c r="E532" s="24">
        <v>34738</v>
      </c>
      <c r="F532">
        <v>10</v>
      </c>
      <c r="G532">
        <v>1</v>
      </c>
      <c r="H532" t="s">
        <v>3361</v>
      </c>
      <c r="I532">
        <v>10</v>
      </c>
    </row>
    <row r="533" spans="2:9" x14ac:dyDescent="0.3">
      <c r="B533" t="s">
        <v>514</v>
      </c>
      <c r="C533" t="s">
        <v>1777</v>
      </c>
      <c r="D533" t="s">
        <v>2658</v>
      </c>
      <c r="E533" s="24">
        <v>40234</v>
      </c>
      <c r="F533">
        <v>2</v>
      </c>
      <c r="G533">
        <v>1</v>
      </c>
      <c r="H533" t="s">
        <v>3362</v>
      </c>
      <c r="I533">
        <v>2</v>
      </c>
    </row>
    <row r="534" spans="2:9" x14ac:dyDescent="0.3">
      <c r="B534" t="s">
        <v>515</v>
      </c>
      <c r="C534" t="s">
        <v>1778</v>
      </c>
      <c r="D534" t="s">
        <v>2658</v>
      </c>
      <c r="E534" s="24">
        <v>41810</v>
      </c>
      <c r="F534">
        <v>1</v>
      </c>
      <c r="G534">
        <v>1</v>
      </c>
      <c r="H534" t="s">
        <v>3363</v>
      </c>
      <c r="I534">
        <v>1</v>
      </c>
    </row>
    <row r="535" spans="2:9" x14ac:dyDescent="0.3">
      <c r="B535" t="s">
        <v>59</v>
      </c>
      <c r="C535" t="s">
        <v>1779</v>
      </c>
      <c r="D535" t="s">
        <v>2658</v>
      </c>
      <c r="E535" s="24">
        <v>36971</v>
      </c>
      <c r="F535">
        <v>1</v>
      </c>
      <c r="G535">
        <v>1</v>
      </c>
      <c r="H535" t="s">
        <v>3364</v>
      </c>
      <c r="I535">
        <v>1</v>
      </c>
    </row>
    <row r="536" spans="2:9" x14ac:dyDescent="0.3">
      <c r="B536" t="s">
        <v>516</v>
      </c>
      <c r="C536" t="s">
        <v>1780</v>
      </c>
      <c r="D536" t="s">
        <v>2658</v>
      </c>
      <c r="E536" s="24">
        <v>39086</v>
      </c>
      <c r="F536">
        <v>1</v>
      </c>
      <c r="G536">
        <v>1</v>
      </c>
      <c r="H536" t="s">
        <v>3365</v>
      </c>
      <c r="I536">
        <v>1</v>
      </c>
    </row>
    <row r="537" spans="2:9" x14ac:dyDescent="0.3">
      <c r="B537" t="s">
        <v>517</v>
      </c>
      <c r="C537" t="s">
        <v>1781</v>
      </c>
      <c r="D537" t="s">
        <v>2658</v>
      </c>
      <c r="E537" s="24">
        <v>35718</v>
      </c>
      <c r="F537">
        <v>10</v>
      </c>
      <c r="G537">
        <v>1</v>
      </c>
      <c r="H537" t="s">
        <v>3366</v>
      </c>
      <c r="I537">
        <v>10</v>
      </c>
    </row>
    <row r="538" spans="2:9" x14ac:dyDescent="0.3">
      <c r="B538" t="s">
        <v>518</v>
      </c>
      <c r="C538" t="s">
        <v>1782</v>
      </c>
      <c r="D538" t="s">
        <v>2658</v>
      </c>
      <c r="E538" s="24">
        <v>37712</v>
      </c>
      <c r="F538">
        <v>1</v>
      </c>
      <c r="G538">
        <v>1</v>
      </c>
      <c r="H538" t="s">
        <v>3367</v>
      </c>
      <c r="I538">
        <v>1</v>
      </c>
    </row>
    <row r="539" spans="2:9" x14ac:dyDescent="0.3">
      <c r="B539" t="s">
        <v>3368</v>
      </c>
      <c r="C539" t="s">
        <v>3369</v>
      </c>
      <c r="D539" t="s">
        <v>2658</v>
      </c>
      <c r="E539" s="24">
        <v>42459</v>
      </c>
      <c r="F539">
        <v>10</v>
      </c>
      <c r="G539">
        <v>1</v>
      </c>
      <c r="H539" t="s">
        <v>3370</v>
      </c>
      <c r="I539">
        <v>10</v>
      </c>
    </row>
    <row r="540" spans="2:9" x14ac:dyDescent="0.3">
      <c r="B540" t="s">
        <v>519</v>
      </c>
      <c r="C540" t="s">
        <v>1783</v>
      </c>
      <c r="D540" t="s">
        <v>2658</v>
      </c>
      <c r="E540" s="24">
        <v>35431</v>
      </c>
      <c r="F540">
        <v>2</v>
      </c>
      <c r="G540">
        <v>1</v>
      </c>
      <c r="H540" t="s">
        <v>3371</v>
      </c>
      <c r="I540">
        <v>2</v>
      </c>
    </row>
    <row r="541" spans="2:9" x14ac:dyDescent="0.3">
      <c r="B541" t="s">
        <v>520</v>
      </c>
      <c r="C541" t="s">
        <v>1784</v>
      </c>
      <c r="D541" t="s">
        <v>2658</v>
      </c>
      <c r="E541" s="24">
        <v>36531</v>
      </c>
      <c r="F541">
        <v>2</v>
      </c>
      <c r="G541">
        <v>1</v>
      </c>
      <c r="H541" t="s">
        <v>3372</v>
      </c>
      <c r="I541">
        <v>2</v>
      </c>
    </row>
    <row r="542" spans="2:9" x14ac:dyDescent="0.3">
      <c r="B542" t="s">
        <v>521</v>
      </c>
      <c r="C542" t="s">
        <v>1785</v>
      </c>
      <c r="D542" t="s">
        <v>2658</v>
      </c>
      <c r="E542" s="24">
        <v>35361</v>
      </c>
      <c r="F542">
        <v>2</v>
      </c>
      <c r="G542">
        <v>1</v>
      </c>
      <c r="H542" t="s">
        <v>3373</v>
      </c>
      <c r="I542">
        <v>2</v>
      </c>
    </row>
    <row r="543" spans="2:9" x14ac:dyDescent="0.3">
      <c r="B543" t="s">
        <v>522</v>
      </c>
      <c r="C543" t="s">
        <v>1786</v>
      </c>
      <c r="D543" t="s">
        <v>2658</v>
      </c>
      <c r="E543" s="24">
        <v>35011</v>
      </c>
      <c r="F543">
        <v>2</v>
      </c>
      <c r="G543">
        <v>1</v>
      </c>
      <c r="H543" t="s">
        <v>3374</v>
      </c>
      <c r="I543">
        <v>2</v>
      </c>
    </row>
    <row r="544" spans="2:9" x14ac:dyDescent="0.3">
      <c r="B544" t="s">
        <v>522</v>
      </c>
      <c r="C544" t="s">
        <v>1786</v>
      </c>
      <c r="D544" t="s">
        <v>3173</v>
      </c>
      <c r="E544" s="24">
        <v>35011</v>
      </c>
      <c r="F544">
        <v>2</v>
      </c>
      <c r="G544">
        <v>1</v>
      </c>
      <c r="H544" t="s">
        <v>3374</v>
      </c>
      <c r="I544">
        <v>2</v>
      </c>
    </row>
    <row r="545" spans="2:9" x14ac:dyDescent="0.3">
      <c r="B545" t="s">
        <v>17</v>
      </c>
      <c r="C545" t="s">
        <v>1787</v>
      </c>
      <c r="D545" t="s">
        <v>2658</v>
      </c>
      <c r="E545" s="24">
        <v>39287</v>
      </c>
      <c r="F545">
        <v>10</v>
      </c>
      <c r="G545">
        <v>1</v>
      </c>
      <c r="H545" t="s">
        <v>3375</v>
      </c>
      <c r="I545">
        <v>10</v>
      </c>
    </row>
    <row r="546" spans="2:9" x14ac:dyDescent="0.3">
      <c r="B546" t="s">
        <v>523</v>
      </c>
      <c r="C546" t="s">
        <v>1788</v>
      </c>
      <c r="D546" t="s">
        <v>2658</v>
      </c>
      <c r="E546" s="24">
        <v>34829</v>
      </c>
      <c r="F546">
        <v>10</v>
      </c>
      <c r="G546">
        <v>1</v>
      </c>
      <c r="H546" t="s">
        <v>3376</v>
      </c>
      <c r="I546">
        <v>10</v>
      </c>
    </row>
    <row r="547" spans="2:9" x14ac:dyDescent="0.3">
      <c r="B547" t="s">
        <v>524</v>
      </c>
      <c r="C547" t="s">
        <v>1789</v>
      </c>
      <c r="D547" t="s">
        <v>2658</v>
      </c>
      <c r="E547" s="24">
        <v>34773</v>
      </c>
      <c r="F547">
        <v>10</v>
      </c>
      <c r="G547">
        <v>1</v>
      </c>
      <c r="H547" t="s">
        <v>3377</v>
      </c>
      <c r="I547">
        <v>10</v>
      </c>
    </row>
    <row r="548" spans="2:9" x14ac:dyDescent="0.3">
      <c r="B548" t="s">
        <v>525</v>
      </c>
      <c r="C548" t="s">
        <v>1790</v>
      </c>
      <c r="D548" t="s">
        <v>2658</v>
      </c>
      <c r="E548" s="24">
        <v>39497</v>
      </c>
      <c r="F548">
        <v>1</v>
      </c>
      <c r="G548">
        <v>1</v>
      </c>
      <c r="H548" t="s">
        <v>3378</v>
      </c>
      <c r="I548">
        <v>1</v>
      </c>
    </row>
    <row r="549" spans="2:9" x14ac:dyDescent="0.3">
      <c r="B549" t="s">
        <v>526</v>
      </c>
      <c r="C549" t="s">
        <v>3379</v>
      </c>
      <c r="D549" t="s">
        <v>2658</v>
      </c>
      <c r="E549" s="24">
        <v>35396</v>
      </c>
      <c r="F549">
        <v>10</v>
      </c>
      <c r="G549">
        <v>1</v>
      </c>
      <c r="H549" t="s">
        <v>3380</v>
      </c>
      <c r="I549">
        <v>10</v>
      </c>
    </row>
    <row r="550" spans="2:9" x14ac:dyDescent="0.3">
      <c r="B550" t="s">
        <v>527</v>
      </c>
      <c r="C550" t="s">
        <v>1791</v>
      </c>
      <c r="D550" t="s">
        <v>2658</v>
      </c>
      <c r="E550" s="24">
        <v>37722</v>
      </c>
      <c r="F550">
        <v>2</v>
      </c>
      <c r="G550">
        <v>1</v>
      </c>
      <c r="H550" t="s">
        <v>3381</v>
      </c>
      <c r="I550">
        <v>2</v>
      </c>
    </row>
    <row r="551" spans="2:9" x14ac:dyDescent="0.3">
      <c r="B551" t="s">
        <v>3382</v>
      </c>
      <c r="C551" t="s">
        <v>3383</v>
      </c>
      <c r="D551" t="s">
        <v>2658</v>
      </c>
      <c r="E551" s="24">
        <v>42076</v>
      </c>
      <c r="F551">
        <v>10</v>
      </c>
      <c r="G551">
        <v>1</v>
      </c>
      <c r="H551" t="s">
        <v>3384</v>
      </c>
      <c r="I551">
        <v>10</v>
      </c>
    </row>
    <row r="552" spans="2:9" x14ac:dyDescent="0.3">
      <c r="B552" t="s">
        <v>528</v>
      </c>
      <c r="C552" t="s">
        <v>1792</v>
      </c>
      <c r="D552" t="s">
        <v>2658</v>
      </c>
      <c r="E552" s="24">
        <v>41019</v>
      </c>
      <c r="F552">
        <v>2</v>
      </c>
      <c r="G552">
        <v>1</v>
      </c>
      <c r="H552" t="s">
        <v>3385</v>
      </c>
      <c r="I552">
        <v>2</v>
      </c>
    </row>
    <row r="553" spans="2:9" x14ac:dyDescent="0.3">
      <c r="B553" t="s">
        <v>529</v>
      </c>
      <c r="C553" t="s">
        <v>1793</v>
      </c>
      <c r="D553" t="s">
        <v>2658</v>
      </c>
      <c r="E553" s="24">
        <v>37421</v>
      </c>
      <c r="F553">
        <v>2</v>
      </c>
      <c r="G553">
        <v>1</v>
      </c>
      <c r="H553" t="s">
        <v>3386</v>
      </c>
      <c r="I553">
        <v>2</v>
      </c>
    </row>
    <row r="554" spans="2:9" x14ac:dyDescent="0.3">
      <c r="B554" t="s">
        <v>530</v>
      </c>
      <c r="C554" t="s">
        <v>1794</v>
      </c>
      <c r="D554" t="s">
        <v>2658</v>
      </c>
      <c r="E554" s="24">
        <v>40611</v>
      </c>
      <c r="F554">
        <v>1</v>
      </c>
      <c r="G554">
        <v>1</v>
      </c>
      <c r="H554" t="s">
        <v>3387</v>
      </c>
      <c r="I554">
        <v>1</v>
      </c>
    </row>
    <row r="555" spans="2:9" x14ac:dyDescent="0.3">
      <c r="B555" t="s">
        <v>531</v>
      </c>
      <c r="C555" t="s">
        <v>1795</v>
      </c>
      <c r="D555" t="s">
        <v>2658</v>
      </c>
      <c r="E555" s="24">
        <v>39252</v>
      </c>
      <c r="F555">
        <v>10</v>
      </c>
      <c r="G555">
        <v>1</v>
      </c>
      <c r="H555" t="s">
        <v>3388</v>
      </c>
      <c r="I555">
        <v>10</v>
      </c>
    </row>
    <row r="556" spans="2:9" x14ac:dyDescent="0.3">
      <c r="B556" t="s">
        <v>3389</v>
      </c>
      <c r="C556" t="s">
        <v>3390</v>
      </c>
      <c r="D556" t="s">
        <v>2658</v>
      </c>
      <c r="E556" s="24">
        <v>42698</v>
      </c>
      <c r="F556">
        <v>1</v>
      </c>
      <c r="G556">
        <v>1</v>
      </c>
      <c r="H556" t="s">
        <v>3391</v>
      </c>
      <c r="I556">
        <v>1</v>
      </c>
    </row>
    <row r="557" spans="2:9" x14ac:dyDescent="0.3">
      <c r="B557" t="s">
        <v>532</v>
      </c>
      <c r="C557" t="s">
        <v>1796</v>
      </c>
      <c r="D557" t="s">
        <v>2658</v>
      </c>
      <c r="E557" s="24">
        <v>36936</v>
      </c>
      <c r="F557">
        <v>2</v>
      </c>
      <c r="G557">
        <v>1</v>
      </c>
      <c r="H557" t="s">
        <v>3392</v>
      </c>
      <c r="I557">
        <v>2</v>
      </c>
    </row>
    <row r="558" spans="2:9" x14ac:dyDescent="0.3">
      <c r="B558" t="s">
        <v>533</v>
      </c>
      <c r="C558" t="s">
        <v>1797</v>
      </c>
      <c r="D558" t="s">
        <v>2658</v>
      </c>
      <c r="E558" s="24">
        <v>34815</v>
      </c>
      <c r="F558">
        <v>10</v>
      </c>
      <c r="G558">
        <v>1</v>
      </c>
      <c r="H558" t="s">
        <v>3393</v>
      </c>
      <c r="I558">
        <v>10</v>
      </c>
    </row>
    <row r="559" spans="2:9" x14ac:dyDescent="0.3">
      <c r="B559" t="s">
        <v>534</v>
      </c>
      <c r="C559" t="s">
        <v>1798</v>
      </c>
      <c r="D559" t="s">
        <v>2658</v>
      </c>
      <c r="E559" s="24">
        <v>39226</v>
      </c>
      <c r="F559">
        <v>10</v>
      </c>
      <c r="G559">
        <v>1</v>
      </c>
      <c r="H559" t="s">
        <v>3394</v>
      </c>
      <c r="I559">
        <v>10</v>
      </c>
    </row>
    <row r="560" spans="2:9" x14ac:dyDescent="0.3">
      <c r="B560" t="s">
        <v>535</v>
      </c>
      <c r="C560" t="s">
        <v>1799</v>
      </c>
      <c r="D560" t="s">
        <v>2658</v>
      </c>
      <c r="E560" s="24">
        <v>34738</v>
      </c>
      <c r="F560">
        <v>5</v>
      </c>
      <c r="G560">
        <v>1</v>
      </c>
      <c r="H560" t="s">
        <v>3395</v>
      </c>
      <c r="I560">
        <v>5</v>
      </c>
    </row>
    <row r="561" spans="2:9" x14ac:dyDescent="0.3">
      <c r="B561" t="s">
        <v>536</v>
      </c>
      <c r="C561" t="s">
        <v>1800</v>
      </c>
      <c r="D561" t="s">
        <v>2658</v>
      </c>
      <c r="E561" s="24">
        <v>35438</v>
      </c>
      <c r="F561">
        <v>1</v>
      </c>
      <c r="G561">
        <v>1</v>
      </c>
      <c r="H561" t="s">
        <v>3396</v>
      </c>
      <c r="I561">
        <v>1</v>
      </c>
    </row>
    <row r="562" spans="2:9" x14ac:dyDescent="0.3">
      <c r="B562" t="s">
        <v>537</v>
      </c>
      <c r="C562" t="s">
        <v>1801</v>
      </c>
      <c r="D562" t="s">
        <v>2658</v>
      </c>
      <c r="E562" s="24">
        <v>35193</v>
      </c>
      <c r="F562">
        <v>5</v>
      </c>
      <c r="G562">
        <v>1</v>
      </c>
      <c r="H562" t="s">
        <v>3397</v>
      </c>
      <c r="I562">
        <v>5</v>
      </c>
    </row>
    <row r="563" spans="2:9" x14ac:dyDescent="0.3">
      <c r="B563" t="s">
        <v>538</v>
      </c>
      <c r="C563" t="s">
        <v>1802</v>
      </c>
      <c r="D563" t="s">
        <v>2658</v>
      </c>
      <c r="E563" s="24">
        <v>40436</v>
      </c>
      <c r="F563">
        <v>5</v>
      </c>
      <c r="G563">
        <v>1</v>
      </c>
      <c r="H563" t="s">
        <v>3398</v>
      </c>
      <c r="I563">
        <v>5</v>
      </c>
    </row>
    <row r="564" spans="2:9" x14ac:dyDescent="0.3">
      <c r="B564" t="s">
        <v>539</v>
      </c>
      <c r="C564" t="s">
        <v>1803</v>
      </c>
      <c r="D564" t="s">
        <v>2686</v>
      </c>
      <c r="E564" s="24">
        <v>36859</v>
      </c>
      <c r="F564">
        <v>2</v>
      </c>
      <c r="G564">
        <v>1</v>
      </c>
      <c r="H564" t="s">
        <v>3399</v>
      </c>
      <c r="I564">
        <v>2</v>
      </c>
    </row>
    <row r="565" spans="2:9" x14ac:dyDescent="0.3">
      <c r="B565" t="s">
        <v>540</v>
      </c>
      <c r="C565" t="s">
        <v>1804</v>
      </c>
      <c r="D565" t="s">
        <v>2658</v>
      </c>
      <c r="E565" s="24">
        <v>40595</v>
      </c>
      <c r="F565">
        <v>5</v>
      </c>
      <c r="G565">
        <v>1</v>
      </c>
      <c r="H565" t="s">
        <v>3400</v>
      </c>
      <c r="I565">
        <v>5</v>
      </c>
    </row>
    <row r="566" spans="2:9" x14ac:dyDescent="0.3">
      <c r="B566" t="s">
        <v>541</v>
      </c>
      <c r="C566" t="s">
        <v>1805</v>
      </c>
      <c r="D566" t="s">
        <v>2658</v>
      </c>
      <c r="E566" s="24">
        <v>39918</v>
      </c>
      <c r="F566">
        <v>2</v>
      </c>
      <c r="G566">
        <v>1</v>
      </c>
      <c r="H566" t="s">
        <v>3401</v>
      </c>
      <c r="I566">
        <v>2</v>
      </c>
    </row>
    <row r="567" spans="2:9" x14ac:dyDescent="0.3">
      <c r="B567" t="s">
        <v>542</v>
      </c>
      <c r="C567" t="s">
        <v>1806</v>
      </c>
      <c r="D567" t="s">
        <v>2658</v>
      </c>
      <c r="E567" s="24">
        <v>37887</v>
      </c>
      <c r="F567">
        <v>10</v>
      </c>
      <c r="G567">
        <v>1</v>
      </c>
      <c r="H567" t="s">
        <v>3402</v>
      </c>
      <c r="I567">
        <v>10</v>
      </c>
    </row>
    <row r="568" spans="2:9" x14ac:dyDescent="0.3">
      <c r="B568" t="s">
        <v>60</v>
      </c>
      <c r="C568" t="s">
        <v>1807</v>
      </c>
      <c r="D568" t="s">
        <v>2658</v>
      </c>
      <c r="E568" s="24">
        <v>35963</v>
      </c>
      <c r="F568">
        <v>10</v>
      </c>
      <c r="G568">
        <v>1</v>
      </c>
      <c r="H568" t="s">
        <v>3403</v>
      </c>
      <c r="I568">
        <v>10</v>
      </c>
    </row>
    <row r="569" spans="2:9" x14ac:dyDescent="0.3">
      <c r="B569" t="s">
        <v>543</v>
      </c>
      <c r="C569" t="s">
        <v>1808</v>
      </c>
      <c r="D569" t="s">
        <v>2686</v>
      </c>
      <c r="E569" s="24">
        <v>36628</v>
      </c>
      <c r="F569">
        <v>10</v>
      </c>
      <c r="G569">
        <v>1</v>
      </c>
      <c r="H569" t="s">
        <v>3404</v>
      </c>
      <c r="I569">
        <v>10</v>
      </c>
    </row>
    <row r="570" spans="2:9" x14ac:dyDescent="0.3">
      <c r="B570" t="s">
        <v>544</v>
      </c>
      <c r="C570" t="s">
        <v>1809</v>
      </c>
      <c r="D570" t="s">
        <v>2658</v>
      </c>
      <c r="E570" s="24">
        <v>38986</v>
      </c>
      <c r="F570">
        <v>10</v>
      </c>
      <c r="G570">
        <v>1</v>
      </c>
      <c r="H570" t="s">
        <v>3405</v>
      </c>
      <c r="I570">
        <v>10</v>
      </c>
    </row>
    <row r="571" spans="2:9" x14ac:dyDescent="0.3">
      <c r="B571" t="s">
        <v>545</v>
      </c>
      <c r="C571" t="s">
        <v>1810</v>
      </c>
      <c r="D571" t="s">
        <v>2658</v>
      </c>
      <c r="E571" s="24">
        <v>39196</v>
      </c>
      <c r="F571">
        <v>10</v>
      </c>
      <c r="G571">
        <v>1</v>
      </c>
      <c r="H571" t="s">
        <v>3406</v>
      </c>
      <c r="I571">
        <v>10</v>
      </c>
    </row>
    <row r="572" spans="2:9" x14ac:dyDescent="0.3">
      <c r="B572" t="s">
        <v>546</v>
      </c>
      <c r="C572" t="s">
        <v>1811</v>
      </c>
      <c r="D572" t="s">
        <v>2658</v>
      </c>
      <c r="E572" s="24">
        <v>34886</v>
      </c>
      <c r="F572">
        <v>1</v>
      </c>
      <c r="G572">
        <v>1</v>
      </c>
      <c r="H572" t="s">
        <v>3407</v>
      </c>
      <c r="I572">
        <v>1</v>
      </c>
    </row>
    <row r="573" spans="2:9" x14ac:dyDescent="0.3">
      <c r="B573" t="s">
        <v>61</v>
      </c>
      <c r="C573" t="s">
        <v>1812</v>
      </c>
      <c r="D573" t="s">
        <v>2658</v>
      </c>
      <c r="E573" s="24">
        <v>39042</v>
      </c>
      <c r="F573">
        <v>2</v>
      </c>
      <c r="G573">
        <v>1</v>
      </c>
      <c r="H573" t="s">
        <v>3408</v>
      </c>
      <c r="I573">
        <v>2</v>
      </c>
    </row>
    <row r="574" spans="2:9" x14ac:dyDescent="0.3">
      <c r="B574" t="s">
        <v>547</v>
      </c>
      <c r="C574" t="s">
        <v>1813</v>
      </c>
      <c r="D574" t="s">
        <v>2658</v>
      </c>
      <c r="E574" s="24">
        <v>39077</v>
      </c>
      <c r="F574">
        <v>2</v>
      </c>
      <c r="G574">
        <v>1</v>
      </c>
      <c r="H574" t="s">
        <v>3409</v>
      </c>
      <c r="I574">
        <v>2</v>
      </c>
    </row>
    <row r="575" spans="2:9" x14ac:dyDescent="0.3">
      <c r="B575" t="s">
        <v>3410</v>
      </c>
      <c r="C575" t="s">
        <v>3411</v>
      </c>
      <c r="D575" t="s">
        <v>2658</v>
      </c>
      <c r="E575" s="24">
        <v>42740</v>
      </c>
      <c r="F575">
        <v>10</v>
      </c>
      <c r="G575">
        <v>1</v>
      </c>
      <c r="H575" t="s">
        <v>3412</v>
      </c>
      <c r="I575">
        <v>10</v>
      </c>
    </row>
    <row r="576" spans="2:9" x14ac:dyDescent="0.3">
      <c r="B576" t="s">
        <v>3413</v>
      </c>
      <c r="C576" t="s">
        <v>3414</v>
      </c>
      <c r="D576" t="s">
        <v>2658</v>
      </c>
      <c r="E576" s="24">
        <v>39436</v>
      </c>
      <c r="F576">
        <v>10</v>
      </c>
      <c r="G576">
        <v>1</v>
      </c>
      <c r="H576" t="s">
        <v>3415</v>
      </c>
      <c r="I576">
        <v>10</v>
      </c>
    </row>
    <row r="577" spans="2:9" x14ac:dyDescent="0.3">
      <c r="B577" t="s">
        <v>548</v>
      </c>
      <c r="C577" t="s">
        <v>3416</v>
      </c>
      <c r="D577" t="s">
        <v>2658</v>
      </c>
      <c r="E577" s="24">
        <v>37277</v>
      </c>
      <c r="F577">
        <v>10</v>
      </c>
      <c r="G577">
        <v>1</v>
      </c>
      <c r="H577" t="s">
        <v>3417</v>
      </c>
      <c r="I577">
        <v>10</v>
      </c>
    </row>
    <row r="578" spans="2:9" x14ac:dyDescent="0.3">
      <c r="B578" t="s">
        <v>549</v>
      </c>
      <c r="C578" t="s">
        <v>1814</v>
      </c>
      <c r="D578" t="s">
        <v>2681</v>
      </c>
      <c r="E578" s="24">
        <v>37862</v>
      </c>
      <c r="F578">
        <v>10</v>
      </c>
      <c r="G578">
        <v>1</v>
      </c>
      <c r="H578" t="s">
        <v>3418</v>
      </c>
      <c r="I578">
        <v>10</v>
      </c>
    </row>
    <row r="579" spans="2:9" x14ac:dyDescent="0.3">
      <c r="B579" t="s">
        <v>550</v>
      </c>
      <c r="C579" t="s">
        <v>1815</v>
      </c>
      <c r="D579" t="s">
        <v>2658</v>
      </c>
      <c r="E579" s="24">
        <v>40380</v>
      </c>
      <c r="F579">
        <v>10</v>
      </c>
      <c r="G579">
        <v>1</v>
      </c>
      <c r="H579" t="s">
        <v>3419</v>
      </c>
      <c r="I579">
        <v>10</v>
      </c>
    </row>
    <row r="580" spans="2:9" x14ac:dyDescent="0.3">
      <c r="B580" t="s">
        <v>551</v>
      </c>
      <c r="C580" t="s">
        <v>1816</v>
      </c>
      <c r="D580" t="s">
        <v>2686</v>
      </c>
      <c r="F580">
        <v>10</v>
      </c>
      <c r="G580">
        <v>1</v>
      </c>
      <c r="H580" t="s">
        <v>3420</v>
      </c>
      <c r="I580">
        <v>10</v>
      </c>
    </row>
    <row r="581" spans="2:9" x14ac:dyDescent="0.3">
      <c r="B581" t="s">
        <v>552</v>
      </c>
      <c r="C581" t="s">
        <v>1817</v>
      </c>
      <c r="D581" t="s">
        <v>2658</v>
      </c>
      <c r="E581" s="24">
        <v>37820</v>
      </c>
      <c r="F581">
        <v>10</v>
      </c>
      <c r="G581">
        <v>1</v>
      </c>
      <c r="H581" t="s">
        <v>3421</v>
      </c>
      <c r="I581">
        <v>10</v>
      </c>
    </row>
    <row r="582" spans="2:9" x14ac:dyDescent="0.3">
      <c r="B582" t="s">
        <v>553</v>
      </c>
      <c r="C582" t="s">
        <v>1818</v>
      </c>
      <c r="D582" t="s">
        <v>2658</v>
      </c>
      <c r="E582" s="24">
        <v>37712</v>
      </c>
      <c r="F582">
        <v>10</v>
      </c>
      <c r="G582">
        <v>1</v>
      </c>
      <c r="H582" t="s">
        <v>3422</v>
      </c>
      <c r="I582">
        <v>10</v>
      </c>
    </row>
    <row r="583" spans="2:9" x14ac:dyDescent="0.3">
      <c r="B583" t="s">
        <v>554</v>
      </c>
      <c r="C583" t="s">
        <v>1819</v>
      </c>
      <c r="D583" t="s">
        <v>2658</v>
      </c>
      <c r="E583" s="24">
        <v>34899</v>
      </c>
      <c r="F583">
        <v>2</v>
      </c>
      <c r="G583">
        <v>1</v>
      </c>
      <c r="H583" t="s">
        <v>3423</v>
      </c>
      <c r="I583">
        <v>2</v>
      </c>
    </row>
    <row r="584" spans="2:9" x14ac:dyDescent="0.3">
      <c r="B584" t="s">
        <v>1308</v>
      </c>
      <c r="C584" t="s">
        <v>1820</v>
      </c>
      <c r="D584" t="s">
        <v>2686</v>
      </c>
      <c r="E584" s="24">
        <v>35158</v>
      </c>
      <c r="F584">
        <v>10</v>
      </c>
      <c r="G584">
        <v>1</v>
      </c>
      <c r="H584" t="s">
        <v>3424</v>
      </c>
      <c r="I584">
        <v>10</v>
      </c>
    </row>
    <row r="585" spans="2:9" x14ac:dyDescent="0.3">
      <c r="B585" t="s">
        <v>555</v>
      </c>
      <c r="C585" t="s">
        <v>1821</v>
      </c>
      <c r="D585" t="s">
        <v>2658</v>
      </c>
      <c r="E585" s="24">
        <v>38987</v>
      </c>
      <c r="F585">
        <v>10</v>
      </c>
      <c r="G585">
        <v>1</v>
      </c>
      <c r="H585" t="s">
        <v>3425</v>
      </c>
      <c r="I585">
        <v>10</v>
      </c>
    </row>
    <row r="586" spans="2:9" x14ac:dyDescent="0.3">
      <c r="B586" t="s">
        <v>3426</v>
      </c>
      <c r="C586" t="s">
        <v>3427</v>
      </c>
      <c r="D586" t="s">
        <v>2658</v>
      </c>
      <c r="E586" s="24">
        <v>42647</v>
      </c>
      <c r="F586">
        <v>10</v>
      </c>
      <c r="G586">
        <v>1</v>
      </c>
      <c r="H586" t="s">
        <v>3428</v>
      </c>
      <c r="I586">
        <v>10</v>
      </c>
    </row>
    <row r="587" spans="2:9" x14ac:dyDescent="0.3">
      <c r="B587" t="s">
        <v>3429</v>
      </c>
      <c r="C587" t="s">
        <v>3430</v>
      </c>
      <c r="D587" t="s">
        <v>2658</v>
      </c>
      <c r="E587" s="24">
        <v>39143</v>
      </c>
      <c r="F587">
        <v>1</v>
      </c>
      <c r="G587">
        <v>1</v>
      </c>
      <c r="H587" t="s">
        <v>3431</v>
      </c>
      <c r="I587">
        <v>1</v>
      </c>
    </row>
    <row r="588" spans="2:9" x14ac:dyDescent="0.3">
      <c r="B588" t="s">
        <v>556</v>
      </c>
      <c r="C588" t="s">
        <v>1822</v>
      </c>
      <c r="D588" t="s">
        <v>2658</v>
      </c>
      <c r="E588" s="24">
        <v>36677</v>
      </c>
      <c r="F588">
        <v>2</v>
      </c>
      <c r="G588">
        <v>1</v>
      </c>
      <c r="H588" t="s">
        <v>3432</v>
      </c>
      <c r="I588">
        <v>2</v>
      </c>
    </row>
    <row r="589" spans="2:9" x14ac:dyDescent="0.3">
      <c r="B589" t="s">
        <v>557</v>
      </c>
      <c r="C589" t="s">
        <v>1823</v>
      </c>
      <c r="D589" t="s">
        <v>2658</v>
      </c>
      <c r="E589" s="24">
        <v>38596</v>
      </c>
      <c r="F589">
        <v>2</v>
      </c>
      <c r="G589">
        <v>1</v>
      </c>
      <c r="H589" t="s">
        <v>3433</v>
      </c>
      <c r="I589">
        <v>2</v>
      </c>
    </row>
    <row r="590" spans="2:9" x14ac:dyDescent="0.3">
      <c r="B590" t="s">
        <v>558</v>
      </c>
      <c r="C590" t="s">
        <v>1824</v>
      </c>
      <c r="D590" t="s">
        <v>2658</v>
      </c>
      <c r="E590" s="24">
        <v>39120</v>
      </c>
      <c r="F590">
        <v>10</v>
      </c>
      <c r="G590">
        <v>1</v>
      </c>
      <c r="H590" t="s">
        <v>3434</v>
      </c>
      <c r="I590">
        <v>10</v>
      </c>
    </row>
    <row r="591" spans="2:9" x14ac:dyDescent="0.3">
      <c r="B591" t="s">
        <v>1309</v>
      </c>
      <c r="C591" t="s">
        <v>1825</v>
      </c>
      <c r="D591" t="s">
        <v>2658</v>
      </c>
      <c r="E591" s="24">
        <v>42874</v>
      </c>
      <c r="F591">
        <v>10</v>
      </c>
      <c r="G591">
        <v>1</v>
      </c>
      <c r="H591" t="s">
        <v>3435</v>
      </c>
      <c r="I591">
        <v>10</v>
      </c>
    </row>
    <row r="592" spans="2:9" x14ac:dyDescent="0.3">
      <c r="B592" t="s">
        <v>559</v>
      </c>
      <c r="C592" t="s">
        <v>1828</v>
      </c>
      <c r="D592" t="s">
        <v>2658</v>
      </c>
      <c r="E592" s="24">
        <v>39164</v>
      </c>
      <c r="F592">
        <v>2</v>
      </c>
      <c r="G592">
        <v>1</v>
      </c>
      <c r="H592" t="s">
        <v>3436</v>
      </c>
      <c r="I592">
        <v>2</v>
      </c>
    </row>
    <row r="593" spans="2:9" x14ac:dyDescent="0.3">
      <c r="B593" t="s">
        <v>62</v>
      </c>
      <c r="C593" t="s">
        <v>1829</v>
      </c>
      <c r="D593" t="s">
        <v>2658</v>
      </c>
      <c r="E593" s="24">
        <v>41478</v>
      </c>
      <c r="F593">
        <v>2</v>
      </c>
      <c r="G593">
        <v>1</v>
      </c>
      <c r="H593" t="s">
        <v>3437</v>
      </c>
      <c r="I593">
        <v>2</v>
      </c>
    </row>
    <row r="594" spans="2:9" x14ac:dyDescent="0.3">
      <c r="B594" t="s">
        <v>3438</v>
      </c>
      <c r="C594" t="s">
        <v>3439</v>
      </c>
      <c r="D594" t="s">
        <v>2658</v>
      </c>
      <c r="E594" s="24">
        <v>39540</v>
      </c>
      <c r="F594">
        <v>2</v>
      </c>
      <c r="G594">
        <v>1</v>
      </c>
      <c r="H594" t="s">
        <v>3440</v>
      </c>
      <c r="I594">
        <v>2</v>
      </c>
    </row>
    <row r="595" spans="2:9" x14ac:dyDescent="0.3">
      <c r="B595" t="s">
        <v>112</v>
      </c>
      <c r="C595" t="s">
        <v>1830</v>
      </c>
      <c r="D595" t="s">
        <v>2658</v>
      </c>
      <c r="E595" s="24">
        <v>35690</v>
      </c>
      <c r="F595">
        <v>2</v>
      </c>
      <c r="G595">
        <v>1</v>
      </c>
      <c r="H595" t="s">
        <v>3441</v>
      </c>
      <c r="I595">
        <v>2</v>
      </c>
    </row>
    <row r="596" spans="2:9" x14ac:dyDescent="0.3">
      <c r="B596" t="s">
        <v>3442</v>
      </c>
      <c r="C596" t="s">
        <v>3443</v>
      </c>
      <c r="D596" t="s">
        <v>2658</v>
      </c>
      <c r="E596" s="24">
        <v>42642</v>
      </c>
      <c r="F596">
        <v>10</v>
      </c>
      <c r="G596">
        <v>1</v>
      </c>
      <c r="H596" t="s">
        <v>3444</v>
      </c>
      <c r="I596">
        <v>10</v>
      </c>
    </row>
    <row r="597" spans="2:9" x14ac:dyDescent="0.3">
      <c r="B597" t="s">
        <v>560</v>
      </c>
      <c r="C597" t="s">
        <v>1831</v>
      </c>
      <c r="D597" t="s">
        <v>2658</v>
      </c>
      <c r="E597" s="24">
        <v>38607</v>
      </c>
      <c r="F597">
        <v>2</v>
      </c>
      <c r="G597">
        <v>1</v>
      </c>
      <c r="H597" t="s">
        <v>3445</v>
      </c>
      <c r="I597">
        <v>2</v>
      </c>
    </row>
    <row r="598" spans="2:9" x14ac:dyDescent="0.3">
      <c r="B598" t="s">
        <v>561</v>
      </c>
      <c r="C598" t="s">
        <v>1832</v>
      </c>
      <c r="D598" t="s">
        <v>2658</v>
      </c>
      <c r="E598" s="24">
        <v>39185</v>
      </c>
      <c r="F598">
        <v>10</v>
      </c>
      <c r="G598">
        <v>1</v>
      </c>
      <c r="H598" t="s">
        <v>3446</v>
      </c>
      <c r="I598">
        <v>10</v>
      </c>
    </row>
    <row r="599" spans="2:9" x14ac:dyDescent="0.3">
      <c r="B599" t="s">
        <v>562</v>
      </c>
      <c r="C599" t="s">
        <v>1833</v>
      </c>
      <c r="D599" t="s">
        <v>2658</v>
      </c>
      <c r="E599" s="24">
        <v>38988</v>
      </c>
      <c r="F599">
        <v>2</v>
      </c>
      <c r="G599">
        <v>1</v>
      </c>
      <c r="H599" t="s">
        <v>3447</v>
      </c>
      <c r="I599">
        <v>2</v>
      </c>
    </row>
    <row r="600" spans="2:9" x14ac:dyDescent="0.3">
      <c r="B600" t="s">
        <v>18</v>
      </c>
      <c r="C600" t="s">
        <v>1834</v>
      </c>
      <c r="D600" t="s">
        <v>2658</v>
      </c>
      <c r="E600" s="24">
        <v>34962</v>
      </c>
      <c r="F600">
        <v>10</v>
      </c>
      <c r="G600">
        <v>1</v>
      </c>
      <c r="H600" t="s">
        <v>3448</v>
      </c>
      <c r="I600">
        <v>10</v>
      </c>
    </row>
    <row r="601" spans="2:9" x14ac:dyDescent="0.3">
      <c r="B601" t="s">
        <v>563</v>
      </c>
      <c r="C601" t="s">
        <v>1835</v>
      </c>
      <c r="D601" t="s">
        <v>2658</v>
      </c>
      <c r="E601" s="24">
        <v>39150</v>
      </c>
      <c r="F601">
        <v>10</v>
      </c>
      <c r="G601">
        <v>1</v>
      </c>
      <c r="H601" t="s">
        <v>3449</v>
      </c>
      <c r="I601">
        <v>10</v>
      </c>
    </row>
    <row r="602" spans="2:9" x14ac:dyDescent="0.3">
      <c r="B602" t="s">
        <v>564</v>
      </c>
      <c r="C602" t="s">
        <v>1836</v>
      </c>
      <c r="D602" t="s">
        <v>2658</v>
      </c>
      <c r="E602" s="24">
        <v>38576</v>
      </c>
      <c r="F602">
        <v>10</v>
      </c>
      <c r="G602">
        <v>1</v>
      </c>
      <c r="H602" t="s">
        <v>3450</v>
      </c>
      <c r="I602">
        <v>10</v>
      </c>
    </row>
    <row r="603" spans="2:9" x14ac:dyDescent="0.3">
      <c r="B603" t="s">
        <v>564</v>
      </c>
      <c r="C603" t="s">
        <v>1836</v>
      </c>
      <c r="D603" t="s">
        <v>3173</v>
      </c>
      <c r="E603" s="24">
        <v>38576</v>
      </c>
      <c r="F603">
        <v>10</v>
      </c>
      <c r="G603">
        <v>1</v>
      </c>
      <c r="H603" t="s">
        <v>3450</v>
      </c>
      <c r="I603">
        <v>10</v>
      </c>
    </row>
    <row r="604" spans="2:9" x14ac:dyDescent="0.3">
      <c r="B604" t="s">
        <v>3451</v>
      </c>
      <c r="C604" t="s">
        <v>3452</v>
      </c>
      <c r="D604" t="s">
        <v>2658</v>
      </c>
      <c r="E604" s="24">
        <v>42314</v>
      </c>
      <c r="F604">
        <v>10</v>
      </c>
      <c r="G604">
        <v>1</v>
      </c>
      <c r="H604" t="s">
        <v>3453</v>
      </c>
      <c r="I604">
        <v>10</v>
      </c>
    </row>
    <row r="605" spans="2:9" x14ac:dyDescent="0.3">
      <c r="B605" t="s">
        <v>565</v>
      </c>
      <c r="C605" t="s">
        <v>1837</v>
      </c>
      <c r="D605" t="s">
        <v>2658</v>
      </c>
      <c r="E605" s="24">
        <v>35158</v>
      </c>
      <c r="F605">
        <v>10</v>
      </c>
      <c r="G605">
        <v>1</v>
      </c>
      <c r="H605" t="s">
        <v>3454</v>
      </c>
      <c r="I605">
        <v>10</v>
      </c>
    </row>
    <row r="606" spans="2:9" x14ac:dyDescent="0.3">
      <c r="B606" t="s">
        <v>566</v>
      </c>
      <c r="C606" t="s">
        <v>1838</v>
      </c>
      <c r="D606" t="s">
        <v>2658</v>
      </c>
      <c r="E606" s="24">
        <v>34787</v>
      </c>
      <c r="F606">
        <v>10</v>
      </c>
      <c r="G606">
        <v>1</v>
      </c>
      <c r="H606" t="s">
        <v>3455</v>
      </c>
      <c r="I606">
        <v>10</v>
      </c>
    </row>
    <row r="607" spans="2:9" x14ac:dyDescent="0.3">
      <c r="B607" t="s">
        <v>19</v>
      </c>
      <c r="C607" t="s">
        <v>1839</v>
      </c>
      <c r="D607" t="s">
        <v>2658</v>
      </c>
      <c r="E607" s="24">
        <v>34815</v>
      </c>
      <c r="F607">
        <v>10</v>
      </c>
      <c r="G607">
        <v>1</v>
      </c>
      <c r="H607" t="s">
        <v>3456</v>
      </c>
      <c r="I607">
        <v>10</v>
      </c>
    </row>
    <row r="608" spans="2:9" x14ac:dyDescent="0.3">
      <c r="B608" t="s">
        <v>567</v>
      </c>
      <c r="C608" t="s">
        <v>1840</v>
      </c>
      <c r="D608" t="s">
        <v>2658</v>
      </c>
      <c r="E608" s="24">
        <v>37994</v>
      </c>
      <c r="F608">
        <v>10</v>
      </c>
      <c r="G608">
        <v>1</v>
      </c>
      <c r="H608" t="s">
        <v>3457</v>
      </c>
      <c r="I608">
        <v>10</v>
      </c>
    </row>
    <row r="609" spans="2:9" x14ac:dyDescent="0.3">
      <c r="B609" t="s">
        <v>568</v>
      </c>
      <c r="C609" t="s">
        <v>1841</v>
      </c>
      <c r="D609" t="s">
        <v>2658</v>
      </c>
      <c r="E609" s="24">
        <v>37903</v>
      </c>
      <c r="F609">
        <v>10</v>
      </c>
      <c r="G609">
        <v>1</v>
      </c>
      <c r="H609" t="s">
        <v>3458</v>
      </c>
      <c r="I609">
        <v>10</v>
      </c>
    </row>
    <row r="610" spans="2:9" x14ac:dyDescent="0.3">
      <c r="B610" t="s">
        <v>20</v>
      </c>
      <c r="C610" t="s">
        <v>1842</v>
      </c>
      <c r="D610" t="s">
        <v>2658</v>
      </c>
      <c r="E610" s="24">
        <v>37981</v>
      </c>
      <c r="F610">
        <v>10</v>
      </c>
      <c r="G610">
        <v>1</v>
      </c>
      <c r="H610" t="s">
        <v>3459</v>
      </c>
      <c r="I610">
        <v>10</v>
      </c>
    </row>
    <row r="611" spans="2:9" x14ac:dyDescent="0.3">
      <c r="B611" t="s">
        <v>20</v>
      </c>
      <c r="C611" t="s">
        <v>1842</v>
      </c>
      <c r="D611" t="s">
        <v>3173</v>
      </c>
      <c r="E611" s="24">
        <v>37981</v>
      </c>
      <c r="F611">
        <v>10</v>
      </c>
      <c r="G611">
        <v>1</v>
      </c>
      <c r="H611" t="s">
        <v>3459</v>
      </c>
      <c r="I611">
        <v>10</v>
      </c>
    </row>
    <row r="612" spans="2:9" x14ac:dyDescent="0.3">
      <c r="B612" t="s">
        <v>569</v>
      </c>
      <c r="C612" t="s">
        <v>1843</v>
      </c>
      <c r="D612" t="s">
        <v>2658</v>
      </c>
      <c r="E612" s="24">
        <v>39111</v>
      </c>
      <c r="F612">
        <v>10</v>
      </c>
      <c r="G612">
        <v>1</v>
      </c>
      <c r="H612" t="s">
        <v>3460</v>
      </c>
      <c r="I612">
        <v>10</v>
      </c>
    </row>
    <row r="613" spans="2:9" x14ac:dyDescent="0.3">
      <c r="B613" t="s">
        <v>570</v>
      </c>
      <c r="C613" t="s">
        <v>1844</v>
      </c>
      <c r="D613" t="s">
        <v>2658</v>
      </c>
      <c r="E613" s="24">
        <v>38489</v>
      </c>
      <c r="F613">
        <v>2</v>
      </c>
      <c r="G613">
        <v>1</v>
      </c>
      <c r="H613" t="s">
        <v>3461</v>
      </c>
      <c r="I613">
        <v>2</v>
      </c>
    </row>
    <row r="614" spans="2:9" x14ac:dyDescent="0.3">
      <c r="B614" t="s">
        <v>571</v>
      </c>
      <c r="C614" t="s">
        <v>1845</v>
      </c>
      <c r="D614" t="s">
        <v>2658</v>
      </c>
      <c r="E614" s="24">
        <v>40407</v>
      </c>
      <c r="F614">
        <v>10</v>
      </c>
      <c r="G614">
        <v>1</v>
      </c>
      <c r="H614" t="s">
        <v>3462</v>
      </c>
      <c r="I614">
        <v>10</v>
      </c>
    </row>
    <row r="615" spans="2:9" x14ac:dyDescent="0.3">
      <c r="B615" t="s">
        <v>572</v>
      </c>
      <c r="C615" t="s">
        <v>1846</v>
      </c>
      <c r="D615" t="s">
        <v>2658</v>
      </c>
      <c r="E615" s="24">
        <v>39380</v>
      </c>
      <c r="F615">
        <v>10</v>
      </c>
      <c r="G615">
        <v>1</v>
      </c>
      <c r="H615" t="s">
        <v>3463</v>
      </c>
      <c r="I615">
        <v>10</v>
      </c>
    </row>
    <row r="616" spans="2:9" x14ac:dyDescent="0.3">
      <c r="B616" t="s">
        <v>573</v>
      </c>
      <c r="C616" t="s">
        <v>1847</v>
      </c>
      <c r="D616" t="s">
        <v>2658</v>
      </c>
      <c r="E616" s="24">
        <v>40267</v>
      </c>
      <c r="F616">
        <v>10</v>
      </c>
      <c r="G616">
        <v>1</v>
      </c>
      <c r="H616" t="s">
        <v>3464</v>
      </c>
      <c r="I616">
        <v>10</v>
      </c>
    </row>
    <row r="617" spans="2:9" x14ac:dyDescent="0.3">
      <c r="B617" t="s">
        <v>574</v>
      </c>
      <c r="C617" t="s">
        <v>1848</v>
      </c>
      <c r="D617" t="s">
        <v>2658</v>
      </c>
      <c r="E617" s="24">
        <v>40382</v>
      </c>
      <c r="F617">
        <v>10</v>
      </c>
      <c r="G617">
        <v>1</v>
      </c>
      <c r="H617" t="s">
        <v>3465</v>
      </c>
      <c r="I617">
        <v>10</v>
      </c>
    </row>
    <row r="618" spans="2:9" x14ac:dyDescent="0.3">
      <c r="B618" t="s">
        <v>575</v>
      </c>
      <c r="C618" t="s">
        <v>1849</v>
      </c>
      <c r="D618" t="s">
        <v>2658</v>
      </c>
      <c r="E618" s="24">
        <v>38632</v>
      </c>
      <c r="F618">
        <v>10</v>
      </c>
      <c r="G618">
        <v>1</v>
      </c>
      <c r="H618" t="s">
        <v>3466</v>
      </c>
      <c r="I618">
        <v>10</v>
      </c>
    </row>
    <row r="619" spans="2:9" x14ac:dyDescent="0.3">
      <c r="B619" t="s">
        <v>576</v>
      </c>
      <c r="C619" t="s">
        <v>1850</v>
      </c>
      <c r="D619" t="s">
        <v>2658</v>
      </c>
      <c r="E619" s="24">
        <v>38386</v>
      </c>
      <c r="F619">
        <v>10</v>
      </c>
      <c r="G619">
        <v>1</v>
      </c>
      <c r="H619" t="s">
        <v>3467</v>
      </c>
      <c r="I619">
        <v>10</v>
      </c>
    </row>
    <row r="620" spans="2:9" x14ac:dyDescent="0.3">
      <c r="B620" t="s">
        <v>577</v>
      </c>
      <c r="C620" t="s">
        <v>1851</v>
      </c>
      <c r="D620" t="s">
        <v>2658</v>
      </c>
      <c r="E620" s="24">
        <v>39729</v>
      </c>
      <c r="F620">
        <v>10</v>
      </c>
      <c r="G620">
        <v>1</v>
      </c>
      <c r="H620" t="s">
        <v>3468</v>
      </c>
      <c r="I620">
        <v>10</v>
      </c>
    </row>
    <row r="621" spans="2:9" x14ac:dyDescent="0.3">
      <c r="B621" t="s">
        <v>63</v>
      </c>
      <c r="C621" t="s">
        <v>1852</v>
      </c>
      <c r="D621" t="s">
        <v>2658</v>
      </c>
      <c r="E621" s="24">
        <v>35249</v>
      </c>
      <c r="F621">
        <v>1</v>
      </c>
      <c r="G621">
        <v>1</v>
      </c>
      <c r="H621" t="s">
        <v>3469</v>
      </c>
      <c r="I621">
        <v>1</v>
      </c>
    </row>
    <row r="622" spans="2:9" x14ac:dyDescent="0.3">
      <c r="B622" t="s">
        <v>578</v>
      </c>
      <c r="C622" t="s">
        <v>1853</v>
      </c>
      <c r="D622" t="s">
        <v>2658</v>
      </c>
      <c r="E622" s="24">
        <v>36677</v>
      </c>
      <c r="F622">
        <v>10</v>
      </c>
      <c r="G622">
        <v>1</v>
      </c>
      <c r="H622" t="s">
        <v>3470</v>
      </c>
      <c r="I622">
        <v>10</v>
      </c>
    </row>
    <row r="623" spans="2:9" x14ac:dyDescent="0.3">
      <c r="B623" t="s">
        <v>579</v>
      </c>
      <c r="C623" t="s">
        <v>1854</v>
      </c>
      <c r="D623" t="s">
        <v>2658</v>
      </c>
      <c r="E623" s="24">
        <v>38534</v>
      </c>
      <c r="F623">
        <v>10</v>
      </c>
      <c r="G623">
        <v>1</v>
      </c>
      <c r="H623" t="s">
        <v>3471</v>
      </c>
      <c r="I623">
        <v>10</v>
      </c>
    </row>
    <row r="624" spans="2:9" x14ac:dyDescent="0.3">
      <c r="B624" t="s">
        <v>580</v>
      </c>
      <c r="C624" t="s">
        <v>1855</v>
      </c>
      <c r="D624" t="s">
        <v>2658</v>
      </c>
      <c r="E624" s="24">
        <v>39142</v>
      </c>
      <c r="F624">
        <v>10</v>
      </c>
      <c r="G624">
        <v>1</v>
      </c>
      <c r="H624" t="s">
        <v>3472</v>
      </c>
      <c r="I624">
        <v>10</v>
      </c>
    </row>
    <row r="625" spans="2:9" x14ac:dyDescent="0.3">
      <c r="B625" t="s">
        <v>581</v>
      </c>
      <c r="C625" t="s">
        <v>1856</v>
      </c>
      <c r="D625" t="s">
        <v>2658</v>
      </c>
      <c r="E625" s="24">
        <v>35438</v>
      </c>
      <c r="F625">
        <v>10</v>
      </c>
      <c r="G625">
        <v>1</v>
      </c>
      <c r="H625" t="s">
        <v>3473</v>
      </c>
      <c r="I625">
        <v>10</v>
      </c>
    </row>
    <row r="626" spans="2:9" x14ac:dyDescent="0.3">
      <c r="B626" t="s">
        <v>582</v>
      </c>
      <c r="C626" t="s">
        <v>1857</v>
      </c>
      <c r="D626" t="s">
        <v>2658</v>
      </c>
      <c r="E626" s="24">
        <v>34941</v>
      </c>
      <c r="F626">
        <v>2</v>
      </c>
      <c r="G626">
        <v>1</v>
      </c>
      <c r="H626" t="s">
        <v>3474</v>
      </c>
      <c r="I626">
        <v>2</v>
      </c>
    </row>
    <row r="627" spans="2:9" x14ac:dyDescent="0.3">
      <c r="B627" t="s">
        <v>3475</v>
      </c>
      <c r="C627" t="s">
        <v>3476</v>
      </c>
      <c r="D627" t="s">
        <v>2658</v>
      </c>
      <c r="E627" s="24">
        <v>42318</v>
      </c>
      <c r="F627">
        <v>10</v>
      </c>
      <c r="G627">
        <v>1</v>
      </c>
      <c r="H627" t="s">
        <v>3477</v>
      </c>
      <c r="I627">
        <v>10</v>
      </c>
    </row>
    <row r="628" spans="2:9" x14ac:dyDescent="0.3">
      <c r="B628" t="s">
        <v>583</v>
      </c>
      <c r="C628" t="s">
        <v>1858</v>
      </c>
      <c r="D628" t="s">
        <v>2658</v>
      </c>
      <c r="E628" s="24">
        <v>35074</v>
      </c>
      <c r="F628">
        <v>10</v>
      </c>
      <c r="G628">
        <v>1</v>
      </c>
      <c r="H628" t="s">
        <v>3478</v>
      </c>
      <c r="I628">
        <v>10</v>
      </c>
    </row>
    <row r="629" spans="2:9" x14ac:dyDescent="0.3">
      <c r="B629" t="s">
        <v>584</v>
      </c>
      <c r="C629" t="s">
        <v>1859</v>
      </c>
      <c r="D629" t="s">
        <v>2658</v>
      </c>
      <c r="E629" s="24">
        <v>35557</v>
      </c>
      <c r="F629">
        <v>10</v>
      </c>
      <c r="G629">
        <v>1</v>
      </c>
      <c r="H629" t="s">
        <v>3479</v>
      </c>
      <c r="I629">
        <v>10</v>
      </c>
    </row>
    <row r="630" spans="2:9" x14ac:dyDescent="0.3">
      <c r="B630" t="s">
        <v>585</v>
      </c>
      <c r="C630" t="s">
        <v>1860</v>
      </c>
      <c r="D630" t="s">
        <v>2658</v>
      </c>
      <c r="E630" s="24">
        <v>38366</v>
      </c>
      <c r="F630">
        <v>2</v>
      </c>
      <c r="G630">
        <v>1</v>
      </c>
      <c r="H630" t="s">
        <v>3480</v>
      </c>
      <c r="I630">
        <v>2</v>
      </c>
    </row>
    <row r="631" spans="2:9" x14ac:dyDescent="0.3">
      <c r="B631" t="s">
        <v>586</v>
      </c>
      <c r="C631" t="s">
        <v>1861</v>
      </c>
      <c r="D631" t="s">
        <v>2658</v>
      </c>
      <c r="E631" s="24">
        <v>37792</v>
      </c>
      <c r="F631">
        <v>10</v>
      </c>
      <c r="G631">
        <v>1</v>
      </c>
      <c r="H631" t="s">
        <v>3481</v>
      </c>
      <c r="I631">
        <v>10</v>
      </c>
    </row>
    <row r="632" spans="2:9" x14ac:dyDescent="0.3">
      <c r="B632" t="s">
        <v>587</v>
      </c>
      <c r="C632" t="s">
        <v>1862</v>
      </c>
      <c r="D632" t="s">
        <v>2658</v>
      </c>
      <c r="E632" s="24">
        <v>40450</v>
      </c>
      <c r="F632">
        <v>10</v>
      </c>
      <c r="G632">
        <v>1</v>
      </c>
      <c r="H632" t="s">
        <v>3482</v>
      </c>
      <c r="I632">
        <v>10</v>
      </c>
    </row>
    <row r="633" spans="2:9" x14ac:dyDescent="0.3">
      <c r="B633" t="s">
        <v>588</v>
      </c>
      <c r="C633" t="s">
        <v>1863</v>
      </c>
      <c r="D633" t="s">
        <v>2658</v>
      </c>
      <c r="E633" s="24">
        <v>38792</v>
      </c>
      <c r="F633">
        <v>10</v>
      </c>
      <c r="G633">
        <v>1</v>
      </c>
      <c r="H633" t="s">
        <v>3483</v>
      </c>
      <c r="I633">
        <v>10</v>
      </c>
    </row>
    <row r="634" spans="2:9" x14ac:dyDescent="0.3">
      <c r="B634" t="s">
        <v>589</v>
      </c>
      <c r="C634" t="s">
        <v>1864</v>
      </c>
      <c r="D634" t="s">
        <v>2658</v>
      </c>
      <c r="E634" s="24">
        <v>40849</v>
      </c>
      <c r="F634">
        <v>10</v>
      </c>
      <c r="G634">
        <v>1</v>
      </c>
      <c r="H634" t="s">
        <v>3484</v>
      </c>
      <c r="I634">
        <v>10</v>
      </c>
    </row>
    <row r="635" spans="2:9" x14ac:dyDescent="0.3">
      <c r="B635" t="s">
        <v>590</v>
      </c>
      <c r="C635" t="s">
        <v>1865</v>
      </c>
      <c r="D635" t="s">
        <v>2658</v>
      </c>
      <c r="E635" s="24">
        <v>39339</v>
      </c>
      <c r="F635">
        <v>10</v>
      </c>
      <c r="G635">
        <v>1</v>
      </c>
      <c r="H635" t="s">
        <v>3485</v>
      </c>
      <c r="I635">
        <v>10</v>
      </c>
    </row>
    <row r="636" spans="2:9" x14ac:dyDescent="0.3">
      <c r="B636" t="s">
        <v>591</v>
      </c>
      <c r="C636" t="s">
        <v>1866</v>
      </c>
      <c r="D636" t="s">
        <v>2658</v>
      </c>
      <c r="E636" s="24">
        <v>35537</v>
      </c>
      <c r="F636">
        <v>10</v>
      </c>
      <c r="G636">
        <v>1</v>
      </c>
      <c r="H636" t="s">
        <v>3486</v>
      </c>
      <c r="I636">
        <v>10</v>
      </c>
    </row>
    <row r="637" spans="2:9" x14ac:dyDescent="0.3">
      <c r="B637" t="s">
        <v>592</v>
      </c>
      <c r="C637" t="s">
        <v>1867</v>
      </c>
      <c r="D637" t="s">
        <v>2658</v>
      </c>
      <c r="E637" s="24">
        <v>35613</v>
      </c>
      <c r="F637">
        <v>10</v>
      </c>
      <c r="G637">
        <v>1</v>
      </c>
      <c r="H637" t="s">
        <v>3487</v>
      </c>
      <c r="I637">
        <v>10</v>
      </c>
    </row>
    <row r="638" spans="2:9" x14ac:dyDescent="0.3">
      <c r="B638" t="s">
        <v>593</v>
      </c>
      <c r="C638" t="s">
        <v>1868</v>
      </c>
      <c r="D638" t="s">
        <v>2686</v>
      </c>
      <c r="E638" s="24">
        <v>38278</v>
      </c>
      <c r="F638">
        <v>2</v>
      </c>
      <c r="G638">
        <v>1</v>
      </c>
      <c r="H638" t="s">
        <v>3488</v>
      </c>
      <c r="I638">
        <v>2</v>
      </c>
    </row>
    <row r="639" spans="2:9" x14ac:dyDescent="0.3">
      <c r="B639" t="s">
        <v>594</v>
      </c>
      <c r="C639" t="s">
        <v>1869</v>
      </c>
      <c r="D639" t="s">
        <v>2658</v>
      </c>
      <c r="E639" s="24">
        <v>40613</v>
      </c>
      <c r="F639">
        <v>2</v>
      </c>
      <c r="G639">
        <v>1</v>
      </c>
      <c r="H639" t="s">
        <v>3489</v>
      </c>
      <c r="I639">
        <v>2</v>
      </c>
    </row>
    <row r="640" spans="2:9" x14ac:dyDescent="0.3">
      <c r="B640" t="s">
        <v>595</v>
      </c>
      <c r="C640" t="s">
        <v>1870</v>
      </c>
      <c r="D640" t="s">
        <v>2658</v>
      </c>
      <c r="E640" s="24">
        <v>35823</v>
      </c>
      <c r="F640">
        <v>10</v>
      </c>
      <c r="G640">
        <v>1</v>
      </c>
      <c r="H640" t="s">
        <v>3490</v>
      </c>
      <c r="I640">
        <v>10</v>
      </c>
    </row>
    <row r="641" spans="2:9" x14ac:dyDescent="0.3">
      <c r="B641" t="s">
        <v>3491</v>
      </c>
      <c r="C641" t="s">
        <v>3492</v>
      </c>
      <c r="D641" t="s">
        <v>2658</v>
      </c>
      <c r="E641" s="24">
        <v>34787</v>
      </c>
      <c r="F641">
        <v>10</v>
      </c>
      <c r="G641">
        <v>1</v>
      </c>
      <c r="H641" t="s">
        <v>3493</v>
      </c>
      <c r="I641">
        <v>10</v>
      </c>
    </row>
    <row r="642" spans="2:9" x14ac:dyDescent="0.3">
      <c r="B642" t="s">
        <v>3494</v>
      </c>
      <c r="C642" t="s">
        <v>3495</v>
      </c>
      <c r="D642" t="s">
        <v>2658</v>
      </c>
      <c r="E642" s="24">
        <v>42464</v>
      </c>
      <c r="F642">
        <v>10</v>
      </c>
      <c r="G642">
        <v>1</v>
      </c>
      <c r="H642" t="s">
        <v>3496</v>
      </c>
      <c r="I642">
        <v>10</v>
      </c>
    </row>
    <row r="643" spans="2:9" x14ac:dyDescent="0.3">
      <c r="B643" t="s">
        <v>596</v>
      </c>
      <c r="C643" t="s">
        <v>1871</v>
      </c>
      <c r="D643" t="s">
        <v>2658</v>
      </c>
      <c r="E643" s="24">
        <v>40212</v>
      </c>
      <c r="F643">
        <v>10</v>
      </c>
      <c r="G643">
        <v>1</v>
      </c>
      <c r="H643" t="s">
        <v>3497</v>
      </c>
      <c r="I643">
        <v>10</v>
      </c>
    </row>
    <row r="644" spans="2:9" x14ac:dyDescent="0.3">
      <c r="B644" t="s">
        <v>597</v>
      </c>
      <c r="C644" t="s">
        <v>3498</v>
      </c>
      <c r="D644" t="s">
        <v>2686</v>
      </c>
      <c r="E644" s="24">
        <v>39002</v>
      </c>
      <c r="F644">
        <v>10</v>
      </c>
      <c r="G644">
        <v>1</v>
      </c>
      <c r="H644" t="s">
        <v>3499</v>
      </c>
      <c r="I644">
        <v>10</v>
      </c>
    </row>
    <row r="645" spans="2:9" x14ac:dyDescent="0.3">
      <c r="B645" t="s">
        <v>41</v>
      </c>
      <c r="C645" t="s">
        <v>1872</v>
      </c>
      <c r="D645" t="s">
        <v>2658</v>
      </c>
      <c r="E645" s="24">
        <v>41271</v>
      </c>
      <c r="F645">
        <v>10</v>
      </c>
      <c r="G645">
        <v>1</v>
      </c>
      <c r="H645" t="s">
        <v>3500</v>
      </c>
      <c r="I645">
        <v>10</v>
      </c>
    </row>
    <row r="646" spans="2:9" x14ac:dyDescent="0.3">
      <c r="B646" t="s">
        <v>9</v>
      </c>
      <c r="C646" t="s">
        <v>1873</v>
      </c>
      <c r="D646" t="s">
        <v>2658</v>
      </c>
      <c r="E646" s="24">
        <v>34738</v>
      </c>
      <c r="F646">
        <v>5</v>
      </c>
      <c r="G646">
        <v>1</v>
      </c>
      <c r="H646" t="s">
        <v>3501</v>
      </c>
      <c r="I646">
        <v>5</v>
      </c>
    </row>
    <row r="647" spans="2:9" x14ac:dyDescent="0.3">
      <c r="B647" t="s">
        <v>598</v>
      </c>
      <c r="C647" t="s">
        <v>1874</v>
      </c>
      <c r="D647" t="s">
        <v>2658</v>
      </c>
      <c r="E647" s="24">
        <v>36265</v>
      </c>
      <c r="F647">
        <v>10</v>
      </c>
      <c r="G647">
        <v>1</v>
      </c>
      <c r="H647" t="s">
        <v>3502</v>
      </c>
      <c r="I647">
        <v>10</v>
      </c>
    </row>
    <row r="648" spans="2:9" x14ac:dyDescent="0.3">
      <c r="B648" t="s">
        <v>599</v>
      </c>
      <c r="C648" t="s">
        <v>1875</v>
      </c>
      <c r="D648" t="s">
        <v>2658</v>
      </c>
      <c r="E648" s="24">
        <v>38771</v>
      </c>
      <c r="F648">
        <v>10</v>
      </c>
      <c r="G648">
        <v>1</v>
      </c>
      <c r="H648" t="s">
        <v>3503</v>
      </c>
      <c r="I648">
        <v>10</v>
      </c>
    </row>
    <row r="649" spans="2:9" x14ac:dyDescent="0.3">
      <c r="B649" t="s">
        <v>3504</v>
      </c>
      <c r="C649" t="s">
        <v>3505</v>
      </c>
      <c r="D649" t="s">
        <v>2658</v>
      </c>
      <c r="E649" s="24">
        <v>42103</v>
      </c>
      <c r="F649">
        <v>10</v>
      </c>
      <c r="G649">
        <v>1</v>
      </c>
      <c r="H649" t="s">
        <v>3506</v>
      </c>
      <c r="I649">
        <v>10</v>
      </c>
    </row>
    <row r="650" spans="2:9" x14ac:dyDescent="0.3">
      <c r="B650" t="s">
        <v>600</v>
      </c>
      <c r="C650" t="s">
        <v>1876</v>
      </c>
      <c r="D650" t="s">
        <v>2658</v>
      </c>
      <c r="E650" s="24">
        <v>39232</v>
      </c>
      <c r="F650">
        <v>10</v>
      </c>
      <c r="G650">
        <v>1</v>
      </c>
      <c r="H650" t="s">
        <v>3507</v>
      </c>
      <c r="I650">
        <v>10</v>
      </c>
    </row>
    <row r="651" spans="2:9" x14ac:dyDescent="0.3">
      <c r="B651" t="s">
        <v>1310</v>
      </c>
      <c r="C651" t="s">
        <v>1877</v>
      </c>
      <c r="D651" t="s">
        <v>2686</v>
      </c>
      <c r="E651" s="24">
        <v>41506</v>
      </c>
      <c r="F651">
        <v>3</v>
      </c>
      <c r="G651">
        <v>1</v>
      </c>
      <c r="H651" t="s">
        <v>3508</v>
      </c>
      <c r="I651">
        <v>3</v>
      </c>
    </row>
    <row r="652" spans="2:9" x14ac:dyDescent="0.3">
      <c r="B652" t="s">
        <v>3509</v>
      </c>
      <c r="C652" t="s">
        <v>3510</v>
      </c>
      <c r="D652" t="s">
        <v>2658</v>
      </c>
      <c r="E652" s="24">
        <v>41991</v>
      </c>
      <c r="F652">
        <v>5</v>
      </c>
      <c r="G652">
        <v>1</v>
      </c>
      <c r="H652" t="s">
        <v>3511</v>
      </c>
      <c r="I652">
        <v>5</v>
      </c>
    </row>
    <row r="653" spans="2:9" x14ac:dyDescent="0.3">
      <c r="B653" t="s">
        <v>3512</v>
      </c>
      <c r="C653" t="s">
        <v>3513</v>
      </c>
      <c r="D653" t="s">
        <v>2658</v>
      </c>
      <c r="E653" s="24">
        <v>42817</v>
      </c>
      <c r="F653">
        <v>2</v>
      </c>
      <c r="G653">
        <v>1</v>
      </c>
      <c r="H653" t="s">
        <v>3514</v>
      </c>
      <c r="I653">
        <v>2</v>
      </c>
    </row>
    <row r="654" spans="2:9" x14ac:dyDescent="0.3">
      <c r="B654" t="s">
        <v>601</v>
      </c>
      <c r="C654" t="s">
        <v>1878</v>
      </c>
      <c r="D654" t="s">
        <v>2658</v>
      </c>
      <c r="E654" s="24">
        <v>40759</v>
      </c>
      <c r="F654">
        <v>10</v>
      </c>
      <c r="G654">
        <v>1</v>
      </c>
      <c r="H654" t="s">
        <v>3515</v>
      </c>
      <c r="I654">
        <v>10</v>
      </c>
    </row>
    <row r="655" spans="2:9" x14ac:dyDescent="0.3">
      <c r="B655" t="s">
        <v>602</v>
      </c>
      <c r="C655" t="s">
        <v>1879</v>
      </c>
      <c r="D655" t="s">
        <v>2658</v>
      </c>
      <c r="E655" s="24">
        <v>36867</v>
      </c>
      <c r="F655">
        <v>10</v>
      </c>
      <c r="G655">
        <v>1</v>
      </c>
      <c r="H655" t="s">
        <v>3516</v>
      </c>
      <c r="I655">
        <v>10</v>
      </c>
    </row>
    <row r="656" spans="2:9" x14ac:dyDescent="0.3">
      <c r="B656" t="s">
        <v>64</v>
      </c>
      <c r="C656" t="s">
        <v>1880</v>
      </c>
      <c r="D656" t="s">
        <v>2658</v>
      </c>
      <c r="E656" s="24">
        <v>35270</v>
      </c>
      <c r="F656">
        <v>10</v>
      </c>
      <c r="G656">
        <v>1</v>
      </c>
      <c r="H656" t="s">
        <v>3517</v>
      </c>
      <c r="I656">
        <v>10</v>
      </c>
    </row>
    <row r="657" spans="2:9" x14ac:dyDescent="0.3">
      <c r="B657" t="s">
        <v>603</v>
      </c>
      <c r="C657" t="s">
        <v>1881</v>
      </c>
      <c r="D657" t="s">
        <v>2658</v>
      </c>
      <c r="E657" s="24">
        <v>40490</v>
      </c>
      <c r="F657">
        <v>10</v>
      </c>
      <c r="G657">
        <v>1</v>
      </c>
      <c r="H657" t="s">
        <v>3518</v>
      </c>
      <c r="I657">
        <v>10</v>
      </c>
    </row>
    <row r="658" spans="2:9" x14ac:dyDescent="0.3">
      <c r="B658" t="s">
        <v>604</v>
      </c>
      <c r="C658" t="s">
        <v>1882</v>
      </c>
      <c r="D658" t="s">
        <v>2658</v>
      </c>
      <c r="E658" s="24">
        <v>38120</v>
      </c>
      <c r="F658">
        <v>10</v>
      </c>
      <c r="G658">
        <v>1</v>
      </c>
      <c r="H658" t="s">
        <v>3519</v>
      </c>
      <c r="I658">
        <v>10</v>
      </c>
    </row>
    <row r="659" spans="2:9" x14ac:dyDescent="0.3">
      <c r="B659" t="s">
        <v>65</v>
      </c>
      <c r="C659" t="s">
        <v>1883</v>
      </c>
      <c r="D659" t="s">
        <v>2658</v>
      </c>
      <c r="E659" s="24">
        <v>34738</v>
      </c>
      <c r="F659">
        <v>2</v>
      </c>
      <c r="G659">
        <v>1</v>
      </c>
      <c r="H659" t="s">
        <v>3520</v>
      </c>
      <c r="I659">
        <v>2</v>
      </c>
    </row>
    <row r="660" spans="2:9" x14ac:dyDescent="0.3">
      <c r="B660" t="s">
        <v>21</v>
      </c>
      <c r="C660" t="s">
        <v>1884</v>
      </c>
      <c r="D660" t="s">
        <v>2658</v>
      </c>
      <c r="E660" s="24">
        <v>39503</v>
      </c>
      <c r="F660">
        <v>10</v>
      </c>
      <c r="G660">
        <v>1</v>
      </c>
      <c r="H660" t="s">
        <v>3521</v>
      </c>
      <c r="I660">
        <v>10</v>
      </c>
    </row>
    <row r="661" spans="2:9" x14ac:dyDescent="0.3">
      <c r="B661" t="s">
        <v>605</v>
      </c>
      <c r="C661" t="s">
        <v>1885</v>
      </c>
      <c r="D661" t="s">
        <v>2658</v>
      </c>
      <c r="E661" s="24">
        <v>40280</v>
      </c>
      <c r="F661">
        <v>10</v>
      </c>
      <c r="G661">
        <v>1</v>
      </c>
      <c r="H661" t="s">
        <v>3522</v>
      </c>
      <c r="I661">
        <v>10</v>
      </c>
    </row>
    <row r="662" spans="2:9" x14ac:dyDescent="0.3">
      <c r="B662" t="s">
        <v>606</v>
      </c>
      <c r="C662" t="s">
        <v>1886</v>
      </c>
      <c r="D662" t="s">
        <v>2658</v>
      </c>
      <c r="E662" s="24">
        <v>39322</v>
      </c>
      <c r="F662">
        <v>5</v>
      </c>
      <c r="G662">
        <v>1</v>
      </c>
      <c r="H662" t="s">
        <v>3523</v>
      </c>
      <c r="I662">
        <v>5</v>
      </c>
    </row>
    <row r="663" spans="2:9" x14ac:dyDescent="0.3">
      <c r="B663" t="s">
        <v>607</v>
      </c>
      <c r="C663" t="s">
        <v>1887</v>
      </c>
      <c r="D663" t="s">
        <v>2658</v>
      </c>
      <c r="E663" s="24">
        <v>34934</v>
      </c>
      <c r="F663">
        <v>1</v>
      </c>
      <c r="G663">
        <v>1</v>
      </c>
      <c r="H663" t="s">
        <v>3524</v>
      </c>
      <c r="I663">
        <v>1</v>
      </c>
    </row>
    <row r="664" spans="2:9" x14ac:dyDescent="0.3">
      <c r="B664" t="s">
        <v>3525</v>
      </c>
      <c r="C664" t="s">
        <v>3526</v>
      </c>
      <c r="D664" t="s">
        <v>2658</v>
      </c>
      <c r="E664" s="24">
        <v>42734</v>
      </c>
      <c r="F664">
        <v>10</v>
      </c>
      <c r="G664">
        <v>1</v>
      </c>
      <c r="H664" t="s">
        <v>3527</v>
      </c>
      <c r="I664">
        <v>10</v>
      </c>
    </row>
    <row r="665" spans="2:9" x14ac:dyDescent="0.3">
      <c r="B665" t="s">
        <v>608</v>
      </c>
      <c r="C665" t="s">
        <v>1888</v>
      </c>
      <c r="D665" t="s">
        <v>2658</v>
      </c>
      <c r="E665" s="24">
        <v>36201</v>
      </c>
      <c r="F665">
        <v>1</v>
      </c>
      <c r="G665">
        <v>1</v>
      </c>
      <c r="H665" t="s">
        <v>3528</v>
      </c>
      <c r="I665">
        <v>1</v>
      </c>
    </row>
    <row r="666" spans="2:9" x14ac:dyDescent="0.3">
      <c r="B666" t="s">
        <v>609</v>
      </c>
      <c r="C666" t="s">
        <v>1889</v>
      </c>
      <c r="D666" t="s">
        <v>2658</v>
      </c>
      <c r="E666" s="24">
        <v>37879</v>
      </c>
      <c r="F666">
        <v>10</v>
      </c>
      <c r="G666">
        <v>1</v>
      </c>
      <c r="H666" t="s">
        <v>3529</v>
      </c>
      <c r="I666">
        <v>10</v>
      </c>
    </row>
    <row r="667" spans="2:9" x14ac:dyDescent="0.3">
      <c r="B667" t="s">
        <v>610</v>
      </c>
      <c r="C667" t="s">
        <v>1890</v>
      </c>
      <c r="D667" t="s">
        <v>2658</v>
      </c>
      <c r="E667" s="24">
        <v>36418</v>
      </c>
      <c r="F667">
        <v>2</v>
      </c>
      <c r="G667">
        <v>1</v>
      </c>
      <c r="H667" t="s">
        <v>3530</v>
      </c>
      <c r="I667">
        <v>2</v>
      </c>
    </row>
    <row r="668" spans="2:9" x14ac:dyDescent="0.3">
      <c r="B668" t="s">
        <v>611</v>
      </c>
      <c r="C668" t="s">
        <v>1891</v>
      </c>
      <c r="D668" t="s">
        <v>2658</v>
      </c>
      <c r="E668" s="24">
        <v>34955</v>
      </c>
      <c r="F668">
        <v>10</v>
      </c>
      <c r="G668">
        <v>1</v>
      </c>
      <c r="H668" t="s">
        <v>3531</v>
      </c>
      <c r="I668">
        <v>10</v>
      </c>
    </row>
    <row r="669" spans="2:9" x14ac:dyDescent="0.3">
      <c r="B669" t="s">
        <v>612</v>
      </c>
      <c r="C669" t="s">
        <v>1892</v>
      </c>
      <c r="D669" t="s">
        <v>2658</v>
      </c>
      <c r="E669" s="24">
        <v>36593</v>
      </c>
      <c r="F669">
        <v>2</v>
      </c>
      <c r="G669">
        <v>1</v>
      </c>
      <c r="H669" t="s">
        <v>3532</v>
      </c>
      <c r="I669">
        <v>2</v>
      </c>
    </row>
    <row r="670" spans="2:9" x14ac:dyDescent="0.3">
      <c r="B670" t="s">
        <v>3533</v>
      </c>
      <c r="C670" t="s">
        <v>3534</v>
      </c>
      <c r="D670" t="s">
        <v>2658</v>
      </c>
      <c r="E670" s="24">
        <v>39118</v>
      </c>
      <c r="F670">
        <v>10</v>
      </c>
      <c r="G670">
        <v>1</v>
      </c>
      <c r="H670" t="s">
        <v>3535</v>
      </c>
      <c r="I670">
        <v>10</v>
      </c>
    </row>
    <row r="671" spans="2:9" x14ac:dyDescent="0.3">
      <c r="B671" t="s">
        <v>69</v>
      </c>
      <c r="C671" t="s">
        <v>1893</v>
      </c>
      <c r="D671" t="s">
        <v>2658</v>
      </c>
      <c r="E671" s="24">
        <v>35998</v>
      </c>
      <c r="F671">
        <v>1</v>
      </c>
      <c r="G671">
        <v>1</v>
      </c>
      <c r="H671" t="s">
        <v>3536</v>
      </c>
      <c r="I671">
        <v>1</v>
      </c>
    </row>
    <row r="672" spans="2:9" x14ac:dyDescent="0.3">
      <c r="B672" t="s">
        <v>613</v>
      </c>
      <c r="C672" t="s">
        <v>1894</v>
      </c>
      <c r="D672" t="s">
        <v>2658</v>
      </c>
      <c r="E672" s="24">
        <v>38770</v>
      </c>
      <c r="F672">
        <v>2</v>
      </c>
      <c r="G672">
        <v>1</v>
      </c>
      <c r="H672" t="s">
        <v>3537</v>
      </c>
      <c r="I672">
        <v>2</v>
      </c>
    </row>
    <row r="673" spans="2:9" x14ac:dyDescent="0.3">
      <c r="B673" t="s">
        <v>614</v>
      </c>
      <c r="C673" t="s">
        <v>1895</v>
      </c>
      <c r="D673" t="s">
        <v>2658</v>
      </c>
      <c r="E673" s="24">
        <v>36586</v>
      </c>
      <c r="F673">
        <v>5</v>
      </c>
      <c r="G673">
        <v>1</v>
      </c>
      <c r="H673" t="s">
        <v>3538</v>
      </c>
      <c r="I673">
        <v>5</v>
      </c>
    </row>
    <row r="674" spans="2:9" x14ac:dyDescent="0.3">
      <c r="B674" t="s">
        <v>615</v>
      </c>
      <c r="C674" t="s">
        <v>1896</v>
      </c>
      <c r="D674" t="s">
        <v>2658</v>
      </c>
      <c r="E674" s="24">
        <v>37964</v>
      </c>
      <c r="F674">
        <v>10</v>
      </c>
      <c r="G674">
        <v>1</v>
      </c>
      <c r="H674" t="s">
        <v>3539</v>
      </c>
      <c r="I674">
        <v>10</v>
      </c>
    </row>
    <row r="675" spans="2:9" x14ac:dyDescent="0.3">
      <c r="B675" t="s">
        <v>616</v>
      </c>
      <c r="C675" t="s">
        <v>1897</v>
      </c>
      <c r="D675" t="s">
        <v>2658</v>
      </c>
      <c r="E675" s="24">
        <v>35760</v>
      </c>
      <c r="F675">
        <v>1</v>
      </c>
      <c r="G675">
        <v>1</v>
      </c>
      <c r="H675" t="s">
        <v>3540</v>
      </c>
      <c r="I675">
        <v>1</v>
      </c>
    </row>
    <row r="676" spans="2:9" x14ac:dyDescent="0.3">
      <c r="B676" t="s">
        <v>617</v>
      </c>
      <c r="C676" t="s">
        <v>1898</v>
      </c>
      <c r="D676" t="s">
        <v>2658</v>
      </c>
      <c r="E676" s="24">
        <v>40968</v>
      </c>
      <c r="F676">
        <v>10</v>
      </c>
      <c r="G676">
        <v>1</v>
      </c>
      <c r="H676" t="s">
        <v>3541</v>
      </c>
      <c r="I676">
        <v>10</v>
      </c>
    </row>
    <row r="677" spans="2:9" x14ac:dyDescent="0.3">
      <c r="B677" t="s">
        <v>1311</v>
      </c>
      <c r="C677" t="s">
        <v>1899</v>
      </c>
      <c r="D677" t="s">
        <v>2686</v>
      </c>
      <c r="E677" s="24">
        <v>36691</v>
      </c>
      <c r="F677">
        <v>10</v>
      </c>
      <c r="G677">
        <v>1</v>
      </c>
      <c r="H677" t="s">
        <v>3542</v>
      </c>
      <c r="I677">
        <v>10</v>
      </c>
    </row>
    <row r="678" spans="2:9" x14ac:dyDescent="0.3">
      <c r="B678" t="s">
        <v>618</v>
      </c>
      <c r="C678" t="s">
        <v>1900</v>
      </c>
      <c r="D678" t="s">
        <v>2658</v>
      </c>
      <c r="E678" s="24">
        <v>40522</v>
      </c>
      <c r="F678">
        <v>5</v>
      </c>
      <c r="G678">
        <v>1</v>
      </c>
      <c r="H678" t="s">
        <v>3543</v>
      </c>
      <c r="I678">
        <v>5</v>
      </c>
    </row>
    <row r="679" spans="2:9" x14ac:dyDescent="0.3">
      <c r="B679" t="s">
        <v>619</v>
      </c>
      <c r="C679" t="s">
        <v>1901</v>
      </c>
      <c r="D679" t="s">
        <v>2658</v>
      </c>
      <c r="E679" s="24">
        <v>35172</v>
      </c>
      <c r="F679">
        <v>5</v>
      </c>
      <c r="G679">
        <v>1</v>
      </c>
      <c r="H679" t="s">
        <v>3544</v>
      </c>
      <c r="I679">
        <v>5</v>
      </c>
    </row>
    <row r="680" spans="2:9" x14ac:dyDescent="0.3">
      <c r="B680" t="s">
        <v>620</v>
      </c>
      <c r="C680" t="s">
        <v>1902</v>
      </c>
      <c r="D680" t="s">
        <v>2658</v>
      </c>
      <c r="E680" s="24">
        <v>35067</v>
      </c>
      <c r="F680">
        <v>5</v>
      </c>
      <c r="G680">
        <v>1</v>
      </c>
      <c r="H680" t="s">
        <v>3545</v>
      </c>
      <c r="I680">
        <v>5</v>
      </c>
    </row>
    <row r="681" spans="2:9" x14ac:dyDescent="0.3">
      <c r="B681" t="s">
        <v>621</v>
      </c>
      <c r="C681" t="s">
        <v>1903</v>
      </c>
      <c r="D681" t="s">
        <v>2658</v>
      </c>
      <c r="E681" s="24">
        <v>34829</v>
      </c>
      <c r="F681">
        <v>10</v>
      </c>
      <c r="G681">
        <v>1</v>
      </c>
      <c r="H681" t="s">
        <v>3546</v>
      </c>
      <c r="I681">
        <v>10</v>
      </c>
    </row>
    <row r="682" spans="2:9" x14ac:dyDescent="0.3">
      <c r="B682" t="s">
        <v>622</v>
      </c>
      <c r="C682" t="s">
        <v>1904</v>
      </c>
      <c r="D682" t="s">
        <v>2658</v>
      </c>
      <c r="E682" s="24">
        <v>34745</v>
      </c>
      <c r="F682">
        <v>5</v>
      </c>
      <c r="G682">
        <v>1</v>
      </c>
      <c r="H682" t="s">
        <v>3547</v>
      </c>
      <c r="I682">
        <v>5</v>
      </c>
    </row>
    <row r="683" spans="2:9" x14ac:dyDescent="0.3">
      <c r="B683" t="s">
        <v>623</v>
      </c>
      <c r="C683" t="s">
        <v>1905</v>
      </c>
      <c r="D683" t="s">
        <v>2658</v>
      </c>
      <c r="E683" s="24">
        <v>37740</v>
      </c>
      <c r="F683">
        <v>2</v>
      </c>
      <c r="G683">
        <v>1</v>
      </c>
      <c r="H683" t="s">
        <v>3548</v>
      </c>
      <c r="I683">
        <v>2</v>
      </c>
    </row>
    <row r="684" spans="2:9" x14ac:dyDescent="0.3">
      <c r="B684" t="s">
        <v>624</v>
      </c>
      <c r="C684" t="s">
        <v>1906</v>
      </c>
      <c r="D684" t="s">
        <v>2658</v>
      </c>
      <c r="E684" s="24">
        <v>38042</v>
      </c>
      <c r="F684">
        <v>10</v>
      </c>
      <c r="G684">
        <v>1</v>
      </c>
      <c r="H684" t="s">
        <v>3549</v>
      </c>
      <c r="I684">
        <v>10</v>
      </c>
    </row>
    <row r="685" spans="2:9" x14ac:dyDescent="0.3">
      <c r="B685" t="s">
        <v>625</v>
      </c>
      <c r="C685" t="s">
        <v>1907</v>
      </c>
      <c r="D685" t="s">
        <v>2658</v>
      </c>
      <c r="E685" s="24">
        <v>38338</v>
      </c>
      <c r="F685">
        <v>5</v>
      </c>
      <c r="G685">
        <v>1</v>
      </c>
      <c r="H685" t="s">
        <v>3550</v>
      </c>
      <c r="I685">
        <v>5</v>
      </c>
    </row>
    <row r="686" spans="2:9" x14ac:dyDescent="0.3">
      <c r="B686" t="s">
        <v>3551</v>
      </c>
      <c r="C686" t="s">
        <v>3552</v>
      </c>
      <c r="D686" t="s">
        <v>2658</v>
      </c>
      <c r="E686" s="24">
        <v>36528</v>
      </c>
      <c r="F686">
        <v>10</v>
      </c>
      <c r="G686">
        <v>1</v>
      </c>
      <c r="H686" t="s">
        <v>3553</v>
      </c>
      <c r="I686">
        <v>10</v>
      </c>
    </row>
    <row r="687" spans="2:9" x14ac:dyDescent="0.3">
      <c r="B687" t="s">
        <v>626</v>
      </c>
      <c r="C687" t="s">
        <v>1908</v>
      </c>
      <c r="D687" t="s">
        <v>2686</v>
      </c>
      <c r="E687" s="24">
        <v>36775</v>
      </c>
      <c r="F687">
        <v>2</v>
      </c>
      <c r="G687">
        <v>1</v>
      </c>
      <c r="H687" t="s">
        <v>3554</v>
      </c>
      <c r="I687">
        <v>2</v>
      </c>
    </row>
    <row r="688" spans="2:9" x14ac:dyDescent="0.3">
      <c r="B688" t="s">
        <v>627</v>
      </c>
      <c r="C688" t="s">
        <v>1909</v>
      </c>
      <c r="D688" t="s">
        <v>2658</v>
      </c>
      <c r="E688" s="24">
        <v>38425</v>
      </c>
      <c r="F688">
        <v>10</v>
      </c>
      <c r="G688">
        <v>1</v>
      </c>
      <c r="H688" t="s">
        <v>3555</v>
      </c>
      <c r="I688">
        <v>10</v>
      </c>
    </row>
    <row r="689" spans="2:9" x14ac:dyDescent="0.3">
      <c r="B689" t="s">
        <v>628</v>
      </c>
      <c r="C689" t="s">
        <v>1910</v>
      </c>
      <c r="D689" t="s">
        <v>2686</v>
      </c>
      <c r="E689" s="24">
        <v>39011</v>
      </c>
      <c r="F689">
        <v>10</v>
      </c>
      <c r="G689">
        <v>1</v>
      </c>
      <c r="H689" t="s">
        <v>3556</v>
      </c>
      <c r="I689">
        <v>10</v>
      </c>
    </row>
    <row r="690" spans="2:9" x14ac:dyDescent="0.3">
      <c r="B690" t="s">
        <v>1312</v>
      </c>
      <c r="C690" t="s">
        <v>1911</v>
      </c>
      <c r="D690" t="s">
        <v>2686</v>
      </c>
      <c r="E690" s="24">
        <v>39778</v>
      </c>
      <c r="F690">
        <v>10</v>
      </c>
      <c r="G690">
        <v>1</v>
      </c>
      <c r="H690" t="s">
        <v>3557</v>
      </c>
      <c r="I690">
        <v>10</v>
      </c>
    </row>
    <row r="691" spans="2:9" x14ac:dyDescent="0.3">
      <c r="B691" t="s">
        <v>629</v>
      </c>
      <c r="C691" t="s">
        <v>1912</v>
      </c>
      <c r="D691" t="s">
        <v>2686</v>
      </c>
      <c r="E691" s="24">
        <v>38449</v>
      </c>
      <c r="F691">
        <v>10</v>
      </c>
      <c r="G691">
        <v>1</v>
      </c>
      <c r="H691" t="s">
        <v>3558</v>
      </c>
      <c r="I691">
        <v>10</v>
      </c>
    </row>
    <row r="692" spans="2:9" x14ac:dyDescent="0.3">
      <c r="B692" t="s">
        <v>630</v>
      </c>
      <c r="C692" t="s">
        <v>1913</v>
      </c>
      <c r="D692" t="s">
        <v>2658</v>
      </c>
      <c r="E692" s="24">
        <v>37277</v>
      </c>
      <c r="F692">
        <v>10</v>
      </c>
      <c r="G692">
        <v>1</v>
      </c>
      <c r="H692" t="s">
        <v>3559</v>
      </c>
      <c r="I692">
        <v>10</v>
      </c>
    </row>
    <row r="693" spans="2:9" x14ac:dyDescent="0.3">
      <c r="B693" t="s">
        <v>631</v>
      </c>
      <c r="C693" t="s">
        <v>1914</v>
      </c>
      <c r="D693" t="s">
        <v>2658</v>
      </c>
      <c r="E693" s="24">
        <v>37740</v>
      </c>
      <c r="F693">
        <v>2</v>
      </c>
      <c r="G693">
        <v>1</v>
      </c>
      <c r="H693" t="s">
        <v>3560</v>
      </c>
      <c r="I693">
        <v>2</v>
      </c>
    </row>
    <row r="694" spans="2:9" x14ac:dyDescent="0.3">
      <c r="B694" t="s">
        <v>632</v>
      </c>
      <c r="C694" t="s">
        <v>1915</v>
      </c>
      <c r="D694" t="s">
        <v>2658</v>
      </c>
      <c r="E694" s="24">
        <v>36523</v>
      </c>
      <c r="F694">
        <v>1</v>
      </c>
      <c r="G694">
        <v>1</v>
      </c>
      <c r="H694" t="s">
        <v>3561</v>
      </c>
      <c r="I694">
        <v>1</v>
      </c>
    </row>
    <row r="695" spans="2:9" x14ac:dyDescent="0.3">
      <c r="B695" t="s">
        <v>633</v>
      </c>
      <c r="C695" t="s">
        <v>1916</v>
      </c>
      <c r="D695" t="s">
        <v>2658</v>
      </c>
      <c r="E695" s="24">
        <v>40078</v>
      </c>
      <c r="F695">
        <v>10</v>
      </c>
      <c r="G695">
        <v>1</v>
      </c>
      <c r="H695" t="s">
        <v>3562</v>
      </c>
      <c r="I695">
        <v>10</v>
      </c>
    </row>
    <row r="696" spans="2:9" x14ac:dyDescent="0.3">
      <c r="B696" t="s">
        <v>634</v>
      </c>
      <c r="C696" t="s">
        <v>1917</v>
      </c>
      <c r="D696" t="s">
        <v>2658</v>
      </c>
      <c r="E696" s="24">
        <v>39073</v>
      </c>
      <c r="F696">
        <v>5</v>
      </c>
      <c r="G696">
        <v>1</v>
      </c>
      <c r="H696" t="s">
        <v>3563</v>
      </c>
      <c r="I696">
        <v>5</v>
      </c>
    </row>
    <row r="697" spans="2:9" x14ac:dyDescent="0.3">
      <c r="B697" t="s">
        <v>635</v>
      </c>
      <c r="C697" t="s">
        <v>1918</v>
      </c>
      <c r="D697" t="s">
        <v>2658</v>
      </c>
      <c r="E697" s="24">
        <v>40507</v>
      </c>
      <c r="F697">
        <v>10</v>
      </c>
      <c r="G697">
        <v>1</v>
      </c>
      <c r="H697" t="s">
        <v>3564</v>
      </c>
      <c r="I697">
        <v>10</v>
      </c>
    </row>
    <row r="698" spans="2:9" x14ac:dyDescent="0.3">
      <c r="B698" t="s">
        <v>3565</v>
      </c>
      <c r="C698" t="s">
        <v>1919</v>
      </c>
      <c r="D698" t="s">
        <v>2658</v>
      </c>
      <c r="E698" s="24">
        <v>40877</v>
      </c>
      <c r="F698">
        <v>2</v>
      </c>
      <c r="G698">
        <v>1</v>
      </c>
      <c r="H698" t="s">
        <v>3566</v>
      </c>
      <c r="I698">
        <v>2</v>
      </c>
    </row>
    <row r="699" spans="2:9" x14ac:dyDescent="0.3">
      <c r="B699" t="s">
        <v>67</v>
      </c>
      <c r="C699" t="s">
        <v>1919</v>
      </c>
      <c r="D699" t="s">
        <v>2658</v>
      </c>
      <c r="E699" s="24">
        <v>37116</v>
      </c>
      <c r="F699">
        <v>2</v>
      </c>
      <c r="G699">
        <v>1</v>
      </c>
      <c r="H699" t="s">
        <v>3567</v>
      </c>
      <c r="I699">
        <v>2</v>
      </c>
    </row>
    <row r="700" spans="2:9" x14ac:dyDescent="0.3">
      <c r="B700" t="s">
        <v>3568</v>
      </c>
      <c r="C700" t="s">
        <v>3569</v>
      </c>
      <c r="D700" t="s">
        <v>2686</v>
      </c>
      <c r="E700" s="24">
        <v>42793</v>
      </c>
      <c r="F700">
        <v>2</v>
      </c>
      <c r="G700">
        <v>1</v>
      </c>
      <c r="H700" t="s">
        <v>3570</v>
      </c>
      <c r="I700">
        <v>2</v>
      </c>
    </row>
    <row r="701" spans="2:9" x14ac:dyDescent="0.3">
      <c r="B701" t="s">
        <v>636</v>
      </c>
      <c r="C701" t="s">
        <v>1920</v>
      </c>
      <c r="D701" t="s">
        <v>2658</v>
      </c>
      <c r="E701" s="24">
        <v>38790</v>
      </c>
      <c r="F701">
        <v>10</v>
      </c>
      <c r="G701">
        <v>1</v>
      </c>
      <c r="H701" t="s">
        <v>3571</v>
      </c>
      <c r="I701">
        <v>10</v>
      </c>
    </row>
    <row r="702" spans="2:9" x14ac:dyDescent="0.3">
      <c r="B702" t="s">
        <v>637</v>
      </c>
      <c r="C702" t="s">
        <v>1921</v>
      </c>
      <c r="D702" t="s">
        <v>2658</v>
      </c>
      <c r="E702" s="24">
        <v>39490</v>
      </c>
      <c r="F702">
        <v>5</v>
      </c>
      <c r="G702">
        <v>1</v>
      </c>
      <c r="H702" t="s">
        <v>3572</v>
      </c>
      <c r="I702">
        <v>5</v>
      </c>
    </row>
    <row r="703" spans="2:9" x14ac:dyDescent="0.3">
      <c r="B703" t="s">
        <v>638</v>
      </c>
      <c r="C703" t="s">
        <v>1922</v>
      </c>
      <c r="D703" t="s">
        <v>2658</v>
      </c>
      <c r="E703" s="24">
        <v>38887</v>
      </c>
      <c r="F703">
        <v>5</v>
      </c>
      <c r="G703">
        <v>1</v>
      </c>
      <c r="H703" t="s">
        <v>3573</v>
      </c>
      <c r="I703">
        <v>5</v>
      </c>
    </row>
    <row r="704" spans="2:9" x14ac:dyDescent="0.3">
      <c r="B704" t="s">
        <v>639</v>
      </c>
      <c r="C704" t="s">
        <v>1923</v>
      </c>
      <c r="D704" t="s">
        <v>2658</v>
      </c>
      <c r="E704" s="24">
        <v>38519</v>
      </c>
      <c r="F704">
        <v>10</v>
      </c>
      <c r="G704">
        <v>1</v>
      </c>
      <c r="H704" t="s">
        <v>3574</v>
      </c>
      <c r="I704">
        <v>10</v>
      </c>
    </row>
    <row r="705" spans="2:9" x14ac:dyDescent="0.3">
      <c r="B705" t="s">
        <v>640</v>
      </c>
      <c r="C705" t="s">
        <v>1924</v>
      </c>
      <c r="D705" t="s">
        <v>2658</v>
      </c>
      <c r="E705" s="24">
        <v>39160</v>
      </c>
      <c r="F705">
        <v>2</v>
      </c>
      <c r="G705">
        <v>1</v>
      </c>
      <c r="H705" t="s">
        <v>3575</v>
      </c>
      <c r="I705">
        <v>2</v>
      </c>
    </row>
    <row r="706" spans="2:9" x14ac:dyDescent="0.3">
      <c r="B706" t="s">
        <v>3576</v>
      </c>
      <c r="C706" t="s">
        <v>3577</v>
      </c>
      <c r="D706" t="s">
        <v>2658</v>
      </c>
      <c r="E706" s="24">
        <v>42079</v>
      </c>
      <c r="F706">
        <v>10</v>
      </c>
      <c r="G706">
        <v>1</v>
      </c>
      <c r="H706" t="s">
        <v>3578</v>
      </c>
      <c r="I706">
        <v>10</v>
      </c>
    </row>
    <row r="707" spans="2:9" x14ac:dyDescent="0.3">
      <c r="B707" t="s">
        <v>641</v>
      </c>
      <c r="C707" t="s">
        <v>1925</v>
      </c>
      <c r="D707" t="s">
        <v>2658</v>
      </c>
      <c r="E707" s="24">
        <v>39412</v>
      </c>
      <c r="F707">
        <v>10</v>
      </c>
      <c r="G707">
        <v>1</v>
      </c>
      <c r="H707" t="s">
        <v>3579</v>
      </c>
      <c r="I707">
        <v>10</v>
      </c>
    </row>
    <row r="708" spans="2:9" x14ac:dyDescent="0.3">
      <c r="B708" t="s">
        <v>642</v>
      </c>
      <c r="C708" t="s">
        <v>1926</v>
      </c>
      <c r="D708" t="s">
        <v>2658</v>
      </c>
      <c r="E708" s="24">
        <v>39000</v>
      </c>
      <c r="F708">
        <v>1</v>
      </c>
      <c r="G708">
        <v>1</v>
      </c>
      <c r="H708" t="s">
        <v>3580</v>
      </c>
      <c r="I708">
        <v>1</v>
      </c>
    </row>
    <row r="709" spans="2:9" x14ac:dyDescent="0.3">
      <c r="B709" t="s">
        <v>643</v>
      </c>
      <c r="C709" t="s">
        <v>1927</v>
      </c>
      <c r="D709" t="s">
        <v>2658</v>
      </c>
      <c r="E709" s="24">
        <v>39174</v>
      </c>
      <c r="F709">
        <v>1</v>
      </c>
      <c r="G709">
        <v>1</v>
      </c>
      <c r="H709" t="s">
        <v>3581</v>
      </c>
      <c r="I709">
        <v>1</v>
      </c>
    </row>
    <row r="710" spans="2:9" x14ac:dyDescent="0.3">
      <c r="B710" t="s">
        <v>644</v>
      </c>
      <c r="C710" t="s">
        <v>1928</v>
      </c>
      <c r="D710" t="s">
        <v>2658</v>
      </c>
      <c r="E710" s="24">
        <v>39729</v>
      </c>
      <c r="F710">
        <v>10</v>
      </c>
      <c r="G710">
        <v>1</v>
      </c>
      <c r="H710" t="s">
        <v>3582</v>
      </c>
      <c r="I710">
        <v>10</v>
      </c>
    </row>
    <row r="711" spans="2:9" x14ac:dyDescent="0.3">
      <c r="B711" t="s">
        <v>68</v>
      </c>
      <c r="C711" t="s">
        <v>1929</v>
      </c>
      <c r="D711" t="s">
        <v>2658</v>
      </c>
      <c r="E711" s="24">
        <v>38152</v>
      </c>
      <c r="F711">
        <v>2</v>
      </c>
      <c r="G711">
        <v>1</v>
      </c>
      <c r="H711" t="s">
        <v>3583</v>
      </c>
      <c r="I711">
        <v>2</v>
      </c>
    </row>
    <row r="712" spans="2:9" x14ac:dyDescent="0.3">
      <c r="B712" t="s">
        <v>645</v>
      </c>
      <c r="C712" t="s">
        <v>1930</v>
      </c>
      <c r="D712" t="s">
        <v>2658</v>
      </c>
      <c r="E712" s="24">
        <v>40319</v>
      </c>
      <c r="F712">
        <v>10</v>
      </c>
      <c r="G712">
        <v>1</v>
      </c>
      <c r="H712" t="s">
        <v>3584</v>
      </c>
      <c r="I712">
        <v>10</v>
      </c>
    </row>
    <row r="713" spans="2:9" x14ac:dyDescent="0.3">
      <c r="B713" t="s">
        <v>646</v>
      </c>
      <c r="C713" t="s">
        <v>1931</v>
      </c>
      <c r="D713" t="s">
        <v>2658</v>
      </c>
      <c r="E713" s="24">
        <v>41589</v>
      </c>
      <c r="F713">
        <v>10</v>
      </c>
      <c r="G713">
        <v>1</v>
      </c>
      <c r="H713" t="s">
        <v>3585</v>
      </c>
      <c r="I713">
        <v>10</v>
      </c>
    </row>
    <row r="714" spans="2:9" x14ac:dyDescent="0.3">
      <c r="B714" t="s">
        <v>647</v>
      </c>
      <c r="C714" t="s">
        <v>1932</v>
      </c>
      <c r="D714" t="s">
        <v>2658</v>
      </c>
      <c r="E714" s="24">
        <v>38460</v>
      </c>
      <c r="F714">
        <v>10</v>
      </c>
      <c r="G714">
        <v>1</v>
      </c>
      <c r="H714" t="s">
        <v>3586</v>
      </c>
      <c r="I714">
        <v>10</v>
      </c>
    </row>
    <row r="715" spans="2:9" x14ac:dyDescent="0.3">
      <c r="B715" t="s">
        <v>648</v>
      </c>
      <c r="C715" t="s">
        <v>1933</v>
      </c>
      <c r="D715" t="s">
        <v>2658</v>
      </c>
      <c r="E715" s="24">
        <v>37942</v>
      </c>
      <c r="F715">
        <v>2</v>
      </c>
      <c r="G715">
        <v>1</v>
      </c>
      <c r="H715" t="s">
        <v>3587</v>
      </c>
      <c r="I715">
        <v>2</v>
      </c>
    </row>
    <row r="716" spans="2:9" x14ac:dyDescent="0.3">
      <c r="B716" t="s">
        <v>3588</v>
      </c>
      <c r="C716" t="s">
        <v>3589</v>
      </c>
      <c r="D716" t="s">
        <v>2658</v>
      </c>
      <c r="E716" s="24">
        <v>42397</v>
      </c>
      <c r="F716">
        <v>2</v>
      </c>
      <c r="G716">
        <v>1</v>
      </c>
      <c r="H716" t="s">
        <v>3590</v>
      </c>
      <c r="I716">
        <v>2</v>
      </c>
    </row>
    <row r="717" spans="2:9" x14ac:dyDescent="0.3">
      <c r="B717" t="s">
        <v>66</v>
      </c>
      <c r="C717" t="s">
        <v>1934</v>
      </c>
      <c r="D717" t="s">
        <v>2658</v>
      </c>
      <c r="E717" s="24">
        <v>40182</v>
      </c>
      <c r="F717">
        <v>10</v>
      </c>
      <c r="G717">
        <v>1</v>
      </c>
      <c r="H717" t="s">
        <v>3591</v>
      </c>
      <c r="I717">
        <v>10</v>
      </c>
    </row>
    <row r="718" spans="2:9" x14ac:dyDescent="0.3">
      <c r="B718" t="s">
        <v>649</v>
      </c>
      <c r="C718" t="s">
        <v>1935</v>
      </c>
      <c r="D718" t="s">
        <v>2658</v>
      </c>
      <c r="E718" s="24">
        <v>38524</v>
      </c>
      <c r="F718">
        <v>10</v>
      </c>
      <c r="G718">
        <v>1</v>
      </c>
      <c r="H718" t="s">
        <v>3592</v>
      </c>
      <c r="I718">
        <v>10</v>
      </c>
    </row>
    <row r="719" spans="2:9" x14ac:dyDescent="0.3">
      <c r="B719" t="s">
        <v>650</v>
      </c>
      <c r="C719" t="s">
        <v>1936</v>
      </c>
      <c r="D719" t="s">
        <v>2658</v>
      </c>
      <c r="E719" s="24">
        <v>38434</v>
      </c>
      <c r="F719">
        <v>1</v>
      </c>
      <c r="G719">
        <v>1</v>
      </c>
      <c r="H719" t="s">
        <v>3593</v>
      </c>
      <c r="I719">
        <v>1</v>
      </c>
    </row>
    <row r="720" spans="2:9" x14ac:dyDescent="0.3">
      <c r="B720" t="s">
        <v>651</v>
      </c>
      <c r="C720" t="s">
        <v>1937</v>
      </c>
      <c r="D720" t="s">
        <v>2658</v>
      </c>
      <c r="E720" s="24">
        <v>37788</v>
      </c>
      <c r="F720">
        <v>1</v>
      </c>
      <c r="G720">
        <v>1</v>
      </c>
      <c r="H720" t="s">
        <v>3594</v>
      </c>
      <c r="I720">
        <v>1</v>
      </c>
    </row>
    <row r="721" spans="2:9" x14ac:dyDescent="0.3">
      <c r="B721" t="s">
        <v>70</v>
      </c>
      <c r="C721" t="s">
        <v>1938</v>
      </c>
      <c r="D721" t="s">
        <v>2658</v>
      </c>
      <c r="E721" s="24">
        <v>40217</v>
      </c>
      <c r="F721">
        <v>10</v>
      </c>
      <c r="G721">
        <v>1</v>
      </c>
      <c r="H721" t="s">
        <v>3595</v>
      </c>
      <c r="I721">
        <v>10</v>
      </c>
    </row>
    <row r="722" spans="2:9" x14ac:dyDescent="0.3">
      <c r="B722" t="s">
        <v>652</v>
      </c>
      <c r="C722" t="s">
        <v>1939</v>
      </c>
      <c r="D722" t="s">
        <v>2658</v>
      </c>
      <c r="E722" s="24">
        <v>40588</v>
      </c>
      <c r="F722">
        <v>10</v>
      </c>
      <c r="G722">
        <v>1</v>
      </c>
      <c r="H722" t="s">
        <v>3596</v>
      </c>
      <c r="I722">
        <v>10</v>
      </c>
    </row>
    <row r="723" spans="2:9" x14ac:dyDescent="0.3">
      <c r="B723" t="s">
        <v>71</v>
      </c>
      <c r="C723" t="s">
        <v>1940</v>
      </c>
      <c r="D723" t="s">
        <v>2658</v>
      </c>
      <c r="E723" s="24">
        <v>41430</v>
      </c>
      <c r="F723">
        <v>10</v>
      </c>
      <c r="G723">
        <v>1</v>
      </c>
      <c r="H723" t="s">
        <v>3597</v>
      </c>
      <c r="I723">
        <v>10</v>
      </c>
    </row>
    <row r="724" spans="2:9" x14ac:dyDescent="0.3">
      <c r="B724" t="s">
        <v>653</v>
      </c>
      <c r="C724" t="s">
        <v>1941</v>
      </c>
      <c r="D724" t="s">
        <v>2658</v>
      </c>
      <c r="E724" s="24">
        <v>40711</v>
      </c>
      <c r="F724">
        <v>1</v>
      </c>
      <c r="G724">
        <v>1</v>
      </c>
      <c r="H724" t="s">
        <v>3598</v>
      </c>
      <c r="I724">
        <v>1</v>
      </c>
    </row>
    <row r="725" spans="2:9" x14ac:dyDescent="0.3">
      <c r="B725" t="s">
        <v>654</v>
      </c>
      <c r="C725" t="s">
        <v>1942</v>
      </c>
      <c r="D725" t="s">
        <v>2658</v>
      </c>
      <c r="E725" s="24">
        <v>39435</v>
      </c>
      <c r="F725">
        <v>1</v>
      </c>
      <c r="G725">
        <v>1</v>
      </c>
      <c r="H725" t="s">
        <v>3599</v>
      </c>
      <c r="I725">
        <v>1</v>
      </c>
    </row>
    <row r="726" spans="2:9" x14ac:dyDescent="0.3">
      <c r="B726" t="s">
        <v>655</v>
      </c>
      <c r="C726" t="s">
        <v>1943</v>
      </c>
      <c r="D726" t="s">
        <v>2658</v>
      </c>
      <c r="E726" s="24">
        <v>34899</v>
      </c>
      <c r="F726">
        <v>2</v>
      </c>
      <c r="G726">
        <v>1</v>
      </c>
      <c r="H726" t="s">
        <v>3600</v>
      </c>
      <c r="I726">
        <v>2</v>
      </c>
    </row>
    <row r="727" spans="2:9" x14ac:dyDescent="0.3">
      <c r="B727" t="s">
        <v>656</v>
      </c>
      <c r="C727" t="s">
        <v>1944</v>
      </c>
      <c r="D727" t="s">
        <v>2658</v>
      </c>
      <c r="E727" s="24">
        <v>34948</v>
      </c>
      <c r="F727">
        <v>5</v>
      </c>
      <c r="G727">
        <v>1</v>
      </c>
      <c r="H727" t="s">
        <v>3601</v>
      </c>
      <c r="I727">
        <v>5</v>
      </c>
    </row>
    <row r="728" spans="2:9" x14ac:dyDescent="0.3">
      <c r="B728" t="s">
        <v>657</v>
      </c>
      <c r="C728" t="s">
        <v>1945</v>
      </c>
      <c r="D728" t="s">
        <v>2658</v>
      </c>
      <c r="E728" s="24">
        <v>38139</v>
      </c>
      <c r="F728">
        <v>1</v>
      </c>
      <c r="G728">
        <v>1</v>
      </c>
      <c r="H728" t="s">
        <v>3602</v>
      </c>
      <c r="I728">
        <v>1</v>
      </c>
    </row>
    <row r="729" spans="2:9" x14ac:dyDescent="0.3">
      <c r="B729" t="s">
        <v>658</v>
      </c>
      <c r="C729" t="s">
        <v>1946</v>
      </c>
      <c r="D729" t="s">
        <v>2658</v>
      </c>
      <c r="E729" s="24">
        <v>35046</v>
      </c>
      <c r="F729">
        <v>10</v>
      </c>
      <c r="G729">
        <v>1</v>
      </c>
      <c r="H729" t="s">
        <v>3603</v>
      </c>
      <c r="I729">
        <v>10</v>
      </c>
    </row>
    <row r="730" spans="2:9" x14ac:dyDescent="0.3">
      <c r="B730" t="s">
        <v>659</v>
      </c>
      <c r="C730" t="s">
        <v>1947</v>
      </c>
      <c r="D730" t="s">
        <v>2658</v>
      </c>
      <c r="E730" s="24">
        <v>36875</v>
      </c>
      <c r="F730">
        <v>2</v>
      </c>
      <c r="G730">
        <v>1</v>
      </c>
      <c r="H730" t="s">
        <v>3604</v>
      </c>
      <c r="I730">
        <v>2</v>
      </c>
    </row>
    <row r="731" spans="2:9" x14ac:dyDescent="0.3">
      <c r="B731" t="s">
        <v>3605</v>
      </c>
      <c r="C731" t="s">
        <v>3606</v>
      </c>
      <c r="D731" t="s">
        <v>2686</v>
      </c>
      <c r="E731" s="24">
        <v>42779</v>
      </c>
      <c r="F731">
        <v>10</v>
      </c>
      <c r="G731">
        <v>1</v>
      </c>
      <c r="H731" t="s">
        <v>3607</v>
      </c>
      <c r="I731">
        <v>10</v>
      </c>
    </row>
    <row r="732" spans="2:9" x14ac:dyDescent="0.3">
      <c r="B732" t="s">
        <v>660</v>
      </c>
      <c r="C732" t="s">
        <v>1948</v>
      </c>
      <c r="D732" t="s">
        <v>2686</v>
      </c>
      <c r="E732" s="24">
        <v>39436</v>
      </c>
      <c r="F732">
        <v>10</v>
      </c>
      <c r="G732">
        <v>1</v>
      </c>
      <c r="H732" t="s">
        <v>3608</v>
      </c>
      <c r="I732">
        <v>10</v>
      </c>
    </row>
    <row r="733" spans="2:9" x14ac:dyDescent="0.3">
      <c r="B733" t="s">
        <v>661</v>
      </c>
      <c r="C733" t="s">
        <v>1949</v>
      </c>
      <c r="D733" t="s">
        <v>2658</v>
      </c>
      <c r="E733" s="24">
        <v>35214</v>
      </c>
      <c r="F733">
        <v>10</v>
      </c>
      <c r="G733">
        <v>1</v>
      </c>
      <c r="H733" t="s">
        <v>3609</v>
      </c>
      <c r="I733">
        <v>10</v>
      </c>
    </row>
    <row r="734" spans="2:9" x14ac:dyDescent="0.3">
      <c r="B734" t="s">
        <v>3610</v>
      </c>
      <c r="C734" t="s">
        <v>3611</v>
      </c>
      <c r="D734" t="s">
        <v>2658</v>
      </c>
      <c r="E734" s="24">
        <v>38846</v>
      </c>
      <c r="F734">
        <v>10</v>
      </c>
      <c r="G734">
        <v>1</v>
      </c>
      <c r="H734" t="s">
        <v>3612</v>
      </c>
      <c r="I734">
        <v>10</v>
      </c>
    </row>
    <row r="735" spans="2:9" x14ac:dyDescent="0.3">
      <c r="B735" t="s">
        <v>1313</v>
      </c>
      <c r="C735" t="s">
        <v>1950</v>
      </c>
      <c r="D735" t="s">
        <v>2658</v>
      </c>
      <c r="E735" s="24">
        <v>40891</v>
      </c>
      <c r="F735">
        <v>1</v>
      </c>
      <c r="G735">
        <v>1</v>
      </c>
      <c r="H735" t="s">
        <v>3613</v>
      </c>
      <c r="I735">
        <v>1</v>
      </c>
    </row>
    <row r="736" spans="2:9" x14ac:dyDescent="0.3">
      <c r="B736" t="s">
        <v>662</v>
      </c>
      <c r="C736" t="s">
        <v>1951</v>
      </c>
      <c r="D736" t="s">
        <v>2658</v>
      </c>
      <c r="E736" s="24">
        <v>34738</v>
      </c>
      <c r="F736">
        <v>5</v>
      </c>
      <c r="G736">
        <v>1</v>
      </c>
      <c r="H736" t="s">
        <v>3614</v>
      </c>
      <c r="I736">
        <v>5</v>
      </c>
    </row>
    <row r="737" spans="2:9" x14ac:dyDescent="0.3">
      <c r="B737" t="s">
        <v>72</v>
      </c>
      <c r="C737" t="s">
        <v>1952</v>
      </c>
      <c r="D737" t="s">
        <v>2658</v>
      </c>
      <c r="E737" s="24">
        <v>37879</v>
      </c>
      <c r="F737">
        <v>1</v>
      </c>
      <c r="G737">
        <v>1</v>
      </c>
      <c r="H737" t="s">
        <v>3615</v>
      </c>
      <c r="I737">
        <v>1</v>
      </c>
    </row>
    <row r="738" spans="2:9" x14ac:dyDescent="0.3">
      <c r="B738" t="s">
        <v>663</v>
      </c>
      <c r="C738" t="s">
        <v>1953</v>
      </c>
      <c r="D738" t="s">
        <v>2658</v>
      </c>
      <c r="E738" s="24">
        <v>40722</v>
      </c>
      <c r="F738">
        <v>10</v>
      </c>
      <c r="G738">
        <v>1</v>
      </c>
      <c r="H738" t="s">
        <v>3616</v>
      </c>
      <c r="I738">
        <v>10</v>
      </c>
    </row>
    <row r="739" spans="2:9" x14ac:dyDescent="0.3">
      <c r="B739" t="s">
        <v>74</v>
      </c>
      <c r="C739" t="s">
        <v>1954</v>
      </c>
      <c r="D739" t="s">
        <v>2658</v>
      </c>
      <c r="E739" s="24">
        <v>36733</v>
      </c>
      <c r="F739">
        <v>2</v>
      </c>
      <c r="G739">
        <v>1</v>
      </c>
      <c r="H739" t="s">
        <v>3617</v>
      </c>
      <c r="I739">
        <v>2</v>
      </c>
    </row>
    <row r="740" spans="2:9" x14ac:dyDescent="0.3">
      <c r="B740" t="s">
        <v>664</v>
      </c>
      <c r="C740" t="s">
        <v>1955</v>
      </c>
      <c r="D740" t="s">
        <v>2658</v>
      </c>
      <c r="E740" s="24">
        <v>39430</v>
      </c>
      <c r="F740">
        <v>10</v>
      </c>
      <c r="G740">
        <v>1</v>
      </c>
      <c r="H740" t="s">
        <v>3618</v>
      </c>
      <c r="I740">
        <v>10</v>
      </c>
    </row>
    <row r="741" spans="2:9" x14ac:dyDescent="0.3">
      <c r="B741" t="s">
        <v>665</v>
      </c>
      <c r="C741" t="s">
        <v>1956</v>
      </c>
      <c r="D741" t="s">
        <v>2658</v>
      </c>
      <c r="E741" s="24">
        <v>39476</v>
      </c>
      <c r="F741">
        <v>10</v>
      </c>
      <c r="G741">
        <v>1</v>
      </c>
      <c r="H741" t="s">
        <v>3619</v>
      </c>
      <c r="I741">
        <v>10</v>
      </c>
    </row>
    <row r="742" spans="2:9" x14ac:dyDescent="0.3">
      <c r="B742" t="s">
        <v>3620</v>
      </c>
      <c r="C742" t="s">
        <v>3621</v>
      </c>
      <c r="D742" t="s">
        <v>2658</v>
      </c>
      <c r="E742" s="24">
        <v>42230</v>
      </c>
      <c r="F742">
        <v>10</v>
      </c>
      <c r="G742">
        <v>1</v>
      </c>
      <c r="H742" t="s">
        <v>3622</v>
      </c>
      <c r="I742">
        <v>10</v>
      </c>
    </row>
    <row r="743" spans="2:9" x14ac:dyDescent="0.3">
      <c r="B743" t="s">
        <v>666</v>
      </c>
      <c r="C743" t="s">
        <v>1957</v>
      </c>
      <c r="D743" t="s">
        <v>2658</v>
      </c>
      <c r="E743" s="24">
        <v>35529</v>
      </c>
      <c r="F743">
        <v>1</v>
      </c>
      <c r="G743">
        <v>1</v>
      </c>
      <c r="H743" t="s">
        <v>3623</v>
      </c>
      <c r="I743">
        <v>1</v>
      </c>
    </row>
    <row r="744" spans="2:9" x14ac:dyDescent="0.3">
      <c r="B744" t="s">
        <v>667</v>
      </c>
      <c r="C744" t="s">
        <v>1958</v>
      </c>
      <c r="D744" t="s">
        <v>2658</v>
      </c>
      <c r="E744" s="24">
        <v>35592</v>
      </c>
      <c r="F744">
        <v>1</v>
      </c>
      <c r="G744">
        <v>1</v>
      </c>
      <c r="H744" t="s">
        <v>3624</v>
      </c>
      <c r="I744">
        <v>1</v>
      </c>
    </row>
    <row r="745" spans="2:9" x14ac:dyDescent="0.3">
      <c r="B745" t="s">
        <v>3625</v>
      </c>
      <c r="C745" t="s">
        <v>3626</v>
      </c>
      <c r="D745" t="s">
        <v>2658</v>
      </c>
      <c r="E745" s="24">
        <v>42452</v>
      </c>
      <c r="F745">
        <v>10</v>
      </c>
      <c r="G745">
        <v>1</v>
      </c>
      <c r="H745" t="s">
        <v>3627</v>
      </c>
      <c r="I745">
        <v>10</v>
      </c>
    </row>
    <row r="746" spans="2:9" x14ac:dyDescent="0.3">
      <c r="B746" t="s">
        <v>668</v>
      </c>
      <c r="C746" t="s">
        <v>1959</v>
      </c>
      <c r="D746" t="s">
        <v>2658</v>
      </c>
      <c r="E746" s="24">
        <v>38786</v>
      </c>
      <c r="F746">
        <v>2</v>
      </c>
      <c r="G746">
        <v>1</v>
      </c>
      <c r="H746" t="s">
        <v>3628</v>
      </c>
      <c r="I746">
        <v>2</v>
      </c>
    </row>
    <row r="747" spans="2:9" x14ac:dyDescent="0.3">
      <c r="B747" t="s">
        <v>669</v>
      </c>
      <c r="C747" t="s">
        <v>1960</v>
      </c>
      <c r="D747" t="s">
        <v>2658</v>
      </c>
      <c r="E747" s="24">
        <v>40246</v>
      </c>
      <c r="F747">
        <v>10</v>
      </c>
      <c r="G747">
        <v>1</v>
      </c>
      <c r="H747" t="s">
        <v>3629</v>
      </c>
      <c r="I747">
        <v>10</v>
      </c>
    </row>
    <row r="748" spans="2:9" x14ac:dyDescent="0.3">
      <c r="B748" t="s">
        <v>670</v>
      </c>
      <c r="C748" t="s">
        <v>1961</v>
      </c>
      <c r="D748" t="s">
        <v>2658</v>
      </c>
      <c r="E748" s="24">
        <v>38799</v>
      </c>
      <c r="F748">
        <v>2</v>
      </c>
      <c r="G748">
        <v>1</v>
      </c>
      <c r="H748" t="s">
        <v>3630</v>
      </c>
      <c r="I748">
        <v>2</v>
      </c>
    </row>
    <row r="749" spans="2:9" x14ac:dyDescent="0.3">
      <c r="B749" t="s">
        <v>3631</v>
      </c>
      <c r="C749" t="s">
        <v>3632</v>
      </c>
      <c r="D749" t="s">
        <v>2658</v>
      </c>
      <c r="E749" s="24">
        <v>42431</v>
      </c>
      <c r="F749">
        <v>5</v>
      </c>
      <c r="G749">
        <v>1</v>
      </c>
      <c r="H749" t="s">
        <v>3633</v>
      </c>
      <c r="I749">
        <v>5</v>
      </c>
    </row>
    <row r="750" spans="2:9" x14ac:dyDescent="0.3">
      <c r="B750" t="s">
        <v>671</v>
      </c>
      <c r="C750" t="s">
        <v>1962</v>
      </c>
      <c r="D750" t="s">
        <v>2686</v>
      </c>
      <c r="E750" s="24">
        <v>38706</v>
      </c>
      <c r="F750">
        <v>10</v>
      </c>
      <c r="G750">
        <v>1</v>
      </c>
      <c r="H750" t="s">
        <v>3634</v>
      </c>
      <c r="I750">
        <v>10</v>
      </c>
    </row>
    <row r="751" spans="2:9" x14ac:dyDescent="0.3">
      <c r="B751" t="s">
        <v>671</v>
      </c>
      <c r="C751" t="s">
        <v>1962</v>
      </c>
      <c r="D751" t="s">
        <v>2681</v>
      </c>
      <c r="E751" s="24">
        <v>38706</v>
      </c>
      <c r="F751">
        <v>10</v>
      </c>
      <c r="G751">
        <v>1</v>
      </c>
      <c r="H751" t="s">
        <v>3634</v>
      </c>
      <c r="I751">
        <v>10</v>
      </c>
    </row>
    <row r="752" spans="2:9" x14ac:dyDescent="0.3">
      <c r="B752" t="s">
        <v>672</v>
      </c>
      <c r="C752" t="s">
        <v>1963</v>
      </c>
      <c r="D752" t="s">
        <v>2658</v>
      </c>
      <c r="E752" s="24">
        <v>39084</v>
      </c>
      <c r="F752">
        <v>10</v>
      </c>
      <c r="G752">
        <v>1</v>
      </c>
      <c r="H752" t="s">
        <v>3635</v>
      </c>
      <c r="I752">
        <v>10</v>
      </c>
    </row>
    <row r="753" spans="2:9" x14ac:dyDescent="0.3">
      <c r="B753" t="s">
        <v>673</v>
      </c>
      <c r="C753" t="s">
        <v>1964</v>
      </c>
      <c r="D753" t="s">
        <v>2658</v>
      </c>
      <c r="E753" s="24">
        <v>34948</v>
      </c>
      <c r="F753">
        <v>10</v>
      </c>
      <c r="G753">
        <v>1</v>
      </c>
      <c r="H753" t="s">
        <v>3636</v>
      </c>
      <c r="I753">
        <v>10</v>
      </c>
    </row>
    <row r="754" spans="2:9" x14ac:dyDescent="0.3">
      <c r="B754" t="s">
        <v>1314</v>
      </c>
      <c r="C754" t="s">
        <v>1965</v>
      </c>
      <c r="D754" t="s">
        <v>2658</v>
      </c>
      <c r="E754" s="24">
        <v>35242</v>
      </c>
      <c r="F754">
        <v>10</v>
      </c>
      <c r="G754">
        <v>1</v>
      </c>
      <c r="H754" t="s">
        <v>3637</v>
      </c>
      <c r="I754">
        <v>10</v>
      </c>
    </row>
    <row r="755" spans="2:9" x14ac:dyDescent="0.3">
      <c r="B755" t="s">
        <v>674</v>
      </c>
      <c r="C755" t="s">
        <v>1966</v>
      </c>
      <c r="D755" t="s">
        <v>2658</v>
      </c>
      <c r="E755" s="24">
        <v>39205</v>
      </c>
      <c r="F755">
        <v>1</v>
      </c>
      <c r="G755">
        <v>1</v>
      </c>
      <c r="H755" t="s">
        <v>3638</v>
      </c>
      <c r="I755">
        <v>1</v>
      </c>
    </row>
    <row r="756" spans="2:9" x14ac:dyDescent="0.3">
      <c r="B756" t="s">
        <v>675</v>
      </c>
      <c r="C756" t="s">
        <v>1967</v>
      </c>
      <c r="D756" t="s">
        <v>2686</v>
      </c>
      <c r="E756" s="24">
        <v>36705</v>
      </c>
      <c r="F756">
        <v>10</v>
      </c>
      <c r="G756">
        <v>1</v>
      </c>
      <c r="H756" t="s">
        <v>3639</v>
      </c>
      <c r="I756">
        <v>10</v>
      </c>
    </row>
    <row r="757" spans="2:9" x14ac:dyDescent="0.3">
      <c r="B757" t="s">
        <v>1315</v>
      </c>
      <c r="C757" t="s">
        <v>1968</v>
      </c>
      <c r="D757" t="s">
        <v>2686</v>
      </c>
      <c r="E757" s="24">
        <v>36915</v>
      </c>
      <c r="F757">
        <v>10</v>
      </c>
      <c r="G757">
        <v>1</v>
      </c>
      <c r="H757" t="s">
        <v>3640</v>
      </c>
      <c r="I757">
        <v>10</v>
      </c>
    </row>
    <row r="758" spans="2:9" x14ac:dyDescent="0.3">
      <c r="B758" t="s">
        <v>676</v>
      </c>
      <c r="C758" t="s">
        <v>1969</v>
      </c>
      <c r="D758" t="s">
        <v>2658</v>
      </c>
      <c r="E758" s="24">
        <v>36929</v>
      </c>
      <c r="F758">
        <v>10</v>
      </c>
      <c r="G758">
        <v>1</v>
      </c>
      <c r="H758" t="s">
        <v>3641</v>
      </c>
      <c r="I758">
        <v>10</v>
      </c>
    </row>
    <row r="759" spans="2:9" x14ac:dyDescent="0.3">
      <c r="B759" t="s">
        <v>677</v>
      </c>
      <c r="C759" t="s">
        <v>1970</v>
      </c>
      <c r="D759" t="s">
        <v>2658</v>
      </c>
      <c r="E759" s="24">
        <v>40557</v>
      </c>
      <c r="F759">
        <v>10</v>
      </c>
      <c r="G759">
        <v>1</v>
      </c>
      <c r="H759" t="s">
        <v>3642</v>
      </c>
      <c r="I759">
        <v>10</v>
      </c>
    </row>
    <row r="760" spans="2:9" x14ac:dyDescent="0.3">
      <c r="B760" t="s">
        <v>678</v>
      </c>
      <c r="C760" t="s">
        <v>1971</v>
      </c>
      <c r="D760" t="s">
        <v>2686</v>
      </c>
      <c r="E760" s="24">
        <v>40450</v>
      </c>
      <c r="F760">
        <v>10</v>
      </c>
      <c r="G760">
        <v>1</v>
      </c>
      <c r="H760" t="s">
        <v>3643</v>
      </c>
      <c r="I760">
        <v>10</v>
      </c>
    </row>
    <row r="761" spans="2:9" x14ac:dyDescent="0.3">
      <c r="B761" t="s">
        <v>3644</v>
      </c>
      <c r="C761" t="s">
        <v>3645</v>
      </c>
      <c r="D761" t="s">
        <v>2658</v>
      </c>
      <c r="E761" s="24">
        <v>42689</v>
      </c>
      <c r="F761">
        <v>10</v>
      </c>
      <c r="G761">
        <v>1</v>
      </c>
      <c r="H761" t="s">
        <v>3646</v>
      </c>
      <c r="I761">
        <v>10</v>
      </c>
    </row>
    <row r="762" spans="2:9" x14ac:dyDescent="0.3">
      <c r="B762" t="s">
        <v>3647</v>
      </c>
      <c r="C762" t="s">
        <v>3648</v>
      </c>
      <c r="D762" t="s">
        <v>2658</v>
      </c>
      <c r="E762" s="24">
        <v>42703</v>
      </c>
      <c r="F762">
        <v>10</v>
      </c>
      <c r="G762">
        <v>1</v>
      </c>
      <c r="H762" t="s">
        <v>3649</v>
      </c>
      <c r="I762">
        <v>10</v>
      </c>
    </row>
    <row r="763" spans="2:9" x14ac:dyDescent="0.3">
      <c r="B763" t="s">
        <v>679</v>
      </c>
      <c r="C763" t="s">
        <v>1972</v>
      </c>
      <c r="D763" t="s">
        <v>2658</v>
      </c>
      <c r="E763" s="24">
        <v>39560</v>
      </c>
      <c r="F763">
        <v>10</v>
      </c>
      <c r="G763">
        <v>1</v>
      </c>
      <c r="H763" t="s">
        <v>3650</v>
      </c>
      <c r="I763">
        <v>10</v>
      </c>
    </row>
    <row r="764" spans="2:9" x14ac:dyDescent="0.3">
      <c r="B764" t="s">
        <v>680</v>
      </c>
      <c r="C764" t="s">
        <v>1973</v>
      </c>
      <c r="D764" t="s">
        <v>2658</v>
      </c>
      <c r="E764" s="24">
        <v>40288</v>
      </c>
      <c r="F764">
        <v>2</v>
      </c>
      <c r="G764">
        <v>1</v>
      </c>
      <c r="H764" t="s">
        <v>3651</v>
      </c>
      <c r="I764">
        <v>2</v>
      </c>
    </row>
    <row r="765" spans="2:9" x14ac:dyDescent="0.3">
      <c r="B765" t="s">
        <v>681</v>
      </c>
      <c r="C765" t="s">
        <v>1974</v>
      </c>
      <c r="D765" t="s">
        <v>2658</v>
      </c>
      <c r="E765" s="24">
        <v>40536</v>
      </c>
      <c r="F765">
        <v>2</v>
      </c>
      <c r="G765">
        <v>1</v>
      </c>
      <c r="H765" t="s">
        <v>3652</v>
      </c>
      <c r="I765">
        <v>2</v>
      </c>
    </row>
    <row r="766" spans="2:9" x14ac:dyDescent="0.3">
      <c r="B766" t="s">
        <v>682</v>
      </c>
      <c r="C766" t="s">
        <v>1975</v>
      </c>
      <c r="D766" t="s">
        <v>2658</v>
      </c>
      <c r="E766" s="24">
        <v>40353</v>
      </c>
      <c r="F766">
        <v>10</v>
      </c>
      <c r="G766">
        <v>1</v>
      </c>
      <c r="H766" t="s">
        <v>3653</v>
      </c>
      <c r="I766">
        <v>10</v>
      </c>
    </row>
    <row r="767" spans="2:9" x14ac:dyDescent="0.3">
      <c r="B767" t="s">
        <v>683</v>
      </c>
      <c r="C767" t="s">
        <v>1976</v>
      </c>
      <c r="D767" t="s">
        <v>2658</v>
      </c>
      <c r="E767" s="24">
        <v>41177</v>
      </c>
      <c r="F767">
        <v>1</v>
      </c>
      <c r="G767">
        <v>1</v>
      </c>
      <c r="H767" t="s">
        <v>3654</v>
      </c>
      <c r="I767">
        <v>1</v>
      </c>
    </row>
    <row r="768" spans="2:9" x14ac:dyDescent="0.3">
      <c r="B768" t="s">
        <v>684</v>
      </c>
      <c r="C768" t="s">
        <v>1977</v>
      </c>
      <c r="D768" t="s">
        <v>2658</v>
      </c>
      <c r="E768" s="24">
        <v>38820</v>
      </c>
      <c r="F768">
        <v>10</v>
      </c>
      <c r="G768">
        <v>1</v>
      </c>
      <c r="H768" t="s">
        <v>3655</v>
      </c>
      <c r="I768">
        <v>10</v>
      </c>
    </row>
    <row r="769" spans="2:9" x14ac:dyDescent="0.3">
      <c r="B769" t="s">
        <v>685</v>
      </c>
      <c r="C769" t="s">
        <v>1978</v>
      </c>
      <c r="D769" t="s">
        <v>2658</v>
      </c>
      <c r="E769" s="24">
        <v>39233</v>
      </c>
      <c r="F769">
        <v>2</v>
      </c>
      <c r="G769">
        <v>1</v>
      </c>
      <c r="H769" t="s">
        <v>3656</v>
      </c>
      <c r="I769">
        <v>2</v>
      </c>
    </row>
    <row r="770" spans="2:9" x14ac:dyDescent="0.3">
      <c r="B770" t="s">
        <v>686</v>
      </c>
      <c r="C770" t="s">
        <v>1979</v>
      </c>
      <c r="D770" t="s">
        <v>2658</v>
      </c>
      <c r="E770" s="24">
        <v>39496</v>
      </c>
      <c r="F770">
        <v>2</v>
      </c>
      <c r="G770">
        <v>1</v>
      </c>
      <c r="H770" t="s">
        <v>3657</v>
      </c>
      <c r="I770">
        <v>2</v>
      </c>
    </row>
    <row r="771" spans="2:9" x14ac:dyDescent="0.3">
      <c r="B771" t="s">
        <v>687</v>
      </c>
      <c r="C771" t="s">
        <v>1980</v>
      </c>
      <c r="D771" t="s">
        <v>2658</v>
      </c>
      <c r="E771" s="24">
        <v>36453</v>
      </c>
      <c r="F771">
        <v>10</v>
      </c>
      <c r="G771">
        <v>1</v>
      </c>
      <c r="H771" t="s">
        <v>3658</v>
      </c>
      <c r="I771">
        <v>10</v>
      </c>
    </row>
    <row r="772" spans="2:9" x14ac:dyDescent="0.3">
      <c r="B772" t="s">
        <v>688</v>
      </c>
      <c r="C772" t="s">
        <v>1981</v>
      </c>
      <c r="D772" t="s">
        <v>2658</v>
      </c>
      <c r="E772" s="24">
        <v>39657</v>
      </c>
      <c r="F772">
        <v>1</v>
      </c>
      <c r="G772">
        <v>1</v>
      </c>
      <c r="H772" t="s">
        <v>3659</v>
      </c>
      <c r="I772">
        <v>1</v>
      </c>
    </row>
    <row r="773" spans="2:9" x14ac:dyDescent="0.3">
      <c r="B773" t="s">
        <v>689</v>
      </c>
      <c r="C773" t="s">
        <v>1982</v>
      </c>
      <c r="D773" t="s">
        <v>2658</v>
      </c>
      <c r="E773" s="24">
        <v>39429</v>
      </c>
      <c r="F773">
        <v>10</v>
      </c>
      <c r="G773">
        <v>1</v>
      </c>
      <c r="H773" t="s">
        <v>3660</v>
      </c>
      <c r="I773">
        <v>10</v>
      </c>
    </row>
    <row r="774" spans="2:9" x14ac:dyDescent="0.3">
      <c r="B774" t="s">
        <v>690</v>
      </c>
      <c r="C774" t="s">
        <v>1983</v>
      </c>
      <c r="D774" t="s">
        <v>2658</v>
      </c>
      <c r="E774" s="24">
        <v>36320</v>
      </c>
      <c r="F774">
        <v>10</v>
      </c>
      <c r="G774">
        <v>1</v>
      </c>
      <c r="H774" t="s">
        <v>3661</v>
      </c>
      <c r="I774">
        <v>10</v>
      </c>
    </row>
    <row r="775" spans="2:9" x14ac:dyDescent="0.3">
      <c r="B775" t="s">
        <v>691</v>
      </c>
      <c r="C775" t="s">
        <v>1984</v>
      </c>
      <c r="D775" t="s">
        <v>2658</v>
      </c>
      <c r="E775" s="24">
        <v>35053</v>
      </c>
      <c r="F775">
        <v>5</v>
      </c>
      <c r="G775">
        <v>1</v>
      </c>
      <c r="H775" t="s">
        <v>3662</v>
      </c>
      <c r="I775">
        <v>5</v>
      </c>
    </row>
    <row r="776" spans="2:9" x14ac:dyDescent="0.3">
      <c r="B776" t="s">
        <v>692</v>
      </c>
      <c r="C776" t="s">
        <v>1985</v>
      </c>
      <c r="D776" t="s">
        <v>2658</v>
      </c>
      <c r="E776" s="24">
        <v>38334</v>
      </c>
      <c r="F776">
        <v>10</v>
      </c>
      <c r="G776">
        <v>1</v>
      </c>
      <c r="H776" t="s">
        <v>3663</v>
      </c>
      <c r="I776">
        <v>10</v>
      </c>
    </row>
    <row r="777" spans="2:9" x14ac:dyDescent="0.3">
      <c r="B777" t="s">
        <v>693</v>
      </c>
      <c r="C777" t="s">
        <v>1986</v>
      </c>
      <c r="D777" t="s">
        <v>2658</v>
      </c>
      <c r="E777" s="24">
        <v>35371</v>
      </c>
      <c r="F777">
        <v>10</v>
      </c>
      <c r="G777">
        <v>1</v>
      </c>
      <c r="H777" t="s">
        <v>3664</v>
      </c>
      <c r="I777">
        <v>10</v>
      </c>
    </row>
    <row r="778" spans="2:9" x14ac:dyDescent="0.3">
      <c r="B778" t="s">
        <v>694</v>
      </c>
      <c r="C778" t="s">
        <v>1987</v>
      </c>
      <c r="D778" t="s">
        <v>2658</v>
      </c>
      <c r="E778" s="24">
        <v>35949</v>
      </c>
      <c r="F778">
        <v>10</v>
      </c>
      <c r="G778">
        <v>1</v>
      </c>
      <c r="H778" t="s">
        <v>3665</v>
      </c>
      <c r="I778">
        <v>10</v>
      </c>
    </row>
    <row r="779" spans="2:9" x14ac:dyDescent="0.3">
      <c r="B779" t="s">
        <v>22</v>
      </c>
      <c r="C779" t="s">
        <v>3666</v>
      </c>
      <c r="D779" t="s">
        <v>2658</v>
      </c>
      <c r="E779" s="24">
        <v>36488</v>
      </c>
      <c r="F779">
        <v>2</v>
      </c>
      <c r="G779">
        <v>1</v>
      </c>
      <c r="H779" t="s">
        <v>3667</v>
      </c>
      <c r="I779">
        <v>2</v>
      </c>
    </row>
    <row r="780" spans="2:9" x14ac:dyDescent="0.3">
      <c r="B780" t="s">
        <v>695</v>
      </c>
      <c r="C780" t="s">
        <v>1988</v>
      </c>
      <c r="D780" t="s">
        <v>2658</v>
      </c>
      <c r="E780" s="24">
        <v>39322</v>
      </c>
      <c r="F780">
        <v>5</v>
      </c>
      <c r="G780">
        <v>1</v>
      </c>
      <c r="H780" t="s">
        <v>3668</v>
      </c>
      <c r="I780">
        <v>5</v>
      </c>
    </row>
    <row r="781" spans="2:9" x14ac:dyDescent="0.3">
      <c r="B781" t="s">
        <v>113</v>
      </c>
      <c r="C781" t="s">
        <v>1989</v>
      </c>
      <c r="D781" t="s">
        <v>2658</v>
      </c>
      <c r="E781" s="24">
        <v>37277</v>
      </c>
      <c r="F781">
        <v>1</v>
      </c>
      <c r="G781">
        <v>1</v>
      </c>
      <c r="H781" t="s">
        <v>3669</v>
      </c>
      <c r="I781">
        <v>1</v>
      </c>
    </row>
    <row r="782" spans="2:9" x14ac:dyDescent="0.3">
      <c r="B782" t="s">
        <v>1316</v>
      </c>
      <c r="C782" t="s">
        <v>3670</v>
      </c>
      <c r="D782" t="s">
        <v>2686</v>
      </c>
      <c r="E782" s="24">
        <v>36635</v>
      </c>
      <c r="F782">
        <v>10</v>
      </c>
      <c r="G782">
        <v>1</v>
      </c>
      <c r="H782" t="s">
        <v>3671</v>
      </c>
      <c r="I782">
        <v>10</v>
      </c>
    </row>
    <row r="783" spans="2:9" x14ac:dyDescent="0.3">
      <c r="B783" t="s">
        <v>3672</v>
      </c>
      <c r="C783" t="s">
        <v>3673</v>
      </c>
      <c r="D783" t="s">
        <v>2686</v>
      </c>
      <c r="E783" s="24">
        <v>42349</v>
      </c>
      <c r="F783">
        <v>2</v>
      </c>
      <c r="G783">
        <v>1</v>
      </c>
      <c r="H783" t="s">
        <v>3674</v>
      </c>
      <c r="I783">
        <v>2</v>
      </c>
    </row>
    <row r="784" spans="2:9" x14ac:dyDescent="0.3">
      <c r="B784" t="s">
        <v>696</v>
      </c>
      <c r="C784" t="s">
        <v>1990</v>
      </c>
      <c r="D784" t="s">
        <v>2658</v>
      </c>
      <c r="E784" s="24">
        <v>34738</v>
      </c>
      <c r="F784">
        <v>10</v>
      </c>
      <c r="G784">
        <v>1</v>
      </c>
      <c r="H784" t="s">
        <v>3675</v>
      </c>
      <c r="I784">
        <v>10</v>
      </c>
    </row>
    <row r="785" spans="2:9" x14ac:dyDescent="0.3">
      <c r="B785" t="s">
        <v>697</v>
      </c>
      <c r="C785" t="s">
        <v>1991</v>
      </c>
      <c r="D785" t="s">
        <v>2658</v>
      </c>
      <c r="E785" s="24">
        <v>39359</v>
      </c>
      <c r="F785">
        <v>2</v>
      </c>
      <c r="G785">
        <v>1</v>
      </c>
      <c r="H785" t="s">
        <v>3676</v>
      </c>
      <c r="I785">
        <v>2</v>
      </c>
    </row>
    <row r="786" spans="2:9" x14ac:dyDescent="0.3">
      <c r="B786" t="s">
        <v>698</v>
      </c>
      <c r="C786" t="s">
        <v>1992</v>
      </c>
      <c r="D786" t="s">
        <v>2686</v>
      </c>
      <c r="E786" s="24">
        <v>38995</v>
      </c>
      <c r="F786">
        <v>1</v>
      </c>
      <c r="G786">
        <v>1</v>
      </c>
      <c r="H786" t="s">
        <v>3677</v>
      </c>
      <c r="I786">
        <v>1</v>
      </c>
    </row>
    <row r="787" spans="2:9" x14ac:dyDescent="0.3">
      <c r="B787" t="s">
        <v>699</v>
      </c>
      <c r="C787" t="s">
        <v>1993</v>
      </c>
      <c r="D787" t="s">
        <v>2686</v>
      </c>
      <c r="E787" s="24">
        <v>39643</v>
      </c>
      <c r="F787">
        <v>10</v>
      </c>
      <c r="G787">
        <v>1</v>
      </c>
      <c r="H787" t="s">
        <v>3678</v>
      </c>
      <c r="I787">
        <v>10</v>
      </c>
    </row>
    <row r="788" spans="2:9" x14ac:dyDescent="0.3">
      <c r="B788" t="s">
        <v>700</v>
      </c>
      <c r="C788" t="s">
        <v>1994</v>
      </c>
      <c r="D788" t="s">
        <v>2658</v>
      </c>
      <c r="E788" s="24">
        <v>40317</v>
      </c>
      <c r="F788">
        <v>5</v>
      </c>
      <c r="G788">
        <v>1</v>
      </c>
      <c r="H788" t="s">
        <v>3679</v>
      </c>
      <c r="I788">
        <v>5</v>
      </c>
    </row>
    <row r="789" spans="2:9" x14ac:dyDescent="0.3">
      <c r="B789" t="s">
        <v>701</v>
      </c>
      <c r="C789" t="s">
        <v>1995</v>
      </c>
      <c r="D789" t="s">
        <v>2658</v>
      </c>
      <c r="E789" s="24">
        <v>40534</v>
      </c>
      <c r="F789">
        <v>5</v>
      </c>
      <c r="G789">
        <v>1</v>
      </c>
      <c r="H789" t="s">
        <v>3680</v>
      </c>
      <c r="I789">
        <v>5</v>
      </c>
    </row>
    <row r="790" spans="2:9" x14ac:dyDescent="0.3">
      <c r="B790" t="s">
        <v>73</v>
      </c>
      <c r="C790" t="s">
        <v>1996</v>
      </c>
      <c r="D790" t="s">
        <v>2658</v>
      </c>
      <c r="E790" s="24">
        <v>36656</v>
      </c>
      <c r="F790">
        <v>10</v>
      </c>
      <c r="G790">
        <v>1</v>
      </c>
      <c r="H790" t="s">
        <v>3681</v>
      </c>
      <c r="I790">
        <v>10</v>
      </c>
    </row>
    <row r="791" spans="2:9" x14ac:dyDescent="0.3">
      <c r="B791" t="s">
        <v>702</v>
      </c>
      <c r="C791" t="s">
        <v>1997</v>
      </c>
      <c r="D791" t="s">
        <v>2658</v>
      </c>
      <c r="E791" s="24">
        <v>40729</v>
      </c>
      <c r="F791">
        <v>1</v>
      </c>
      <c r="G791">
        <v>1</v>
      </c>
      <c r="H791" t="s">
        <v>3682</v>
      </c>
      <c r="I791">
        <v>1</v>
      </c>
    </row>
    <row r="792" spans="2:9" x14ac:dyDescent="0.3">
      <c r="B792" t="s">
        <v>75</v>
      </c>
      <c r="C792" t="s">
        <v>1998</v>
      </c>
      <c r="D792" t="s">
        <v>2658</v>
      </c>
      <c r="E792" s="24">
        <v>40767</v>
      </c>
      <c r="F792">
        <v>10</v>
      </c>
      <c r="G792">
        <v>1</v>
      </c>
      <c r="H792" t="s">
        <v>3683</v>
      </c>
      <c r="I792">
        <v>10</v>
      </c>
    </row>
    <row r="793" spans="2:9" x14ac:dyDescent="0.3">
      <c r="B793" t="s">
        <v>703</v>
      </c>
      <c r="C793" t="s">
        <v>1999</v>
      </c>
      <c r="D793" t="s">
        <v>2658</v>
      </c>
      <c r="E793" s="24">
        <v>38986</v>
      </c>
      <c r="F793">
        <v>10</v>
      </c>
      <c r="G793">
        <v>1</v>
      </c>
      <c r="H793" t="s">
        <v>3684</v>
      </c>
      <c r="I793">
        <v>10</v>
      </c>
    </row>
    <row r="794" spans="2:9" x14ac:dyDescent="0.3">
      <c r="B794" t="s">
        <v>704</v>
      </c>
      <c r="C794" t="s">
        <v>2000</v>
      </c>
      <c r="D794" t="s">
        <v>2658</v>
      </c>
      <c r="E794" s="24">
        <v>39119</v>
      </c>
      <c r="F794">
        <v>2</v>
      </c>
      <c r="G794">
        <v>1</v>
      </c>
      <c r="H794" t="s">
        <v>3685</v>
      </c>
      <c r="I794">
        <v>2</v>
      </c>
    </row>
    <row r="795" spans="2:9" x14ac:dyDescent="0.3">
      <c r="B795" t="s">
        <v>705</v>
      </c>
      <c r="C795" t="s">
        <v>2001</v>
      </c>
      <c r="D795" t="s">
        <v>2658</v>
      </c>
      <c r="E795" s="24">
        <v>36698</v>
      </c>
      <c r="F795">
        <v>10</v>
      </c>
      <c r="G795">
        <v>1</v>
      </c>
      <c r="H795" t="s">
        <v>3686</v>
      </c>
      <c r="I795">
        <v>10</v>
      </c>
    </row>
    <row r="796" spans="2:9" x14ac:dyDescent="0.3">
      <c r="B796" t="s">
        <v>3687</v>
      </c>
      <c r="C796" t="s">
        <v>3688</v>
      </c>
      <c r="D796" t="s">
        <v>2658</v>
      </c>
      <c r="E796" s="24">
        <v>42361</v>
      </c>
      <c r="F796">
        <v>10</v>
      </c>
      <c r="G796">
        <v>1</v>
      </c>
      <c r="H796" t="s">
        <v>3689</v>
      </c>
      <c r="I796">
        <v>10</v>
      </c>
    </row>
    <row r="797" spans="2:9" x14ac:dyDescent="0.3">
      <c r="B797" t="s">
        <v>3690</v>
      </c>
      <c r="C797" t="s">
        <v>3691</v>
      </c>
      <c r="D797" t="s">
        <v>2658</v>
      </c>
      <c r="E797" s="24">
        <v>42039</v>
      </c>
      <c r="F797">
        <v>5</v>
      </c>
      <c r="G797">
        <v>1</v>
      </c>
      <c r="H797" t="s">
        <v>3692</v>
      </c>
      <c r="I797">
        <v>5</v>
      </c>
    </row>
    <row r="798" spans="2:9" x14ac:dyDescent="0.3">
      <c r="B798" t="s">
        <v>706</v>
      </c>
      <c r="C798" t="s">
        <v>2002</v>
      </c>
      <c r="D798" t="s">
        <v>2658</v>
      </c>
      <c r="E798" s="24">
        <v>39157</v>
      </c>
      <c r="F798">
        <v>2</v>
      </c>
      <c r="G798">
        <v>1</v>
      </c>
      <c r="H798" t="s">
        <v>3693</v>
      </c>
      <c r="I798">
        <v>2</v>
      </c>
    </row>
    <row r="799" spans="2:9" x14ac:dyDescent="0.3">
      <c r="B799" t="s">
        <v>3694</v>
      </c>
      <c r="C799" t="s">
        <v>3695</v>
      </c>
      <c r="D799" t="s">
        <v>2658</v>
      </c>
      <c r="E799" s="24">
        <v>42723</v>
      </c>
      <c r="F799">
        <v>10</v>
      </c>
      <c r="G799">
        <v>1</v>
      </c>
      <c r="H799" t="s">
        <v>3696</v>
      </c>
      <c r="I799">
        <v>10</v>
      </c>
    </row>
    <row r="800" spans="2:9" x14ac:dyDescent="0.3">
      <c r="B800" t="s">
        <v>707</v>
      </c>
      <c r="C800" t="s">
        <v>2003</v>
      </c>
      <c r="D800" t="s">
        <v>2658</v>
      </c>
      <c r="E800" s="24">
        <v>34787</v>
      </c>
      <c r="F800">
        <v>10</v>
      </c>
      <c r="G800">
        <v>1</v>
      </c>
      <c r="H800" t="s">
        <v>3697</v>
      </c>
      <c r="I800">
        <v>10</v>
      </c>
    </row>
    <row r="801" spans="2:9" x14ac:dyDescent="0.3">
      <c r="B801" t="s">
        <v>1317</v>
      </c>
      <c r="C801" t="s">
        <v>2004</v>
      </c>
      <c r="D801" t="s">
        <v>2686</v>
      </c>
      <c r="E801" s="24">
        <v>36587</v>
      </c>
      <c r="F801">
        <v>2</v>
      </c>
      <c r="G801">
        <v>1</v>
      </c>
      <c r="H801" t="s">
        <v>3698</v>
      </c>
      <c r="I801">
        <v>2</v>
      </c>
    </row>
    <row r="802" spans="2:9" x14ac:dyDescent="0.3">
      <c r="B802" t="s">
        <v>3699</v>
      </c>
      <c r="C802" t="s">
        <v>3700</v>
      </c>
      <c r="D802" t="s">
        <v>2686</v>
      </c>
      <c r="E802" s="24">
        <v>42109</v>
      </c>
      <c r="F802">
        <v>10</v>
      </c>
      <c r="G802">
        <v>1</v>
      </c>
      <c r="H802" t="s">
        <v>3701</v>
      </c>
      <c r="I802">
        <v>10</v>
      </c>
    </row>
    <row r="803" spans="2:9" x14ac:dyDescent="0.3">
      <c r="B803" t="s">
        <v>708</v>
      </c>
      <c r="C803" t="s">
        <v>2005</v>
      </c>
      <c r="D803" t="s">
        <v>2658</v>
      </c>
      <c r="E803" s="24">
        <v>40267</v>
      </c>
      <c r="F803">
        <v>10</v>
      </c>
      <c r="G803">
        <v>1</v>
      </c>
      <c r="H803" t="s">
        <v>3702</v>
      </c>
      <c r="I803">
        <v>10</v>
      </c>
    </row>
    <row r="804" spans="2:9" x14ac:dyDescent="0.3">
      <c r="B804" t="s">
        <v>709</v>
      </c>
      <c r="C804" t="s">
        <v>2006</v>
      </c>
      <c r="D804" t="s">
        <v>2686</v>
      </c>
      <c r="E804" s="24">
        <v>39661</v>
      </c>
      <c r="F804">
        <v>1</v>
      </c>
      <c r="G804">
        <v>1</v>
      </c>
      <c r="H804" t="s">
        <v>3703</v>
      </c>
      <c r="I804">
        <v>1</v>
      </c>
    </row>
    <row r="805" spans="2:9" x14ac:dyDescent="0.3">
      <c r="B805" t="s">
        <v>710</v>
      </c>
      <c r="C805" t="s">
        <v>2007</v>
      </c>
      <c r="D805" t="s">
        <v>2658</v>
      </c>
      <c r="E805" s="24">
        <v>34969</v>
      </c>
      <c r="F805">
        <v>10</v>
      </c>
      <c r="G805">
        <v>1</v>
      </c>
      <c r="H805" t="s">
        <v>3704</v>
      </c>
      <c r="I805">
        <v>10</v>
      </c>
    </row>
    <row r="806" spans="2:9" x14ac:dyDescent="0.3">
      <c r="B806" t="s">
        <v>711</v>
      </c>
      <c r="C806" t="s">
        <v>2008</v>
      </c>
      <c r="D806" t="s">
        <v>2658</v>
      </c>
      <c r="E806" s="24">
        <v>36005</v>
      </c>
      <c r="F806">
        <v>2</v>
      </c>
      <c r="G806">
        <v>1</v>
      </c>
      <c r="H806" t="s">
        <v>3705</v>
      </c>
      <c r="I806">
        <v>2</v>
      </c>
    </row>
    <row r="807" spans="2:9" x14ac:dyDescent="0.3">
      <c r="B807" t="s">
        <v>3706</v>
      </c>
      <c r="C807" t="s">
        <v>3707</v>
      </c>
      <c r="D807" t="s">
        <v>2658</v>
      </c>
      <c r="E807" s="24">
        <v>42355</v>
      </c>
      <c r="F807">
        <v>10</v>
      </c>
      <c r="G807">
        <v>1</v>
      </c>
      <c r="H807" t="s">
        <v>3708</v>
      </c>
      <c r="I807">
        <v>10</v>
      </c>
    </row>
    <row r="808" spans="2:9" x14ac:dyDescent="0.3">
      <c r="B808" t="s">
        <v>3709</v>
      </c>
      <c r="C808" t="s">
        <v>3710</v>
      </c>
      <c r="D808" t="s">
        <v>2658</v>
      </c>
      <c r="E808" s="24">
        <v>42072</v>
      </c>
      <c r="F808">
        <v>10</v>
      </c>
      <c r="G808">
        <v>1</v>
      </c>
      <c r="H808" t="s">
        <v>3711</v>
      </c>
      <c r="I808">
        <v>10</v>
      </c>
    </row>
    <row r="809" spans="2:9" x14ac:dyDescent="0.3">
      <c r="B809" t="s">
        <v>712</v>
      </c>
      <c r="C809" t="s">
        <v>2009</v>
      </c>
      <c r="D809" t="s">
        <v>2658</v>
      </c>
      <c r="E809" s="24">
        <v>36327</v>
      </c>
      <c r="F809">
        <v>10</v>
      </c>
      <c r="G809">
        <v>1</v>
      </c>
      <c r="H809" t="s">
        <v>3712</v>
      </c>
      <c r="I809">
        <v>10</v>
      </c>
    </row>
    <row r="810" spans="2:9" x14ac:dyDescent="0.3">
      <c r="B810" t="s">
        <v>713</v>
      </c>
      <c r="C810" t="s">
        <v>2010</v>
      </c>
      <c r="D810" t="s">
        <v>2658</v>
      </c>
      <c r="E810" s="24">
        <v>39048</v>
      </c>
      <c r="F810">
        <v>1</v>
      </c>
      <c r="G810">
        <v>1</v>
      </c>
      <c r="H810" t="s">
        <v>3713</v>
      </c>
      <c r="I810">
        <v>1</v>
      </c>
    </row>
    <row r="811" spans="2:9" x14ac:dyDescent="0.3">
      <c r="B811" t="s">
        <v>714</v>
      </c>
      <c r="C811" t="s">
        <v>2011</v>
      </c>
      <c r="D811" t="s">
        <v>2658</v>
      </c>
      <c r="E811" s="24">
        <v>35550</v>
      </c>
      <c r="F811">
        <v>10</v>
      </c>
      <c r="G811">
        <v>1</v>
      </c>
      <c r="H811" t="s">
        <v>3714</v>
      </c>
      <c r="I811">
        <v>10</v>
      </c>
    </row>
    <row r="812" spans="2:9" x14ac:dyDescent="0.3">
      <c r="B812" t="s">
        <v>715</v>
      </c>
      <c r="C812" t="s">
        <v>2012</v>
      </c>
      <c r="D812" t="s">
        <v>2658</v>
      </c>
      <c r="E812" s="24">
        <v>34773</v>
      </c>
      <c r="F812">
        <v>10</v>
      </c>
      <c r="G812">
        <v>1</v>
      </c>
      <c r="H812" t="s">
        <v>3715</v>
      </c>
      <c r="I812">
        <v>10</v>
      </c>
    </row>
    <row r="813" spans="2:9" x14ac:dyDescent="0.3">
      <c r="B813" t="s">
        <v>716</v>
      </c>
      <c r="C813" t="s">
        <v>2013</v>
      </c>
      <c r="D813" t="s">
        <v>2658</v>
      </c>
      <c r="E813" s="24">
        <v>38842</v>
      </c>
      <c r="F813">
        <v>10</v>
      </c>
      <c r="G813">
        <v>1</v>
      </c>
      <c r="H813" t="s">
        <v>3716</v>
      </c>
      <c r="I813">
        <v>10</v>
      </c>
    </row>
    <row r="814" spans="2:9" x14ac:dyDescent="0.3">
      <c r="B814" t="s">
        <v>717</v>
      </c>
      <c r="C814" t="s">
        <v>2014</v>
      </c>
      <c r="D814" t="s">
        <v>2658</v>
      </c>
      <c r="E814" s="24">
        <v>39640</v>
      </c>
      <c r="F814">
        <v>10</v>
      </c>
      <c r="G814">
        <v>1</v>
      </c>
      <c r="H814" t="s">
        <v>3717</v>
      </c>
      <c r="I814">
        <v>10</v>
      </c>
    </row>
    <row r="815" spans="2:9" x14ac:dyDescent="0.3">
      <c r="B815" t="s">
        <v>718</v>
      </c>
      <c r="C815" t="s">
        <v>2015</v>
      </c>
      <c r="D815" t="s">
        <v>2658</v>
      </c>
      <c r="E815" s="24">
        <v>40626</v>
      </c>
      <c r="F815">
        <v>10</v>
      </c>
      <c r="G815">
        <v>1</v>
      </c>
      <c r="H815" t="s">
        <v>3718</v>
      </c>
      <c r="I815">
        <v>10</v>
      </c>
    </row>
    <row r="816" spans="2:9" x14ac:dyDescent="0.3">
      <c r="B816" t="s">
        <v>719</v>
      </c>
      <c r="C816" t="s">
        <v>2016</v>
      </c>
      <c r="D816" t="s">
        <v>2658</v>
      </c>
      <c r="E816" s="24">
        <v>39672</v>
      </c>
      <c r="F816">
        <v>1</v>
      </c>
      <c r="G816">
        <v>1</v>
      </c>
      <c r="H816" t="s">
        <v>3719</v>
      </c>
      <c r="I816">
        <v>1</v>
      </c>
    </row>
    <row r="817" spans="2:9" x14ac:dyDescent="0.3">
      <c r="B817" t="s">
        <v>3720</v>
      </c>
      <c r="C817" t="s">
        <v>3721</v>
      </c>
      <c r="D817" t="s">
        <v>2658</v>
      </c>
      <c r="E817" s="24">
        <v>42569</v>
      </c>
      <c r="F817">
        <v>1</v>
      </c>
      <c r="G817">
        <v>1</v>
      </c>
      <c r="H817" t="s">
        <v>3722</v>
      </c>
      <c r="I817">
        <v>1</v>
      </c>
    </row>
    <row r="818" spans="2:9" x14ac:dyDescent="0.3">
      <c r="B818" t="s">
        <v>127</v>
      </c>
      <c r="C818" t="s">
        <v>2017</v>
      </c>
      <c r="D818" t="s">
        <v>2658</v>
      </c>
      <c r="E818" s="24">
        <v>38161</v>
      </c>
      <c r="F818">
        <v>2</v>
      </c>
      <c r="G818">
        <v>1</v>
      </c>
      <c r="H818" t="s">
        <v>3723</v>
      </c>
      <c r="I818">
        <v>2</v>
      </c>
    </row>
    <row r="819" spans="2:9" x14ac:dyDescent="0.3">
      <c r="B819" t="s">
        <v>3724</v>
      </c>
      <c r="C819" t="s">
        <v>3725</v>
      </c>
      <c r="D819" t="s">
        <v>2658</v>
      </c>
      <c r="E819" s="24">
        <v>42572</v>
      </c>
      <c r="F819">
        <v>1</v>
      </c>
      <c r="G819">
        <v>1</v>
      </c>
      <c r="H819" t="s">
        <v>3726</v>
      </c>
      <c r="I819">
        <v>1</v>
      </c>
    </row>
    <row r="820" spans="2:9" x14ac:dyDescent="0.3">
      <c r="B820" t="s">
        <v>3727</v>
      </c>
      <c r="C820" t="s">
        <v>3728</v>
      </c>
      <c r="D820" t="s">
        <v>2658</v>
      </c>
      <c r="E820" s="24">
        <v>42636</v>
      </c>
      <c r="F820">
        <v>2</v>
      </c>
      <c r="G820">
        <v>1</v>
      </c>
      <c r="H820" t="s">
        <v>3729</v>
      </c>
      <c r="I820">
        <v>2</v>
      </c>
    </row>
    <row r="821" spans="2:9" x14ac:dyDescent="0.3">
      <c r="B821" t="s">
        <v>720</v>
      </c>
      <c r="C821" t="s">
        <v>2018</v>
      </c>
      <c r="D821" t="s">
        <v>2658</v>
      </c>
      <c r="E821" s="24">
        <v>34948</v>
      </c>
      <c r="F821">
        <v>10</v>
      </c>
      <c r="G821">
        <v>1</v>
      </c>
      <c r="H821" t="s">
        <v>3730</v>
      </c>
      <c r="I821">
        <v>10</v>
      </c>
    </row>
    <row r="822" spans="2:9" x14ac:dyDescent="0.3">
      <c r="B822" t="s">
        <v>721</v>
      </c>
      <c r="C822" t="s">
        <v>2019</v>
      </c>
      <c r="D822" t="s">
        <v>2658</v>
      </c>
      <c r="E822" s="24">
        <v>39098</v>
      </c>
      <c r="F822">
        <v>10</v>
      </c>
      <c r="G822">
        <v>1</v>
      </c>
      <c r="H822" t="s">
        <v>3731</v>
      </c>
      <c r="I822">
        <v>10</v>
      </c>
    </row>
    <row r="823" spans="2:9" x14ac:dyDescent="0.3">
      <c r="B823" t="s">
        <v>722</v>
      </c>
      <c r="C823" t="s">
        <v>2020</v>
      </c>
      <c r="D823" t="s">
        <v>2658</v>
      </c>
      <c r="E823" s="24">
        <v>37144</v>
      </c>
      <c r="F823">
        <v>2</v>
      </c>
      <c r="G823">
        <v>1</v>
      </c>
      <c r="H823" t="s">
        <v>3732</v>
      </c>
      <c r="I823">
        <v>2</v>
      </c>
    </row>
    <row r="824" spans="2:9" x14ac:dyDescent="0.3">
      <c r="B824" t="s">
        <v>3733</v>
      </c>
      <c r="C824" t="s">
        <v>3734</v>
      </c>
      <c r="D824" t="s">
        <v>2658</v>
      </c>
      <c r="E824" s="24">
        <v>42338</v>
      </c>
      <c r="F824">
        <v>2</v>
      </c>
      <c r="G824">
        <v>1</v>
      </c>
      <c r="H824" t="s">
        <v>3735</v>
      </c>
      <c r="I824">
        <v>2</v>
      </c>
    </row>
    <row r="825" spans="2:9" x14ac:dyDescent="0.3">
      <c r="B825" t="s">
        <v>3736</v>
      </c>
      <c r="C825" t="s">
        <v>3737</v>
      </c>
      <c r="D825" t="s">
        <v>2686</v>
      </c>
      <c r="E825" s="24">
        <v>42132</v>
      </c>
      <c r="F825">
        <v>2</v>
      </c>
      <c r="G825">
        <v>1</v>
      </c>
      <c r="H825" t="s">
        <v>3738</v>
      </c>
      <c r="I825">
        <v>2</v>
      </c>
    </row>
    <row r="826" spans="2:9" x14ac:dyDescent="0.3">
      <c r="B826" t="s">
        <v>723</v>
      </c>
      <c r="C826" t="s">
        <v>2021</v>
      </c>
      <c r="D826" t="s">
        <v>2658</v>
      </c>
      <c r="E826" s="24">
        <v>34738</v>
      </c>
      <c r="F826">
        <v>10</v>
      </c>
      <c r="G826">
        <v>1</v>
      </c>
      <c r="H826" t="s">
        <v>3739</v>
      </c>
      <c r="I826">
        <v>10</v>
      </c>
    </row>
    <row r="827" spans="2:9" x14ac:dyDescent="0.3">
      <c r="B827" t="s">
        <v>724</v>
      </c>
      <c r="C827" t="s">
        <v>2022</v>
      </c>
      <c r="D827" t="s">
        <v>2658</v>
      </c>
      <c r="E827" s="24">
        <v>41583</v>
      </c>
      <c r="F827">
        <v>10</v>
      </c>
      <c r="G827">
        <v>1</v>
      </c>
      <c r="H827" t="s">
        <v>3740</v>
      </c>
      <c r="I827">
        <v>10</v>
      </c>
    </row>
    <row r="828" spans="2:9" x14ac:dyDescent="0.3">
      <c r="B828" t="s">
        <v>725</v>
      </c>
      <c r="C828" t="s">
        <v>2023</v>
      </c>
      <c r="D828" t="s">
        <v>2658</v>
      </c>
      <c r="E828" s="24">
        <v>35067</v>
      </c>
      <c r="F828">
        <v>5</v>
      </c>
      <c r="G828">
        <v>1</v>
      </c>
      <c r="H828" t="s">
        <v>3741</v>
      </c>
      <c r="I828">
        <v>5</v>
      </c>
    </row>
    <row r="829" spans="2:9" x14ac:dyDescent="0.3">
      <c r="B829" t="s">
        <v>76</v>
      </c>
      <c r="C829" t="s">
        <v>2024</v>
      </c>
      <c r="D829" t="s">
        <v>2658</v>
      </c>
      <c r="E829" s="24">
        <v>38793</v>
      </c>
      <c r="F829">
        <v>2</v>
      </c>
      <c r="G829">
        <v>1</v>
      </c>
      <c r="H829" t="s">
        <v>3742</v>
      </c>
      <c r="I829">
        <v>2</v>
      </c>
    </row>
    <row r="830" spans="2:9" x14ac:dyDescent="0.3">
      <c r="B830" t="s">
        <v>726</v>
      </c>
      <c r="C830" t="s">
        <v>2025</v>
      </c>
      <c r="D830" t="s">
        <v>2658</v>
      </c>
      <c r="E830" s="24">
        <v>39377</v>
      </c>
      <c r="F830">
        <v>10</v>
      </c>
      <c r="G830">
        <v>1</v>
      </c>
      <c r="H830" t="s">
        <v>3743</v>
      </c>
      <c r="I830">
        <v>10</v>
      </c>
    </row>
    <row r="831" spans="2:9" x14ac:dyDescent="0.3">
      <c r="B831" t="s">
        <v>727</v>
      </c>
      <c r="C831" t="s">
        <v>2026</v>
      </c>
      <c r="D831" t="s">
        <v>2658</v>
      </c>
      <c r="E831" s="24">
        <v>39436</v>
      </c>
      <c r="F831">
        <v>10</v>
      </c>
      <c r="G831">
        <v>1</v>
      </c>
      <c r="H831" t="s">
        <v>3744</v>
      </c>
      <c r="I831">
        <v>10</v>
      </c>
    </row>
    <row r="832" spans="2:9" x14ac:dyDescent="0.3">
      <c r="B832" t="s">
        <v>728</v>
      </c>
      <c r="C832" t="s">
        <v>2027</v>
      </c>
      <c r="D832" t="s">
        <v>2658</v>
      </c>
      <c r="E832" s="24">
        <v>38995</v>
      </c>
      <c r="F832">
        <v>1</v>
      </c>
      <c r="G832">
        <v>1</v>
      </c>
      <c r="H832" t="s">
        <v>3745</v>
      </c>
      <c r="I832">
        <v>1</v>
      </c>
    </row>
    <row r="833" spans="2:9" x14ac:dyDescent="0.3">
      <c r="B833" t="s">
        <v>729</v>
      </c>
      <c r="C833" t="s">
        <v>2028</v>
      </c>
      <c r="D833" t="s">
        <v>2686</v>
      </c>
      <c r="E833" s="24">
        <v>36327</v>
      </c>
      <c r="F833">
        <v>10</v>
      </c>
      <c r="G833">
        <v>1</v>
      </c>
      <c r="H833" t="s">
        <v>3746</v>
      </c>
      <c r="I833">
        <v>10</v>
      </c>
    </row>
    <row r="834" spans="2:9" x14ac:dyDescent="0.3">
      <c r="B834" t="s">
        <v>730</v>
      </c>
      <c r="C834" t="s">
        <v>2029</v>
      </c>
      <c r="D834" t="s">
        <v>2658</v>
      </c>
      <c r="E834" s="24">
        <v>38104</v>
      </c>
      <c r="F834">
        <v>2</v>
      </c>
      <c r="G834">
        <v>1</v>
      </c>
      <c r="H834" t="s">
        <v>3747</v>
      </c>
      <c r="I834">
        <v>2</v>
      </c>
    </row>
    <row r="835" spans="2:9" x14ac:dyDescent="0.3">
      <c r="B835" t="s">
        <v>731</v>
      </c>
      <c r="C835" t="s">
        <v>2030</v>
      </c>
      <c r="D835" t="s">
        <v>2658</v>
      </c>
      <c r="E835" s="24">
        <v>39345</v>
      </c>
      <c r="F835">
        <v>10</v>
      </c>
      <c r="G835">
        <v>1</v>
      </c>
      <c r="H835" t="s">
        <v>3748</v>
      </c>
      <c r="I835">
        <v>10</v>
      </c>
    </row>
    <row r="836" spans="2:9" x14ac:dyDescent="0.3">
      <c r="B836" t="s">
        <v>732</v>
      </c>
      <c r="C836" t="s">
        <v>2031</v>
      </c>
      <c r="D836" t="s">
        <v>2658</v>
      </c>
      <c r="E836" s="24">
        <v>38089</v>
      </c>
      <c r="F836">
        <v>10</v>
      </c>
      <c r="G836">
        <v>1</v>
      </c>
      <c r="H836" t="s">
        <v>3749</v>
      </c>
      <c r="I836">
        <v>10</v>
      </c>
    </row>
    <row r="837" spans="2:9" x14ac:dyDescent="0.3">
      <c r="B837" t="s">
        <v>3750</v>
      </c>
      <c r="C837" t="s">
        <v>3751</v>
      </c>
      <c r="D837" t="s">
        <v>2658</v>
      </c>
      <c r="E837" s="24">
        <v>42552</v>
      </c>
      <c r="F837">
        <v>10</v>
      </c>
      <c r="G837">
        <v>1</v>
      </c>
      <c r="H837" t="s">
        <v>3752</v>
      </c>
      <c r="I837">
        <v>10</v>
      </c>
    </row>
    <row r="838" spans="2:9" x14ac:dyDescent="0.3">
      <c r="B838" t="s">
        <v>733</v>
      </c>
      <c r="C838" t="s">
        <v>2032</v>
      </c>
      <c r="D838" t="s">
        <v>2658</v>
      </c>
      <c r="E838" s="24">
        <v>39324</v>
      </c>
      <c r="F838">
        <v>10</v>
      </c>
      <c r="G838">
        <v>1</v>
      </c>
      <c r="H838" t="s">
        <v>3753</v>
      </c>
      <c r="I838">
        <v>10</v>
      </c>
    </row>
    <row r="839" spans="2:9" x14ac:dyDescent="0.3">
      <c r="B839" t="s">
        <v>734</v>
      </c>
      <c r="C839" t="s">
        <v>2033</v>
      </c>
      <c r="D839" t="s">
        <v>2658</v>
      </c>
      <c r="E839" s="24">
        <v>36656</v>
      </c>
      <c r="F839">
        <v>10</v>
      </c>
      <c r="G839">
        <v>1</v>
      </c>
      <c r="H839" t="s">
        <v>3754</v>
      </c>
      <c r="I839">
        <v>10</v>
      </c>
    </row>
    <row r="840" spans="2:9" x14ac:dyDescent="0.3">
      <c r="B840" t="s">
        <v>735</v>
      </c>
      <c r="C840" t="s">
        <v>2034</v>
      </c>
      <c r="D840" t="s">
        <v>2658</v>
      </c>
      <c r="E840" s="24">
        <v>34738</v>
      </c>
      <c r="F840">
        <v>10</v>
      </c>
      <c r="G840">
        <v>1</v>
      </c>
      <c r="H840" t="s">
        <v>3755</v>
      </c>
      <c r="I840">
        <v>10</v>
      </c>
    </row>
    <row r="841" spans="2:9" x14ac:dyDescent="0.3">
      <c r="B841" t="s">
        <v>736</v>
      </c>
      <c r="C841" t="s">
        <v>2035</v>
      </c>
      <c r="D841" t="s">
        <v>2658</v>
      </c>
      <c r="E841" s="24">
        <v>38224</v>
      </c>
      <c r="F841">
        <v>5</v>
      </c>
      <c r="G841">
        <v>1</v>
      </c>
      <c r="H841" t="s">
        <v>3756</v>
      </c>
      <c r="I841">
        <v>5</v>
      </c>
    </row>
    <row r="842" spans="2:9" x14ac:dyDescent="0.3">
      <c r="B842" t="s">
        <v>737</v>
      </c>
      <c r="C842" t="s">
        <v>2036</v>
      </c>
      <c r="D842" t="s">
        <v>2658</v>
      </c>
      <c r="E842" s="24">
        <v>40729</v>
      </c>
      <c r="F842">
        <v>10</v>
      </c>
      <c r="G842">
        <v>1</v>
      </c>
      <c r="H842" t="s">
        <v>3757</v>
      </c>
      <c r="I842">
        <v>10</v>
      </c>
    </row>
    <row r="843" spans="2:9" x14ac:dyDescent="0.3">
      <c r="B843" t="s">
        <v>3758</v>
      </c>
      <c r="C843" t="s">
        <v>3759</v>
      </c>
      <c r="D843" t="s">
        <v>2658</v>
      </c>
      <c r="E843" s="24">
        <v>42235</v>
      </c>
      <c r="F843">
        <v>5</v>
      </c>
      <c r="G843">
        <v>1</v>
      </c>
      <c r="H843" t="s">
        <v>3760</v>
      </c>
      <c r="I843">
        <v>5</v>
      </c>
    </row>
    <row r="844" spans="2:9" x14ac:dyDescent="0.3">
      <c r="B844" t="s">
        <v>738</v>
      </c>
      <c r="C844" t="s">
        <v>2037</v>
      </c>
      <c r="D844" t="s">
        <v>2658</v>
      </c>
      <c r="E844" s="24">
        <v>38812</v>
      </c>
      <c r="F844">
        <v>10</v>
      </c>
      <c r="G844">
        <v>1</v>
      </c>
      <c r="H844" t="s">
        <v>3761</v>
      </c>
      <c r="I844">
        <v>10</v>
      </c>
    </row>
    <row r="845" spans="2:9" x14ac:dyDescent="0.3">
      <c r="B845" t="s">
        <v>739</v>
      </c>
      <c r="C845" t="s">
        <v>2038</v>
      </c>
      <c r="D845" t="s">
        <v>2686</v>
      </c>
      <c r="E845" s="24">
        <v>36628</v>
      </c>
      <c r="F845">
        <v>10</v>
      </c>
      <c r="G845">
        <v>1</v>
      </c>
      <c r="H845" t="s">
        <v>3762</v>
      </c>
      <c r="I845">
        <v>10</v>
      </c>
    </row>
    <row r="846" spans="2:9" x14ac:dyDescent="0.3">
      <c r="B846" t="s">
        <v>3763</v>
      </c>
      <c r="C846" t="s">
        <v>3764</v>
      </c>
      <c r="D846" t="s">
        <v>2686</v>
      </c>
      <c r="E846" s="24">
        <v>42093</v>
      </c>
      <c r="F846">
        <v>1</v>
      </c>
      <c r="G846">
        <v>1</v>
      </c>
      <c r="H846" t="s">
        <v>3765</v>
      </c>
      <c r="I846">
        <v>1</v>
      </c>
    </row>
    <row r="847" spans="2:9" x14ac:dyDescent="0.3">
      <c r="B847" t="s">
        <v>3766</v>
      </c>
      <c r="C847" t="s">
        <v>3767</v>
      </c>
      <c r="D847" t="s">
        <v>2658</v>
      </c>
      <c r="E847" s="24">
        <v>42093</v>
      </c>
      <c r="F847">
        <v>1</v>
      </c>
      <c r="G847">
        <v>1</v>
      </c>
      <c r="H847" t="s">
        <v>3768</v>
      </c>
      <c r="I847">
        <v>1</v>
      </c>
    </row>
    <row r="848" spans="2:9" x14ac:dyDescent="0.3">
      <c r="B848" t="s">
        <v>3769</v>
      </c>
      <c r="C848" t="s">
        <v>3770</v>
      </c>
      <c r="D848" t="s">
        <v>2686</v>
      </c>
      <c r="E848" s="24">
        <v>42093</v>
      </c>
      <c r="F848">
        <v>1</v>
      </c>
      <c r="G848">
        <v>1</v>
      </c>
      <c r="H848" t="s">
        <v>3771</v>
      </c>
      <c r="I848">
        <v>1</v>
      </c>
    </row>
    <row r="849" spans="2:9" x14ac:dyDescent="0.3">
      <c r="B849" t="s">
        <v>740</v>
      </c>
      <c r="C849" t="s">
        <v>2039</v>
      </c>
      <c r="D849" t="s">
        <v>2658</v>
      </c>
      <c r="E849" s="24">
        <v>39455</v>
      </c>
      <c r="F849">
        <v>2</v>
      </c>
      <c r="G849">
        <v>1</v>
      </c>
      <c r="H849" t="s">
        <v>3772</v>
      </c>
      <c r="I849">
        <v>2</v>
      </c>
    </row>
    <row r="850" spans="2:9" x14ac:dyDescent="0.3">
      <c r="B850" t="s">
        <v>3773</v>
      </c>
      <c r="C850" t="s">
        <v>3774</v>
      </c>
      <c r="D850" t="s">
        <v>2658</v>
      </c>
      <c r="E850" s="24">
        <v>42093</v>
      </c>
      <c r="F850">
        <v>1</v>
      </c>
      <c r="G850">
        <v>1</v>
      </c>
      <c r="H850" t="s">
        <v>3775</v>
      </c>
      <c r="I850">
        <v>1</v>
      </c>
    </row>
    <row r="851" spans="2:9" x14ac:dyDescent="0.3">
      <c r="B851" t="s">
        <v>741</v>
      </c>
      <c r="C851" t="s">
        <v>2040</v>
      </c>
      <c r="D851" t="s">
        <v>2658</v>
      </c>
      <c r="E851" s="24">
        <v>39057</v>
      </c>
      <c r="F851">
        <v>5</v>
      </c>
      <c r="G851">
        <v>1</v>
      </c>
      <c r="H851" t="s">
        <v>3776</v>
      </c>
      <c r="I851">
        <v>5</v>
      </c>
    </row>
    <row r="852" spans="2:9" x14ac:dyDescent="0.3">
      <c r="B852" t="s">
        <v>3777</v>
      </c>
      <c r="C852" t="s">
        <v>3778</v>
      </c>
      <c r="D852" t="s">
        <v>2658</v>
      </c>
      <c r="E852" s="24">
        <v>41974</v>
      </c>
      <c r="F852">
        <v>2</v>
      </c>
      <c r="G852">
        <v>1</v>
      </c>
      <c r="H852" t="s">
        <v>3779</v>
      </c>
      <c r="I852">
        <v>2</v>
      </c>
    </row>
    <row r="853" spans="2:9" x14ac:dyDescent="0.3">
      <c r="B853" t="s">
        <v>742</v>
      </c>
      <c r="C853" t="s">
        <v>2041</v>
      </c>
      <c r="D853" t="s">
        <v>2658</v>
      </c>
      <c r="E853" s="24">
        <v>40317</v>
      </c>
      <c r="F853">
        <v>10</v>
      </c>
      <c r="G853">
        <v>1</v>
      </c>
      <c r="H853" t="s">
        <v>3780</v>
      </c>
      <c r="I853">
        <v>10</v>
      </c>
    </row>
    <row r="854" spans="2:9" x14ac:dyDescent="0.3">
      <c r="B854" t="s">
        <v>743</v>
      </c>
      <c r="C854" t="s">
        <v>2042</v>
      </c>
      <c r="D854" t="s">
        <v>2658</v>
      </c>
      <c r="E854" s="24">
        <v>38495</v>
      </c>
      <c r="F854">
        <v>10</v>
      </c>
      <c r="G854">
        <v>1</v>
      </c>
      <c r="H854" t="s">
        <v>3781</v>
      </c>
      <c r="I854">
        <v>10</v>
      </c>
    </row>
    <row r="855" spans="2:9" x14ac:dyDescent="0.3">
      <c r="B855" t="s">
        <v>744</v>
      </c>
      <c r="C855" t="s">
        <v>2043</v>
      </c>
      <c r="D855" t="s">
        <v>2658</v>
      </c>
      <c r="E855" s="24">
        <v>39377</v>
      </c>
      <c r="F855">
        <v>10</v>
      </c>
      <c r="G855">
        <v>1</v>
      </c>
      <c r="H855" t="s">
        <v>3782</v>
      </c>
      <c r="I855">
        <v>10</v>
      </c>
    </row>
    <row r="856" spans="2:9" x14ac:dyDescent="0.3">
      <c r="B856" t="s">
        <v>745</v>
      </c>
      <c r="C856" t="s">
        <v>2044</v>
      </c>
      <c r="D856" t="s">
        <v>2658</v>
      </c>
      <c r="E856" s="24">
        <v>35067</v>
      </c>
      <c r="F856">
        <v>10</v>
      </c>
      <c r="G856">
        <v>1</v>
      </c>
      <c r="H856" t="s">
        <v>3783</v>
      </c>
      <c r="I856">
        <v>10</v>
      </c>
    </row>
    <row r="857" spans="2:9" x14ac:dyDescent="0.3">
      <c r="B857" t="s">
        <v>746</v>
      </c>
      <c r="C857" t="s">
        <v>2045</v>
      </c>
      <c r="D857" t="s">
        <v>2658</v>
      </c>
      <c r="E857" s="24">
        <v>34907</v>
      </c>
      <c r="F857">
        <v>10</v>
      </c>
      <c r="G857">
        <v>1</v>
      </c>
      <c r="H857" t="s">
        <v>3784</v>
      </c>
      <c r="I857">
        <v>10</v>
      </c>
    </row>
    <row r="858" spans="2:9" x14ac:dyDescent="0.3">
      <c r="B858" t="s">
        <v>747</v>
      </c>
      <c r="C858" t="s">
        <v>2046</v>
      </c>
      <c r="D858" t="s">
        <v>2658</v>
      </c>
      <c r="E858" s="24">
        <v>38527</v>
      </c>
      <c r="F858">
        <v>5</v>
      </c>
      <c r="G858">
        <v>1</v>
      </c>
      <c r="H858" t="s">
        <v>3785</v>
      </c>
      <c r="I858">
        <v>5</v>
      </c>
    </row>
    <row r="859" spans="2:9" x14ac:dyDescent="0.3">
      <c r="B859" t="s">
        <v>748</v>
      </c>
      <c r="C859" t="s">
        <v>2047</v>
      </c>
      <c r="D859" t="s">
        <v>2658</v>
      </c>
      <c r="E859" s="24">
        <v>40248</v>
      </c>
      <c r="F859">
        <v>2</v>
      </c>
      <c r="G859">
        <v>1</v>
      </c>
      <c r="H859" t="s">
        <v>3786</v>
      </c>
      <c r="I859">
        <v>2</v>
      </c>
    </row>
    <row r="860" spans="2:9" x14ac:dyDescent="0.3">
      <c r="B860" t="s">
        <v>3787</v>
      </c>
      <c r="C860" t="s">
        <v>3788</v>
      </c>
      <c r="D860" t="s">
        <v>2658</v>
      </c>
      <c r="E860" s="24">
        <v>42194</v>
      </c>
      <c r="F860">
        <v>10</v>
      </c>
      <c r="G860">
        <v>1</v>
      </c>
      <c r="H860" t="s">
        <v>3789</v>
      </c>
      <c r="I860">
        <v>10</v>
      </c>
    </row>
    <row r="861" spans="2:9" x14ac:dyDescent="0.3">
      <c r="B861" t="s">
        <v>749</v>
      </c>
      <c r="C861" t="s">
        <v>2048</v>
      </c>
      <c r="D861" t="s">
        <v>2658</v>
      </c>
      <c r="E861" s="24">
        <v>38974</v>
      </c>
      <c r="F861">
        <v>2</v>
      </c>
      <c r="G861">
        <v>1</v>
      </c>
      <c r="H861" t="s">
        <v>3790</v>
      </c>
      <c r="I861">
        <v>2</v>
      </c>
    </row>
    <row r="862" spans="2:9" x14ac:dyDescent="0.3">
      <c r="B862" t="s">
        <v>750</v>
      </c>
      <c r="C862" t="s">
        <v>2049</v>
      </c>
      <c r="D862" t="s">
        <v>2658</v>
      </c>
      <c r="E862" s="24">
        <v>34738</v>
      </c>
      <c r="F862">
        <v>10</v>
      </c>
      <c r="G862">
        <v>1</v>
      </c>
      <c r="H862" t="s">
        <v>3791</v>
      </c>
      <c r="I862">
        <v>10</v>
      </c>
    </row>
    <row r="863" spans="2:9" x14ac:dyDescent="0.3">
      <c r="B863" t="s">
        <v>3792</v>
      </c>
      <c r="C863" t="s">
        <v>3793</v>
      </c>
      <c r="D863" t="s">
        <v>2658</v>
      </c>
      <c r="E863" s="24">
        <v>42642</v>
      </c>
      <c r="F863">
        <v>10</v>
      </c>
      <c r="G863">
        <v>1</v>
      </c>
      <c r="H863" t="s">
        <v>3794</v>
      </c>
      <c r="I863">
        <v>10</v>
      </c>
    </row>
    <row r="864" spans="2:9" x14ac:dyDescent="0.3">
      <c r="B864" t="s">
        <v>751</v>
      </c>
      <c r="C864" t="s">
        <v>2050</v>
      </c>
      <c r="D864" t="s">
        <v>2658</v>
      </c>
      <c r="E864" s="24">
        <v>35186</v>
      </c>
      <c r="F864">
        <v>1</v>
      </c>
      <c r="G864">
        <v>1</v>
      </c>
      <c r="H864" t="s">
        <v>3795</v>
      </c>
      <c r="I864">
        <v>1</v>
      </c>
    </row>
    <row r="865" spans="2:9" x14ac:dyDescent="0.3">
      <c r="B865" t="s">
        <v>752</v>
      </c>
      <c r="C865" t="s">
        <v>2051</v>
      </c>
      <c r="D865" t="s">
        <v>2658</v>
      </c>
      <c r="E865" s="24">
        <v>37277</v>
      </c>
      <c r="F865">
        <v>1</v>
      </c>
      <c r="G865">
        <v>1</v>
      </c>
      <c r="H865" t="s">
        <v>3796</v>
      </c>
      <c r="I865">
        <v>1</v>
      </c>
    </row>
    <row r="866" spans="2:9" x14ac:dyDescent="0.3">
      <c r="B866" t="s">
        <v>753</v>
      </c>
      <c r="C866" t="s">
        <v>2052</v>
      </c>
      <c r="D866" t="s">
        <v>2658</v>
      </c>
      <c r="E866" s="24">
        <v>37811</v>
      </c>
      <c r="F866">
        <v>5</v>
      </c>
      <c r="G866">
        <v>1</v>
      </c>
      <c r="H866" t="s">
        <v>3797</v>
      </c>
      <c r="I866">
        <v>5</v>
      </c>
    </row>
    <row r="867" spans="2:9" x14ac:dyDescent="0.3">
      <c r="B867" t="s">
        <v>3798</v>
      </c>
      <c r="C867" t="s">
        <v>3799</v>
      </c>
      <c r="D867" t="s">
        <v>2686</v>
      </c>
      <c r="E867" s="24">
        <v>42657</v>
      </c>
      <c r="F867">
        <v>10</v>
      </c>
      <c r="G867">
        <v>1</v>
      </c>
      <c r="H867" t="s">
        <v>3800</v>
      </c>
      <c r="I867">
        <v>10</v>
      </c>
    </row>
    <row r="868" spans="2:9" x14ac:dyDescent="0.3">
      <c r="B868" t="s">
        <v>754</v>
      </c>
      <c r="C868" t="s">
        <v>2053</v>
      </c>
      <c r="D868" t="s">
        <v>2658</v>
      </c>
      <c r="E868" s="24">
        <v>34829</v>
      </c>
      <c r="F868">
        <v>5</v>
      </c>
      <c r="G868">
        <v>1</v>
      </c>
      <c r="H868" t="s">
        <v>3801</v>
      </c>
      <c r="I868">
        <v>5</v>
      </c>
    </row>
    <row r="869" spans="2:9" x14ac:dyDescent="0.3">
      <c r="B869" t="s">
        <v>755</v>
      </c>
      <c r="C869" t="s">
        <v>2054</v>
      </c>
      <c r="D869" t="s">
        <v>2658</v>
      </c>
      <c r="E869" s="24">
        <v>39892</v>
      </c>
      <c r="F869">
        <v>10</v>
      </c>
      <c r="G869">
        <v>1</v>
      </c>
      <c r="H869" t="s">
        <v>3802</v>
      </c>
      <c r="I869">
        <v>10</v>
      </c>
    </row>
    <row r="870" spans="2:9" x14ac:dyDescent="0.3">
      <c r="B870" t="s">
        <v>3803</v>
      </c>
      <c r="C870" t="s">
        <v>2055</v>
      </c>
      <c r="D870" t="s">
        <v>2658</v>
      </c>
      <c r="E870" s="24">
        <v>42565</v>
      </c>
      <c r="F870">
        <v>2</v>
      </c>
      <c r="G870">
        <v>1</v>
      </c>
      <c r="H870" t="s">
        <v>3804</v>
      </c>
      <c r="I870">
        <v>2</v>
      </c>
    </row>
    <row r="871" spans="2:9" x14ac:dyDescent="0.3">
      <c r="B871" t="s">
        <v>3805</v>
      </c>
      <c r="C871" t="s">
        <v>3806</v>
      </c>
      <c r="D871" t="s">
        <v>2658</v>
      </c>
      <c r="E871" s="24">
        <v>42543</v>
      </c>
      <c r="F871">
        <v>10</v>
      </c>
      <c r="G871">
        <v>1</v>
      </c>
      <c r="H871" t="s">
        <v>3807</v>
      </c>
      <c r="I871">
        <v>10</v>
      </c>
    </row>
    <row r="872" spans="2:9" x14ac:dyDescent="0.3">
      <c r="B872" t="s">
        <v>756</v>
      </c>
      <c r="C872" t="s">
        <v>2056</v>
      </c>
      <c r="D872" t="s">
        <v>2658</v>
      </c>
      <c r="E872" s="24">
        <v>41177</v>
      </c>
      <c r="F872">
        <v>5</v>
      </c>
      <c r="G872">
        <v>1</v>
      </c>
      <c r="H872" t="s">
        <v>3808</v>
      </c>
      <c r="I872">
        <v>5</v>
      </c>
    </row>
    <row r="873" spans="2:9" x14ac:dyDescent="0.3">
      <c r="B873" t="s">
        <v>3809</v>
      </c>
      <c r="C873" t="s">
        <v>3810</v>
      </c>
      <c r="D873" t="s">
        <v>2658</v>
      </c>
      <c r="E873" s="24">
        <v>42675</v>
      </c>
      <c r="F873">
        <v>10</v>
      </c>
      <c r="G873">
        <v>1</v>
      </c>
      <c r="H873" t="s">
        <v>3811</v>
      </c>
      <c r="I873">
        <v>10</v>
      </c>
    </row>
    <row r="874" spans="2:9" x14ac:dyDescent="0.3">
      <c r="B874" t="s">
        <v>757</v>
      </c>
      <c r="C874" t="s">
        <v>2057</v>
      </c>
      <c r="D874" t="s">
        <v>2658</v>
      </c>
      <c r="E874" s="24">
        <v>38996</v>
      </c>
      <c r="F874">
        <v>10</v>
      </c>
      <c r="G874">
        <v>1</v>
      </c>
      <c r="H874" t="s">
        <v>3812</v>
      </c>
      <c r="I874">
        <v>10</v>
      </c>
    </row>
    <row r="875" spans="2:9" x14ac:dyDescent="0.3">
      <c r="B875" t="s">
        <v>758</v>
      </c>
      <c r="C875" t="s">
        <v>2058</v>
      </c>
      <c r="D875" t="s">
        <v>2658</v>
      </c>
      <c r="E875" s="24">
        <v>40189</v>
      </c>
      <c r="F875">
        <v>10</v>
      </c>
      <c r="G875">
        <v>1</v>
      </c>
      <c r="H875" t="s">
        <v>3813</v>
      </c>
      <c r="I875">
        <v>10</v>
      </c>
    </row>
    <row r="876" spans="2:9" x14ac:dyDescent="0.3">
      <c r="B876" t="s">
        <v>759</v>
      </c>
      <c r="C876" t="s">
        <v>2059</v>
      </c>
      <c r="D876" t="s">
        <v>2658</v>
      </c>
      <c r="E876" s="24">
        <v>39232</v>
      </c>
      <c r="F876">
        <v>10</v>
      </c>
      <c r="G876">
        <v>1</v>
      </c>
      <c r="H876" t="s">
        <v>3814</v>
      </c>
      <c r="I876">
        <v>10</v>
      </c>
    </row>
    <row r="877" spans="2:9" x14ac:dyDescent="0.3">
      <c r="B877" t="s">
        <v>760</v>
      </c>
      <c r="C877" t="s">
        <v>2060</v>
      </c>
      <c r="D877" t="s">
        <v>2658</v>
      </c>
      <c r="E877" s="24">
        <v>37161</v>
      </c>
      <c r="F877">
        <v>10</v>
      </c>
      <c r="G877">
        <v>1</v>
      </c>
      <c r="H877" t="s">
        <v>3815</v>
      </c>
      <c r="I877">
        <v>10</v>
      </c>
    </row>
    <row r="878" spans="2:9" x14ac:dyDescent="0.3">
      <c r="B878" t="s">
        <v>761</v>
      </c>
      <c r="C878" t="s">
        <v>2061</v>
      </c>
      <c r="D878" t="s">
        <v>2658</v>
      </c>
      <c r="E878" s="24">
        <v>38562</v>
      </c>
      <c r="F878">
        <v>5</v>
      </c>
      <c r="G878">
        <v>1</v>
      </c>
      <c r="H878" t="s">
        <v>3816</v>
      </c>
      <c r="I878">
        <v>5</v>
      </c>
    </row>
    <row r="879" spans="2:9" x14ac:dyDescent="0.3">
      <c r="B879" t="s">
        <v>3817</v>
      </c>
      <c r="C879" t="s">
        <v>3818</v>
      </c>
      <c r="D879" t="s">
        <v>2658</v>
      </c>
      <c r="E879" s="24">
        <v>40977</v>
      </c>
      <c r="F879">
        <v>10</v>
      </c>
      <c r="G879">
        <v>1</v>
      </c>
      <c r="H879" t="s">
        <v>3819</v>
      </c>
      <c r="I879">
        <v>10</v>
      </c>
    </row>
    <row r="880" spans="2:9" x14ac:dyDescent="0.3">
      <c r="B880" t="s">
        <v>762</v>
      </c>
      <c r="C880" t="s">
        <v>2062</v>
      </c>
      <c r="D880" t="s">
        <v>2658</v>
      </c>
      <c r="E880" s="24">
        <v>39282</v>
      </c>
      <c r="F880">
        <v>10</v>
      </c>
      <c r="G880">
        <v>1</v>
      </c>
      <c r="H880" t="s">
        <v>3820</v>
      </c>
      <c r="I880">
        <v>10</v>
      </c>
    </row>
    <row r="881" spans="2:9" x14ac:dyDescent="0.3">
      <c r="B881" t="s">
        <v>763</v>
      </c>
      <c r="C881" t="s">
        <v>2063</v>
      </c>
      <c r="D881" t="s">
        <v>2658</v>
      </c>
      <c r="E881" s="24">
        <v>39261</v>
      </c>
      <c r="F881">
        <v>1</v>
      </c>
      <c r="G881">
        <v>1</v>
      </c>
      <c r="H881" t="s">
        <v>3821</v>
      </c>
      <c r="I881">
        <v>1</v>
      </c>
    </row>
    <row r="882" spans="2:9" x14ac:dyDescent="0.3">
      <c r="B882" t="s">
        <v>1318</v>
      </c>
      <c r="C882" t="s">
        <v>2064</v>
      </c>
      <c r="D882" t="s">
        <v>2686</v>
      </c>
      <c r="E882" s="24">
        <v>36592</v>
      </c>
      <c r="F882">
        <v>10</v>
      </c>
      <c r="G882">
        <v>1</v>
      </c>
      <c r="H882" t="s">
        <v>3822</v>
      </c>
      <c r="I882">
        <v>10</v>
      </c>
    </row>
    <row r="883" spans="2:9" x14ac:dyDescent="0.3">
      <c r="B883" t="s">
        <v>3823</v>
      </c>
      <c r="C883" t="s">
        <v>3824</v>
      </c>
      <c r="D883" t="s">
        <v>2658</v>
      </c>
      <c r="E883" s="24">
        <v>42072</v>
      </c>
      <c r="F883">
        <v>1</v>
      </c>
      <c r="G883">
        <v>1</v>
      </c>
      <c r="H883" t="s">
        <v>3825</v>
      </c>
      <c r="I883">
        <v>1</v>
      </c>
    </row>
    <row r="884" spans="2:9" x14ac:dyDescent="0.3">
      <c r="B884" t="s">
        <v>3826</v>
      </c>
      <c r="C884" t="s">
        <v>3827</v>
      </c>
      <c r="D884" t="s">
        <v>2658</v>
      </c>
      <c r="E884" s="24">
        <v>42130</v>
      </c>
      <c r="F884">
        <v>10</v>
      </c>
      <c r="G884">
        <v>1</v>
      </c>
      <c r="H884" t="s">
        <v>3828</v>
      </c>
      <c r="I884">
        <v>10</v>
      </c>
    </row>
    <row r="885" spans="2:9" x14ac:dyDescent="0.3">
      <c r="B885" t="s">
        <v>764</v>
      </c>
      <c r="C885" t="s">
        <v>2065</v>
      </c>
      <c r="D885" t="s">
        <v>2658</v>
      </c>
      <c r="E885" s="24">
        <v>38523</v>
      </c>
      <c r="F885">
        <v>1</v>
      </c>
      <c r="G885">
        <v>1</v>
      </c>
      <c r="H885" t="s">
        <v>3829</v>
      </c>
      <c r="I885">
        <v>1</v>
      </c>
    </row>
    <row r="886" spans="2:9" x14ac:dyDescent="0.3">
      <c r="B886" t="s">
        <v>765</v>
      </c>
      <c r="C886" t="s">
        <v>2066</v>
      </c>
      <c r="D886" t="s">
        <v>2658</v>
      </c>
      <c r="E886" s="24">
        <v>35179</v>
      </c>
      <c r="F886">
        <v>10</v>
      </c>
      <c r="G886">
        <v>1</v>
      </c>
      <c r="H886" t="s">
        <v>3830</v>
      </c>
      <c r="I886">
        <v>10</v>
      </c>
    </row>
    <row r="887" spans="2:9" x14ac:dyDescent="0.3">
      <c r="B887" t="s">
        <v>3831</v>
      </c>
      <c r="C887" t="s">
        <v>3832</v>
      </c>
      <c r="D887" t="s">
        <v>2658</v>
      </c>
      <c r="E887" s="24">
        <v>34934</v>
      </c>
      <c r="F887">
        <v>10</v>
      </c>
      <c r="G887">
        <v>1</v>
      </c>
      <c r="H887" t="s">
        <v>3833</v>
      </c>
      <c r="I887">
        <v>10</v>
      </c>
    </row>
    <row r="888" spans="2:9" x14ac:dyDescent="0.3">
      <c r="B888" t="s">
        <v>766</v>
      </c>
      <c r="C888" t="s">
        <v>2067</v>
      </c>
      <c r="D888" t="s">
        <v>2686</v>
      </c>
      <c r="E888" s="24">
        <v>39629</v>
      </c>
      <c r="F888">
        <v>2</v>
      </c>
      <c r="G888">
        <v>1</v>
      </c>
      <c r="H888" t="s">
        <v>3834</v>
      </c>
      <c r="I888">
        <v>2</v>
      </c>
    </row>
    <row r="889" spans="2:9" x14ac:dyDescent="0.3">
      <c r="B889" t="s">
        <v>3835</v>
      </c>
      <c r="C889" t="s">
        <v>3836</v>
      </c>
      <c r="D889" t="s">
        <v>2658</v>
      </c>
      <c r="E889" s="24">
        <v>36663</v>
      </c>
      <c r="F889">
        <v>2</v>
      </c>
      <c r="G889">
        <v>1</v>
      </c>
      <c r="H889" t="s">
        <v>3837</v>
      </c>
      <c r="I889">
        <v>2</v>
      </c>
    </row>
    <row r="890" spans="2:9" x14ac:dyDescent="0.3">
      <c r="B890" t="s">
        <v>3838</v>
      </c>
      <c r="C890" t="s">
        <v>3839</v>
      </c>
      <c r="D890" t="s">
        <v>2658</v>
      </c>
      <c r="E890" s="24">
        <v>42552</v>
      </c>
      <c r="F890">
        <v>10</v>
      </c>
      <c r="G890">
        <v>1</v>
      </c>
      <c r="H890" t="s">
        <v>3840</v>
      </c>
      <c r="I890">
        <v>10</v>
      </c>
    </row>
    <row r="891" spans="2:9" x14ac:dyDescent="0.3">
      <c r="B891" t="s">
        <v>767</v>
      </c>
      <c r="C891" t="s">
        <v>2068</v>
      </c>
      <c r="D891" t="s">
        <v>2658</v>
      </c>
      <c r="E891" s="24">
        <v>40010</v>
      </c>
      <c r="F891">
        <v>10</v>
      </c>
      <c r="G891">
        <v>1</v>
      </c>
      <c r="H891" t="s">
        <v>3841</v>
      </c>
      <c r="I891">
        <v>10</v>
      </c>
    </row>
    <row r="892" spans="2:9" x14ac:dyDescent="0.3">
      <c r="B892" t="s">
        <v>768</v>
      </c>
      <c r="C892" t="s">
        <v>2069</v>
      </c>
      <c r="D892" t="s">
        <v>2658</v>
      </c>
      <c r="E892" s="24">
        <v>39232</v>
      </c>
      <c r="F892">
        <v>2</v>
      </c>
      <c r="G892">
        <v>1</v>
      </c>
      <c r="H892" t="s">
        <v>3842</v>
      </c>
      <c r="I892">
        <v>2</v>
      </c>
    </row>
    <row r="893" spans="2:9" x14ac:dyDescent="0.3">
      <c r="B893" t="s">
        <v>769</v>
      </c>
      <c r="C893" t="s">
        <v>2070</v>
      </c>
      <c r="D893" t="s">
        <v>2658</v>
      </c>
      <c r="E893" s="24">
        <v>41928</v>
      </c>
      <c r="F893">
        <v>2</v>
      </c>
      <c r="G893">
        <v>1</v>
      </c>
      <c r="H893" t="s">
        <v>3843</v>
      </c>
      <c r="I893">
        <v>2</v>
      </c>
    </row>
    <row r="894" spans="2:9" x14ac:dyDescent="0.3">
      <c r="B894" t="s">
        <v>770</v>
      </c>
      <c r="C894" t="s">
        <v>2071</v>
      </c>
      <c r="D894" t="s">
        <v>2658</v>
      </c>
      <c r="E894" s="24">
        <v>39115</v>
      </c>
      <c r="F894">
        <v>2</v>
      </c>
      <c r="G894">
        <v>1</v>
      </c>
      <c r="H894" t="s">
        <v>3844</v>
      </c>
      <c r="I894">
        <v>2</v>
      </c>
    </row>
    <row r="895" spans="2:9" x14ac:dyDescent="0.3">
      <c r="B895" t="s">
        <v>3845</v>
      </c>
      <c r="C895" t="s">
        <v>3846</v>
      </c>
      <c r="D895" t="s">
        <v>2658</v>
      </c>
      <c r="E895" s="24">
        <v>42584</v>
      </c>
      <c r="F895">
        <v>10</v>
      </c>
      <c r="G895">
        <v>1</v>
      </c>
      <c r="H895" t="s">
        <v>3847</v>
      </c>
      <c r="I895">
        <v>10</v>
      </c>
    </row>
    <row r="896" spans="2:9" x14ac:dyDescent="0.3">
      <c r="B896" t="s">
        <v>77</v>
      </c>
      <c r="C896" t="s">
        <v>2072</v>
      </c>
      <c r="D896" t="s">
        <v>2658</v>
      </c>
      <c r="E896" s="24">
        <v>39148</v>
      </c>
      <c r="F896">
        <v>10</v>
      </c>
      <c r="G896">
        <v>1</v>
      </c>
      <c r="H896" t="s">
        <v>3848</v>
      </c>
      <c r="I896">
        <v>10</v>
      </c>
    </row>
    <row r="897" spans="2:9" x14ac:dyDescent="0.3">
      <c r="B897" t="s">
        <v>771</v>
      </c>
      <c r="C897" t="s">
        <v>2073</v>
      </c>
      <c r="D897" t="s">
        <v>2658</v>
      </c>
      <c r="E897" s="24">
        <v>38131</v>
      </c>
      <c r="F897">
        <v>1</v>
      </c>
      <c r="G897">
        <v>1</v>
      </c>
      <c r="H897" t="s">
        <v>3849</v>
      </c>
      <c r="I897">
        <v>1</v>
      </c>
    </row>
    <row r="898" spans="2:9" x14ac:dyDescent="0.3">
      <c r="B898" t="s">
        <v>772</v>
      </c>
      <c r="C898" t="s">
        <v>2074</v>
      </c>
      <c r="D898" t="s">
        <v>2658</v>
      </c>
      <c r="E898" s="24">
        <v>36278</v>
      </c>
      <c r="F898">
        <v>2</v>
      </c>
      <c r="G898">
        <v>1</v>
      </c>
      <c r="H898" t="s">
        <v>3850</v>
      </c>
      <c r="I898">
        <v>2</v>
      </c>
    </row>
    <row r="899" spans="2:9" x14ac:dyDescent="0.3">
      <c r="B899" t="s">
        <v>773</v>
      </c>
      <c r="C899" t="s">
        <v>2075</v>
      </c>
      <c r="D899" t="s">
        <v>2658</v>
      </c>
      <c r="E899" s="24">
        <v>39071</v>
      </c>
      <c r="F899">
        <v>10</v>
      </c>
      <c r="G899">
        <v>1</v>
      </c>
      <c r="H899" t="s">
        <v>3851</v>
      </c>
      <c r="I899">
        <v>10</v>
      </c>
    </row>
    <row r="900" spans="2:9" x14ac:dyDescent="0.3">
      <c r="B900" t="s">
        <v>774</v>
      </c>
      <c r="C900" t="s">
        <v>2076</v>
      </c>
      <c r="D900" t="s">
        <v>2658</v>
      </c>
      <c r="E900" s="24">
        <v>41008</v>
      </c>
      <c r="F900">
        <v>1</v>
      </c>
      <c r="G900">
        <v>1</v>
      </c>
      <c r="H900" t="s">
        <v>3852</v>
      </c>
      <c r="I900">
        <v>1</v>
      </c>
    </row>
    <row r="901" spans="2:9" x14ac:dyDescent="0.3">
      <c r="B901" t="s">
        <v>775</v>
      </c>
      <c r="C901" t="s">
        <v>2077</v>
      </c>
      <c r="D901" t="s">
        <v>2658</v>
      </c>
      <c r="E901" s="24">
        <v>41347</v>
      </c>
      <c r="F901">
        <v>10</v>
      </c>
      <c r="G901">
        <v>1</v>
      </c>
      <c r="H901" t="s">
        <v>3853</v>
      </c>
      <c r="I901">
        <v>10</v>
      </c>
    </row>
    <row r="902" spans="2:9" x14ac:dyDescent="0.3">
      <c r="B902" t="s">
        <v>776</v>
      </c>
      <c r="C902" t="s">
        <v>2078</v>
      </c>
      <c r="D902" t="s">
        <v>2658</v>
      </c>
      <c r="E902" s="24">
        <v>40527</v>
      </c>
      <c r="F902">
        <v>10</v>
      </c>
      <c r="G902">
        <v>1</v>
      </c>
      <c r="H902" t="s">
        <v>3854</v>
      </c>
      <c r="I902">
        <v>10</v>
      </c>
    </row>
    <row r="903" spans="2:9" x14ac:dyDescent="0.3">
      <c r="B903" t="s">
        <v>3855</v>
      </c>
      <c r="C903" t="s">
        <v>3856</v>
      </c>
      <c r="D903" t="s">
        <v>2658</v>
      </c>
      <c r="E903" s="24">
        <v>42558</v>
      </c>
      <c r="F903">
        <v>2</v>
      </c>
      <c r="G903">
        <v>1</v>
      </c>
      <c r="H903" t="s">
        <v>3857</v>
      </c>
      <c r="I903">
        <v>2</v>
      </c>
    </row>
    <row r="904" spans="2:9" x14ac:dyDescent="0.3">
      <c r="B904" t="s">
        <v>3858</v>
      </c>
      <c r="C904" t="s">
        <v>3859</v>
      </c>
      <c r="D904" t="s">
        <v>2658</v>
      </c>
      <c r="E904" s="24">
        <v>42058</v>
      </c>
      <c r="F904">
        <v>5</v>
      </c>
      <c r="G904">
        <v>1</v>
      </c>
      <c r="H904" t="s">
        <v>3860</v>
      </c>
      <c r="I904">
        <v>5</v>
      </c>
    </row>
    <row r="905" spans="2:9" x14ac:dyDescent="0.3">
      <c r="B905" t="s">
        <v>777</v>
      </c>
      <c r="C905" t="s">
        <v>2079</v>
      </c>
      <c r="D905" t="s">
        <v>2658</v>
      </c>
      <c r="E905" s="24">
        <v>38152</v>
      </c>
      <c r="F905">
        <v>10</v>
      </c>
      <c r="G905">
        <v>1</v>
      </c>
      <c r="H905" t="s">
        <v>3861</v>
      </c>
      <c r="I905">
        <v>10</v>
      </c>
    </row>
    <row r="906" spans="2:9" x14ac:dyDescent="0.3">
      <c r="B906" t="s">
        <v>778</v>
      </c>
      <c r="C906" t="s">
        <v>2080</v>
      </c>
      <c r="D906" t="s">
        <v>2658</v>
      </c>
      <c r="E906" s="24">
        <v>36544</v>
      </c>
      <c r="F906">
        <v>10</v>
      </c>
      <c r="G906">
        <v>1</v>
      </c>
      <c r="H906" t="s">
        <v>3862</v>
      </c>
      <c r="I906">
        <v>10</v>
      </c>
    </row>
    <row r="907" spans="2:9" x14ac:dyDescent="0.3">
      <c r="B907" t="s">
        <v>3863</v>
      </c>
      <c r="C907" t="s">
        <v>3864</v>
      </c>
      <c r="D907" t="s">
        <v>2658</v>
      </c>
      <c r="E907" s="24">
        <v>41992</v>
      </c>
      <c r="F907">
        <v>10</v>
      </c>
      <c r="G907">
        <v>1</v>
      </c>
      <c r="H907" t="s">
        <v>3865</v>
      </c>
      <c r="I907">
        <v>10</v>
      </c>
    </row>
    <row r="908" spans="2:9" x14ac:dyDescent="0.3">
      <c r="B908" t="s">
        <v>779</v>
      </c>
      <c r="C908" t="s">
        <v>2081</v>
      </c>
      <c r="D908" t="s">
        <v>2658</v>
      </c>
      <c r="E908" s="24">
        <v>41166</v>
      </c>
      <c r="F908">
        <v>7</v>
      </c>
      <c r="G908">
        <v>1</v>
      </c>
      <c r="H908" t="s">
        <v>3866</v>
      </c>
      <c r="I908">
        <v>7</v>
      </c>
    </row>
    <row r="909" spans="2:9" x14ac:dyDescent="0.3">
      <c r="B909" t="s">
        <v>780</v>
      </c>
      <c r="C909" t="s">
        <v>2082</v>
      </c>
      <c r="D909" t="s">
        <v>2658</v>
      </c>
      <c r="E909" s="24">
        <v>36488</v>
      </c>
      <c r="F909">
        <v>2</v>
      </c>
      <c r="G909">
        <v>1</v>
      </c>
      <c r="H909" t="s">
        <v>3867</v>
      </c>
      <c r="I909">
        <v>2</v>
      </c>
    </row>
    <row r="910" spans="2:9" x14ac:dyDescent="0.3">
      <c r="B910" t="s">
        <v>781</v>
      </c>
      <c r="C910" t="s">
        <v>2083</v>
      </c>
      <c r="D910" t="s">
        <v>2658</v>
      </c>
      <c r="E910" s="24">
        <v>37743</v>
      </c>
      <c r="F910">
        <v>10</v>
      </c>
      <c r="G910">
        <v>1</v>
      </c>
      <c r="H910" t="s">
        <v>3868</v>
      </c>
      <c r="I910">
        <v>10</v>
      </c>
    </row>
    <row r="911" spans="2:9" x14ac:dyDescent="0.3">
      <c r="B911" t="s">
        <v>78</v>
      </c>
      <c r="C911" t="s">
        <v>2084</v>
      </c>
      <c r="D911" t="s">
        <v>2658</v>
      </c>
      <c r="E911" s="24">
        <v>35291</v>
      </c>
      <c r="F911">
        <v>1</v>
      </c>
      <c r="G911">
        <v>1</v>
      </c>
      <c r="H911" t="s">
        <v>3869</v>
      </c>
      <c r="I911">
        <v>1</v>
      </c>
    </row>
    <row r="912" spans="2:9" x14ac:dyDescent="0.3">
      <c r="B912" t="s">
        <v>782</v>
      </c>
      <c r="C912" t="s">
        <v>2085</v>
      </c>
      <c r="D912" t="s">
        <v>2658</v>
      </c>
      <c r="E912" s="24">
        <v>39336</v>
      </c>
      <c r="F912">
        <v>1</v>
      </c>
      <c r="G912">
        <v>1</v>
      </c>
      <c r="H912" t="s">
        <v>3870</v>
      </c>
      <c r="I912">
        <v>1</v>
      </c>
    </row>
    <row r="913" spans="2:9" x14ac:dyDescent="0.3">
      <c r="B913" t="s">
        <v>783</v>
      </c>
      <c r="C913" t="s">
        <v>2086</v>
      </c>
      <c r="D913" t="s">
        <v>2686</v>
      </c>
      <c r="E913" s="24">
        <v>36796</v>
      </c>
      <c r="F913">
        <v>10</v>
      </c>
      <c r="G913">
        <v>1</v>
      </c>
      <c r="H913" t="s">
        <v>3871</v>
      </c>
      <c r="I913">
        <v>10</v>
      </c>
    </row>
    <row r="914" spans="2:9" x14ac:dyDescent="0.3">
      <c r="B914" t="s">
        <v>79</v>
      </c>
      <c r="C914" t="s">
        <v>2087</v>
      </c>
      <c r="D914" t="s">
        <v>2658</v>
      </c>
      <c r="E914" s="24">
        <v>38142</v>
      </c>
      <c r="F914">
        <v>10</v>
      </c>
      <c r="G914">
        <v>1</v>
      </c>
      <c r="H914" t="s">
        <v>3872</v>
      </c>
      <c r="I914">
        <v>10</v>
      </c>
    </row>
    <row r="915" spans="2:9" x14ac:dyDescent="0.3">
      <c r="B915" t="s">
        <v>784</v>
      </c>
      <c r="C915" t="s">
        <v>2088</v>
      </c>
      <c r="D915" t="s">
        <v>2658</v>
      </c>
      <c r="E915" s="24">
        <v>37277</v>
      </c>
      <c r="F915">
        <v>10</v>
      </c>
      <c r="G915">
        <v>1</v>
      </c>
      <c r="H915" t="s">
        <v>3873</v>
      </c>
      <c r="I915">
        <v>10</v>
      </c>
    </row>
    <row r="916" spans="2:9" x14ac:dyDescent="0.3">
      <c r="B916" t="s">
        <v>23</v>
      </c>
      <c r="C916" t="s">
        <v>2089</v>
      </c>
      <c r="D916" t="s">
        <v>2658</v>
      </c>
      <c r="E916" s="24">
        <v>35326</v>
      </c>
      <c r="F916">
        <v>10</v>
      </c>
      <c r="G916">
        <v>1</v>
      </c>
      <c r="H916" t="s">
        <v>3874</v>
      </c>
      <c r="I916">
        <v>10</v>
      </c>
    </row>
    <row r="917" spans="2:9" x14ac:dyDescent="0.3">
      <c r="B917" t="s">
        <v>785</v>
      </c>
      <c r="C917" t="s">
        <v>3875</v>
      </c>
      <c r="D917" t="s">
        <v>2658</v>
      </c>
      <c r="E917" s="24">
        <v>36831</v>
      </c>
      <c r="F917">
        <v>5</v>
      </c>
      <c r="G917">
        <v>1</v>
      </c>
      <c r="H917" t="s">
        <v>3876</v>
      </c>
      <c r="I917">
        <v>5</v>
      </c>
    </row>
    <row r="918" spans="2:9" x14ac:dyDescent="0.3">
      <c r="B918" t="s">
        <v>786</v>
      </c>
      <c r="C918" t="s">
        <v>2090</v>
      </c>
      <c r="D918" t="s">
        <v>2658</v>
      </c>
      <c r="E918" s="24">
        <v>38359</v>
      </c>
      <c r="F918">
        <v>10</v>
      </c>
      <c r="G918">
        <v>1</v>
      </c>
      <c r="H918" t="s">
        <v>3877</v>
      </c>
      <c r="I918">
        <v>10</v>
      </c>
    </row>
    <row r="919" spans="2:9" x14ac:dyDescent="0.3">
      <c r="B919" t="s">
        <v>787</v>
      </c>
      <c r="C919" t="s">
        <v>2091</v>
      </c>
      <c r="D919" t="s">
        <v>2658</v>
      </c>
      <c r="E919" s="24">
        <v>38551</v>
      </c>
      <c r="F919">
        <v>10</v>
      </c>
      <c r="G919">
        <v>1</v>
      </c>
      <c r="H919" t="s">
        <v>3878</v>
      </c>
      <c r="I919">
        <v>10</v>
      </c>
    </row>
    <row r="920" spans="2:9" x14ac:dyDescent="0.3">
      <c r="B920" t="s">
        <v>788</v>
      </c>
      <c r="C920" t="s">
        <v>2092</v>
      </c>
      <c r="D920" t="s">
        <v>2658</v>
      </c>
      <c r="E920" s="24">
        <v>41011</v>
      </c>
      <c r="F920">
        <v>10</v>
      </c>
      <c r="G920">
        <v>1</v>
      </c>
      <c r="H920" t="s">
        <v>3879</v>
      </c>
      <c r="I920">
        <v>10</v>
      </c>
    </row>
    <row r="921" spans="2:9" x14ac:dyDescent="0.3">
      <c r="B921" t="s">
        <v>789</v>
      </c>
      <c r="C921" t="s">
        <v>2093</v>
      </c>
      <c r="D921" t="s">
        <v>2658</v>
      </c>
      <c r="E921" s="24">
        <v>36208</v>
      </c>
      <c r="F921">
        <v>10</v>
      </c>
      <c r="G921">
        <v>1</v>
      </c>
      <c r="H921" t="s">
        <v>3880</v>
      </c>
      <c r="I921">
        <v>10</v>
      </c>
    </row>
    <row r="922" spans="2:9" x14ac:dyDescent="0.3">
      <c r="B922" t="s">
        <v>790</v>
      </c>
      <c r="C922" t="s">
        <v>2094</v>
      </c>
      <c r="D922" t="s">
        <v>2658</v>
      </c>
      <c r="E922" s="24">
        <v>36705</v>
      </c>
      <c r="F922">
        <v>10</v>
      </c>
      <c r="G922">
        <v>1</v>
      </c>
      <c r="H922" t="s">
        <v>3881</v>
      </c>
      <c r="I922">
        <v>10</v>
      </c>
    </row>
    <row r="923" spans="2:9" x14ac:dyDescent="0.3">
      <c r="B923" t="s">
        <v>791</v>
      </c>
      <c r="C923" t="s">
        <v>2095</v>
      </c>
      <c r="D923" t="s">
        <v>2658</v>
      </c>
      <c r="E923" s="24">
        <v>38040</v>
      </c>
      <c r="F923">
        <v>10</v>
      </c>
      <c r="G923">
        <v>1</v>
      </c>
      <c r="H923" t="s">
        <v>3882</v>
      </c>
      <c r="I923">
        <v>10</v>
      </c>
    </row>
    <row r="924" spans="2:9" x14ac:dyDescent="0.3">
      <c r="B924" t="s">
        <v>792</v>
      </c>
      <c r="C924" t="s">
        <v>2096</v>
      </c>
      <c r="D924" t="s">
        <v>2658</v>
      </c>
      <c r="E924" s="24">
        <v>36781</v>
      </c>
      <c r="F924">
        <v>5</v>
      </c>
      <c r="G924">
        <v>1</v>
      </c>
      <c r="H924" t="s">
        <v>3883</v>
      </c>
      <c r="I924">
        <v>5</v>
      </c>
    </row>
    <row r="925" spans="2:9" x14ac:dyDescent="0.3">
      <c r="B925" t="s">
        <v>793</v>
      </c>
      <c r="C925" t="s">
        <v>2097</v>
      </c>
      <c r="D925" t="s">
        <v>2658</v>
      </c>
      <c r="E925" s="24">
        <v>38917</v>
      </c>
      <c r="F925">
        <v>2</v>
      </c>
      <c r="G925">
        <v>1</v>
      </c>
      <c r="H925" t="s">
        <v>3884</v>
      </c>
      <c r="I925">
        <v>2</v>
      </c>
    </row>
    <row r="926" spans="2:9" x14ac:dyDescent="0.3">
      <c r="B926" t="s">
        <v>794</v>
      </c>
      <c r="C926" t="s">
        <v>2098</v>
      </c>
      <c r="D926" t="s">
        <v>2658</v>
      </c>
      <c r="E926" s="24">
        <v>37753</v>
      </c>
      <c r="F926">
        <v>2</v>
      </c>
      <c r="G926">
        <v>1</v>
      </c>
      <c r="H926" t="s">
        <v>3885</v>
      </c>
      <c r="I926">
        <v>2</v>
      </c>
    </row>
    <row r="927" spans="2:9" x14ac:dyDescent="0.3">
      <c r="B927" t="s">
        <v>795</v>
      </c>
      <c r="C927" t="s">
        <v>2099</v>
      </c>
      <c r="D927" t="s">
        <v>2686</v>
      </c>
      <c r="E927" s="24">
        <v>38135</v>
      </c>
      <c r="F927">
        <v>10</v>
      </c>
      <c r="G927">
        <v>1</v>
      </c>
      <c r="H927" t="s">
        <v>3886</v>
      </c>
      <c r="I927">
        <v>10</v>
      </c>
    </row>
    <row r="928" spans="2:9" x14ac:dyDescent="0.3">
      <c r="B928" t="s">
        <v>3887</v>
      </c>
      <c r="C928" t="s">
        <v>3888</v>
      </c>
      <c r="D928" t="s">
        <v>2658</v>
      </c>
      <c r="E928" s="24">
        <v>42240</v>
      </c>
      <c r="F928">
        <v>10</v>
      </c>
      <c r="G928">
        <v>1</v>
      </c>
      <c r="H928" t="s">
        <v>3889</v>
      </c>
      <c r="I928">
        <v>10</v>
      </c>
    </row>
    <row r="929" spans="2:9" x14ac:dyDescent="0.3">
      <c r="B929" t="s">
        <v>796</v>
      </c>
      <c r="C929" t="s">
        <v>2100</v>
      </c>
      <c r="D929" t="s">
        <v>2658</v>
      </c>
      <c r="E929" s="24">
        <v>40669</v>
      </c>
      <c r="F929">
        <v>10</v>
      </c>
      <c r="G929">
        <v>1</v>
      </c>
      <c r="H929" t="s">
        <v>3890</v>
      </c>
      <c r="I929">
        <v>10</v>
      </c>
    </row>
    <row r="930" spans="2:9" x14ac:dyDescent="0.3">
      <c r="B930" t="s">
        <v>797</v>
      </c>
      <c r="C930" t="s">
        <v>2101</v>
      </c>
      <c r="D930" t="s">
        <v>2658</v>
      </c>
      <c r="E930" s="24">
        <v>39629</v>
      </c>
      <c r="F930">
        <v>1</v>
      </c>
      <c r="G930">
        <v>1</v>
      </c>
      <c r="H930" t="s">
        <v>3891</v>
      </c>
      <c r="I930">
        <v>1</v>
      </c>
    </row>
    <row r="931" spans="2:9" x14ac:dyDescent="0.3">
      <c r="B931" t="s">
        <v>3892</v>
      </c>
      <c r="C931" t="s">
        <v>3893</v>
      </c>
      <c r="D931" t="s">
        <v>2658</v>
      </c>
      <c r="E931" s="24">
        <v>42832</v>
      </c>
      <c r="F931">
        <v>1</v>
      </c>
      <c r="G931">
        <v>1</v>
      </c>
      <c r="H931" t="s">
        <v>3894</v>
      </c>
      <c r="I931">
        <v>1</v>
      </c>
    </row>
    <row r="932" spans="2:9" x14ac:dyDescent="0.3">
      <c r="B932" t="s">
        <v>3895</v>
      </c>
      <c r="C932" t="s">
        <v>3896</v>
      </c>
      <c r="D932" t="s">
        <v>2658</v>
      </c>
      <c r="E932" s="24">
        <v>42536</v>
      </c>
      <c r="F932">
        <v>1</v>
      </c>
      <c r="G932">
        <v>1</v>
      </c>
      <c r="H932" t="s">
        <v>3897</v>
      </c>
      <c r="I932">
        <v>1</v>
      </c>
    </row>
    <row r="933" spans="2:9" x14ac:dyDescent="0.3">
      <c r="B933" t="s">
        <v>798</v>
      </c>
      <c r="C933" t="s">
        <v>2102</v>
      </c>
      <c r="D933" t="s">
        <v>2658</v>
      </c>
      <c r="E933" s="24">
        <v>40996</v>
      </c>
      <c r="F933">
        <v>1</v>
      </c>
      <c r="G933">
        <v>1</v>
      </c>
      <c r="H933" t="s">
        <v>3898</v>
      </c>
      <c r="I933">
        <v>1</v>
      </c>
    </row>
    <row r="934" spans="2:9" x14ac:dyDescent="0.3">
      <c r="B934" t="s">
        <v>1319</v>
      </c>
      <c r="C934" t="s">
        <v>2103</v>
      </c>
      <c r="D934" t="s">
        <v>2658</v>
      </c>
      <c r="E934" s="24">
        <v>39343</v>
      </c>
      <c r="F934">
        <v>5</v>
      </c>
      <c r="G934">
        <v>1</v>
      </c>
      <c r="H934" t="s">
        <v>3899</v>
      </c>
      <c r="I934">
        <v>5</v>
      </c>
    </row>
    <row r="935" spans="2:9" x14ac:dyDescent="0.3">
      <c r="B935" t="s">
        <v>1320</v>
      </c>
      <c r="C935" t="s">
        <v>2104</v>
      </c>
      <c r="D935" t="s">
        <v>2658</v>
      </c>
      <c r="E935" s="24">
        <v>39251</v>
      </c>
      <c r="F935">
        <v>5</v>
      </c>
      <c r="G935">
        <v>1</v>
      </c>
      <c r="H935" t="s">
        <v>3900</v>
      </c>
      <c r="I935">
        <v>5</v>
      </c>
    </row>
    <row r="936" spans="2:9" x14ac:dyDescent="0.3">
      <c r="B936" t="s">
        <v>799</v>
      </c>
      <c r="C936" t="s">
        <v>2105</v>
      </c>
      <c r="D936" t="s">
        <v>2658</v>
      </c>
      <c r="E936" s="24">
        <v>39518</v>
      </c>
      <c r="F936">
        <v>5</v>
      </c>
      <c r="G936">
        <v>1</v>
      </c>
      <c r="H936" t="s">
        <v>3901</v>
      </c>
      <c r="I936">
        <v>5</v>
      </c>
    </row>
    <row r="937" spans="2:9" x14ac:dyDescent="0.3">
      <c r="B937" t="s">
        <v>800</v>
      </c>
      <c r="C937" t="s">
        <v>2106</v>
      </c>
      <c r="D937" t="s">
        <v>2658</v>
      </c>
      <c r="E937" s="24">
        <v>38701</v>
      </c>
      <c r="F937">
        <v>10</v>
      </c>
      <c r="G937">
        <v>1</v>
      </c>
      <c r="H937" t="s">
        <v>3902</v>
      </c>
      <c r="I937">
        <v>10</v>
      </c>
    </row>
    <row r="938" spans="2:9" x14ac:dyDescent="0.3">
      <c r="B938" t="s">
        <v>801</v>
      </c>
      <c r="C938" t="s">
        <v>2107</v>
      </c>
      <c r="D938" t="s">
        <v>2658</v>
      </c>
      <c r="E938" s="24">
        <v>39164</v>
      </c>
      <c r="F938">
        <v>5</v>
      </c>
      <c r="G938">
        <v>1</v>
      </c>
      <c r="H938" t="s">
        <v>3903</v>
      </c>
      <c r="I938">
        <v>5</v>
      </c>
    </row>
    <row r="939" spans="2:9" x14ac:dyDescent="0.3">
      <c r="B939" t="s">
        <v>802</v>
      </c>
      <c r="C939" t="s">
        <v>2108</v>
      </c>
      <c r="D939" t="s">
        <v>2658</v>
      </c>
      <c r="E939" s="24">
        <v>39164</v>
      </c>
      <c r="F939">
        <v>5</v>
      </c>
      <c r="G939">
        <v>1</v>
      </c>
      <c r="H939" t="s">
        <v>3904</v>
      </c>
      <c r="I939">
        <v>5</v>
      </c>
    </row>
    <row r="940" spans="2:9" x14ac:dyDescent="0.3">
      <c r="B940" t="s">
        <v>803</v>
      </c>
      <c r="C940" t="s">
        <v>2109</v>
      </c>
      <c r="D940" t="s">
        <v>2686</v>
      </c>
      <c r="E940" s="24">
        <v>41347</v>
      </c>
      <c r="F940">
        <v>5</v>
      </c>
      <c r="G940">
        <v>1</v>
      </c>
      <c r="H940" t="s">
        <v>3905</v>
      </c>
      <c r="I940">
        <v>5</v>
      </c>
    </row>
    <row r="941" spans="2:9" x14ac:dyDescent="0.3">
      <c r="B941" t="s">
        <v>804</v>
      </c>
      <c r="C941" t="s">
        <v>2110</v>
      </c>
      <c r="D941" t="s">
        <v>2658</v>
      </c>
      <c r="E941" s="24">
        <v>35060</v>
      </c>
      <c r="F941">
        <v>2</v>
      </c>
      <c r="G941">
        <v>1</v>
      </c>
      <c r="H941" t="s">
        <v>3906</v>
      </c>
      <c r="I941">
        <v>2</v>
      </c>
    </row>
    <row r="942" spans="2:9" x14ac:dyDescent="0.3">
      <c r="B942" t="s">
        <v>805</v>
      </c>
      <c r="C942" t="s">
        <v>2111</v>
      </c>
      <c r="D942" t="s">
        <v>2658</v>
      </c>
      <c r="E942" s="24">
        <v>41667</v>
      </c>
      <c r="F942">
        <v>10</v>
      </c>
      <c r="G942">
        <v>1</v>
      </c>
      <c r="H942" t="s">
        <v>3907</v>
      </c>
      <c r="I942">
        <v>10</v>
      </c>
    </row>
    <row r="943" spans="2:9" x14ac:dyDescent="0.3">
      <c r="B943" t="s">
        <v>806</v>
      </c>
      <c r="C943" t="s">
        <v>2112</v>
      </c>
      <c r="D943" t="s">
        <v>2658</v>
      </c>
      <c r="E943" s="24">
        <v>36278</v>
      </c>
      <c r="F943">
        <v>5</v>
      </c>
      <c r="G943">
        <v>1</v>
      </c>
      <c r="H943" t="s">
        <v>3908</v>
      </c>
      <c r="I943">
        <v>5</v>
      </c>
    </row>
    <row r="944" spans="2:9" x14ac:dyDescent="0.3">
      <c r="B944" t="s">
        <v>807</v>
      </c>
      <c r="C944" t="s">
        <v>2113</v>
      </c>
      <c r="D944" t="s">
        <v>2686</v>
      </c>
      <c r="E944" s="24">
        <v>37525</v>
      </c>
      <c r="F944">
        <v>10</v>
      </c>
      <c r="G944">
        <v>1</v>
      </c>
      <c r="H944" t="s">
        <v>3909</v>
      </c>
      <c r="I944">
        <v>10</v>
      </c>
    </row>
    <row r="945" spans="2:9" x14ac:dyDescent="0.3">
      <c r="B945" t="s">
        <v>808</v>
      </c>
      <c r="C945" t="s">
        <v>2114</v>
      </c>
      <c r="D945" t="s">
        <v>2658</v>
      </c>
      <c r="E945" s="24">
        <v>39042</v>
      </c>
      <c r="F945">
        <v>10</v>
      </c>
      <c r="G945">
        <v>1</v>
      </c>
      <c r="H945" t="s">
        <v>3910</v>
      </c>
      <c r="I945">
        <v>10</v>
      </c>
    </row>
    <row r="946" spans="2:9" x14ac:dyDescent="0.3">
      <c r="B946" t="s">
        <v>809</v>
      </c>
      <c r="C946" t="s">
        <v>2115</v>
      </c>
      <c r="D946" t="s">
        <v>2658</v>
      </c>
      <c r="E946" s="24">
        <v>39234</v>
      </c>
      <c r="F946">
        <v>10</v>
      </c>
      <c r="G946">
        <v>1</v>
      </c>
      <c r="H946" t="s">
        <v>3911</v>
      </c>
      <c r="I946">
        <v>10</v>
      </c>
    </row>
    <row r="947" spans="2:9" x14ac:dyDescent="0.3">
      <c r="B947" t="s">
        <v>3912</v>
      </c>
      <c r="C947" t="s">
        <v>3913</v>
      </c>
      <c r="D947" t="s">
        <v>2658</v>
      </c>
      <c r="E947" s="24">
        <v>42256</v>
      </c>
      <c r="F947">
        <v>10</v>
      </c>
      <c r="G947">
        <v>1</v>
      </c>
      <c r="H947" t="s">
        <v>3914</v>
      </c>
      <c r="I947">
        <v>10</v>
      </c>
    </row>
    <row r="948" spans="2:9" x14ac:dyDescent="0.3">
      <c r="B948" t="s">
        <v>810</v>
      </c>
      <c r="C948" t="s">
        <v>2116</v>
      </c>
      <c r="D948" t="s">
        <v>2658</v>
      </c>
      <c r="E948" s="24">
        <v>34738</v>
      </c>
      <c r="F948">
        <v>2</v>
      </c>
      <c r="G948">
        <v>1</v>
      </c>
      <c r="H948" t="s">
        <v>3915</v>
      </c>
      <c r="I948">
        <v>2</v>
      </c>
    </row>
    <row r="949" spans="2:9" x14ac:dyDescent="0.3">
      <c r="B949" t="s">
        <v>811</v>
      </c>
      <c r="C949" t="s">
        <v>3916</v>
      </c>
      <c r="D949" t="s">
        <v>2658</v>
      </c>
      <c r="E949" s="24">
        <v>41011</v>
      </c>
      <c r="F949">
        <v>2</v>
      </c>
      <c r="G949">
        <v>1</v>
      </c>
      <c r="H949" t="s">
        <v>3917</v>
      </c>
      <c r="I949">
        <v>2</v>
      </c>
    </row>
    <row r="950" spans="2:9" x14ac:dyDescent="0.3">
      <c r="B950" t="s">
        <v>3918</v>
      </c>
      <c r="C950" t="s">
        <v>3919</v>
      </c>
      <c r="D950" t="s">
        <v>2686</v>
      </c>
      <c r="E950" s="24">
        <v>42697</v>
      </c>
      <c r="F950">
        <v>10</v>
      </c>
      <c r="G950">
        <v>1</v>
      </c>
      <c r="H950" t="s">
        <v>3920</v>
      </c>
      <c r="I950">
        <v>10</v>
      </c>
    </row>
    <row r="951" spans="2:9" x14ac:dyDescent="0.3">
      <c r="B951" t="s">
        <v>812</v>
      </c>
      <c r="C951" t="s">
        <v>2117</v>
      </c>
      <c r="D951" t="s">
        <v>2658</v>
      </c>
      <c r="E951" s="24">
        <v>35158</v>
      </c>
      <c r="F951">
        <v>2</v>
      </c>
      <c r="G951">
        <v>1</v>
      </c>
      <c r="H951" t="s">
        <v>3921</v>
      </c>
      <c r="I951">
        <v>2</v>
      </c>
    </row>
    <row r="952" spans="2:9" x14ac:dyDescent="0.3">
      <c r="B952" t="s">
        <v>813</v>
      </c>
      <c r="C952" t="s">
        <v>2118</v>
      </c>
      <c r="D952" t="s">
        <v>2658</v>
      </c>
      <c r="E952" s="24">
        <v>37908</v>
      </c>
      <c r="F952">
        <v>2</v>
      </c>
      <c r="G952">
        <v>1</v>
      </c>
      <c r="H952" t="s">
        <v>3922</v>
      </c>
      <c r="I952">
        <v>2</v>
      </c>
    </row>
    <row r="953" spans="2:9" x14ac:dyDescent="0.3">
      <c r="B953" t="s">
        <v>814</v>
      </c>
      <c r="C953" t="s">
        <v>2119</v>
      </c>
      <c r="D953" t="s">
        <v>2658</v>
      </c>
      <c r="E953" s="24">
        <v>39175</v>
      </c>
      <c r="F953">
        <v>10</v>
      </c>
      <c r="G953">
        <v>1</v>
      </c>
      <c r="H953" t="s">
        <v>3923</v>
      </c>
      <c r="I953">
        <v>10</v>
      </c>
    </row>
    <row r="954" spans="2:9" x14ac:dyDescent="0.3">
      <c r="B954" t="s">
        <v>3924</v>
      </c>
      <c r="C954" t="s">
        <v>3925</v>
      </c>
      <c r="D954" t="s">
        <v>2658</v>
      </c>
      <c r="E954" s="24">
        <v>42611</v>
      </c>
      <c r="F954">
        <v>10</v>
      </c>
      <c r="G954">
        <v>1</v>
      </c>
      <c r="H954" t="s">
        <v>3926</v>
      </c>
      <c r="I954">
        <v>10</v>
      </c>
    </row>
    <row r="955" spans="2:9" x14ac:dyDescent="0.3">
      <c r="B955" t="s">
        <v>815</v>
      </c>
      <c r="C955" t="s">
        <v>2120</v>
      </c>
      <c r="D955" t="s">
        <v>2658</v>
      </c>
      <c r="E955" s="24">
        <v>40991</v>
      </c>
      <c r="F955">
        <v>10</v>
      </c>
      <c r="G955">
        <v>1</v>
      </c>
      <c r="H955" t="s">
        <v>3927</v>
      </c>
      <c r="I955">
        <v>10</v>
      </c>
    </row>
    <row r="956" spans="2:9" x14ac:dyDescent="0.3">
      <c r="B956" t="s">
        <v>816</v>
      </c>
      <c r="C956" t="s">
        <v>2121</v>
      </c>
      <c r="D956" t="s">
        <v>2658</v>
      </c>
      <c r="E956" s="24">
        <v>38126</v>
      </c>
      <c r="F956">
        <v>4</v>
      </c>
      <c r="G956">
        <v>1</v>
      </c>
      <c r="H956" t="s">
        <v>3928</v>
      </c>
      <c r="I956">
        <v>4</v>
      </c>
    </row>
    <row r="957" spans="2:9" x14ac:dyDescent="0.3">
      <c r="B957" t="s">
        <v>3929</v>
      </c>
      <c r="C957" t="s">
        <v>3930</v>
      </c>
      <c r="D957" t="s">
        <v>2658</v>
      </c>
      <c r="E957" s="24">
        <v>42431</v>
      </c>
      <c r="F957">
        <v>10</v>
      </c>
      <c r="G957">
        <v>1</v>
      </c>
      <c r="H957" t="s">
        <v>3931</v>
      </c>
      <c r="I957">
        <v>10</v>
      </c>
    </row>
    <row r="958" spans="2:9" x14ac:dyDescent="0.3">
      <c r="B958" t="s">
        <v>817</v>
      </c>
      <c r="C958" t="s">
        <v>2122</v>
      </c>
      <c r="D958" t="s">
        <v>2658</v>
      </c>
      <c r="E958" s="24">
        <v>38551</v>
      </c>
      <c r="F958">
        <v>1</v>
      </c>
      <c r="G958">
        <v>1</v>
      </c>
      <c r="H958" t="s">
        <v>3932</v>
      </c>
      <c r="I958">
        <v>1</v>
      </c>
    </row>
    <row r="959" spans="2:9" x14ac:dyDescent="0.3">
      <c r="B959" t="s">
        <v>818</v>
      </c>
      <c r="C959" t="s">
        <v>2123</v>
      </c>
      <c r="D959" t="s">
        <v>2658</v>
      </c>
      <c r="E959" s="24">
        <v>39260</v>
      </c>
      <c r="F959">
        <v>2</v>
      </c>
      <c r="G959">
        <v>1</v>
      </c>
      <c r="H959" t="s">
        <v>3933</v>
      </c>
      <c r="I959">
        <v>2</v>
      </c>
    </row>
    <row r="960" spans="2:9" x14ac:dyDescent="0.3">
      <c r="B960" t="s">
        <v>819</v>
      </c>
      <c r="C960" t="s">
        <v>2124</v>
      </c>
      <c r="D960" t="s">
        <v>2658</v>
      </c>
      <c r="E960" s="24">
        <v>37769</v>
      </c>
      <c r="F960">
        <v>10</v>
      </c>
      <c r="G960">
        <v>1</v>
      </c>
      <c r="H960" t="s">
        <v>3934</v>
      </c>
      <c r="I960">
        <v>10</v>
      </c>
    </row>
    <row r="961" spans="2:9" x14ac:dyDescent="0.3">
      <c r="B961" t="s">
        <v>820</v>
      </c>
      <c r="C961" t="s">
        <v>2125</v>
      </c>
      <c r="D961" t="s">
        <v>2658</v>
      </c>
      <c r="E961" s="24">
        <v>39546</v>
      </c>
      <c r="F961">
        <v>10</v>
      </c>
      <c r="G961">
        <v>1</v>
      </c>
      <c r="H961" t="s">
        <v>3935</v>
      </c>
      <c r="I961">
        <v>10</v>
      </c>
    </row>
    <row r="962" spans="2:9" x14ac:dyDescent="0.3">
      <c r="B962" t="s">
        <v>3936</v>
      </c>
      <c r="C962" t="s">
        <v>3937</v>
      </c>
      <c r="D962" t="s">
        <v>2658</v>
      </c>
      <c r="E962" s="24">
        <v>40186</v>
      </c>
      <c r="F962">
        <v>10</v>
      </c>
      <c r="G962">
        <v>1</v>
      </c>
      <c r="H962" t="s">
        <v>3938</v>
      </c>
      <c r="I962">
        <v>10</v>
      </c>
    </row>
    <row r="963" spans="2:9" x14ac:dyDescent="0.3">
      <c r="B963" t="s">
        <v>821</v>
      </c>
      <c r="C963" t="s">
        <v>2126</v>
      </c>
      <c r="D963" t="s">
        <v>2686</v>
      </c>
      <c r="E963" s="24">
        <v>40522</v>
      </c>
      <c r="F963">
        <v>10</v>
      </c>
      <c r="G963">
        <v>1</v>
      </c>
      <c r="H963" t="s">
        <v>3939</v>
      </c>
      <c r="I963">
        <v>10</v>
      </c>
    </row>
    <row r="964" spans="2:9" x14ac:dyDescent="0.3">
      <c r="B964" t="s">
        <v>822</v>
      </c>
      <c r="C964" t="s">
        <v>2127</v>
      </c>
      <c r="D964" t="s">
        <v>2658</v>
      </c>
      <c r="E964" s="24">
        <v>39115</v>
      </c>
      <c r="F964">
        <v>5</v>
      </c>
      <c r="G964">
        <v>1</v>
      </c>
      <c r="H964" t="s">
        <v>3940</v>
      </c>
      <c r="I964">
        <v>5</v>
      </c>
    </row>
    <row r="965" spans="2:9" x14ac:dyDescent="0.3">
      <c r="B965" t="s">
        <v>823</v>
      </c>
      <c r="C965" t="s">
        <v>2128</v>
      </c>
      <c r="D965" t="s">
        <v>2658</v>
      </c>
      <c r="E965" s="24">
        <v>39734</v>
      </c>
      <c r="F965">
        <v>10</v>
      </c>
      <c r="G965">
        <v>1</v>
      </c>
      <c r="H965" t="s">
        <v>3941</v>
      </c>
      <c r="I965">
        <v>10</v>
      </c>
    </row>
    <row r="966" spans="2:9" x14ac:dyDescent="0.3">
      <c r="B966" t="s">
        <v>824</v>
      </c>
      <c r="C966" t="s">
        <v>2129</v>
      </c>
      <c r="D966" t="s">
        <v>2686</v>
      </c>
      <c r="E966" s="24">
        <v>36985</v>
      </c>
      <c r="F966">
        <v>10</v>
      </c>
      <c r="G966">
        <v>1</v>
      </c>
      <c r="H966" t="s">
        <v>3942</v>
      </c>
      <c r="I966">
        <v>10</v>
      </c>
    </row>
    <row r="967" spans="2:9" x14ac:dyDescent="0.3">
      <c r="B967" t="s">
        <v>825</v>
      </c>
      <c r="C967" t="s">
        <v>2130</v>
      </c>
      <c r="D967" t="s">
        <v>2658</v>
      </c>
      <c r="E967" s="24">
        <v>39079</v>
      </c>
      <c r="F967">
        <v>10</v>
      </c>
      <c r="G967">
        <v>1</v>
      </c>
      <c r="H967" t="s">
        <v>3943</v>
      </c>
      <c r="I967">
        <v>10</v>
      </c>
    </row>
    <row r="968" spans="2:9" x14ac:dyDescent="0.3">
      <c r="B968" t="s">
        <v>3944</v>
      </c>
      <c r="C968" t="s">
        <v>3945</v>
      </c>
      <c r="D968" t="s">
        <v>2658</v>
      </c>
      <c r="E968" s="24">
        <v>42375</v>
      </c>
      <c r="F968">
        <v>10</v>
      </c>
      <c r="G968">
        <v>1</v>
      </c>
      <c r="H968" t="s">
        <v>3946</v>
      </c>
      <c r="I968">
        <v>10</v>
      </c>
    </row>
    <row r="969" spans="2:9" x14ac:dyDescent="0.3">
      <c r="B969" t="s">
        <v>24</v>
      </c>
      <c r="C969" t="s">
        <v>2131</v>
      </c>
      <c r="D969" t="s">
        <v>2658</v>
      </c>
      <c r="E969" s="24">
        <v>40057</v>
      </c>
      <c r="F969">
        <v>10</v>
      </c>
      <c r="G969">
        <v>1</v>
      </c>
      <c r="H969" t="s">
        <v>3947</v>
      </c>
      <c r="I969">
        <v>10</v>
      </c>
    </row>
    <row r="970" spans="2:9" x14ac:dyDescent="0.3">
      <c r="B970" t="s">
        <v>826</v>
      </c>
      <c r="C970" t="s">
        <v>2132</v>
      </c>
      <c r="D970" t="s">
        <v>2658</v>
      </c>
      <c r="E970" s="24">
        <v>41373</v>
      </c>
      <c r="F970">
        <v>2</v>
      </c>
      <c r="G970">
        <v>1</v>
      </c>
      <c r="H970" t="s">
        <v>3948</v>
      </c>
      <c r="I970">
        <v>2</v>
      </c>
    </row>
    <row r="971" spans="2:9" x14ac:dyDescent="0.3">
      <c r="B971" t="s">
        <v>827</v>
      </c>
      <c r="C971" t="s">
        <v>2133</v>
      </c>
      <c r="D971" t="s">
        <v>2686</v>
      </c>
      <c r="E971" s="24">
        <v>39069</v>
      </c>
      <c r="F971">
        <v>2</v>
      </c>
      <c r="G971">
        <v>1</v>
      </c>
      <c r="H971" t="s">
        <v>3949</v>
      </c>
      <c r="I971">
        <v>2</v>
      </c>
    </row>
    <row r="972" spans="2:9" x14ac:dyDescent="0.3">
      <c r="B972" t="s">
        <v>828</v>
      </c>
      <c r="C972" t="s">
        <v>2134</v>
      </c>
      <c r="D972" t="s">
        <v>2658</v>
      </c>
      <c r="E972" s="24">
        <v>38215</v>
      </c>
      <c r="F972">
        <v>2</v>
      </c>
      <c r="G972">
        <v>1</v>
      </c>
      <c r="H972" t="s">
        <v>3950</v>
      </c>
      <c r="I972">
        <v>2</v>
      </c>
    </row>
    <row r="973" spans="2:9" x14ac:dyDescent="0.3">
      <c r="B973" t="s">
        <v>829</v>
      </c>
      <c r="C973" t="s">
        <v>2135</v>
      </c>
      <c r="D973" t="s">
        <v>2658</v>
      </c>
      <c r="E973" s="24">
        <v>38229</v>
      </c>
      <c r="F973">
        <v>10</v>
      </c>
      <c r="G973">
        <v>1</v>
      </c>
      <c r="H973" t="s">
        <v>3951</v>
      </c>
      <c r="I973">
        <v>10</v>
      </c>
    </row>
    <row r="974" spans="2:9" x14ac:dyDescent="0.3">
      <c r="B974" t="s">
        <v>3952</v>
      </c>
      <c r="C974" t="s">
        <v>3953</v>
      </c>
      <c r="D974" t="s">
        <v>2658</v>
      </c>
      <c r="E974" s="24">
        <v>42145</v>
      </c>
      <c r="F974">
        <v>1</v>
      </c>
      <c r="G974">
        <v>1</v>
      </c>
      <c r="H974" t="s">
        <v>3954</v>
      </c>
      <c r="I974">
        <v>1</v>
      </c>
    </row>
    <row r="975" spans="2:9" x14ac:dyDescent="0.3">
      <c r="B975" t="s">
        <v>830</v>
      </c>
      <c r="C975" t="s">
        <v>2136</v>
      </c>
      <c r="D975" t="s">
        <v>2658</v>
      </c>
      <c r="E975" s="24">
        <v>35004</v>
      </c>
      <c r="F975">
        <v>10</v>
      </c>
      <c r="G975">
        <v>1</v>
      </c>
      <c r="H975" t="s">
        <v>3955</v>
      </c>
      <c r="I975">
        <v>10</v>
      </c>
    </row>
    <row r="976" spans="2:9" x14ac:dyDescent="0.3">
      <c r="B976" t="s">
        <v>831</v>
      </c>
      <c r="C976" t="s">
        <v>3956</v>
      </c>
      <c r="D976" t="s">
        <v>2658</v>
      </c>
      <c r="E976" s="24">
        <v>36439</v>
      </c>
      <c r="F976">
        <v>10</v>
      </c>
      <c r="G976">
        <v>1</v>
      </c>
      <c r="H976" t="s">
        <v>3957</v>
      </c>
      <c r="I976">
        <v>10</v>
      </c>
    </row>
    <row r="977" spans="2:9" x14ac:dyDescent="0.3">
      <c r="B977" t="s">
        <v>3958</v>
      </c>
      <c r="C977" t="s">
        <v>3959</v>
      </c>
      <c r="D977" t="s">
        <v>2686</v>
      </c>
      <c r="E977" s="24">
        <v>42670</v>
      </c>
      <c r="F977">
        <v>10</v>
      </c>
      <c r="G977">
        <v>1</v>
      </c>
      <c r="H977" t="s">
        <v>3960</v>
      </c>
      <c r="I977">
        <v>10</v>
      </c>
    </row>
    <row r="978" spans="2:9" x14ac:dyDescent="0.3">
      <c r="B978" t="s">
        <v>832</v>
      </c>
      <c r="C978" t="s">
        <v>2137</v>
      </c>
      <c r="D978" t="s">
        <v>2658</v>
      </c>
      <c r="E978" s="24">
        <v>38797</v>
      </c>
      <c r="F978">
        <v>10</v>
      </c>
      <c r="G978">
        <v>1</v>
      </c>
      <c r="H978" t="s">
        <v>3961</v>
      </c>
      <c r="I978">
        <v>10</v>
      </c>
    </row>
    <row r="979" spans="2:9" x14ac:dyDescent="0.3">
      <c r="B979" t="s">
        <v>833</v>
      </c>
      <c r="C979" t="s">
        <v>2138</v>
      </c>
      <c r="D979" t="s">
        <v>2658</v>
      </c>
      <c r="E979" s="24">
        <v>40311</v>
      </c>
      <c r="F979">
        <v>10</v>
      </c>
      <c r="G979">
        <v>1</v>
      </c>
      <c r="H979" t="s">
        <v>3962</v>
      </c>
      <c r="I979">
        <v>10</v>
      </c>
    </row>
    <row r="980" spans="2:9" x14ac:dyDescent="0.3">
      <c r="B980" t="s">
        <v>834</v>
      </c>
      <c r="C980" t="s">
        <v>2139</v>
      </c>
      <c r="D980" t="s">
        <v>2658</v>
      </c>
      <c r="E980" s="24">
        <v>39238</v>
      </c>
      <c r="F980">
        <v>2</v>
      </c>
      <c r="G980">
        <v>1</v>
      </c>
      <c r="H980" t="s">
        <v>3963</v>
      </c>
      <c r="I980">
        <v>2</v>
      </c>
    </row>
    <row r="981" spans="2:9" x14ac:dyDescent="0.3">
      <c r="B981" t="s">
        <v>835</v>
      </c>
      <c r="C981" t="s">
        <v>2140</v>
      </c>
      <c r="D981" t="s">
        <v>2658</v>
      </c>
      <c r="E981" s="24">
        <v>38750</v>
      </c>
      <c r="F981">
        <v>10</v>
      </c>
      <c r="G981">
        <v>1</v>
      </c>
      <c r="H981" t="s">
        <v>3964</v>
      </c>
      <c r="I981">
        <v>10</v>
      </c>
    </row>
    <row r="982" spans="2:9" x14ac:dyDescent="0.3">
      <c r="B982" t="s">
        <v>1321</v>
      </c>
      <c r="C982" t="s">
        <v>2141</v>
      </c>
      <c r="D982" t="s">
        <v>2658</v>
      </c>
      <c r="E982" s="24">
        <v>34887</v>
      </c>
      <c r="F982">
        <v>10</v>
      </c>
      <c r="G982">
        <v>1</v>
      </c>
      <c r="H982" t="s">
        <v>3965</v>
      </c>
      <c r="I982">
        <v>10</v>
      </c>
    </row>
    <row r="983" spans="2:9" x14ac:dyDescent="0.3">
      <c r="B983" t="s">
        <v>3966</v>
      </c>
      <c r="C983" t="s">
        <v>3967</v>
      </c>
      <c r="D983" t="s">
        <v>2658</v>
      </c>
      <c r="E983" s="24">
        <v>36761</v>
      </c>
      <c r="F983">
        <v>10</v>
      </c>
      <c r="G983">
        <v>1</v>
      </c>
      <c r="H983" t="s">
        <v>3968</v>
      </c>
      <c r="I983">
        <v>10</v>
      </c>
    </row>
    <row r="984" spans="2:9" x14ac:dyDescent="0.3">
      <c r="B984" t="s">
        <v>114</v>
      </c>
      <c r="C984" t="s">
        <v>2142</v>
      </c>
      <c r="D984" t="s">
        <v>2658</v>
      </c>
      <c r="E984" s="24">
        <v>39510</v>
      </c>
      <c r="F984">
        <v>1</v>
      </c>
      <c r="G984">
        <v>1</v>
      </c>
      <c r="H984" t="s">
        <v>3969</v>
      </c>
      <c r="I984">
        <v>1</v>
      </c>
    </row>
    <row r="985" spans="2:9" x14ac:dyDescent="0.3">
      <c r="B985" t="s">
        <v>836</v>
      </c>
      <c r="C985" t="s">
        <v>2143</v>
      </c>
      <c r="D985" t="s">
        <v>2658</v>
      </c>
      <c r="E985" s="24">
        <v>35081</v>
      </c>
      <c r="F985">
        <v>10</v>
      </c>
      <c r="G985">
        <v>1</v>
      </c>
      <c r="H985" t="s">
        <v>3970</v>
      </c>
      <c r="I985">
        <v>10</v>
      </c>
    </row>
    <row r="986" spans="2:9" x14ac:dyDescent="0.3">
      <c r="B986" t="s">
        <v>1322</v>
      </c>
      <c r="C986" t="s">
        <v>2144</v>
      </c>
      <c r="D986" t="s">
        <v>2686</v>
      </c>
      <c r="E986" s="24">
        <v>39416</v>
      </c>
      <c r="F986">
        <v>10</v>
      </c>
      <c r="G986">
        <v>1</v>
      </c>
      <c r="H986" t="s">
        <v>3971</v>
      </c>
      <c r="I986">
        <v>10</v>
      </c>
    </row>
    <row r="987" spans="2:9" x14ac:dyDescent="0.3">
      <c r="B987" t="s">
        <v>837</v>
      </c>
      <c r="C987" t="s">
        <v>2145</v>
      </c>
      <c r="D987" t="s">
        <v>2658</v>
      </c>
      <c r="E987" s="24">
        <v>37596</v>
      </c>
      <c r="F987">
        <v>10</v>
      </c>
      <c r="G987">
        <v>1</v>
      </c>
      <c r="H987" t="s">
        <v>3972</v>
      </c>
      <c r="I987">
        <v>10</v>
      </c>
    </row>
    <row r="988" spans="2:9" x14ac:dyDescent="0.3">
      <c r="B988" t="s">
        <v>1323</v>
      </c>
      <c r="C988" t="s">
        <v>2146</v>
      </c>
      <c r="D988" t="s">
        <v>2658</v>
      </c>
      <c r="E988" s="24">
        <v>35242</v>
      </c>
      <c r="F988">
        <v>10</v>
      </c>
      <c r="G988">
        <v>1</v>
      </c>
      <c r="H988" t="s">
        <v>3973</v>
      </c>
      <c r="I988">
        <v>10</v>
      </c>
    </row>
    <row r="989" spans="2:9" x14ac:dyDescent="0.3">
      <c r="B989" t="s">
        <v>3974</v>
      </c>
      <c r="C989" t="s">
        <v>3975</v>
      </c>
      <c r="D989" t="s">
        <v>2658</v>
      </c>
      <c r="E989" s="24">
        <v>42830</v>
      </c>
      <c r="F989">
        <v>10</v>
      </c>
      <c r="G989">
        <v>1</v>
      </c>
      <c r="H989" t="s">
        <v>3976</v>
      </c>
      <c r="I989">
        <v>10</v>
      </c>
    </row>
    <row r="990" spans="2:9" x14ac:dyDescent="0.3">
      <c r="B990" t="s">
        <v>838</v>
      </c>
      <c r="C990" t="s">
        <v>2147</v>
      </c>
      <c r="D990" t="s">
        <v>2658</v>
      </c>
      <c r="E990" s="24">
        <v>36593</v>
      </c>
      <c r="F990">
        <v>2</v>
      </c>
      <c r="G990">
        <v>1</v>
      </c>
      <c r="H990" t="s">
        <v>3977</v>
      </c>
      <c r="I990">
        <v>2</v>
      </c>
    </row>
    <row r="991" spans="2:9" x14ac:dyDescent="0.3">
      <c r="B991" t="s">
        <v>839</v>
      </c>
      <c r="C991" t="s">
        <v>2148</v>
      </c>
      <c r="D991" t="s">
        <v>2658</v>
      </c>
      <c r="E991" s="24">
        <v>37942</v>
      </c>
      <c r="F991">
        <v>10</v>
      </c>
      <c r="G991">
        <v>1</v>
      </c>
      <c r="H991" t="s">
        <v>3978</v>
      </c>
      <c r="I991">
        <v>10</v>
      </c>
    </row>
    <row r="992" spans="2:9" x14ac:dyDescent="0.3">
      <c r="B992" t="s">
        <v>3979</v>
      </c>
      <c r="C992" t="s">
        <v>3980</v>
      </c>
      <c r="D992" t="s">
        <v>2658</v>
      </c>
      <c r="E992" s="24">
        <v>41528</v>
      </c>
      <c r="F992">
        <v>10</v>
      </c>
      <c r="G992">
        <v>1</v>
      </c>
      <c r="H992" t="s">
        <v>3981</v>
      </c>
      <c r="I992">
        <v>10</v>
      </c>
    </row>
    <row r="993" spans="2:9" x14ac:dyDescent="0.3">
      <c r="B993" t="s">
        <v>840</v>
      </c>
      <c r="C993" t="s">
        <v>2149</v>
      </c>
      <c r="D993" t="s">
        <v>2658</v>
      </c>
      <c r="E993" s="24">
        <v>38296</v>
      </c>
      <c r="F993">
        <v>10</v>
      </c>
      <c r="G993">
        <v>1</v>
      </c>
      <c r="H993" t="s">
        <v>3982</v>
      </c>
      <c r="I993">
        <v>10</v>
      </c>
    </row>
    <row r="994" spans="2:9" x14ac:dyDescent="0.3">
      <c r="B994" t="s">
        <v>841</v>
      </c>
      <c r="C994" t="s">
        <v>2150</v>
      </c>
      <c r="D994" t="s">
        <v>2658</v>
      </c>
      <c r="E994" s="24">
        <v>37609</v>
      </c>
      <c r="F994">
        <v>10</v>
      </c>
      <c r="G994">
        <v>1</v>
      </c>
      <c r="H994" t="s">
        <v>3983</v>
      </c>
      <c r="I994">
        <v>10</v>
      </c>
    </row>
    <row r="995" spans="2:9" x14ac:dyDescent="0.3">
      <c r="B995" t="s">
        <v>842</v>
      </c>
      <c r="C995" t="s">
        <v>2151</v>
      </c>
      <c r="D995" t="s">
        <v>2658</v>
      </c>
      <c r="E995" s="24">
        <v>39687</v>
      </c>
      <c r="F995">
        <v>5</v>
      </c>
      <c r="G995">
        <v>1</v>
      </c>
      <c r="H995" t="s">
        <v>3984</v>
      </c>
      <c r="I995">
        <v>5</v>
      </c>
    </row>
    <row r="996" spans="2:9" x14ac:dyDescent="0.3">
      <c r="B996" t="s">
        <v>843</v>
      </c>
      <c r="C996" t="s">
        <v>2152</v>
      </c>
      <c r="D996" t="s">
        <v>2658</v>
      </c>
      <c r="E996" s="24">
        <v>40471</v>
      </c>
      <c r="F996">
        <v>10</v>
      </c>
      <c r="G996">
        <v>1</v>
      </c>
      <c r="H996" t="s">
        <v>3985</v>
      </c>
      <c r="I996">
        <v>10</v>
      </c>
    </row>
    <row r="997" spans="2:9" x14ac:dyDescent="0.3">
      <c r="B997" t="s">
        <v>3986</v>
      </c>
      <c r="C997" t="s">
        <v>3987</v>
      </c>
      <c r="D997" t="s">
        <v>2658</v>
      </c>
      <c r="E997" s="24">
        <v>42396</v>
      </c>
      <c r="F997">
        <v>10</v>
      </c>
      <c r="G997">
        <v>1</v>
      </c>
      <c r="H997" t="s">
        <v>3988</v>
      </c>
      <c r="I997">
        <v>10</v>
      </c>
    </row>
    <row r="998" spans="2:9" x14ac:dyDescent="0.3">
      <c r="B998" t="s">
        <v>844</v>
      </c>
      <c r="C998" t="s">
        <v>2153</v>
      </c>
      <c r="D998" t="s">
        <v>2658</v>
      </c>
      <c r="E998" s="24">
        <v>38245</v>
      </c>
      <c r="F998">
        <v>2</v>
      </c>
      <c r="G998">
        <v>1</v>
      </c>
      <c r="H998" t="s">
        <v>3989</v>
      </c>
      <c r="I998">
        <v>2</v>
      </c>
    </row>
    <row r="999" spans="2:9" x14ac:dyDescent="0.3">
      <c r="B999" t="s">
        <v>25</v>
      </c>
      <c r="C999" t="s">
        <v>2154</v>
      </c>
      <c r="D999" t="s">
        <v>2658</v>
      </c>
      <c r="E999" s="24">
        <v>37435</v>
      </c>
      <c r="F999">
        <v>5</v>
      </c>
      <c r="G999">
        <v>1</v>
      </c>
      <c r="H999" t="s">
        <v>3990</v>
      </c>
      <c r="I999">
        <v>5</v>
      </c>
    </row>
    <row r="1000" spans="2:9" x14ac:dyDescent="0.3">
      <c r="B1000" t="s">
        <v>80</v>
      </c>
      <c r="C1000" t="s">
        <v>2155</v>
      </c>
      <c r="D1000" t="s">
        <v>2658</v>
      </c>
      <c r="E1000" s="24">
        <v>40086</v>
      </c>
      <c r="F1000">
        <v>10</v>
      </c>
      <c r="G1000">
        <v>1</v>
      </c>
      <c r="H1000" t="s">
        <v>3991</v>
      </c>
      <c r="I1000">
        <v>10</v>
      </c>
    </row>
    <row r="1001" spans="2:9" x14ac:dyDescent="0.3">
      <c r="B1001" t="s">
        <v>845</v>
      </c>
      <c r="C1001" t="s">
        <v>2156</v>
      </c>
      <c r="D1001" t="s">
        <v>2658</v>
      </c>
      <c r="E1001" s="24">
        <v>34941</v>
      </c>
      <c r="F1001">
        <v>10</v>
      </c>
      <c r="G1001">
        <v>1</v>
      </c>
      <c r="H1001" t="s">
        <v>3992</v>
      </c>
      <c r="I1001">
        <v>10</v>
      </c>
    </row>
    <row r="1002" spans="2:9" x14ac:dyDescent="0.3">
      <c r="B1002" t="s">
        <v>846</v>
      </c>
      <c r="C1002" t="s">
        <v>2157</v>
      </c>
      <c r="D1002" t="s">
        <v>2686</v>
      </c>
      <c r="E1002" s="24">
        <v>39661</v>
      </c>
      <c r="F1002">
        <v>1</v>
      </c>
      <c r="G1002">
        <v>1</v>
      </c>
      <c r="H1002" t="s">
        <v>3993</v>
      </c>
      <c r="I1002">
        <v>1</v>
      </c>
    </row>
    <row r="1003" spans="2:9" x14ac:dyDescent="0.3">
      <c r="B1003" t="s">
        <v>847</v>
      </c>
      <c r="C1003" t="s">
        <v>2158</v>
      </c>
      <c r="D1003" t="s">
        <v>2658</v>
      </c>
      <c r="E1003" s="24">
        <v>37672</v>
      </c>
      <c r="F1003">
        <v>10</v>
      </c>
      <c r="G1003">
        <v>1</v>
      </c>
      <c r="H1003" t="s">
        <v>3994</v>
      </c>
      <c r="I1003">
        <v>10</v>
      </c>
    </row>
    <row r="1004" spans="2:9" x14ac:dyDescent="0.3">
      <c r="B1004" t="s">
        <v>848</v>
      </c>
      <c r="C1004" t="s">
        <v>2159</v>
      </c>
      <c r="D1004" t="s">
        <v>2658</v>
      </c>
      <c r="E1004" s="24">
        <v>39303</v>
      </c>
      <c r="F1004">
        <v>10</v>
      </c>
      <c r="G1004">
        <v>1</v>
      </c>
      <c r="H1004" t="s">
        <v>3995</v>
      </c>
      <c r="I1004">
        <v>10</v>
      </c>
    </row>
    <row r="1005" spans="2:9" x14ac:dyDescent="0.3">
      <c r="B1005" t="s">
        <v>849</v>
      </c>
      <c r="C1005" t="s">
        <v>2160</v>
      </c>
      <c r="D1005" t="s">
        <v>2658</v>
      </c>
      <c r="E1005" s="24">
        <v>40584</v>
      </c>
      <c r="F1005">
        <v>10</v>
      </c>
      <c r="G1005">
        <v>1</v>
      </c>
      <c r="H1005" t="s">
        <v>3996</v>
      </c>
      <c r="I1005">
        <v>10</v>
      </c>
    </row>
    <row r="1006" spans="2:9" x14ac:dyDescent="0.3">
      <c r="B1006" t="s">
        <v>850</v>
      </c>
      <c r="C1006" t="s">
        <v>2161</v>
      </c>
      <c r="D1006" t="s">
        <v>2658</v>
      </c>
      <c r="E1006" s="24">
        <v>40711</v>
      </c>
      <c r="F1006">
        <v>1</v>
      </c>
      <c r="G1006">
        <v>1</v>
      </c>
      <c r="H1006" t="s">
        <v>3997</v>
      </c>
      <c r="I1006">
        <v>1</v>
      </c>
    </row>
    <row r="1007" spans="2:9" x14ac:dyDescent="0.3">
      <c r="B1007" t="s">
        <v>851</v>
      </c>
      <c r="C1007" t="s">
        <v>2162</v>
      </c>
      <c r="D1007" t="s">
        <v>2686</v>
      </c>
      <c r="E1007" s="24">
        <v>40833</v>
      </c>
      <c r="F1007">
        <v>10</v>
      </c>
      <c r="G1007">
        <v>1</v>
      </c>
      <c r="H1007" t="s">
        <v>3998</v>
      </c>
      <c r="I1007">
        <v>10</v>
      </c>
    </row>
    <row r="1008" spans="2:9" x14ac:dyDescent="0.3">
      <c r="B1008" t="s">
        <v>852</v>
      </c>
      <c r="C1008" t="s">
        <v>2163</v>
      </c>
      <c r="D1008" t="s">
        <v>2658</v>
      </c>
      <c r="E1008" s="24">
        <v>34899</v>
      </c>
      <c r="F1008">
        <v>5</v>
      </c>
      <c r="G1008">
        <v>1</v>
      </c>
      <c r="H1008" t="s">
        <v>3999</v>
      </c>
      <c r="I1008">
        <v>5</v>
      </c>
    </row>
    <row r="1009" spans="2:9" x14ac:dyDescent="0.3">
      <c r="B1009" t="s">
        <v>853</v>
      </c>
      <c r="C1009" t="s">
        <v>2164</v>
      </c>
      <c r="D1009" t="s">
        <v>2658</v>
      </c>
      <c r="E1009" s="24">
        <v>39497</v>
      </c>
      <c r="F1009">
        <v>10</v>
      </c>
      <c r="G1009">
        <v>1</v>
      </c>
      <c r="H1009" t="s">
        <v>4000</v>
      </c>
      <c r="I1009">
        <v>10</v>
      </c>
    </row>
    <row r="1010" spans="2:9" x14ac:dyDescent="0.3">
      <c r="B1010" t="s">
        <v>854</v>
      </c>
      <c r="C1010" t="s">
        <v>2165</v>
      </c>
      <c r="D1010" t="s">
        <v>2686</v>
      </c>
      <c r="E1010" s="24">
        <v>36957</v>
      </c>
      <c r="F1010">
        <v>10</v>
      </c>
      <c r="G1010">
        <v>1</v>
      </c>
      <c r="H1010" t="s">
        <v>4001</v>
      </c>
      <c r="I1010">
        <v>10</v>
      </c>
    </row>
    <row r="1011" spans="2:9" x14ac:dyDescent="0.3">
      <c r="B1011" t="s">
        <v>855</v>
      </c>
      <c r="C1011" t="s">
        <v>2166</v>
      </c>
      <c r="D1011" t="s">
        <v>2658</v>
      </c>
      <c r="E1011" s="24">
        <v>37858</v>
      </c>
      <c r="F1011">
        <v>10</v>
      </c>
      <c r="G1011">
        <v>1</v>
      </c>
      <c r="H1011" t="s">
        <v>4002</v>
      </c>
      <c r="I1011">
        <v>10</v>
      </c>
    </row>
    <row r="1012" spans="2:9" x14ac:dyDescent="0.3">
      <c r="B1012" t="s">
        <v>856</v>
      </c>
      <c r="C1012" t="s">
        <v>2167</v>
      </c>
      <c r="D1012" t="s">
        <v>2686</v>
      </c>
      <c r="E1012" s="24">
        <v>39184</v>
      </c>
      <c r="F1012">
        <v>10</v>
      </c>
      <c r="G1012">
        <v>1</v>
      </c>
      <c r="H1012" t="s">
        <v>4003</v>
      </c>
      <c r="I1012">
        <v>10</v>
      </c>
    </row>
    <row r="1013" spans="2:9" x14ac:dyDescent="0.3">
      <c r="B1013" t="s">
        <v>856</v>
      </c>
      <c r="C1013" t="s">
        <v>2167</v>
      </c>
      <c r="D1013" t="s">
        <v>2681</v>
      </c>
      <c r="E1013" s="24">
        <v>39184</v>
      </c>
      <c r="F1013">
        <v>10</v>
      </c>
      <c r="G1013">
        <v>1</v>
      </c>
      <c r="H1013" t="s">
        <v>4003</v>
      </c>
      <c r="I1013">
        <v>10</v>
      </c>
    </row>
    <row r="1014" spans="2:9" x14ac:dyDescent="0.3">
      <c r="B1014" t="s">
        <v>857</v>
      </c>
      <c r="C1014" t="s">
        <v>2168</v>
      </c>
      <c r="D1014" t="s">
        <v>2658</v>
      </c>
      <c r="E1014" s="24">
        <v>41583</v>
      </c>
      <c r="F1014">
        <v>10</v>
      </c>
      <c r="G1014">
        <v>1</v>
      </c>
      <c r="H1014" t="s">
        <v>4004</v>
      </c>
      <c r="I1014">
        <v>10</v>
      </c>
    </row>
    <row r="1015" spans="2:9" x14ac:dyDescent="0.3">
      <c r="B1015" t="s">
        <v>4005</v>
      </c>
      <c r="C1015" t="s">
        <v>4006</v>
      </c>
      <c r="D1015" t="s">
        <v>2658</v>
      </c>
      <c r="E1015" s="24">
        <v>35613</v>
      </c>
      <c r="F1015">
        <v>10</v>
      </c>
      <c r="G1015">
        <v>1</v>
      </c>
      <c r="H1015" t="s">
        <v>4007</v>
      </c>
      <c r="I1015">
        <v>10</v>
      </c>
    </row>
    <row r="1016" spans="2:9" x14ac:dyDescent="0.3">
      <c r="B1016" t="s">
        <v>4008</v>
      </c>
      <c r="C1016" t="s">
        <v>4009</v>
      </c>
      <c r="D1016" t="s">
        <v>2658</v>
      </c>
      <c r="E1016" s="24">
        <v>42209</v>
      </c>
      <c r="F1016">
        <v>2</v>
      </c>
      <c r="G1016">
        <v>1</v>
      </c>
      <c r="H1016" t="s">
        <v>4010</v>
      </c>
      <c r="I1016">
        <v>2</v>
      </c>
    </row>
    <row r="1017" spans="2:9" x14ac:dyDescent="0.3">
      <c r="B1017" t="s">
        <v>858</v>
      </c>
      <c r="C1017" t="s">
        <v>2169</v>
      </c>
      <c r="D1017" t="s">
        <v>2658</v>
      </c>
      <c r="E1017" s="24">
        <v>38701</v>
      </c>
      <c r="F1017">
        <v>1</v>
      </c>
      <c r="G1017">
        <v>1</v>
      </c>
      <c r="H1017" t="s">
        <v>4011</v>
      </c>
      <c r="I1017">
        <v>1</v>
      </c>
    </row>
    <row r="1018" spans="2:9" x14ac:dyDescent="0.3">
      <c r="B1018" t="s">
        <v>1324</v>
      </c>
      <c r="C1018" t="s">
        <v>2170</v>
      </c>
      <c r="D1018" t="s">
        <v>2686</v>
      </c>
      <c r="E1018" s="24">
        <v>39148</v>
      </c>
      <c r="F1018">
        <v>10</v>
      </c>
      <c r="G1018">
        <v>1</v>
      </c>
      <c r="H1018" t="s">
        <v>4012</v>
      </c>
      <c r="I1018">
        <v>10</v>
      </c>
    </row>
    <row r="1019" spans="2:9" x14ac:dyDescent="0.3">
      <c r="B1019" t="s">
        <v>81</v>
      </c>
      <c r="C1019" t="s">
        <v>2171</v>
      </c>
      <c r="D1019" t="s">
        <v>2658</v>
      </c>
      <c r="E1019" s="24">
        <v>35613</v>
      </c>
      <c r="F1019">
        <v>10</v>
      </c>
      <c r="G1019">
        <v>1</v>
      </c>
      <c r="H1019" t="s">
        <v>4013</v>
      </c>
      <c r="I1019">
        <v>10</v>
      </c>
    </row>
    <row r="1020" spans="2:9" x14ac:dyDescent="0.3">
      <c r="B1020" t="s">
        <v>859</v>
      </c>
      <c r="C1020" t="s">
        <v>2172</v>
      </c>
      <c r="D1020" t="s">
        <v>2658</v>
      </c>
      <c r="E1020" s="24">
        <v>39127</v>
      </c>
      <c r="F1020">
        <v>10</v>
      </c>
      <c r="G1020">
        <v>1</v>
      </c>
      <c r="H1020" t="s">
        <v>4014</v>
      </c>
      <c r="I1020">
        <v>10</v>
      </c>
    </row>
    <row r="1021" spans="2:9" x14ac:dyDescent="0.3">
      <c r="B1021" t="s">
        <v>860</v>
      </c>
      <c r="C1021" t="s">
        <v>2173</v>
      </c>
      <c r="D1021" t="s">
        <v>2658</v>
      </c>
      <c r="E1021" s="24">
        <v>41467</v>
      </c>
      <c r="F1021">
        <v>1</v>
      </c>
      <c r="G1021">
        <v>1</v>
      </c>
      <c r="H1021" t="s">
        <v>4015</v>
      </c>
      <c r="I1021">
        <v>1</v>
      </c>
    </row>
    <row r="1022" spans="2:9" x14ac:dyDescent="0.3">
      <c r="B1022" t="s">
        <v>861</v>
      </c>
      <c r="C1022" t="s">
        <v>2174</v>
      </c>
      <c r="D1022" t="s">
        <v>2658</v>
      </c>
      <c r="E1022" s="24">
        <v>36034</v>
      </c>
      <c r="F1022">
        <v>1</v>
      </c>
      <c r="G1022">
        <v>1</v>
      </c>
      <c r="H1022" t="s">
        <v>4016</v>
      </c>
      <c r="I1022">
        <v>1</v>
      </c>
    </row>
    <row r="1023" spans="2:9" x14ac:dyDescent="0.3">
      <c r="B1023" t="s">
        <v>862</v>
      </c>
      <c r="C1023" t="s">
        <v>2175</v>
      </c>
      <c r="D1023" t="s">
        <v>2658</v>
      </c>
      <c r="E1023" s="24">
        <v>40240</v>
      </c>
      <c r="F1023">
        <v>10</v>
      </c>
      <c r="G1023">
        <v>1</v>
      </c>
      <c r="H1023" t="s">
        <v>4017</v>
      </c>
      <c r="I1023">
        <v>10</v>
      </c>
    </row>
    <row r="1024" spans="2:9" x14ac:dyDescent="0.3">
      <c r="B1024" t="s">
        <v>863</v>
      </c>
      <c r="C1024" t="s">
        <v>2176</v>
      </c>
      <c r="D1024" t="s">
        <v>2658</v>
      </c>
      <c r="E1024" s="24">
        <v>34787</v>
      </c>
      <c r="F1024">
        <v>1</v>
      </c>
      <c r="G1024">
        <v>1</v>
      </c>
      <c r="H1024" t="s">
        <v>4018</v>
      </c>
      <c r="I1024">
        <v>1</v>
      </c>
    </row>
    <row r="1025" spans="2:9" x14ac:dyDescent="0.3">
      <c r="B1025" t="s">
        <v>864</v>
      </c>
      <c r="C1025" t="s">
        <v>2177</v>
      </c>
      <c r="D1025" t="s">
        <v>2658</v>
      </c>
      <c r="E1025" s="24">
        <v>40980</v>
      </c>
      <c r="F1025">
        <v>1</v>
      </c>
      <c r="G1025">
        <v>1</v>
      </c>
      <c r="H1025" t="s">
        <v>4019</v>
      </c>
      <c r="I1025">
        <v>1</v>
      </c>
    </row>
    <row r="1026" spans="2:9" x14ac:dyDescent="0.3">
      <c r="B1026" t="s">
        <v>865</v>
      </c>
      <c r="C1026" t="s">
        <v>2178</v>
      </c>
      <c r="D1026" t="s">
        <v>2658</v>
      </c>
      <c r="E1026" s="24">
        <v>40450</v>
      </c>
      <c r="F1026">
        <v>1</v>
      </c>
      <c r="G1026">
        <v>1</v>
      </c>
      <c r="H1026" t="s">
        <v>4020</v>
      </c>
      <c r="I1026">
        <v>1</v>
      </c>
    </row>
    <row r="1027" spans="2:9" x14ac:dyDescent="0.3">
      <c r="B1027" t="s">
        <v>4021</v>
      </c>
      <c r="C1027" t="s">
        <v>4022</v>
      </c>
      <c r="D1027" t="s">
        <v>2658</v>
      </c>
      <c r="E1027" s="24">
        <v>42082</v>
      </c>
      <c r="F1027">
        <v>10</v>
      </c>
      <c r="G1027">
        <v>1</v>
      </c>
      <c r="H1027" t="s">
        <v>4023</v>
      </c>
      <c r="I1027">
        <v>10</v>
      </c>
    </row>
    <row r="1028" spans="2:9" x14ac:dyDescent="0.3">
      <c r="B1028" t="s">
        <v>4024</v>
      </c>
      <c r="C1028" t="s">
        <v>4025</v>
      </c>
      <c r="D1028" t="s">
        <v>2686</v>
      </c>
      <c r="E1028" s="24">
        <v>42237</v>
      </c>
      <c r="F1028">
        <v>10</v>
      </c>
      <c r="G1028">
        <v>1</v>
      </c>
      <c r="H1028" t="s">
        <v>4026</v>
      </c>
      <c r="I1028">
        <v>10</v>
      </c>
    </row>
    <row r="1029" spans="2:9" x14ac:dyDescent="0.3">
      <c r="B1029" t="s">
        <v>866</v>
      </c>
      <c r="C1029" t="s">
        <v>2179</v>
      </c>
      <c r="D1029" t="s">
        <v>2686</v>
      </c>
      <c r="E1029" s="24">
        <v>36362</v>
      </c>
      <c r="F1029">
        <v>10</v>
      </c>
      <c r="G1029">
        <v>1</v>
      </c>
      <c r="H1029" t="s">
        <v>4027</v>
      </c>
      <c r="I1029">
        <v>10</v>
      </c>
    </row>
    <row r="1030" spans="2:9" x14ac:dyDescent="0.3">
      <c r="B1030" t="s">
        <v>867</v>
      </c>
      <c r="C1030" t="s">
        <v>2180</v>
      </c>
      <c r="D1030" t="s">
        <v>2658</v>
      </c>
      <c r="E1030" s="24">
        <v>39157</v>
      </c>
      <c r="F1030">
        <v>10</v>
      </c>
      <c r="G1030">
        <v>1</v>
      </c>
      <c r="H1030" t="s">
        <v>4028</v>
      </c>
      <c r="I1030">
        <v>10</v>
      </c>
    </row>
    <row r="1031" spans="2:9" x14ac:dyDescent="0.3">
      <c r="B1031" t="s">
        <v>4029</v>
      </c>
      <c r="C1031" t="s">
        <v>2181</v>
      </c>
      <c r="D1031" t="s">
        <v>2686</v>
      </c>
      <c r="E1031" s="24">
        <v>42499</v>
      </c>
      <c r="F1031">
        <v>10</v>
      </c>
      <c r="G1031">
        <v>1</v>
      </c>
      <c r="H1031" t="s">
        <v>4030</v>
      </c>
      <c r="I1031">
        <v>10</v>
      </c>
    </row>
    <row r="1032" spans="2:9" x14ac:dyDescent="0.3">
      <c r="B1032" t="s">
        <v>868</v>
      </c>
      <c r="C1032" t="s">
        <v>2182</v>
      </c>
      <c r="D1032" t="s">
        <v>2658</v>
      </c>
      <c r="E1032" s="24">
        <v>35172</v>
      </c>
      <c r="F1032">
        <v>1</v>
      </c>
      <c r="G1032">
        <v>1</v>
      </c>
      <c r="H1032" t="s">
        <v>4031</v>
      </c>
      <c r="I1032">
        <v>1</v>
      </c>
    </row>
    <row r="1033" spans="2:9" x14ac:dyDescent="0.3">
      <c r="B1033" t="s">
        <v>869</v>
      </c>
      <c r="C1033" t="s">
        <v>2183</v>
      </c>
      <c r="D1033" t="s">
        <v>2658</v>
      </c>
      <c r="E1033" s="24">
        <v>40816</v>
      </c>
      <c r="F1033">
        <v>2</v>
      </c>
      <c r="G1033">
        <v>1</v>
      </c>
      <c r="H1033" t="s">
        <v>4032</v>
      </c>
      <c r="I1033">
        <v>2</v>
      </c>
    </row>
    <row r="1034" spans="2:9" x14ac:dyDescent="0.3">
      <c r="B1034" t="s">
        <v>870</v>
      </c>
      <c r="C1034" t="s">
        <v>2184</v>
      </c>
      <c r="D1034" t="s">
        <v>2658</v>
      </c>
      <c r="E1034" s="24">
        <v>39085</v>
      </c>
      <c r="F1034">
        <v>5</v>
      </c>
      <c r="G1034">
        <v>1</v>
      </c>
      <c r="H1034" t="s">
        <v>4033</v>
      </c>
      <c r="I1034">
        <v>5</v>
      </c>
    </row>
    <row r="1035" spans="2:9" x14ac:dyDescent="0.3">
      <c r="B1035" t="s">
        <v>871</v>
      </c>
      <c r="C1035" t="s">
        <v>2185</v>
      </c>
      <c r="D1035" t="s">
        <v>2658</v>
      </c>
      <c r="E1035" s="24">
        <v>38261</v>
      </c>
      <c r="F1035">
        <v>2</v>
      </c>
      <c r="G1035">
        <v>1</v>
      </c>
      <c r="H1035" t="s">
        <v>4034</v>
      </c>
      <c r="I1035">
        <v>2</v>
      </c>
    </row>
    <row r="1036" spans="2:9" x14ac:dyDescent="0.3">
      <c r="B1036" t="s">
        <v>872</v>
      </c>
      <c r="C1036" t="s">
        <v>2186</v>
      </c>
      <c r="D1036" t="s">
        <v>2658</v>
      </c>
      <c r="E1036" s="24">
        <v>40360</v>
      </c>
      <c r="F1036">
        <v>10</v>
      </c>
      <c r="G1036">
        <v>1</v>
      </c>
      <c r="H1036" t="s">
        <v>4035</v>
      </c>
      <c r="I1036">
        <v>10</v>
      </c>
    </row>
    <row r="1037" spans="2:9" x14ac:dyDescent="0.3">
      <c r="B1037" t="s">
        <v>873</v>
      </c>
      <c r="C1037" t="s">
        <v>2187</v>
      </c>
      <c r="D1037" t="s">
        <v>2686</v>
      </c>
      <c r="E1037" s="24">
        <v>39085</v>
      </c>
      <c r="F1037">
        <v>2</v>
      </c>
      <c r="G1037">
        <v>1</v>
      </c>
      <c r="H1037" t="s">
        <v>4036</v>
      </c>
      <c r="I1037">
        <v>2</v>
      </c>
    </row>
    <row r="1038" spans="2:9" x14ac:dyDescent="0.3">
      <c r="B1038" t="s">
        <v>4037</v>
      </c>
      <c r="C1038" t="s">
        <v>4038</v>
      </c>
      <c r="D1038" t="s">
        <v>2658</v>
      </c>
      <c r="E1038" s="24">
        <v>42509</v>
      </c>
      <c r="F1038">
        <v>10</v>
      </c>
      <c r="G1038">
        <v>1</v>
      </c>
      <c r="H1038" t="s">
        <v>4039</v>
      </c>
      <c r="I1038">
        <v>10</v>
      </c>
    </row>
    <row r="1039" spans="2:9" x14ac:dyDescent="0.3">
      <c r="B1039" t="s">
        <v>874</v>
      </c>
      <c r="C1039" t="s">
        <v>2188</v>
      </c>
      <c r="D1039" t="s">
        <v>2658</v>
      </c>
      <c r="E1039" s="24">
        <v>39051</v>
      </c>
      <c r="F1039">
        <v>5</v>
      </c>
      <c r="G1039">
        <v>1</v>
      </c>
      <c r="H1039" t="s">
        <v>4040</v>
      </c>
      <c r="I1039">
        <v>5</v>
      </c>
    </row>
    <row r="1040" spans="2:9" x14ac:dyDescent="0.3">
      <c r="B1040" t="s">
        <v>875</v>
      </c>
      <c r="C1040" t="s">
        <v>2189</v>
      </c>
      <c r="D1040" t="s">
        <v>2658</v>
      </c>
      <c r="E1040" s="24">
        <v>38407</v>
      </c>
      <c r="F1040">
        <v>1</v>
      </c>
      <c r="G1040">
        <v>1</v>
      </c>
      <c r="H1040" t="s">
        <v>4041</v>
      </c>
      <c r="I1040">
        <v>1</v>
      </c>
    </row>
    <row r="1041" spans="2:9" x14ac:dyDescent="0.3">
      <c r="B1041" t="s">
        <v>876</v>
      </c>
      <c r="C1041" t="s">
        <v>2190</v>
      </c>
      <c r="D1041" t="s">
        <v>2658</v>
      </c>
      <c r="E1041" s="24">
        <v>39458</v>
      </c>
      <c r="F1041">
        <v>10</v>
      </c>
      <c r="G1041">
        <v>1</v>
      </c>
      <c r="H1041" t="s">
        <v>4042</v>
      </c>
      <c r="I1041">
        <v>10</v>
      </c>
    </row>
    <row r="1042" spans="2:9" x14ac:dyDescent="0.3">
      <c r="B1042" t="s">
        <v>877</v>
      </c>
      <c r="C1042" t="s">
        <v>2191</v>
      </c>
      <c r="D1042" t="s">
        <v>2658</v>
      </c>
      <c r="E1042" s="24">
        <v>34829</v>
      </c>
      <c r="F1042">
        <v>10</v>
      </c>
      <c r="G1042">
        <v>1</v>
      </c>
      <c r="H1042" t="s">
        <v>4043</v>
      </c>
      <c r="I1042">
        <v>10</v>
      </c>
    </row>
    <row r="1043" spans="2:9" x14ac:dyDescent="0.3">
      <c r="B1043" t="s">
        <v>878</v>
      </c>
      <c r="C1043" t="s">
        <v>2192</v>
      </c>
      <c r="D1043" t="s">
        <v>2658</v>
      </c>
      <c r="E1043" s="24">
        <v>38680</v>
      </c>
      <c r="F1043">
        <v>10</v>
      </c>
      <c r="G1043">
        <v>1</v>
      </c>
      <c r="H1043" t="s">
        <v>4044</v>
      </c>
      <c r="I1043">
        <v>10</v>
      </c>
    </row>
    <row r="1044" spans="2:9" x14ac:dyDescent="0.3">
      <c r="B1044" t="s">
        <v>879</v>
      </c>
      <c r="C1044" t="s">
        <v>2193</v>
      </c>
      <c r="D1044" t="s">
        <v>2658</v>
      </c>
      <c r="E1044" s="24">
        <v>41270</v>
      </c>
      <c r="F1044">
        <v>10</v>
      </c>
      <c r="G1044">
        <v>1</v>
      </c>
      <c r="H1044" t="s">
        <v>4045</v>
      </c>
      <c r="I1044">
        <v>10</v>
      </c>
    </row>
    <row r="1045" spans="2:9" x14ac:dyDescent="0.3">
      <c r="B1045" t="s">
        <v>4046</v>
      </c>
      <c r="C1045" t="s">
        <v>4047</v>
      </c>
      <c r="D1045" t="s">
        <v>2658</v>
      </c>
      <c r="E1045" s="24">
        <v>42459</v>
      </c>
      <c r="F1045">
        <v>1</v>
      </c>
      <c r="G1045">
        <v>1</v>
      </c>
      <c r="H1045" t="s">
        <v>4048</v>
      </c>
      <c r="I1045">
        <v>1</v>
      </c>
    </row>
    <row r="1046" spans="2:9" x14ac:dyDescent="0.3">
      <c r="B1046" t="s">
        <v>880</v>
      </c>
      <c r="C1046" t="s">
        <v>2194</v>
      </c>
      <c r="D1046" t="s">
        <v>2658</v>
      </c>
      <c r="E1046" s="24">
        <v>40409</v>
      </c>
      <c r="F1046">
        <v>10</v>
      </c>
      <c r="G1046">
        <v>1</v>
      </c>
      <c r="H1046" t="s">
        <v>4049</v>
      </c>
      <c r="I1046">
        <v>10</v>
      </c>
    </row>
    <row r="1047" spans="2:9" x14ac:dyDescent="0.3">
      <c r="B1047" t="s">
        <v>881</v>
      </c>
      <c r="C1047" t="s">
        <v>2195</v>
      </c>
      <c r="D1047" t="s">
        <v>2658</v>
      </c>
      <c r="E1047" s="24">
        <v>41933</v>
      </c>
      <c r="F1047">
        <v>10</v>
      </c>
      <c r="G1047">
        <v>1</v>
      </c>
      <c r="H1047" t="s">
        <v>4050</v>
      </c>
      <c r="I1047">
        <v>10</v>
      </c>
    </row>
    <row r="1048" spans="2:9" x14ac:dyDescent="0.3">
      <c r="B1048" t="s">
        <v>1325</v>
      </c>
      <c r="C1048" t="s">
        <v>2196</v>
      </c>
      <c r="D1048" t="s">
        <v>2658</v>
      </c>
      <c r="E1048" s="24">
        <v>34899</v>
      </c>
      <c r="F1048">
        <v>2</v>
      </c>
      <c r="G1048">
        <v>1</v>
      </c>
      <c r="H1048" t="s">
        <v>4051</v>
      </c>
      <c r="I1048">
        <v>2</v>
      </c>
    </row>
    <row r="1049" spans="2:9" x14ac:dyDescent="0.3">
      <c r="B1049" t="s">
        <v>882</v>
      </c>
      <c r="C1049" t="s">
        <v>2197</v>
      </c>
      <c r="D1049" t="s">
        <v>2658</v>
      </c>
      <c r="E1049" s="24">
        <v>34738</v>
      </c>
      <c r="F1049">
        <v>2</v>
      </c>
      <c r="G1049">
        <v>1</v>
      </c>
      <c r="H1049" t="s">
        <v>4052</v>
      </c>
      <c r="I1049">
        <v>2</v>
      </c>
    </row>
    <row r="1050" spans="2:9" x14ac:dyDescent="0.3">
      <c r="B1050" t="s">
        <v>883</v>
      </c>
      <c r="C1050" t="s">
        <v>2198</v>
      </c>
      <c r="D1050" t="s">
        <v>2686</v>
      </c>
      <c r="E1050" s="24">
        <v>36677</v>
      </c>
      <c r="F1050">
        <v>10</v>
      </c>
      <c r="G1050">
        <v>1</v>
      </c>
      <c r="H1050" t="s">
        <v>4053</v>
      </c>
      <c r="I1050">
        <v>10</v>
      </c>
    </row>
    <row r="1051" spans="2:9" x14ac:dyDescent="0.3">
      <c r="B1051" t="s">
        <v>84</v>
      </c>
      <c r="C1051" t="s">
        <v>2199</v>
      </c>
      <c r="D1051" t="s">
        <v>2658</v>
      </c>
      <c r="E1051" s="24">
        <v>34738</v>
      </c>
      <c r="F1051">
        <v>2</v>
      </c>
      <c r="G1051">
        <v>1</v>
      </c>
      <c r="H1051" t="s">
        <v>4054</v>
      </c>
      <c r="I1051">
        <v>2</v>
      </c>
    </row>
    <row r="1052" spans="2:9" x14ac:dyDescent="0.3">
      <c r="B1052" t="s">
        <v>884</v>
      </c>
      <c r="C1052" t="s">
        <v>2200</v>
      </c>
      <c r="D1052" t="s">
        <v>2658</v>
      </c>
      <c r="E1052" s="24">
        <v>40507</v>
      </c>
      <c r="F1052">
        <v>5</v>
      </c>
      <c r="G1052">
        <v>1</v>
      </c>
      <c r="H1052" t="s">
        <v>4055</v>
      </c>
      <c r="I1052">
        <v>5</v>
      </c>
    </row>
    <row r="1053" spans="2:9" x14ac:dyDescent="0.3">
      <c r="B1053" t="s">
        <v>885</v>
      </c>
      <c r="C1053" t="s">
        <v>2201</v>
      </c>
      <c r="D1053" t="s">
        <v>2658</v>
      </c>
      <c r="E1053" s="24">
        <v>34738</v>
      </c>
      <c r="F1053">
        <v>2</v>
      </c>
      <c r="G1053">
        <v>1</v>
      </c>
      <c r="H1053" t="s">
        <v>4056</v>
      </c>
      <c r="I1053">
        <v>2</v>
      </c>
    </row>
    <row r="1054" spans="2:9" x14ac:dyDescent="0.3">
      <c r="B1054" t="s">
        <v>4057</v>
      </c>
      <c r="C1054" t="s">
        <v>4058</v>
      </c>
      <c r="D1054" t="s">
        <v>2658</v>
      </c>
      <c r="E1054" s="24">
        <v>42257</v>
      </c>
      <c r="F1054">
        <v>10</v>
      </c>
      <c r="G1054">
        <v>1</v>
      </c>
      <c r="H1054" t="s">
        <v>4059</v>
      </c>
      <c r="I1054">
        <v>10</v>
      </c>
    </row>
    <row r="1055" spans="2:9" x14ac:dyDescent="0.3">
      <c r="B1055" t="s">
        <v>886</v>
      </c>
      <c r="C1055" t="s">
        <v>2202</v>
      </c>
      <c r="D1055" t="s">
        <v>2658</v>
      </c>
      <c r="E1055" s="24">
        <v>40274</v>
      </c>
      <c r="F1055">
        <v>10</v>
      </c>
      <c r="G1055">
        <v>1</v>
      </c>
      <c r="H1055" t="s">
        <v>4060</v>
      </c>
      <c r="I1055">
        <v>10</v>
      </c>
    </row>
    <row r="1056" spans="2:9" x14ac:dyDescent="0.3">
      <c r="B1056" t="s">
        <v>887</v>
      </c>
      <c r="C1056" t="s">
        <v>2203</v>
      </c>
      <c r="D1056" t="s">
        <v>2686</v>
      </c>
      <c r="E1056" s="24">
        <v>36362</v>
      </c>
      <c r="F1056">
        <v>10</v>
      </c>
      <c r="G1056">
        <v>1</v>
      </c>
      <c r="H1056" t="s">
        <v>4061</v>
      </c>
      <c r="I1056">
        <v>10</v>
      </c>
    </row>
    <row r="1057" spans="2:9" x14ac:dyDescent="0.3">
      <c r="B1057" t="s">
        <v>82</v>
      </c>
      <c r="C1057" t="s">
        <v>2204</v>
      </c>
      <c r="D1057" t="s">
        <v>2658</v>
      </c>
      <c r="E1057" s="24">
        <v>38072</v>
      </c>
      <c r="F1057">
        <v>10</v>
      </c>
      <c r="G1057">
        <v>1</v>
      </c>
      <c r="H1057" t="s">
        <v>4062</v>
      </c>
      <c r="I1057">
        <v>10</v>
      </c>
    </row>
    <row r="1058" spans="2:9" x14ac:dyDescent="0.3">
      <c r="B1058" t="s">
        <v>85</v>
      </c>
      <c r="C1058" t="s">
        <v>2205</v>
      </c>
      <c r="D1058" t="s">
        <v>2658</v>
      </c>
      <c r="E1058" s="24">
        <v>39136</v>
      </c>
      <c r="F1058">
        <v>10</v>
      </c>
      <c r="G1058">
        <v>1</v>
      </c>
      <c r="H1058" t="s">
        <v>4063</v>
      </c>
      <c r="I1058">
        <v>10</v>
      </c>
    </row>
    <row r="1059" spans="2:9" x14ac:dyDescent="0.3">
      <c r="B1059" t="s">
        <v>888</v>
      </c>
      <c r="C1059" t="s">
        <v>2206</v>
      </c>
      <c r="D1059" t="s">
        <v>2658</v>
      </c>
      <c r="E1059" s="24">
        <v>36278</v>
      </c>
      <c r="F1059">
        <v>10</v>
      </c>
      <c r="G1059">
        <v>1</v>
      </c>
      <c r="H1059" t="s">
        <v>4064</v>
      </c>
      <c r="I1059">
        <v>10</v>
      </c>
    </row>
    <row r="1060" spans="2:9" x14ac:dyDescent="0.3">
      <c r="B1060" t="s">
        <v>889</v>
      </c>
      <c r="C1060" t="s">
        <v>2207</v>
      </c>
      <c r="D1060" t="s">
        <v>2658</v>
      </c>
      <c r="E1060" s="24">
        <v>38888</v>
      </c>
      <c r="F1060">
        <v>1</v>
      </c>
      <c r="G1060">
        <v>1</v>
      </c>
      <c r="H1060" t="s">
        <v>4065</v>
      </c>
      <c r="I1060">
        <v>1</v>
      </c>
    </row>
    <row r="1061" spans="2:9" x14ac:dyDescent="0.3">
      <c r="B1061" t="s">
        <v>890</v>
      </c>
      <c r="C1061" t="s">
        <v>2208</v>
      </c>
      <c r="D1061" t="s">
        <v>2658</v>
      </c>
      <c r="E1061" s="24">
        <v>40632</v>
      </c>
      <c r="F1061">
        <v>10</v>
      </c>
      <c r="G1061">
        <v>1</v>
      </c>
      <c r="H1061" t="s">
        <v>4066</v>
      </c>
      <c r="I1061">
        <v>10</v>
      </c>
    </row>
    <row r="1062" spans="2:9" x14ac:dyDescent="0.3">
      <c r="B1062" t="s">
        <v>891</v>
      </c>
      <c r="C1062" t="s">
        <v>2209</v>
      </c>
      <c r="D1062" t="s">
        <v>2658</v>
      </c>
      <c r="E1062" s="24">
        <v>40812</v>
      </c>
      <c r="F1062">
        <v>10</v>
      </c>
      <c r="G1062">
        <v>1</v>
      </c>
      <c r="H1062" t="s">
        <v>4067</v>
      </c>
      <c r="I1062">
        <v>10</v>
      </c>
    </row>
    <row r="1063" spans="2:9" x14ac:dyDescent="0.3">
      <c r="B1063" t="s">
        <v>86</v>
      </c>
      <c r="C1063" t="s">
        <v>2210</v>
      </c>
      <c r="D1063" t="s">
        <v>2658</v>
      </c>
      <c r="E1063" s="24">
        <v>38175</v>
      </c>
      <c r="F1063">
        <v>10</v>
      </c>
      <c r="G1063">
        <v>1</v>
      </c>
      <c r="H1063" t="s">
        <v>4068</v>
      </c>
      <c r="I1063">
        <v>10</v>
      </c>
    </row>
    <row r="1064" spans="2:9" x14ac:dyDescent="0.3">
      <c r="B1064" t="s">
        <v>892</v>
      </c>
      <c r="C1064" t="s">
        <v>2211</v>
      </c>
      <c r="D1064" t="s">
        <v>2658</v>
      </c>
      <c r="E1064" s="24">
        <v>39128</v>
      </c>
      <c r="F1064">
        <v>10</v>
      </c>
      <c r="G1064">
        <v>1</v>
      </c>
      <c r="H1064" t="s">
        <v>4069</v>
      </c>
      <c r="I1064">
        <v>10</v>
      </c>
    </row>
    <row r="1065" spans="2:9" x14ac:dyDescent="0.3">
      <c r="B1065" t="s">
        <v>893</v>
      </c>
      <c r="C1065" t="s">
        <v>2212</v>
      </c>
      <c r="D1065" t="s">
        <v>2658</v>
      </c>
      <c r="E1065" s="24">
        <v>34787</v>
      </c>
      <c r="F1065">
        <v>10</v>
      </c>
      <c r="G1065">
        <v>1</v>
      </c>
      <c r="H1065" t="s">
        <v>4070</v>
      </c>
      <c r="I1065">
        <v>10</v>
      </c>
    </row>
    <row r="1066" spans="2:9" x14ac:dyDescent="0.3">
      <c r="B1066" t="s">
        <v>894</v>
      </c>
      <c r="C1066" t="s">
        <v>2213</v>
      </c>
      <c r="D1066" t="s">
        <v>2658</v>
      </c>
      <c r="E1066" s="24">
        <v>37998</v>
      </c>
      <c r="F1066">
        <v>10</v>
      </c>
      <c r="G1066">
        <v>1</v>
      </c>
      <c r="H1066" t="s">
        <v>4071</v>
      </c>
      <c r="I1066">
        <v>10</v>
      </c>
    </row>
    <row r="1067" spans="2:9" x14ac:dyDescent="0.3">
      <c r="B1067" t="s">
        <v>895</v>
      </c>
      <c r="C1067" t="s">
        <v>2214</v>
      </c>
      <c r="D1067" t="s">
        <v>2658</v>
      </c>
      <c r="E1067" s="24">
        <v>39195</v>
      </c>
      <c r="F1067">
        <v>2</v>
      </c>
      <c r="G1067">
        <v>1</v>
      </c>
      <c r="H1067" t="s">
        <v>4072</v>
      </c>
      <c r="I1067">
        <v>2</v>
      </c>
    </row>
    <row r="1068" spans="2:9" x14ac:dyDescent="0.3">
      <c r="B1068" t="s">
        <v>83</v>
      </c>
      <c r="C1068" t="s">
        <v>2215</v>
      </c>
      <c r="D1068" t="s">
        <v>2658</v>
      </c>
      <c r="E1068" s="24">
        <v>34787</v>
      </c>
      <c r="F1068">
        <v>1</v>
      </c>
      <c r="G1068">
        <v>1</v>
      </c>
      <c r="H1068" t="s">
        <v>4073</v>
      </c>
      <c r="I1068">
        <v>1</v>
      </c>
    </row>
    <row r="1069" spans="2:9" x14ac:dyDescent="0.3">
      <c r="B1069" t="s">
        <v>896</v>
      </c>
      <c r="C1069" t="s">
        <v>2216</v>
      </c>
      <c r="D1069" t="s">
        <v>2658</v>
      </c>
      <c r="E1069" s="24">
        <v>40709</v>
      </c>
      <c r="F1069">
        <v>1</v>
      </c>
      <c r="G1069">
        <v>1</v>
      </c>
      <c r="H1069" t="s">
        <v>4074</v>
      </c>
      <c r="I1069">
        <v>1</v>
      </c>
    </row>
    <row r="1070" spans="2:9" x14ac:dyDescent="0.3">
      <c r="B1070" t="s">
        <v>4075</v>
      </c>
      <c r="C1070" t="s">
        <v>4076</v>
      </c>
      <c r="D1070" t="s">
        <v>2686</v>
      </c>
      <c r="E1070" s="24">
        <v>42346</v>
      </c>
      <c r="F1070">
        <v>10</v>
      </c>
      <c r="G1070">
        <v>1</v>
      </c>
      <c r="H1070" t="s">
        <v>4077</v>
      </c>
      <c r="I1070">
        <v>10</v>
      </c>
    </row>
    <row r="1071" spans="2:9" x14ac:dyDescent="0.3">
      <c r="B1071" t="s">
        <v>4078</v>
      </c>
      <c r="C1071" t="s">
        <v>4079</v>
      </c>
      <c r="D1071" t="s">
        <v>2686</v>
      </c>
      <c r="E1071" s="24">
        <v>41554</v>
      </c>
      <c r="F1071">
        <v>1</v>
      </c>
      <c r="G1071">
        <v>1</v>
      </c>
      <c r="H1071" t="s">
        <v>4080</v>
      </c>
      <c r="I1071">
        <v>1</v>
      </c>
    </row>
    <row r="1072" spans="2:9" x14ac:dyDescent="0.3">
      <c r="B1072" t="s">
        <v>4081</v>
      </c>
      <c r="C1072" t="s">
        <v>4082</v>
      </c>
      <c r="D1072" t="s">
        <v>2658</v>
      </c>
      <c r="E1072" s="24">
        <v>42536</v>
      </c>
      <c r="F1072">
        <v>10</v>
      </c>
      <c r="G1072">
        <v>1</v>
      </c>
      <c r="H1072" t="s">
        <v>4083</v>
      </c>
      <c r="I1072">
        <v>10</v>
      </c>
    </row>
    <row r="1073" spans="2:9" x14ac:dyDescent="0.3">
      <c r="B1073" t="s">
        <v>1326</v>
      </c>
      <c r="C1073" t="s">
        <v>2217</v>
      </c>
      <c r="D1073" t="s">
        <v>2658</v>
      </c>
      <c r="E1073" s="24">
        <v>40344</v>
      </c>
      <c r="F1073">
        <v>10</v>
      </c>
      <c r="G1073">
        <v>1</v>
      </c>
      <c r="H1073" t="s">
        <v>4084</v>
      </c>
      <c r="I1073">
        <v>10</v>
      </c>
    </row>
    <row r="1074" spans="2:9" x14ac:dyDescent="0.3">
      <c r="B1074" t="s">
        <v>897</v>
      </c>
      <c r="C1074" t="s">
        <v>2218</v>
      </c>
      <c r="D1074" t="s">
        <v>2658</v>
      </c>
      <c r="E1074" s="24">
        <v>38853</v>
      </c>
      <c r="F1074">
        <v>10</v>
      </c>
      <c r="G1074">
        <v>1</v>
      </c>
      <c r="H1074" t="s">
        <v>4085</v>
      </c>
      <c r="I1074">
        <v>10</v>
      </c>
    </row>
    <row r="1075" spans="2:9" x14ac:dyDescent="0.3">
      <c r="B1075" t="s">
        <v>898</v>
      </c>
      <c r="C1075" t="s">
        <v>2219</v>
      </c>
      <c r="D1075" t="s">
        <v>2686</v>
      </c>
      <c r="E1075" s="24">
        <v>39597</v>
      </c>
      <c r="F1075">
        <v>10</v>
      </c>
      <c r="G1075">
        <v>1</v>
      </c>
      <c r="H1075" t="s">
        <v>4086</v>
      </c>
      <c r="I1075">
        <v>10</v>
      </c>
    </row>
    <row r="1076" spans="2:9" x14ac:dyDescent="0.3">
      <c r="B1076" t="s">
        <v>899</v>
      </c>
      <c r="C1076" t="s">
        <v>2220</v>
      </c>
      <c r="D1076" t="s">
        <v>2658</v>
      </c>
      <c r="E1076" s="24">
        <v>39115</v>
      </c>
      <c r="F1076">
        <v>5</v>
      </c>
      <c r="G1076">
        <v>1</v>
      </c>
      <c r="H1076" t="s">
        <v>4087</v>
      </c>
      <c r="I1076">
        <v>5</v>
      </c>
    </row>
    <row r="1077" spans="2:9" x14ac:dyDescent="0.3">
      <c r="B1077" t="s">
        <v>4088</v>
      </c>
      <c r="C1077" t="s">
        <v>4089</v>
      </c>
      <c r="D1077" t="s">
        <v>2658</v>
      </c>
      <c r="E1077" s="24">
        <v>42235</v>
      </c>
      <c r="F1077">
        <v>10</v>
      </c>
      <c r="G1077">
        <v>1</v>
      </c>
      <c r="H1077" t="s">
        <v>4090</v>
      </c>
      <c r="I1077">
        <v>10</v>
      </c>
    </row>
    <row r="1078" spans="2:9" x14ac:dyDescent="0.3">
      <c r="B1078" t="s">
        <v>900</v>
      </c>
      <c r="C1078" t="s">
        <v>2221</v>
      </c>
      <c r="D1078" t="s">
        <v>2658</v>
      </c>
      <c r="E1078" s="24">
        <v>39079</v>
      </c>
      <c r="F1078">
        <v>5</v>
      </c>
      <c r="G1078">
        <v>1</v>
      </c>
      <c r="H1078" t="s">
        <v>4091</v>
      </c>
      <c r="I1078">
        <v>5</v>
      </c>
    </row>
    <row r="1079" spans="2:9" x14ac:dyDescent="0.3">
      <c r="B1079" t="s">
        <v>901</v>
      </c>
      <c r="C1079" t="s">
        <v>2222</v>
      </c>
      <c r="D1079" t="s">
        <v>2658</v>
      </c>
      <c r="E1079" s="24">
        <v>37370</v>
      </c>
      <c r="F1079">
        <v>2</v>
      </c>
      <c r="G1079">
        <v>1</v>
      </c>
      <c r="H1079" t="s">
        <v>4092</v>
      </c>
      <c r="I1079">
        <v>2</v>
      </c>
    </row>
    <row r="1080" spans="2:9" x14ac:dyDescent="0.3">
      <c r="B1080" t="s">
        <v>902</v>
      </c>
      <c r="C1080" t="s">
        <v>2223</v>
      </c>
      <c r="D1080" t="s">
        <v>2658</v>
      </c>
      <c r="E1080" s="24">
        <v>36787</v>
      </c>
      <c r="F1080">
        <v>10</v>
      </c>
      <c r="G1080">
        <v>1</v>
      </c>
      <c r="H1080" t="s">
        <v>4093</v>
      </c>
      <c r="I1080">
        <v>10</v>
      </c>
    </row>
    <row r="1081" spans="2:9" x14ac:dyDescent="0.3">
      <c r="B1081" t="s">
        <v>4094</v>
      </c>
      <c r="C1081" t="s">
        <v>4095</v>
      </c>
      <c r="D1081" t="s">
        <v>2658</v>
      </c>
      <c r="E1081" s="24">
        <v>42681</v>
      </c>
      <c r="F1081">
        <v>10</v>
      </c>
      <c r="G1081">
        <v>1</v>
      </c>
      <c r="H1081" t="s">
        <v>4096</v>
      </c>
      <c r="I1081">
        <v>10</v>
      </c>
    </row>
    <row r="1082" spans="2:9" x14ac:dyDescent="0.3">
      <c r="B1082" t="s">
        <v>903</v>
      </c>
      <c r="C1082" t="s">
        <v>2224</v>
      </c>
      <c r="D1082" t="s">
        <v>2686</v>
      </c>
      <c r="E1082" s="24">
        <v>36871</v>
      </c>
      <c r="F1082">
        <v>10</v>
      </c>
      <c r="G1082">
        <v>1</v>
      </c>
      <c r="H1082" t="s">
        <v>4097</v>
      </c>
      <c r="I1082">
        <v>10</v>
      </c>
    </row>
    <row r="1083" spans="2:9" x14ac:dyDescent="0.3">
      <c r="B1083" t="s">
        <v>4098</v>
      </c>
      <c r="C1083" t="s">
        <v>4099</v>
      </c>
      <c r="D1083" t="s">
        <v>2658</v>
      </c>
      <c r="E1083" s="24">
        <v>42150</v>
      </c>
      <c r="F1083">
        <v>2</v>
      </c>
      <c r="G1083">
        <v>1</v>
      </c>
      <c r="H1083" t="s">
        <v>4100</v>
      </c>
      <c r="I1083">
        <v>2</v>
      </c>
    </row>
    <row r="1084" spans="2:9" x14ac:dyDescent="0.3">
      <c r="B1084" t="s">
        <v>904</v>
      </c>
      <c r="C1084" t="s">
        <v>2225</v>
      </c>
      <c r="D1084" t="s">
        <v>2658</v>
      </c>
      <c r="E1084" s="24">
        <v>39122</v>
      </c>
      <c r="F1084">
        <v>10</v>
      </c>
      <c r="G1084">
        <v>1</v>
      </c>
      <c r="H1084" t="s">
        <v>4101</v>
      </c>
      <c r="I1084">
        <v>10</v>
      </c>
    </row>
    <row r="1085" spans="2:9" x14ac:dyDescent="0.3">
      <c r="B1085" t="s">
        <v>4102</v>
      </c>
      <c r="C1085" t="s">
        <v>4103</v>
      </c>
      <c r="D1085" t="s">
        <v>2658</v>
      </c>
      <c r="E1085" s="24">
        <v>42835</v>
      </c>
      <c r="F1085">
        <v>10</v>
      </c>
      <c r="G1085">
        <v>1</v>
      </c>
      <c r="H1085" t="s">
        <v>4104</v>
      </c>
      <c r="I1085">
        <v>10</v>
      </c>
    </row>
    <row r="1086" spans="2:9" x14ac:dyDescent="0.3">
      <c r="B1086" t="s">
        <v>4105</v>
      </c>
      <c r="C1086" t="s">
        <v>4106</v>
      </c>
      <c r="D1086" t="s">
        <v>2658</v>
      </c>
      <c r="E1086" s="24">
        <v>42696</v>
      </c>
      <c r="F1086">
        <v>10</v>
      </c>
      <c r="G1086">
        <v>1</v>
      </c>
      <c r="H1086" t="s">
        <v>4107</v>
      </c>
      <c r="I1086">
        <v>10</v>
      </c>
    </row>
    <row r="1087" spans="2:9" x14ac:dyDescent="0.3">
      <c r="B1087" t="s">
        <v>4108</v>
      </c>
      <c r="C1087" t="s">
        <v>4109</v>
      </c>
      <c r="D1087" t="s">
        <v>2658</v>
      </c>
      <c r="E1087" s="24">
        <v>42558</v>
      </c>
      <c r="F1087">
        <v>10</v>
      </c>
      <c r="G1087">
        <v>1</v>
      </c>
      <c r="H1087" t="s">
        <v>4110</v>
      </c>
      <c r="I1087">
        <v>10</v>
      </c>
    </row>
    <row r="1088" spans="2:9" x14ac:dyDescent="0.3">
      <c r="B1088" t="s">
        <v>905</v>
      </c>
      <c r="C1088" t="s">
        <v>4111</v>
      </c>
      <c r="D1088" t="s">
        <v>2658</v>
      </c>
      <c r="E1088" s="24">
        <v>36488</v>
      </c>
      <c r="F1088">
        <v>5</v>
      </c>
      <c r="G1088">
        <v>1</v>
      </c>
      <c r="H1088" t="s">
        <v>4112</v>
      </c>
      <c r="I1088">
        <v>5</v>
      </c>
    </row>
    <row r="1089" spans="2:9" x14ac:dyDescent="0.3">
      <c r="B1089" t="s">
        <v>906</v>
      </c>
      <c r="C1089" t="s">
        <v>2226</v>
      </c>
      <c r="D1089" t="s">
        <v>2658</v>
      </c>
      <c r="E1089" s="24">
        <v>40884</v>
      </c>
      <c r="F1089">
        <v>5</v>
      </c>
      <c r="G1089">
        <v>1</v>
      </c>
      <c r="H1089" t="s">
        <v>4113</v>
      </c>
      <c r="I1089">
        <v>5</v>
      </c>
    </row>
    <row r="1090" spans="2:9" x14ac:dyDescent="0.3">
      <c r="B1090" t="s">
        <v>907</v>
      </c>
      <c r="C1090" t="s">
        <v>2227</v>
      </c>
      <c r="D1090" t="s">
        <v>2658</v>
      </c>
      <c r="E1090" s="24">
        <v>37722</v>
      </c>
      <c r="F1090">
        <v>10</v>
      </c>
      <c r="G1090">
        <v>1</v>
      </c>
      <c r="H1090" t="s">
        <v>4114</v>
      </c>
      <c r="I1090">
        <v>10</v>
      </c>
    </row>
    <row r="1091" spans="2:9" x14ac:dyDescent="0.3">
      <c r="B1091" t="s">
        <v>908</v>
      </c>
      <c r="C1091" t="s">
        <v>2228</v>
      </c>
      <c r="D1091" t="s">
        <v>2658</v>
      </c>
      <c r="E1091" s="24">
        <v>37362</v>
      </c>
      <c r="F1091">
        <v>10</v>
      </c>
      <c r="G1091">
        <v>1</v>
      </c>
      <c r="H1091" t="s">
        <v>4115</v>
      </c>
      <c r="I1091">
        <v>10</v>
      </c>
    </row>
    <row r="1092" spans="2:9" x14ac:dyDescent="0.3">
      <c r="B1092" t="s">
        <v>909</v>
      </c>
      <c r="C1092" t="s">
        <v>2229</v>
      </c>
      <c r="D1092" t="s">
        <v>2658</v>
      </c>
      <c r="E1092" s="24">
        <v>39360</v>
      </c>
      <c r="F1092">
        <v>10</v>
      </c>
      <c r="G1092">
        <v>1</v>
      </c>
      <c r="H1092" t="s">
        <v>4116</v>
      </c>
      <c r="I1092">
        <v>10</v>
      </c>
    </row>
    <row r="1093" spans="2:9" x14ac:dyDescent="0.3">
      <c r="B1093" t="s">
        <v>4117</v>
      </c>
      <c r="C1093" t="s">
        <v>4118</v>
      </c>
      <c r="D1093" t="s">
        <v>2658</v>
      </c>
      <c r="E1093" s="24">
        <v>42242</v>
      </c>
      <c r="F1093">
        <v>10</v>
      </c>
      <c r="G1093">
        <v>1</v>
      </c>
      <c r="H1093" t="s">
        <v>4119</v>
      </c>
      <c r="I1093">
        <v>10</v>
      </c>
    </row>
    <row r="1094" spans="2:9" x14ac:dyDescent="0.3">
      <c r="B1094" t="s">
        <v>910</v>
      </c>
      <c r="C1094" t="s">
        <v>2230</v>
      </c>
      <c r="D1094" t="s">
        <v>2658</v>
      </c>
      <c r="E1094" s="24">
        <v>39458</v>
      </c>
      <c r="F1094">
        <v>10</v>
      </c>
      <c r="G1094">
        <v>1</v>
      </c>
      <c r="H1094" t="s">
        <v>4120</v>
      </c>
      <c r="I1094">
        <v>10</v>
      </c>
    </row>
    <row r="1095" spans="2:9" x14ac:dyDescent="0.3">
      <c r="B1095" t="s">
        <v>4121</v>
      </c>
      <c r="C1095" t="s">
        <v>4122</v>
      </c>
      <c r="D1095" t="s">
        <v>2658</v>
      </c>
      <c r="E1095" s="24">
        <v>42268</v>
      </c>
      <c r="F1095">
        <v>10</v>
      </c>
      <c r="G1095">
        <v>1</v>
      </c>
      <c r="H1095" t="s">
        <v>4123</v>
      </c>
      <c r="I1095">
        <v>10</v>
      </c>
    </row>
    <row r="1096" spans="2:9" x14ac:dyDescent="0.3">
      <c r="B1096" t="s">
        <v>911</v>
      </c>
      <c r="C1096" t="s">
        <v>2231</v>
      </c>
      <c r="D1096" t="s">
        <v>2686</v>
      </c>
      <c r="E1096" s="24">
        <v>40273</v>
      </c>
      <c r="F1096">
        <v>10</v>
      </c>
      <c r="G1096">
        <v>1</v>
      </c>
      <c r="H1096" t="s">
        <v>4124</v>
      </c>
      <c r="I1096">
        <v>10</v>
      </c>
    </row>
    <row r="1097" spans="2:9" x14ac:dyDescent="0.3">
      <c r="B1097" t="s">
        <v>912</v>
      </c>
      <c r="C1097" t="s">
        <v>2232</v>
      </c>
      <c r="D1097" t="s">
        <v>2658</v>
      </c>
      <c r="E1097" s="24">
        <v>39084</v>
      </c>
      <c r="F1097">
        <v>10</v>
      </c>
      <c r="G1097">
        <v>1</v>
      </c>
      <c r="H1097" t="s">
        <v>4125</v>
      </c>
      <c r="I1097">
        <v>10</v>
      </c>
    </row>
    <row r="1098" spans="2:9" x14ac:dyDescent="0.3">
      <c r="B1098" t="s">
        <v>913</v>
      </c>
      <c r="C1098" t="s">
        <v>2233</v>
      </c>
      <c r="D1098" t="s">
        <v>2658</v>
      </c>
      <c r="E1098" s="24">
        <v>34983</v>
      </c>
      <c r="F1098">
        <v>2</v>
      </c>
      <c r="G1098">
        <v>1</v>
      </c>
      <c r="H1098" t="s">
        <v>4126</v>
      </c>
      <c r="I1098">
        <v>2</v>
      </c>
    </row>
    <row r="1099" spans="2:9" x14ac:dyDescent="0.3">
      <c r="B1099" t="s">
        <v>914</v>
      </c>
      <c r="C1099" t="s">
        <v>2234</v>
      </c>
      <c r="D1099" t="s">
        <v>2658</v>
      </c>
      <c r="E1099" s="24">
        <v>34829</v>
      </c>
      <c r="F1099">
        <v>10</v>
      </c>
      <c r="G1099">
        <v>1</v>
      </c>
      <c r="H1099" t="s">
        <v>4127</v>
      </c>
      <c r="I1099">
        <v>10</v>
      </c>
    </row>
    <row r="1100" spans="2:9" x14ac:dyDescent="0.3">
      <c r="B1100" t="s">
        <v>915</v>
      </c>
      <c r="C1100" t="s">
        <v>2235</v>
      </c>
      <c r="D1100" t="s">
        <v>2658</v>
      </c>
      <c r="E1100" s="24">
        <v>40820</v>
      </c>
      <c r="F1100">
        <v>1</v>
      </c>
      <c r="G1100">
        <v>1</v>
      </c>
      <c r="H1100" t="s">
        <v>4128</v>
      </c>
      <c r="I1100">
        <v>1</v>
      </c>
    </row>
    <row r="1101" spans="2:9" x14ac:dyDescent="0.3">
      <c r="B1101" t="s">
        <v>916</v>
      </c>
      <c r="C1101" t="s">
        <v>2236</v>
      </c>
      <c r="D1101" t="s">
        <v>2658</v>
      </c>
      <c r="E1101" s="24">
        <v>40415</v>
      </c>
      <c r="F1101">
        <v>1</v>
      </c>
      <c r="G1101">
        <v>1</v>
      </c>
      <c r="H1101" t="s">
        <v>4129</v>
      </c>
      <c r="I1101">
        <v>1</v>
      </c>
    </row>
    <row r="1102" spans="2:9" x14ac:dyDescent="0.3">
      <c r="B1102" t="s">
        <v>917</v>
      </c>
      <c r="C1102" t="s">
        <v>2237</v>
      </c>
      <c r="D1102" t="s">
        <v>2658</v>
      </c>
      <c r="E1102" s="24">
        <v>38792</v>
      </c>
      <c r="F1102">
        <v>2</v>
      </c>
      <c r="G1102">
        <v>1</v>
      </c>
      <c r="H1102" t="s">
        <v>4130</v>
      </c>
      <c r="I1102">
        <v>2</v>
      </c>
    </row>
    <row r="1103" spans="2:9" x14ac:dyDescent="0.3">
      <c r="B1103" t="s">
        <v>4131</v>
      </c>
      <c r="C1103" t="s">
        <v>4132</v>
      </c>
      <c r="D1103" t="s">
        <v>2658</v>
      </c>
      <c r="E1103" s="24">
        <v>42408</v>
      </c>
      <c r="F1103">
        <v>10</v>
      </c>
      <c r="G1103">
        <v>1</v>
      </c>
      <c r="H1103" t="s">
        <v>4133</v>
      </c>
      <c r="I1103">
        <v>10</v>
      </c>
    </row>
    <row r="1104" spans="2:9" x14ac:dyDescent="0.3">
      <c r="B1104" t="s">
        <v>918</v>
      </c>
      <c r="C1104" t="s">
        <v>2238</v>
      </c>
      <c r="D1104" t="s">
        <v>2686</v>
      </c>
      <c r="E1104" s="24">
        <v>38583</v>
      </c>
      <c r="F1104">
        <v>10</v>
      </c>
      <c r="G1104">
        <v>1</v>
      </c>
      <c r="H1104" t="s">
        <v>4134</v>
      </c>
      <c r="I1104">
        <v>10</v>
      </c>
    </row>
    <row r="1105" spans="2:9" x14ac:dyDescent="0.3">
      <c r="B1105" t="s">
        <v>919</v>
      </c>
      <c r="C1105" t="s">
        <v>2239</v>
      </c>
      <c r="D1105" t="s">
        <v>2658</v>
      </c>
      <c r="E1105" s="24">
        <v>34948</v>
      </c>
      <c r="F1105">
        <v>5</v>
      </c>
      <c r="G1105">
        <v>1</v>
      </c>
      <c r="H1105" t="s">
        <v>4135</v>
      </c>
      <c r="I1105">
        <v>5</v>
      </c>
    </row>
    <row r="1106" spans="2:9" x14ac:dyDescent="0.3">
      <c r="B1106" t="s">
        <v>4136</v>
      </c>
      <c r="C1106" t="s">
        <v>4137</v>
      </c>
      <c r="D1106" t="s">
        <v>2658</v>
      </c>
      <c r="E1106" s="24">
        <v>42538</v>
      </c>
      <c r="F1106">
        <v>10</v>
      </c>
      <c r="G1106">
        <v>1</v>
      </c>
      <c r="H1106" t="s">
        <v>4138</v>
      </c>
      <c r="I1106">
        <v>10</v>
      </c>
    </row>
    <row r="1107" spans="2:9" x14ac:dyDescent="0.3">
      <c r="B1107" t="s">
        <v>920</v>
      </c>
      <c r="C1107" t="s">
        <v>2240</v>
      </c>
      <c r="D1107" t="s">
        <v>2658</v>
      </c>
      <c r="E1107" s="24">
        <v>35158</v>
      </c>
      <c r="F1107">
        <v>10</v>
      </c>
      <c r="G1107">
        <v>1</v>
      </c>
      <c r="H1107" t="s">
        <v>4139</v>
      </c>
      <c r="I1107">
        <v>10</v>
      </c>
    </row>
    <row r="1108" spans="2:9" x14ac:dyDescent="0.3">
      <c r="B1108" t="s">
        <v>1327</v>
      </c>
      <c r="C1108" t="s">
        <v>2241</v>
      </c>
      <c r="D1108" t="s">
        <v>2658</v>
      </c>
      <c r="E1108" s="24">
        <v>35046</v>
      </c>
      <c r="F1108">
        <v>5</v>
      </c>
      <c r="G1108">
        <v>1</v>
      </c>
      <c r="H1108" t="s">
        <v>4140</v>
      </c>
      <c r="I1108">
        <v>5</v>
      </c>
    </row>
    <row r="1109" spans="2:9" x14ac:dyDescent="0.3">
      <c r="B1109" t="s">
        <v>921</v>
      </c>
      <c r="C1109" t="s">
        <v>2242</v>
      </c>
      <c r="D1109" t="s">
        <v>2658</v>
      </c>
      <c r="E1109" s="24">
        <v>38357</v>
      </c>
      <c r="F1109">
        <v>2</v>
      </c>
      <c r="G1109">
        <v>1</v>
      </c>
      <c r="H1109" t="s">
        <v>4141</v>
      </c>
      <c r="I1109">
        <v>2</v>
      </c>
    </row>
    <row r="1110" spans="2:9" x14ac:dyDescent="0.3">
      <c r="B1110" t="s">
        <v>922</v>
      </c>
      <c r="C1110" t="s">
        <v>2243</v>
      </c>
      <c r="D1110" t="s">
        <v>2658</v>
      </c>
      <c r="E1110" s="24">
        <v>40478</v>
      </c>
      <c r="F1110">
        <v>10</v>
      </c>
      <c r="G1110">
        <v>1</v>
      </c>
      <c r="H1110" t="s">
        <v>4142</v>
      </c>
      <c r="I1110">
        <v>10</v>
      </c>
    </row>
    <row r="1111" spans="2:9" x14ac:dyDescent="0.3">
      <c r="B1111" t="s">
        <v>4143</v>
      </c>
      <c r="C1111" t="s">
        <v>2244</v>
      </c>
      <c r="D1111" t="s">
        <v>2658</v>
      </c>
      <c r="E1111" s="24">
        <v>42776</v>
      </c>
      <c r="F1111">
        <v>1</v>
      </c>
      <c r="G1111">
        <v>1</v>
      </c>
      <c r="H1111" t="s">
        <v>4144</v>
      </c>
      <c r="I1111">
        <v>1</v>
      </c>
    </row>
    <row r="1112" spans="2:9" x14ac:dyDescent="0.3">
      <c r="B1112" t="s">
        <v>923</v>
      </c>
      <c r="C1112" t="s">
        <v>2245</v>
      </c>
      <c r="D1112" t="s">
        <v>2658</v>
      </c>
      <c r="E1112" s="24">
        <v>38520</v>
      </c>
      <c r="F1112">
        <v>5</v>
      </c>
      <c r="G1112">
        <v>1</v>
      </c>
      <c r="H1112" t="s">
        <v>4145</v>
      </c>
      <c r="I1112">
        <v>5</v>
      </c>
    </row>
    <row r="1113" spans="2:9" x14ac:dyDescent="0.3">
      <c r="B1113" t="s">
        <v>924</v>
      </c>
      <c r="C1113" t="s">
        <v>2246</v>
      </c>
      <c r="D1113" t="s">
        <v>2658</v>
      </c>
      <c r="E1113" s="24">
        <v>37853</v>
      </c>
      <c r="F1113">
        <v>10</v>
      </c>
      <c r="G1113">
        <v>1</v>
      </c>
      <c r="H1113" t="s">
        <v>4146</v>
      </c>
      <c r="I1113">
        <v>10</v>
      </c>
    </row>
    <row r="1114" spans="2:9" x14ac:dyDescent="0.3">
      <c r="B1114" t="s">
        <v>925</v>
      </c>
      <c r="C1114" t="s">
        <v>2247</v>
      </c>
      <c r="D1114" t="s">
        <v>2658</v>
      </c>
      <c r="E1114" s="24">
        <v>40994</v>
      </c>
      <c r="F1114">
        <v>1</v>
      </c>
      <c r="G1114">
        <v>1</v>
      </c>
      <c r="H1114" t="s">
        <v>4147</v>
      </c>
      <c r="I1114">
        <v>1</v>
      </c>
    </row>
    <row r="1115" spans="2:9" x14ac:dyDescent="0.3">
      <c r="B1115" t="s">
        <v>926</v>
      </c>
      <c r="C1115" t="s">
        <v>2248</v>
      </c>
      <c r="D1115" t="s">
        <v>2658</v>
      </c>
      <c r="E1115" s="24">
        <v>41164</v>
      </c>
      <c r="F1115">
        <v>2</v>
      </c>
      <c r="G1115">
        <v>1</v>
      </c>
      <c r="H1115" t="s">
        <v>4148</v>
      </c>
      <c r="I1115">
        <v>2</v>
      </c>
    </row>
    <row r="1116" spans="2:9" x14ac:dyDescent="0.3">
      <c r="B1116" t="s">
        <v>927</v>
      </c>
      <c r="C1116" t="s">
        <v>2249</v>
      </c>
      <c r="D1116" t="s">
        <v>2658</v>
      </c>
      <c r="E1116" s="24">
        <v>40542</v>
      </c>
      <c r="F1116">
        <v>10</v>
      </c>
      <c r="G1116">
        <v>1</v>
      </c>
      <c r="H1116" t="s">
        <v>4149</v>
      </c>
      <c r="I1116">
        <v>10</v>
      </c>
    </row>
    <row r="1117" spans="2:9" x14ac:dyDescent="0.3">
      <c r="B1117" t="s">
        <v>928</v>
      </c>
      <c r="C1117" t="s">
        <v>2250</v>
      </c>
      <c r="D1117" t="s">
        <v>2658</v>
      </c>
      <c r="E1117" s="24">
        <v>37770</v>
      </c>
      <c r="F1117">
        <v>10</v>
      </c>
      <c r="G1117">
        <v>1</v>
      </c>
      <c r="H1117" t="s">
        <v>4150</v>
      </c>
      <c r="I1117">
        <v>10</v>
      </c>
    </row>
    <row r="1118" spans="2:9" x14ac:dyDescent="0.3">
      <c r="B1118" t="s">
        <v>929</v>
      </c>
      <c r="C1118" t="s">
        <v>2251</v>
      </c>
      <c r="D1118" t="s">
        <v>2658</v>
      </c>
      <c r="E1118" s="24">
        <v>38084</v>
      </c>
      <c r="F1118">
        <v>10</v>
      </c>
      <c r="G1118">
        <v>1</v>
      </c>
      <c r="H1118" t="s">
        <v>4151</v>
      </c>
      <c r="I1118">
        <v>10</v>
      </c>
    </row>
    <row r="1119" spans="2:9" x14ac:dyDescent="0.3">
      <c r="B1119" t="s">
        <v>930</v>
      </c>
      <c r="C1119" t="s">
        <v>2252</v>
      </c>
      <c r="D1119" t="s">
        <v>2658</v>
      </c>
      <c r="E1119" s="24">
        <v>39111</v>
      </c>
      <c r="F1119">
        <v>2</v>
      </c>
      <c r="G1119">
        <v>1</v>
      </c>
      <c r="H1119" t="s">
        <v>4152</v>
      </c>
      <c r="I1119">
        <v>2</v>
      </c>
    </row>
    <row r="1120" spans="2:9" x14ac:dyDescent="0.3">
      <c r="B1120" t="s">
        <v>931</v>
      </c>
      <c r="C1120" t="s">
        <v>2253</v>
      </c>
      <c r="D1120" t="s">
        <v>2658</v>
      </c>
      <c r="E1120" s="24">
        <v>39149</v>
      </c>
      <c r="F1120">
        <v>10</v>
      </c>
      <c r="G1120">
        <v>1</v>
      </c>
      <c r="H1120" t="s">
        <v>4153</v>
      </c>
      <c r="I1120">
        <v>10</v>
      </c>
    </row>
    <row r="1121" spans="2:9" x14ac:dyDescent="0.3">
      <c r="B1121" t="s">
        <v>932</v>
      </c>
      <c r="C1121" t="s">
        <v>2254</v>
      </c>
      <c r="D1121" t="s">
        <v>2658</v>
      </c>
      <c r="E1121" s="24">
        <v>38723</v>
      </c>
      <c r="F1121">
        <v>2</v>
      </c>
      <c r="G1121">
        <v>1</v>
      </c>
      <c r="H1121" t="s">
        <v>4154</v>
      </c>
      <c r="I1121">
        <v>2</v>
      </c>
    </row>
    <row r="1122" spans="2:9" x14ac:dyDescent="0.3">
      <c r="B1122" t="s">
        <v>933</v>
      </c>
      <c r="C1122" t="s">
        <v>4155</v>
      </c>
      <c r="D1122" t="s">
        <v>2658</v>
      </c>
      <c r="E1122" s="24">
        <v>39324</v>
      </c>
      <c r="F1122">
        <v>5</v>
      </c>
      <c r="G1122">
        <v>1</v>
      </c>
      <c r="H1122" t="s">
        <v>4156</v>
      </c>
      <c r="I1122">
        <v>5</v>
      </c>
    </row>
    <row r="1123" spans="2:9" x14ac:dyDescent="0.3">
      <c r="B1123" t="s">
        <v>934</v>
      </c>
      <c r="C1123" t="s">
        <v>2255</v>
      </c>
      <c r="D1123" t="s">
        <v>2686</v>
      </c>
      <c r="E1123" s="24">
        <v>36250</v>
      </c>
      <c r="F1123">
        <v>10</v>
      </c>
      <c r="G1123">
        <v>1</v>
      </c>
      <c r="H1123" t="s">
        <v>4157</v>
      </c>
      <c r="I1123">
        <v>10</v>
      </c>
    </row>
    <row r="1124" spans="2:9" x14ac:dyDescent="0.3">
      <c r="B1124" t="s">
        <v>935</v>
      </c>
      <c r="C1124" t="s">
        <v>2256</v>
      </c>
      <c r="D1124" t="s">
        <v>2658</v>
      </c>
      <c r="E1124" s="24">
        <v>38721</v>
      </c>
      <c r="F1124">
        <v>10</v>
      </c>
      <c r="G1124">
        <v>1</v>
      </c>
      <c r="H1124" t="s">
        <v>4158</v>
      </c>
      <c r="I1124">
        <v>10</v>
      </c>
    </row>
    <row r="1125" spans="2:9" x14ac:dyDescent="0.3">
      <c r="B1125" t="s">
        <v>4159</v>
      </c>
      <c r="C1125" t="s">
        <v>4160</v>
      </c>
      <c r="D1125" t="s">
        <v>2658</v>
      </c>
      <c r="E1125" s="24">
        <v>42563</v>
      </c>
      <c r="F1125">
        <v>10</v>
      </c>
      <c r="G1125">
        <v>1</v>
      </c>
      <c r="H1125" t="s">
        <v>4161</v>
      </c>
      <c r="I1125">
        <v>10</v>
      </c>
    </row>
    <row r="1126" spans="2:9" x14ac:dyDescent="0.3">
      <c r="B1126" t="s">
        <v>4162</v>
      </c>
      <c r="C1126" t="s">
        <v>4163</v>
      </c>
      <c r="D1126" t="s">
        <v>2658</v>
      </c>
      <c r="E1126" s="24">
        <v>42418</v>
      </c>
      <c r="F1126">
        <v>10</v>
      </c>
      <c r="G1126">
        <v>1</v>
      </c>
      <c r="H1126" t="s">
        <v>4164</v>
      </c>
      <c r="I1126">
        <v>10</v>
      </c>
    </row>
    <row r="1127" spans="2:9" x14ac:dyDescent="0.3">
      <c r="B1127" t="s">
        <v>1328</v>
      </c>
      <c r="C1127" t="s">
        <v>2257</v>
      </c>
      <c r="D1127" t="s">
        <v>2658</v>
      </c>
      <c r="E1127" s="24">
        <v>36880</v>
      </c>
      <c r="F1127">
        <v>10</v>
      </c>
      <c r="G1127">
        <v>1</v>
      </c>
      <c r="H1127" t="s">
        <v>4165</v>
      </c>
      <c r="I1127">
        <v>10</v>
      </c>
    </row>
    <row r="1128" spans="2:9" x14ac:dyDescent="0.3">
      <c r="B1128" t="s">
        <v>1329</v>
      </c>
      <c r="C1128" t="s">
        <v>2258</v>
      </c>
      <c r="D1128" t="s">
        <v>2658</v>
      </c>
      <c r="E1128" s="24">
        <v>37679</v>
      </c>
      <c r="F1128">
        <v>2</v>
      </c>
      <c r="G1128">
        <v>1</v>
      </c>
      <c r="H1128" t="s">
        <v>4166</v>
      </c>
      <c r="I1128">
        <v>2</v>
      </c>
    </row>
    <row r="1129" spans="2:9" x14ac:dyDescent="0.3">
      <c r="B1129" t="s">
        <v>936</v>
      </c>
      <c r="C1129" t="s">
        <v>2259</v>
      </c>
      <c r="D1129" t="s">
        <v>2658</v>
      </c>
      <c r="E1129" s="24">
        <v>37790</v>
      </c>
      <c r="F1129">
        <v>2</v>
      </c>
      <c r="G1129">
        <v>1</v>
      </c>
      <c r="H1129" t="s">
        <v>4167</v>
      </c>
      <c r="I1129">
        <v>2</v>
      </c>
    </row>
    <row r="1130" spans="2:9" x14ac:dyDescent="0.3">
      <c r="B1130" t="s">
        <v>4168</v>
      </c>
      <c r="C1130" t="s">
        <v>4169</v>
      </c>
      <c r="D1130" t="s">
        <v>2658</v>
      </c>
      <c r="E1130" s="24">
        <v>42811</v>
      </c>
      <c r="F1130">
        <v>10</v>
      </c>
      <c r="G1130">
        <v>1</v>
      </c>
      <c r="H1130" t="s">
        <v>4170</v>
      </c>
      <c r="I1130">
        <v>10</v>
      </c>
    </row>
    <row r="1131" spans="2:9" x14ac:dyDescent="0.3">
      <c r="B1131" t="s">
        <v>937</v>
      </c>
      <c r="C1131" t="s">
        <v>2260</v>
      </c>
      <c r="D1131" t="s">
        <v>2658</v>
      </c>
      <c r="E1131" s="24">
        <v>39510</v>
      </c>
      <c r="F1131">
        <v>2</v>
      </c>
      <c r="G1131">
        <v>1</v>
      </c>
      <c r="H1131" t="s">
        <v>4171</v>
      </c>
      <c r="I1131">
        <v>2</v>
      </c>
    </row>
    <row r="1132" spans="2:9" x14ac:dyDescent="0.3">
      <c r="B1132" t="s">
        <v>938</v>
      </c>
      <c r="C1132" t="s">
        <v>2261</v>
      </c>
      <c r="D1132" t="s">
        <v>2658</v>
      </c>
      <c r="E1132" s="24">
        <v>40331</v>
      </c>
      <c r="F1132">
        <v>2</v>
      </c>
      <c r="G1132">
        <v>1</v>
      </c>
      <c r="H1132" t="s">
        <v>4172</v>
      </c>
      <c r="I1132">
        <v>2</v>
      </c>
    </row>
    <row r="1133" spans="2:9" x14ac:dyDescent="0.3">
      <c r="B1133" t="s">
        <v>939</v>
      </c>
      <c r="C1133" t="s">
        <v>2262</v>
      </c>
      <c r="D1133" t="s">
        <v>2658</v>
      </c>
      <c r="E1133" s="24">
        <v>35165</v>
      </c>
      <c r="F1133">
        <v>10</v>
      </c>
      <c r="G1133">
        <v>100</v>
      </c>
      <c r="H1133" t="s">
        <v>4173</v>
      </c>
      <c r="I1133">
        <v>10</v>
      </c>
    </row>
    <row r="1134" spans="2:9" x14ac:dyDescent="0.3">
      <c r="B1134" t="s">
        <v>940</v>
      </c>
      <c r="C1134" t="s">
        <v>2263</v>
      </c>
      <c r="D1134" t="s">
        <v>2658</v>
      </c>
      <c r="E1134" s="24">
        <v>36565</v>
      </c>
      <c r="F1134">
        <v>1</v>
      </c>
      <c r="G1134">
        <v>1</v>
      </c>
      <c r="H1134" t="s">
        <v>4174</v>
      </c>
      <c r="I1134">
        <v>1</v>
      </c>
    </row>
    <row r="1135" spans="2:9" x14ac:dyDescent="0.3">
      <c r="B1135" t="s">
        <v>941</v>
      </c>
      <c r="C1135" t="s">
        <v>2264</v>
      </c>
      <c r="D1135" t="s">
        <v>2686</v>
      </c>
      <c r="E1135" s="24">
        <v>40037</v>
      </c>
      <c r="F1135">
        <v>10</v>
      </c>
      <c r="G1135">
        <v>1</v>
      </c>
      <c r="H1135" t="s">
        <v>4175</v>
      </c>
      <c r="I1135">
        <v>10</v>
      </c>
    </row>
    <row r="1136" spans="2:9" x14ac:dyDescent="0.3">
      <c r="B1136" t="s">
        <v>942</v>
      </c>
      <c r="C1136" t="s">
        <v>2265</v>
      </c>
      <c r="D1136" t="s">
        <v>2658</v>
      </c>
      <c r="E1136" s="24">
        <v>39086</v>
      </c>
      <c r="F1136">
        <v>1</v>
      </c>
      <c r="G1136">
        <v>1</v>
      </c>
      <c r="H1136" t="s">
        <v>4176</v>
      </c>
      <c r="I1136">
        <v>1</v>
      </c>
    </row>
    <row r="1137" spans="2:9" x14ac:dyDescent="0.3">
      <c r="B1137" t="s">
        <v>943</v>
      </c>
      <c r="C1137" t="s">
        <v>2266</v>
      </c>
      <c r="D1137" t="s">
        <v>2658</v>
      </c>
      <c r="E1137" s="24">
        <v>34787</v>
      </c>
      <c r="F1137">
        <v>10</v>
      </c>
      <c r="G1137">
        <v>1</v>
      </c>
      <c r="H1137" t="s">
        <v>4177</v>
      </c>
      <c r="I1137">
        <v>10</v>
      </c>
    </row>
    <row r="1138" spans="2:9" x14ac:dyDescent="0.3">
      <c r="B1138" t="s">
        <v>944</v>
      </c>
      <c r="C1138" t="s">
        <v>2267</v>
      </c>
      <c r="D1138" t="s">
        <v>2658</v>
      </c>
      <c r="E1138" s="24">
        <v>39157</v>
      </c>
      <c r="F1138">
        <v>5</v>
      </c>
      <c r="G1138">
        <v>1</v>
      </c>
      <c r="H1138" t="s">
        <v>4178</v>
      </c>
      <c r="I1138">
        <v>5</v>
      </c>
    </row>
    <row r="1139" spans="2:9" x14ac:dyDescent="0.3">
      <c r="B1139" t="s">
        <v>945</v>
      </c>
      <c r="C1139" t="s">
        <v>2268</v>
      </c>
      <c r="D1139" t="s">
        <v>2658</v>
      </c>
      <c r="E1139" s="24">
        <v>38615</v>
      </c>
      <c r="F1139">
        <v>10</v>
      </c>
      <c r="G1139">
        <v>1</v>
      </c>
      <c r="H1139" t="s">
        <v>4179</v>
      </c>
      <c r="I1139">
        <v>10</v>
      </c>
    </row>
    <row r="1140" spans="2:9" x14ac:dyDescent="0.3">
      <c r="B1140" t="s">
        <v>946</v>
      </c>
      <c r="C1140" t="s">
        <v>2269</v>
      </c>
      <c r="D1140" t="s">
        <v>2658</v>
      </c>
      <c r="E1140" s="24">
        <v>36251</v>
      </c>
      <c r="F1140">
        <v>1</v>
      </c>
      <c r="G1140">
        <v>1</v>
      </c>
      <c r="H1140" t="s">
        <v>4180</v>
      </c>
      <c r="I1140">
        <v>1</v>
      </c>
    </row>
    <row r="1141" spans="2:9" x14ac:dyDescent="0.3">
      <c r="B1141" t="s">
        <v>947</v>
      </c>
      <c r="C1141" t="s">
        <v>4181</v>
      </c>
      <c r="D1141" t="s">
        <v>2658</v>
      </c>
      <c r="E1141" s="24">
        <v>38980</v>
      </c>
      <c r="F1141">
        <v>10</v>
      </c>
      <c r="G1141">
        <v>1</v>
      </c>
      <c r="H1141" t="s">
        <v>4182</v>
      </c>
      <c r="I1141">
        <v>10</v>
      </c>
    </row>
    <row r="1142" spans="2:9" x14ac:dyDescent="0.3">
      <c r="B1142" t="s">
        <v>4183</v>
      </c>
      <c r="C1142" t="s">
        <v>4184</v>
      </c>
      <c r="D1142" t="s">
        <v>2658</v>
      </c>
      <c r="E1142" s="24">
        <v>42235</v>
      </c>
      <c r="F1142">
        <v>5</v>
      </c>
      <c r="G1142">
        <v>1</v>
      </c>
      <c r="H1142" t="s">
        <v>4185</v>
      </c>
      <c r="I1142">
        <v>5</v>
      </c>
    </row>
    <row r="1143" spans="2:9" x14ac:dyDescent="0.3">
      <c r="B1143" t="s">
        <v>100</v>
      </c>
      <c r="C1143" t="s">
        <v>2270</v>
      </c>
      <c r="D1143" t="s">
        <v>2658</v>
      </c>
      <c r="E1143" s="24">
        <v>35529</v>
      </c>
      <c r="F1143">
        <v>1</v>
      </c>
      <c r="G1143">
        <v>1</v>
      </c>
      <c r="H1143" t="s">
        <v>4186</v>
      </c>
      <c r="I1143">
        <v>1</v>
      </c>
    </row>
    <row r="1144" spans="2:9" x14ac:dyDescent="0.3">
      <c r="B1144" t="s">
        <v>948</v>
      </c>
      <c r="C1144" t="s">
        <v>2271</v>
      </c>
      <c r="D1144" t="s">
        <v>2658</v>
      </c>
      <c r="E1144" s="24">
        <v>35375</v>
      </c>
      <c r="F1144">
        <v>1</v>
      </c>
      <c r="G1144">
        <v>1</v>
      </c>
      <c r="H1144" t="s">
        <v>4187</v>
      </c>
      <c r="I1144">
        <v>1</v>
      </c>
    </row>
    <row r="1145" spans="2:9" x14ac:dyDescent="0.3">
      <c r="B1145" t="s">
        <v>949</v>
      </c>
      <c r="C1145" t="s">
        <v>2272</v>
      </c>
      <c r="D1145" t="s">
        <v>2658</v>
      </c>
      <c r="E1145" s="24">
        <v>36628</v>
      </c>
      <c r="F1145">
        <v>10</v>
      </c>
      <c r="G1145">
        <v>1</v>
      </c>
      <c r="H1145" t="s">
        <v>4188</v>
      </c>
      <c r="I1145">
        <v>10</v>
      </c>
    </row>
    <row r="1146" spans="2:9" x14ac:dyDescent="0.3">
      <c r="B1146" t="s">
        <v>950</v>
      </c>
      <c r="C1146" t="s">
        <v>2273</v>
      </c>
      <c r="D1146" t="s">
        <v>2658</v>
      </c>
      <c r="E1146" s="24">
        <v>40459</v>
      </c>
      <c r="F1146">
        <v>10</v>
      </c>
      <c r="G1146">
        <v>1</v>
      </c>
      <c r="H1146" t="s">
        <v>4189</v>
      </c>
      <c r="I1146">
        <v>10</v>
      </c>
    </row>
    <row r="1147" spans="2:9" x14ac:dyDescent="0.3">
      <c r="B1147" t="s">
        <v>951</v>
      </c>
      <c r="C1147" t="s">
        <v>2274</v>
      </c>
      <c r="D1147" t="s">
        <v>2686</v>
      </c>
      <c r="E1147" s="24">
        <v>39272</v>
      </c>
      <c r="F1147">
        <v>10</v>
      </c>
      <c r="G1147">
        <v>1</v>
      </c>
      <c r="H1147" t="s">
        <v>4190</v>
      </c>
      <c r="I1147">
        <v>10</v>
      </c>
    </row>
    <row r="1148" spans="2:9" x14ac:dyDescent="0.3">
      <c r="B1148" t="s">
        <v>952</v>
      </c>
      <c r="C1148" t="s">
        <v>2275</v>
      </c>
      <c r="D1148" t="s">
        <v>2658</v>
      </c>
      <c r="E1148" s="24">
        <v>38407</v>
      </c>
      <c r="F1148">
        <v>10</v>
      </c>
      <c r="G1148">
        <v>1</v>
      </c>
      <c r="H1148" t="s">
        <v>4191</v>
      </c>
      <c r="I1148">
        <v>10</v>
      </c>
    </row>
    <row r="1149" spans="2:9" x14ac:dyDescent="0.3">
      <c r="B1149" t="s">
        <v>953</v>
      </c>
      <c r="C1149" t="s">
        <v>2276</v>
      </c>
      <c r="D1149" t="s">
        <v>2658</v>
      </c>
      <c r="E1149" s="24">
        <v>39623</v>
      </c>
      <c r="F1149">
        <v>10</v>
      </c>
      <c r="G1149">
        <v>1</v>
      </c>
      <c r="H1149" t="s">
        <v>4192</v>
      </c>
      <c r="I1149">
        <v>10</v>
      </c>
    </row>
    <row r="1150" spans="2:9" x14ac:dyDescent="0.3">
      <c r="B1150" t="s">
        <v>954</v>
      </c>
      <c r="C1150" t="s">
        <v>2277</v>
      </c>
      <c r="D1150" t="s">
        <v>2658</v>
      </c>
      <c r="E1150" s="24">
        <v>35697</v>
      </c>
      <c r="F1150">
        <v>10</v>
      </c>
      <c r="G1150">
        <v>1</v>
      </c>
      <c r="H1150" t="s">
        <v>4193</v>
      </c>
      <c r="I1150">
        <v>10</v>
      </c>
    </row>
    <row r="1151" spans="2:9" x14ac:dyDescent="0.3">
      <c r="B1151" t="s">
        <v>955</v>
      </c>
      <c r="C1151" t="s">
        <v>2278</v>
      </c>
      <c r="D1151" t="s">
        <v>2686</v>
      </c>
      <c r="E1151" s="24">
        <v>40889</v>
      </c>
      <c r="F1151">
        <v>1</v>
      </c>
      <c r="G1151">
        <v>1</v>
      </c>
      <c r="H1151" t="s">
        <v>4194</v>
      </c>
      <c r="I1151">
        <v>1</v>
      </c>
    </row>
    <row r="1152" spans="2:9" x14ac:dyDescent="0.3">
      <c r="B1152" t="s">
        <v>956</v>
      </c>
      <c r="C1152" t="s">
        <v>2279</v>
      </c>
      <c r="D1152" t="s">
        <v>2658</v>
      </c>
      <c r="E1152" s="24">
        <v>38846</v>
      </c>
      <c r="F1152">
        <v>2</v>
      </c>
      <c r="G1152">
        <v>1</v>
      </c>
      <c r="H1152" t="s">
        <v>4195</v>
      </c>
      <c r="I1152">
        <v>2</v>
      </c>
    </row>
    <row r="1153" spans="2:9" x14ac:dyDescent="0.3">
      <c r="B1153" t="s">
        <v>957</v>
      </c>
      <c r="C1153" t="s">
        <v>2280</v>
      </c>
      <c r="D1153" t="s">
        <v>2658</v>
      </c>
      <c r="E1153" s="24">
        <v>34990</v>
      </c>
      <c r="F1153">
        <v>10</v>
      </c>
      <c r="G1153">
        <v>1</v>
      </c>
      <c r="H1153" t="s">
        <v>4196</v>
      </c>
      <c r="I1153">
        <v>10</v>
      </c>
    </row>
    <row r="1154" spans="2:9" x14ac:dyDescent="0.3">
      <c r="B1154" t="s">
        <v>958</v>
      </c>
      <c r="C1154" t="s">
        <v>2281</v>
      </c>
      <c r="D1154" t="s">
        <v>2658</v>
      </c>
      <c r="E1154" s="24">
        <v>39619</v>
      </c>
      <c r="F1154">
        <v>10</v>
      </c>
      <c r="G1154">
        <v>1</v>
      </c>
      <c r="H1154" t="s">
        <v>4197</v>
      </c>
      <c r="I1154">
        <v>10</v>
      </c>
    </row>
    <row r="1155" spans="2:9" x14ac:dyDescent="0.3">
      <c r="B1155" t="s">
        <v>4198</v>
      </c>
      <c r="C1155" t="s">
        <v>4199</v>
      </c>
      <c r="D1155" t="s">
        <v>2658</v>
      </c>
      <c r="E1155" s="24">
        <v>42613</v>
      </c>
      <c r="F1155">
        <v>10</v>
      </c>
      <c r="G1155">
        <v>1</v>
      </c>
      <c r="H1155" t="s">
        <v>4200</v>
      </c>
      <c r="I1155">
        <v>10</v>
      </c>
    </row>
    <row r="1156" spans="2:9" x14ac:dyDescent="0.3">
      <c r="B1156" t="s">
        <v>959</v>
      </c>
      <c r="C1156" t="s">
        <v>2282</v>
      </c>
      <c r="D1156" t="s">
        <v>2658</v>
      </c>
      <c r="E1156" s="24">
        <v>35802</v>
      </c>
      <c r="F1156">
        <v>10</v>
      </c>
      <c r="G1156">
        <v>1</v>
      </c>
      <c r="H1156" t="s">
        <v>4201</v>
      </c>
      <c r="I1156">
        <v>10</v>
      </c>
    </row>
    <row r="1157" spans="2:9" x14ac:dyDescent="0.3">
      <c r="B1157" t="s">
        <v>960</v>
      </c>
      <c r="C1157" t="s">
        <v>2283</v>
      </c>
      <c r="D1157" t="s">
        <v>2658</v>
      </c>
      <c r="E1157" s="24">
        <v>38782</v>
      </c>
      <c r="F1157">
        <v>5</v>
      </c>
      <c r="G1157">
        <v>1</v>
      </c>
      <c r="H1157" t="s">
        <v>4202</v>
      </c>
      <c r="I1157">
        <v>5</v>
      </c>
    </row>
    <row r="1158" spans="2:9" x14ac:dyDescent="0.3">
      <c r="B1158" t="s">
        <v>4203</v>
      </c>
      <c r="C1158" t="s">
        <v>4204</v>
      </c>
      <c r="D1158" t="s">
        <v>2658</v>
      </c>
      <c r="E1158" s="24">
        <v>40095</v>
      </c>
      <c r="F1158">
        <v>10</v>
      </c>
      <c r="G1158">
        <v>1</v>
      </c>
      <c r="H1158" t="s">
        <v>4205</v>
      </c>
      <c r="I1158">
        <v>10</v>
      </c>
    </row>
    <row r="1159" spans="2:9" x14ac:dyDescent="0.3">
      <c r="B1159" t="s">
        <v>961</v>
      </c>
      <c r="C1159" t="s">
        <v>2284</v>
      </c>
      <c r="D1159" t="s">
        <v>2658</v>
      </c>
      <c r="E1159" s="24">
        <v>39519</v>
      </c>
      <c r="F1159">
        <v>10</v>
      </c>
      <c r="G1159">
        <v>1</v>
      </c>
      <c r="H1159" t="s">
        <v>4206</v>
      </c>
      <c r="I1159">
        <v>10</v>
      </c>
    </row>
    <row r="1160" spans="2:9" x14ac:dyDescent="0.3">
      <c r="B1160" t="s">
        <v>962</v>
      </c>
      <c r="C1160" t="s">
        <v>2285</v>
      </c>
      <c r="D1160" t="s">
        <v>2658</v>
      </c>
      <c r="E1160" s="24">
        <v>39128</v>
      </c>
      <c r="F1160">
        <v>2</v>
      </c>
      <c r="G1160">
        <v>1</v>
      </c>
      <c r="H1160" t="s">
        <v>4207</v>
      </c>
      <c r="I1160">
        <v>2</v>
      </c>
    </row>
    <row r="1161" spans="2:9" x14ac:dyDescent="0.3">
      <c r="B1161" t="s">
        <v>963</v>
      </c>
      <c r="C1161" t="s">
        <v>4208</v>
      </c>
      <c r="D1161" t="s">
        <v>2658</v>
      </c>
      <c r="E1161" s="24">
        <v>40150</v>
      </c>
      <c r="F1161">
        <v>10</v>
      </c>
      <c r="G1161">
        <v>1</v>
      </c>
      <c r="H1161" t="s">
        <v>4209</v>
      </c>
      <c r="I1161">
        <v>10</v>
      </c>
    </row>
    <row r="1162" spans="2:9" x14ac:dyDescent="0.3">
      <c r="B1162" t="s">
        <v>964</v>
      </c>
      <c r="C1162" t="s">
        <v>2286</v>
      </c>
      <c r="D1162" t="s">
        <v>2686</v>
      </c>
      <c r="E1162" s="24">
        <v>36838</v>
      </c>
      <c r="F1162">
        <v>10</v>
      </c>
      <c r="G1162">
        <v>1</v>
      </c>
      <c r="H1162" t="s">
        <v>4210</v>
      </c>
      <c r="I1162">
        <v>10</v>
      </c>
    </row>
    <row r="1163" spans="2:9" x14ac:dyDescent="0.3">
      <c r="B1163" t="s">
        <v>965</v>
      </c>
      <c r="C1163" t="s">
        <v>2287</v>
      </c>
      <c r="D1163" t="s">
        <v>2658</v>
      </c>
      <c r="E1163" s="24">
        <v>39777</v>
      </c>
      <c r="F1163">
        <v>1</v>
      </c>
      <c r="G1163">
        <v>1</v>
      </c>
      <c r="H1163" t="s">
        <v>4211</v>
      </c>
      <c r="I1163">
        <v>1</v>
      </c>
    </row>
    <row r="1164" spans="2:9" x14ac:dyDescent="0.3">
      <c r="B1164" t="s">
        <v>966</v>
      </c>
      <c r="C1164" t="s">
        <v>2288</v>
      </c>
      <c r="D1164" t="s">
        <v>2658</v>
      </c>
      <c r="E1164" s="24">
        <v>40711</v>
      </c>
      <c r="F1164">
        <v>1</v>
      </c>
      <c r="G1164">
        <v>1</v>
      </c>
      <c r="H1164" t="s">
        <v>4212</v>
      </c>
      <c r="I1164">
        <v>1</v>
      </c>
    </row>
    <row r="1165" spans="2:9" x14ac:dyDescent="0.3">
      <c r="B1165" t="s">
        <v>87</v>
      </c>
      <c r="C1165" t="s">
        <v>2289</v>
      </c>
      <c r="D1165" t="s">
        <v>2658</v>
      </c>
      <c r="E1165" s="24">
        <v>35032</v>
      </c>
      <c r="F1165">
        <v>10</v>
      </c>
      <c r="G1165">
        <v>1</v>
      </c>
      <c r="H1165" t="s">
        <v>4213</v>
      </c>
      <c r="I1165">
        <v>10</v>
      </c>
    </row>
    <row r="1166" spans="2:9" x14ac:dyDescent="0.3">
      <c r="B1166" t="s">
        <v>967</v>
      </c>
      <c r="C1166" t="s">
        <v>2290</v>
      </c>
      <c r="D1166" t="s">
        <v>2658</v>
      </c>
      <c r="E1166" s="24">
        <v>35032</v>
      </c>
      <c r="F1166">
        <v>10</v>
      </c>
      <c r="G1166">
        <v>1</v>
      </c>
      <c r="H1166" t="s">
        <v>4214</v>
      </c>
      <c r="I1166">
        <v>10</v>
      </c>
    </row>
    <row r="1167" spans="2:9" x14ac:dyDescent="0.3">
      <c r="B1167" t="s">
        <v>968</v>
      </c>
      <c r="C1167" t="s">
        <v>2291</v>
      </c>
      <c r="D1167" t="s">
        <v>2658</v>
      </c>
      <c r="E1167" s="24">
        <v>39407</v>
      </c>
      <c r="F1167">
        <v>10</v>
      </c>
      <c r="G1167">
        <v>1</v>
      </c>
      <c r="H1167" t="s">
        <v>4215</v>
      </c>
      <c r="I1167">
        <v>10</v>
      </c>
    </row>
    <row r="1168" spans="2:9" x14ac:dyDescent="0.3">
      <c r="B1168" t="s">
        <v>88</v>
      </c>
      <c r="C1168" t="s">
        <v>2292</v>
      </c>
      <c r="D1168" t="s">
        <v>2658</v>
      </c>
      <c r="E1168" s="24">
        <v>34738</v>
      </c>
      <c r="F1168">
        <v>10</v>
      </c>
      <c r="G1168">
        <v>1</v>
      </c>
      <c r="H1168" t="s">
        <v>4216</v>
      </c>
      <c r="I1168">
        <v>10</v>
      </c>
    </row>
    <row r="1169" spans="2:9" x14ac:dyDescent="0.3">
      <c r="B1169" t="s">
        <v>1330</v>
      </c>
      <c r="C1169" t="s">
        <v>2293</v>
      </c>
      <c r="D1169" t="s">
        <v>2658</v>
      </c>
      <c r="E1169" s="24">
        <v>35095</v>
      </c>
      <c r="F1169">
        <v>10</v>
      </c>
      <c r="G1169">
        <v>1</v>
      </c>
      <c r="H1169" t="s">
        <v>4217</v>
      </c>
      <c r="I1169">
        <v>10</v>
      </c>
    </row>
    <row r="1170" spans="2:9" x14ac:dyDescent="0.3">
      <c r="B1170" t="s">
        <v>969</v>
      </c>
      <c r="C1170" t="s">
        <v>2294</v>
      </c>
      <c r="D1170" t="s">
        <v>2658</v>
      </c>
      <c r="E1170" s="24">
        <v>38656</v>
      </c>
      <c r="F1170">
        <v>1</v>
      </c>
      <c r="G1170">
        <v>1</v>
      </c>
      <c r="H1170" t="s">
        <v>4218</v>
      </c>
      <c r="I1170">
        <v>1</v>
      </c>
    </row>
    <row r="1171" spans="2:9" x14ac:dyDescent="0.3">
      <c r="B1171" t="s">
        <v>970</v>
      </c>
      <c r="C1171" t="s">
        <v>2295</v>
      </c>
      <c r="D1171" t="s">
        <v>2658</v>
      </c>
      <c r="E1171" s="24">
        <v>41365</v>
      </c>
      <c r="F1171">
        <v>10</v>
      </c>
      <c r="G1171">
        <v>1</v>
      </c>
      <c r="H1171" t="s">
        <v>4219</v>
      </c>
      <c r="I1171">
        <v>10</v>
      </c>
    </row>
    <row r="1172" spans="2:9" x14ac:dyDescent="0.3">
      <c r="B1172" t="s">
        <v>971</v>
      </c>
      <c r="C1172" t="s">
        <v>2296</v>
      </c>
      <c r="D1172" t="s">
        <v>2658</v>
      </c>
      <c r="E1172" s="24">
        <v>38708</v>
      </c>
      <c r="F1172">
        <v>10</v>
      </c>
      <c r="G1172">
        <v>1</v>
      </c>
      <c r="H1172" t="s">
        <v>4220</v>
      </c>
      <c r="I1172">
        <v>10</v>
      </c>
    </row>
    <row r="1173" spans="2:9" x14ac:dyDescent="0.3">
      <c r="B1173" t="s">
        <v>972</v>
      </c>
      <c r="C1173" t="s">
        <v>2297</v>
      </c>
      <c r="D1173" t="s">
        <v>2658</v>
      </c>
      <c r="E1173" s="24">
        <v>40480</v>
      </c>
      <c r="F1173">
        <v>1</v>
      </c>
      <c r="G1173">
        <v>1</v>
      </c>
      <c r="H1173" t="s">
        <v>4221</v>
      </c>
      <c r="I1173">
        <v>1</v>
      </c>
    </row>
    <row r="1174" spans="2:9" x14ac:dyDescent="0.3">
      <c r="B1174" t="s">
        <v>973</v>
      </c>
      <c r="C1174" t="s">
        <v>2298</v>
      </c>
      <c r="D1174" t="s">
        <v>2658</v>
      </c>
      <c r="E1174" s="24">
        <v>38575</v>
      </c>
      <c r="F1174">
        <v>10</v>
      </c>
      <c r="G1174">
        <v>1</v>
      </c>
      <c r="H1174" t="s">
        <v>4222</v>
      </c>
      <c r="I1174">
        <v>10</v>
      </c>
    </row>
    <row r="1175" spans="2:9" x14ac:dyDescent="0.3">
      <c r="B1175" t="s">
        <v>974</v>
      </c>
      <c r="C1175" t="s">
        <v>2299</v>
      </c>
      <c r="D1175" t="s">
        <v>2658</v>
      </c>
      <c r="E1175" s="24">
        <v>37753</v>
      </c>
      <c r="F1175">
        <v>1</v>
      </c>
      <c r="G1175">
        <v>1</v>
      </c>
      <c r="H1175" t="s">
        <v>4223</v>
      </c>
      <c r="I1175">
        <v>1</v>
      </c>
    </row>
    <row r="1176" spans="2:9" x14ac:dyDescent="0.3">
      <c r="B1176" t="s">
        <v>975</v>
      </c>
      <c r="C1176" t="s">
        <v>2300</v>
      </c>
      <c r="D1176" t="s">
        <v>2658</v>
      </c>
      <c r="E1176" s="24">
        <v>35032</v>
      </c>
      <c r="F1176">
        <v>10</v>
      </c>
      <c r="G1176">
        <v>1</v>
      </c>
      <c r="H1176" t="s">
        <v>4224</v>
      </c>
      <c r="I1176">
        <v>10</v>
      </c>
    </row>
    <row r="1177" spans="2:9" x14ac:dyDescent="0.3">
      <c r="B1177" t="s">
        <v>976</v>
      </c>
      <c r="C1177" t="s">
        <v>2301</v>
      </c>
      <c r="D1177" t="s">
        <v>2658</v>
      </c>
      <c r="E1177" s="24">
        <v>39428</v>
      </c>
      <c r="F1177">
        <v>10</v>
      </c>
      <c r="G1177">
        <v>1</v>
      </c>
      <c r="H1177" t="s">
        <v>4225</v>
      </c>
      <c r="I1177">
        <v>10</v>
      </c>
    </row>
    <row r="1178" spans="2:9" x14ac:dyDescent="0.3">
      <c r="B1178" t="s">
        <v>977</v>
      </c>
      <c r="C1178" t="s">
        <v>2302</v>
      </c>
      <c r="D1178" t="s">
        <v>2658</v>
      </c>
      <c r="E1178" s="24">
        <v>40539</v>
      </c>
      <c r="F1178">
        <v>10</v>
      </c>
      <c r="G1178">
        <v>1</v>
      </c>
      <c r="H1178" t="s">
        <v>4226</v>
      </c>
      <c r="I1178">
        <v>10</v>
      </c>
    </row>
    <row r="1179" spans="2:9" x14ac:dyDescent="0.3">
      <c r="B1179" t="s">
        <v>978</v>
      </c>
      <c r="C1179" t="s">
        <v>2303</v>
      </c>
      <c r="D1179" t="s">
        <v>2658</v>
      </c>
      <c r="E1179" s="24">
        <v>38112</v>
      </c>
      <c r="F1179">
        <v>10</v>
      </c>
      <c r="G1179">
        <v>1</v>
      </c>
      <c r="H1179" t="s">
        <v>4227</v>
      </c>
      <c r="I1179">
        <v>10</v>
      </c>
    </row>
    <row r="1180" spans="2:9" x14ac:dyDescent="0.3">
      <c r="B1180" t="s">
        <v>979</v>
      </c>
      <c r="C1180" t="s">
        <v>2304</v>
      </c>
      <c r="D1180" t="s">
        <v>2686</v>
      </c>
      <c r="E1180" s="24">
        <v>39412</v>
      </c>
      <c r="F1180">
        <v>10</v>
      </c>
      <c r="G1180">
        <v>1</v>
      </c>
      <c r="H1180" t="s">
        <v>4228</v>
      </c>
      <c r="I1180">
        <v>10</v>
      </c>
    </row>
    <row r="1181" spans="2:9" x14ac:dyDescent="0.3">
      <c r="B1181" t="s">
        <v>980</v>
      </c>
      <c r="C1181" t="s">
        <v>2305</v>
      </c>
      <c r="D1181" t="s">
        <v>2658</v>
      </c>
      <c r="E1181" s="24">
        <v>38594</v>
      </c>
      <c r="F1181">
        <v>10</v>
      </c>
      <c r="G1181">
        <v>1</v>
      </c>
      <c r="H1181" t="s">
        <v>4229</v>
      </c>
      <c r="I1181">
        <v>10</v>
      </c>
    </row>
    <row r="1182" spans="2:9" x14ac:dyDescent="0.3">
      <c r="B1182" t="s">
        <v>981</v>
      </c>
      <c r="C1182" t="s">
        <v>2306</v>
      </c>
      <c r="D1182" t="s">
        <v>2658</v>
      </c>
      <c r="E1182" s="24">
        <v>38820</v>
      </c>
      <c r="F1182">
        <v>10</v>
      </c>
      <c r="G1182">
        <v>1</v>
      </c>
      <c r="H1182" t="s">
        <v>4230</v>
      </c>
      <c r="I1182">
        <v>10</v>
      </c>
    </row>
    <row r="1183" spans="2:9" x14ac:dyDescent="0.3">
      <c r="B1183" t="s">
        <v>982</v>
      </c>
      <c r="C1183" t="s">
        <v>2307</v>
      </c>
      <c r="D1183" t="s">
        <v>2658</v>
      </c>
      <c r="E1183" s="24">
        <v>38754</v>
      </c>
      <c r="F1183">
        <v>10</v>
      </c>
      <c r="G1183">
        <v>1</v>
      </c>
      <c r="H1183" t="s">
        <v>4231</v>
      </c>
      <c r="I1183">
        <v>10</v>
      </c>
    </row>
    <row r="1184" spans="2:9" x14ac:dyDescent="0.3">
      <c r="B1184" t="s">
        <v>4232</v>
      </c>
      <c r="C1184" t="s">
        <v>4233</v>
      </c>
      <c r="D1184" t="s">
        <v>2658</v>
      </c>
      <c r="E1184" s="24">
        <v>42696</v>
      </c>
      <c r="F1184">
        <v>1</v>
      </c>
      <c r="G1184">
        <v>1</v>
      </c>
      <c r="H1184" t="s">
        <v>4234</v>
      </c>
      <c r="I1184">
        <v>1</v>
      </c>
    </row>
    <row r="1185" spans="2:9" x14ac:dyDescent="0.3">
      <c r="B1185" t="s">
        <v>983</v>
      </c>
      <c r="C1185" t="s">
        <v>2308</v>
      </c>
      <c r="D1185" t="s">
        <v>2658</v>
      </c>
      <c r="E1185" s="24">
        <v>34759</v>
      </c>
      <c r="F1185">
        <v>10</v>
      </c>
      <c r="G1185">
        <v>1</v>
      </c>
      <c r="H1185" t="s">
        <v>4235</v>
      </c>
      <c r="I1185">
        <v>10</v>
      </c>
    </row>
    <row r="1186" spans="2:9" x14ac:dyDescent="0.3">
      <c r="B1186" t="s">
        <v>984</v>
      </c>
      <c r="C1186" t="s">
        <v>2309</v>
      </c>
      <c r="D1186" t="s">
        <v>2658</v>
      </c>
      <c r="E1186" s="24">
        <v>41177</v>
      </c>
      <c r="F1186">
        <v>2</v>
      </c>
      <c r="G1186">
        <v>1</v>
      </c>
      <c r="H1186" t="s">
        <v>4236</v>
      </c>
      <c r="I1186">
        <v>2</v>
      </c>
    </row>
    <row r="1187" spans="2:9" x14ac:dyDescent="0.3">
      <c r="B1187" t="s">
        <v>985</v>
      </c>
      <c r="C1187" t="s">
        <v>2310</v>
      </c>
      <c r="D1187" t="s">
        <v>2658</v>
      </c>
      <c r="E1187" s="24">
        <v>39609</v>
      </c>
      <c r="F1187">
        <v>8</v>
      </c>
      <c r="G1187">
        <v>1</v>
      </c>
      <c r="H1187" t="s">
        <v>4237</v>
      </c>
      <c r="I1187">
        <v>8</v>
      </c>
    </row>
    <row r="1188" spans="2:9" x14ac:dyDescent="0.3">
      <c r="B1188" t="s">
        <v>89</v>
      </c>
      <c r="C1188" t="s">
        <v>2311</v>
      </c>
      <c r="D1188" t="s">
        <v>2658</v>
      </c>
      <c r="E1188" s="24">
        <v>39489</v>
      </c>
      <c r="F1188">
        <v>10</v>
      </c>
      <c r="G1188">
        <v>1</v>
      </c>
      <c r="H1188" t="s">
        <v>4238</v>
      </c>
      <c r="I1188">
        <v>10</v>
      </c>
    </row>
    <row r="1189" spans="2:9" x14ac:dyDescent="0.3">
      <c r="B1189" t="s">
        <v>986</v>
      </c>
      <c r="C1189" t="s">
        <v>2312</v>
      </c>
      <c r="D1189" t="s">
        <v>2658</v>
      </c>
      <c r="E1189" s="24">
        <v>40518</v>
      </c>
      <c r="F1189">
        <v>10</v>
      </c>
      <c r="G1189">
        <v>1</v>
      </c>
      <c r="H1189" t="s">
        <v>4239</v>
      </c>
      <c r="I1189">
        <v>10</v>
      </c>
    </row>
    <row r="1190" spans="2:9" x14ac:dyDescent="0.3">
      <c r="B1190" t="s">
        <v>987</v>
      </c>
      <c r="C1190" t="s">
        <v>2313</v>
      </c>
      <c r="D1190" t="s">
        <v>2658</v>
      </c>
      <c r="E1190" s="24">
        <v>36299</v>
      </c>
      <c r="F1190">
        <v>5</v>
      </c>
      <c r="G1190">
        <v>1</v>
      </c>
      <c r="H1190" t="s">
        <v>4240</v>
      </c>
      <c r="I1190">
        <v>5</v>
      </c>
    </row>
    <row r="1191" spans="2:9" x14ac:dyDescent="0.3">
      <c r="B1191" t="s">
        <v>988</v>
      </c>
      <c r="C1191" t="s">
        <v>2314</v>
      </c>
      <c r="D1191" t="s">
        <v>2658</v>
      </c>
      <c r="E1191" s="24">
        <v>34745</v>
      </c>
      <c r="F1191">
        <v>10</v>
      </c>
      <c r="G1191">
        <v>1</v>
      </c>
      <c r="H1191" t="s">
        <v>4241</v>
      </c>
      <c r="I1191">
        <v>10</v>
      </c>
    </row>
    <row r="1192" spans="2:9" x14ac:dyDescent="0.3">
      <c r="B1192" t="s">
        <v>989</v>
      </c>
      <c r="C1192" t="s">
        <v>2315</v>
      </c>
      <c r="D1192" t="s">
        <v>2658</v>
      </c>
      <c r="E1192" s="24">
        <v>38833</v>
      </c>
      <c r="F1192">
        <v>1</v>
      </c>
      <c r="G1192">
        <v>1</v>
      </c>
      <c r="H1192" t="s">
        <v>4242</v>
      </c>
      <c r="I1192">
        <v>1</v>
      </c>
    </row>
    <row r="1193" spans="2:9" x14ac:dyDescent="0.3">
      <c r="B1193" t="s">
        <v>990</v>
      </c>
      <c r="C1193" t="s">
        <v>1826</v>
      </c>
      <c r="D1193" t="s">
        <v>2658</v>
      </c>
      <c r="E1193" s="24">
        <v>41120</v>
      </c>
      <c r="F1193">
        <v>2</v>
      </c>
      <c r="G1193">
        <v>1</v>
      </c>
      <c r="H1193" t="s">
        <v>4243</v>
      </c>
      <c r="I1193">
        <v>2</v>
      </c>
    </row>
    <row r="1194" spans="2:9" x14ac:dyDescent="0.3">
      <c r="B1194" t="s">
        <v>991</v>
      </c>
      <c r="C1194" t="s">
        <v>1827</v>
      </c>
      <c r="D1194" t="s">
        <v>2658</v>
      </c>
      <c r="E1194" s="24">
        <v>40116</v>
      </c>
      <c r="F1194">
        <v>10</v>
      </c>
      <c r="G1194">
        <v>1</v>
      </c>
      <c r="H1194" t="s">
        <v>4244</v>
      </c>
      <c r="I1194">
        <v>10</v>
      </c>
    </row>
    <row r="1195" spans="2:9" x14ac:dyDescent="0.3">
      <c r="B1195" t="s">
        <v>992</v>
      </c>
      <c r="C1195" t="s">
        <v>2316</v>
      </c>
      <c r="D1195" t="s">
        <v>2658</v>
      </c>
      <c r="E1195" s="24">
        <v>34787</v>
      </c>
      <c r="F1195">
        <v>5</v>
      </c>
      <c r="G1195">
        <v>1</v>
      </c>
      <c r="H1195" t="s">
        <v>4245</v>
      </c>
      <c r="I1195">
        <v>5</v>
      </c>
    </row>
    <row r="1196" spans="2:9" x14ac:dyDescent="0.3">
      <c r="B1196" t="s">
        <v>993</v>
      </c>
      <c r="C1196" t="s">
        <v>2317</v>
      </c>
      <c r="D1196" t="s">
        <v>2686</v>
      </c>
      <c r="E1196" s="24">
        <v>36719</v>
      </c>
      <c r="F1196">
        <v>1</v>
      </c>
      <c r="G1196">
        <v>1</v>
      </c>
      <c r="H1196" t="s">
        <v>4246</v>
      </c>
      <c r="I1196">
        <v>1</v>
      </c>
    </row>
    <row r="1197" spans="2:9" x14ac:dyDescent="0.3">
      <c r="B1197" t="s">
        <v>994</v>
      </c>
      <c r="C1197" t="s">
        <v>2318</v>
      </c>
      <c r="D1197" t="s">
        <v>2658</v>
      </c>
      <c r="E1197" s="24">
        <v>39071</v>
      </c>
      <c r="F1197">
        <v>10</v>
      </c>
      <c r="G1197">
        <v>1</v>
      </c>
      <c r="H1197" t="s">
        <v>4247</v>
      </c>
      <c r="I1197">
        <v>10</v>
      </c>
    </row>
    <row r="1198" spans="2:9" x14ac:dyDescent="0.3">
      <c r="B1198" t="s">
        <v>995</v>
      </c>
      <c r="C1198" t="s">
        <v>2319</v>
      </c>
      <c r="D1198" t="s">
        <v>2658</v>
      </c>
      <c r="E1198" s="24">
        <v>37623</v>
      </c>
      <c r="F1198">
        <v>2</v>
      </c>
      <c r="G1198">
        <v>1</v>
      </c>
      <c r="H1198" t="s">
        <v>4248</v>
      </c>
      <c r="I1198">
        <v>2</v>
      </c>
    </row>
    <row r="1199" spans="2:9" x14ac:dyDescent="0.3">
      <c r="B1199" t="s">
        <v>996</v>
      </c>
      <c r="C1199" t="s">
        <v>2320</v>
      </c>
      <c r="D1199" t="s">
        <v>2658</v>
      </c>
      <c r="E1199" s="24">
        <v>40884</v>
      </c>
      <c r="F1199">
        <v>1</v>
      </c>
      <c r="G1199">
        <v>1</v>
      </c>
      <c r="H1199" t="s">
        <v>4249</v>
      </c>
      <c r="I1199">
        <v>1</v>
      </c>
    </row>
    <row r="1200" spans="2:9" x14ac:dyDescent="0.3">
      <c r="B1200" t="s">
        <v>997</v>
      </c>
      <c r="C1200" t="s">
        <v>2321</v>
      </c>
      <c r="D1200" t="s">
        <v>2658</v>
      </c>
      <c r="E1200" s="24">
        <v>40731</v>
      </c>
      <c r="F1200">
        <v>10</v>
      </c>
      <c r="G1200">
        <v>1</v>
      </c>
      <c r="H1200" t="s">
        <v>4250</v>
      </c>
      <c r="I1200">
        <v>10</v>
      </c>
    </row>
    <row r="1201" spans="2:9" x14ac:dyDescent="0.3">
      <c r="B1201" t="s">
        <v>4251</v>
      </c>
      <c r="C1201" t="s">
        <v>4252</v>
      </c>
      <c r="D1201" t="s">
        <v>2658</v>
      </c>
      <c r="E1201" s="24">
        <v>42628</v>
      </c>
      <c r="F1201">
        <v>10</v>
      </c>
      <c r="G1201">
        <v>1</v>
      </c>
      <c r="H1201" t="s">
        <v>4253</v>
      </c>
      <c r="I1201">
        <v>10</v>
      </c>
    </row>
    <row r="1202" spans="2:9" x14ac:dyDescent="0.3">
      <c r="B1202" t="s">
        <v>998</v>
      </c>
      <c r="C1202" t="s">
        <v>2322</v>
      </c>
      <c r="D1202" t="s">
        <v>2658</v>
      </c>
      <c r="E1202" s="24">
        <v>39402</v>
      </c>
      <c r="F1202">
        <v>10</v>
      </c>
      <c r="G1202">
        <v>1</v>
      </c>
      <c r="H1202" t="s">
        <v>4254</v>
      </c>
      <c r="I1202">
        <v>10</v>
      </c>
    </row>
    <row r="1203" spans="2:9" x14ac:dyDescent="0.3">
      <c r="B1203" t="s">
        <v>999</v>
      </c>
      <c r="C1203" t="s">
        <v>2323</v>
      </c>
      <c r="D1203" t="s">
        <v>2658</v>
      </c>
      <c r="E1203" s="24">
        <v>38777</v>
      </c>
      <c r="F1203">
        <v>1</v>
      </c>
      <c r="G1203">
        <v>1</v>
      </c>
      <c r="H1203" t="s">
        <v>4255</v>
      </c>
      <c r="I1203">
        <v>1</v>
      </c>
    </row>
    <row r="1204" spans="2:9" x14ac:dyDescent="0.3">
      <c r="B1204" t="s">
        <v>4256</v>
      </c>
      <c r="C1204" t="s">
        <v>4257</v>
      </c>
      <c r="D1204" t="s">
        <v>2658</v>
      </c>
      <c r="E1204" s="24">
        <v>42263</v>
      </c>
      <c r="F1204">
        <v>10</v>
      </c>
      <c r="G1204">
        <v>1</v>
      </c>
      <c r="H1204" t="s">
        <v>4258</v>
      </c>
      <c r="I1204">
        <v>10</v>
      </c>
    </row>
    <row r="1205" spans="2:9" x14ac:dyDescent="0.3">
      <c r="B1205" t="s">
        <v>1000</v>
      </c>
      <c r="C1205" t="s">
        <v>2324</v>
      </c>
      <c r="D1205" t="s">
        <v>2658</v>
      </c>
      <c r="E1205" s="24">
        <v>39111</v>
      </c>
      <c r="F1205">
        <v>10</v>
      </c>
      <c r="G1205">
        <v>1</v>
      </c>
      <c r="H1205" t="s">
        <v>4259</v>
      </c>
      <c r="I1205">
        <v>10</v>
      </c>
    </row>
    <row r="1206" spans="2:9" x14ac:dyDescent="0.3">
      <c r="B1206" t="s">
        <v>26</v>
      </c>
      <c r="C1206" t="s">
        <v>2325</v>
      </c>
      <c r="D1206" t="s">
        <v>2658</v>
      </c>
      <c r="E1206" s="24">
        <v>34886</v>
      </c>
      <c r="F1206">
        <v>10</v>
      </c>
      <c r="G1206">
        <v>1</v>
      </c>
      <c r="H1206" t="s">
        <v>4260</v>
      </c>
      <c r="I1206">
        <v>10</v>
      </c>
    </row>
    <row r="1207" spans="2:9" x14ac:dyDescent="0.3">
      <c r="B1207" t="s">
        <v>1001</v>
      </c>
      <c r="C1207" t="s">
        <v>2326</v>
      </c>
      <c r="D1207" t="s">
        <v>2658</v>
      </c>
      <c r="E1207" s="24">
        <v>34948</v>
      </c>
      <c r="F1207">
        <v>10</v>
      </c>
      <c r="G1207">
        <v>1</v>
      </c>
      <c r="H1207" t="s">
        <v>4261</v>
      </c>
      <c r="I1207">
        <v>10</v>
      </c>
    </row>
    <row r="1208" spans="2:9" x14ac:dyDescent="0.3">
      <c r="B1208" t="s">
        <v>1002</v>
      </c>
      <c r="C1208" t="s">
        <v>2327</v>
      </c>
      <c r="D1208" t="s">
        <v>2658</v>
      </c>
      <c r="E1208" s="24">
        <v>38481</v>
      </c>
      <c r="F1208">
        <v>10</v>
      </c>
      <c r="G1208">
        <v>1</v>
      </c>
      <c r="H1208" t="s">
        <v>4262</v>
      </c>
      <c r="I1208">
        <v>10</v>
      </c>
    </row>
    <row r="1209" spans="2:9" x14ac:dyDescent="0.3">
      <c r="B1209" t="s">
        <v>1003</v>
      </c>
      <c r="C1209" t="s">
        <v>2328</v>
      </c>
      <c r="D1209" t="s">
        <v>2658</v>
      </c>
      <c r="E1209" s="24">
        <v>38784</v>
      </c>
      <c r="F1209">
        <v>10</v>
      </c>
      <c r="G1209">
        <v>1</v>
      </c>
      <c r="H1209" t="s">
        <v>4263</v>
      </c>
      <c r="I1209">
        <v>10</v>
      </c>
    </row>
    <row r="1210" spans="2:9" x14ac:dyDescent="0.3">
      <c r="B1210" t="s">
        <v>4264</v>
      </c>
      <c r="C1210" t="s">
        <v>4265</v>
      </c>
      <c r="D1210" t="s">
        <v>2686</v>
      </c>
      <c r="E1210" s="24">
        <v>42537</v>
      </c>
      <c r="F1210">
        <v>10</v>
      </c>
      <c r="G1210">
        <v>1</v>
      </c>
      <c r="H1210" t="s">
        <v>4266</v>
      </c>
      <c r="I1210">
        <v>10</v>
      </c>
    </row>
    <row r="1211" spans="2:9" x14ac:dyDescent="0.3">
      <c r="B1211" t="s">
        <v>1004</v>
      </c>
      <c r="C1211" t="s">
        <v>2329</v>
      </c>
      <c r="D1211" t="s">
        <v>2658</v>
      </c>
      <c r="E1211" s="24">
        <v>34745</v>
      </c>
      <c r="F1211">
        <v>10</v>
      </c>
      <c r="G1211">
        <v>1</v>
      </c>
      <c r="H1211" t="s">
        <v>4267</v>
      </c>
      <c r="I1211">
        <v>10</v>
      </c>
    </row>
    <row r="1212" spans="2:9" x14ac:dyDescent="0.3">
      <c r="B1212" t="s">
        <v>1005</v>
      </c>
      <c r="C1212" t="s">
        <v>2330</v>
      </c>
      <c r="D1212" t="s">
        <v>2686</v>
      </c>
      <c r="E1212" s="24">
        <v>38315</v>
      </c>
      <c r="F1212">
        <v>10</v>
      </c>
      <c r="G1212">
        <v>1</v>
      </c>
      <c r="H1212" t="s">
        <v>4268</v>
      </c>
      <c r="I1212">
        <v>10</v>
      </c>
    </row>
    <row r="1213" spans="2:9" x14ac:dyDescent="0.3">
      <c r="B1213" t="s">
        <v>4269</v>
      </c>
      <c r="C1213" t="s">
        <v>4270</v>
      </c>
      <c r="D1213" t="s">
        <v>2658</v>
      </c>
      <c r="E1213" s="24">
        <v>42340</v>
      </c>
      <c r="F1213">
        <v>10</v>
      </c>
      <c r="G1213">
        <v>1</v>
      </c>
      <c r="H1213" t="s">
        <v>4271</v>
      </c>
      <c r="I1213">
        <v>10</v>
      </c>
    </row>
    <row r="1214" spans="2:9" x14ac:dyDescent="0.3">
      <c r="B1214" t="s">
        <v>1331</v>
      </c>
      <c r="C1214" t="s">
        <v>2331</v>
      </c>
      <c r="D1214" t="s">
        <v>2686</v>
      </c>
      <c r="E1214" s="24">
        <v>36971</v>
      </c>
      <c r="F1214">
        <v>1</v>
      </c>
      <c r="G1214">
        <v>1</v>
      </c>
      <c r="H1214" t="s">
        <v>4272</v>
      </c>
      <c r="I1214">
        <v>1</v>
      </c>
    </row>
    <row r="1215" spans="2:9" x14ac:dyDescent="0.3">
      <c r="B1215" t="s">
        <v>1006</v>
      </c>
      <c r="C1215" t="s">
        <v>2332</v>
      </c>
      <c r="D1215" t="s">
        <v>2658</v>
      </c>
      <c r="E1215" s="24">
        <v>38406</v>
      </c>
      <c r="F1215">
        <v>10</v>
      </c>
      <c r="G1215">
        <v>1</v>
      </c>
      <c r="H1215" t="s">
        <v>4273</v>
      </c>
      <c r="I1215">
        <v>10</v>
      </c>
    </row>
    <row r="1216" spans="2:9" x14ac:dyDescent="0.3">
      <c r="B1216" t="s">
        <v>1340</v>
      </c>
      <c r="C1216" t="s">
        <v>2643</v>
      </c>
      <c r="D1216" t="s">
        <v>2686</v>
      </c>
      <c r="E1216" s="24">
        <v>42696</v>
      </c>
      <c r="F1216">
        <v>10</v>
      </c>
      <c r="G1216">
        <v>1</v>
      </c>
      <c r="H1216" t="s">
        <v>4274</v>
      </c>
      <c r="I1216">
        <v>10</v>
      </c>
    </row>
    <row r="1217" spans="2:9" x14ac:dyDescent="0.3">
      <c r="B1217" t="s">
        <v>1007</v>
      </c>
      <c r="C1217" t="s">
        <v>2333</v>
      </c>
      <c r="D1217" t="s">
        <v>2658</v>
      </c>
      <c r="E1217" s="24">
        <v>37586</v>
      </c>
      <c r="F1217">
        <v>10</v>
      </c>
      <c r="G1217">
        <v>1</v>
      </c>
      <c r="H1217" t="s">
        <v>4275</v>
      </c>
      <c r="I1217">
        <v>10</v>
      </c>
    </row>
    <row r="1218" spans="2:9" x14ac:dyDescent="0.3">
      <c r="B1218" t="s">
        <v>1008</v>
      </c>
      <c r="C1218" t="s">
        <v>2334</v>
      </c>
      <c r="D1218" t="s">
        <v>2658</v>
      </c>
      <c r="E1218" s="24">
        <v>35263</v>
      </c>
      <c r="F1218">
        <v>10</v>
      </c>
      <c r="G1218">
        <v>1</v>
      </c>
      <c r="H1218" t="s">
        <v>4276</v>
      </c>
      <c r="I1218">
        <v>10</v>
      </c>
    </row>
    <row r="1219" spans="2:9" x14ac:dyDescent="0.3">
      <c r="B1219" t="s">
        <v>1009</v>
      </c>
      <c r="C1219" t="s">
        <v>2335</v>
      </c>
      <c r="D1219" t="s">
        <v>2658</v>
      </c>
      <c r="E1219" s="24">
        <v>34829</v>
      </c>
      <c r="F1219">
        <v>10</v>
      </c>
      <c r="G1219">
        <v>1</v>
      </c>
      <c r="H1219" t="s">
        <v>4277</v>
      </c>
      <c r="I1219">
        <v>10</v>
      </c>
    </row>
    <row r="1220" spans="2:9" x14ac:dyDescent="0.3">
      <c r="B1220" t="s">
        <v>1010</v>
      </c>
      <c r="C1220" t="s">
        <v>2336</v>
      </c>
      <c r="D1220" t="s">
        <v>2658</v>
      </c>
      <c r="E1220" s="24">
        <v>40686</v>
      </c>
      <c r="F1220">
        <v>10</v>
      </c>
      <c r="G1220">
        <v>1</v>
      </c>
      <c r="H1220" t="s">
        <v>4278</v>
      </c>
      <c r="I1220">
        <v>10</v>
      </c>
    </row>
    <row r="1221" spans="2:9" x14ac:dyDescent="0.3">
      <c r="B1221" t="s">
        <v>1011</v>
      </c>
      <c r="C1221" t="s">
        <v>2337</v>
      </c>
      <c r="D1221" t="s">
        <v>2658</v>
      </c>
      <c r="E1221" s="24">
        <v>39106</v>
      </c>
      <c r="F1221">
        <v>2</v>
      </c>
      <c r="G1221">
        <v>1</v>
      </c>
      <c r="H1221" t="s">
        <v>4279</v>
      </c>
      <c r="I1221">
        <v>2</v>
      </c>
    </row>
    <row r="1222" spans="2:9" x14ac:dyDescent="0.3">
      <c r="B1222" t="s">
        <v>90</v>
      </c>
      <c r="C1222" t="s">
        <v>2338</v>
      </c>
      <c r="D1222" t="s">
        <v>2658</v>
      </c>
      <c r="E1222" s="24">
        <v>37760</v>
      </c>
      <c r="F1222">
        <v>10</v>
      </c>
      <c r="G1222">
        <v>1</v>
      </c>
      <c r="H1222" t="s">
        <v>4280</v>
      </c>
      <c r="I1222">
        <v>10</v>
      </c>
    </row>
    <row r="1223" spans="2:9" x14ac:dyDescent="0.3">
      <c r="B1223" t="s">
        <v>1012</v>
      </c>
      <c r="C1223" t="s">
        <v>2339</v>
      </c>
      <c r="D1223" t="s">
        <v>2658</v>
      </c>
      <c r="E1223" s="24">
        <v>38803</v>
      </c>
      <c r="F1223">
        <v>1</v>
      </c>
      <c r="G1223">
        <v>1</v>
      </c>
      <c r="H1223" t="s">
        <v>4281</v>
      </c>
      <c r="I1223">
        <v>1</v>
      </c>
    </row>
    <row r="1224" spans="2:9" x14ac:dyDescent="0.3">
      <c r="B1224" t="s">
        <v>1013</v>
      </c>
      <c r="C1224" t="s">
        <v>2340</v>
      </c>
      <c r="D1224" t="s">
        <v>2658</v>
      </c>
      <c r="E1224" s="24">
        <v>40150</v>
      </c>
      <c r="F1224">
        <v>10</v>
      </c>
      <c r="G1224">
        <v>1</v>
      </c>
      <c r="H1224" t="s">
        <v>4282</v>
      </c>
      <c r="I1224">
        <v>10</v>
      </c>
    </row>
    <row r="1225" spans="2:9" x14ac:dyDescent="0.3">
      <c r="B1225" t="s">
        <v>1014</v>
      </c>
      <c r="C1225" t="s">
        <v>2341</v>
      </c>
      <c r="D1225" t="s">
        <v>2658</v>
      </c>
      <c r="E1225" s="24">
        <v>35641</v>
      </c>
      <c r="F1225">
        <v>10</v>
      </c>
      <c r="G1225">
        <v>1</v>
      </c>
      <c r="H1225" t="s">
        <v>4283</v>
      </c>
      <c r="I1225">
        <v>10</v>
      </c>
    </row>
    <row r="1226" spans="2:9" x14ac:dyDescent="0.3">
      <c r="B1226" t="s">
        <v>1015</v>
      </c>
      <c r="C1226" t="s">
        <v>2342</v>
      </c>
      <c r="D1226" t="s">
        <v>2658</v>
      </c>
      <c r="E1226" s="24">
        <v>39101</v>
      </c>
      <c r="F1226">
        <v>1</v>
      </c>
      <c r="G1226">
        <v>1</v>
      </c>
      <c r="H1226" t="s">
        <v>4284</v>
      </c>
      <c r="I1226">
        <v>1</v>
      </c>
    </row>
    <row r="1227" spans="2:9" x14ac:dyDescent="0.3">
      <c r="B1227" t="s">
        <v>1016</v>
      </c>
      <c r="C1227" t="s">
        <v>4285</v>
      </c>
      <c r="D1227" t="s">
        <v>2658</v>
      </c>
      <c r="E1227" s="24">
        <v>38604</v>
      </c>
      <c r="F1227">
        <v>10</v>
      </c>
      <c r="G1227">
        <v>1</v>
      </c>
      <c r="H1227" t="s">
        <v>4286</v>
      </c>
      <c r="I1227">
        <v>10</v>
      </c>
    </row>
    <row r="1228" spans="2:9" x14ac:dyDescent="0.3">
      <c r="B1228" t="s">
        <v>4287</v>
      </c>
      <c r="C1228" t="s">
        <v>4288</v>
      </c>
      <c r="D1228" t="s">
        <v>2686</v>
      </c>
      <c r="E1228" s="24">
        <v>40456</v>
      </c>
      <c r="F1228">
        <v>10</v>
      </c>
      <c r="G1228">
        <v>1</v>
      </c>
      <c r="H1228" t="s">
        <v>4289</v>
      </c>
      <c r="I1228">
        <v>10</v>
      </c>
    </row>
    <row r="1229" spans="2:9" x14ac:dyDescent="0.3">
      <c r="B1229" t="s">
        <v>1017</v>
      </c>
      <c r="C1229" t="s">
        <v>2343</v>
      </c>
      <c r="D1229" t="s">
        <v>2658</v>
      </c>
      <c r="E1229" s="24">
        <v>39078</v>
      </c>
      <c r="F1229">
        <v>10</v>
      </c>
      <c r="G1229">
        <v>1</v>
      </c>
      <c r="H1229" t="s">
        <v>4290</v>
      </c>
      <c r="I1229">
        <v>10</v>
      </c>
    </row>
    <row r="1230" spans="2:9" x14ac:dyDescent="0.3">
      <c r="B1230" t="s">
        <v>4291</v>
      </c>
      <c r="C1230" t="s">
        <v>4292</v>
      </c>
      <c r="D1230" t="s">
        <v>2658</v>
      </c>
      <c r="E1230" s="24">
        <v>42242</v>
      </c>
      <c r="F1230">
        <v>10</v>
      </c>
      <c r="G1230">
        <v>1</v>
      </c>
      <c r="H1230" t="s">
        <v>4293</v>
      </c>
      <c r="I1230">
        <v>10</v>
      </c>
    </row>
    <row r="1231" spans="2:9" x14ac:dyDescent="0.3">
      <c r="B1231" t="s">
        <v>1018</v>
      </c>
      <c r="C1231" t="s">
        <v>2344</v>
      </c>
      <c r="D1231" t="s">
        <v>2658</v>
      </c>
      <c r="E1231" s="24">
        <v>34759</v>
      </c>
      <c r="F1231">
        <v>1</v>
      </c>
      <c r="G1231">
        <v>1</v>
      </c>
      <c r="H1231" t="s">
        <v>4294</v>
      </c>
      <c r="I1231">
        <v>1</v>
      </c>
    </row>
    <row r="1232" spans="2:9" x14ac:dyDescent="0.3">
      <c r="B1232" t="s">
        <v>4295</v>
      </c>
      <c r="C1232" t="s">
        <v>4296</v>
      </c>
      <c r="D1232" t="s">
        <v>2658</v>
      </c>
      <c r="E1232" s="24">
        <v>42864</v>
      </c>
      <c r="F1232">
        <v>5</v>
      </c>
      <c r="G1232">
        <v>1</v>
      </c>
      <c r="H1232" t="s">
        <v>4297</v>
      </c>
      <c r="I1232">
        <v>5</v>
      </c>
    </row>
    <row r="1233" spans="2:9" x14ac:dyDescent="0.3">
      <c r="B1233" t="s">
        <v>1019</v>
      </c>
      <c r="C1233" t="s">
        <v>2345</v>
      </c>
      <c r="D1233" t="s">
        <v>2658</v>
      </c>
      <c r="E1233" s="24">
        <v>40988</v>
      </c>
      <c r="F1233">
        <v>2</v>
      </c>
      <c r="G1233">
        <v>1</v>
      </c>
      <c r="H1233" t="s">
        <v>4298</v>
      </c>
      <c r="I1233">
        <v>2</v>
      </c>
    </row>
    <row r="1234" spans="2:9" x14ac:dyDescent="0.3">
      <c r="B1234" t="s">
        <v>1020</v>
      </c>
      <c r="C1234" t="s">
        <v>2346</v>
      </c>
      <c r="D1234" t="s">
        <v>2658</v>
      </c>
      <c r="E1234" s="24">
        <v>35655</v>
      </c>
      <c r="F1234">
        <v>10</v>
      </c>
      <c r="G1234">
        <v>1</v>
      </c>
      <c r="H1234" t="s">
        <v>4299</v>
      </c>
      <c r="I1234">
        <v>10</v>
      </c>
    </row>
    <row r="1235" spans="2:9" x14ac:dyDescent="0.3">
      <c r="B1235" t="s">
        <v>1021</v>
      </c>
      <c r="C1235" t="s">
        <v>2347</v>
      </c>
      <c r="D1235" t="s">
        <v>2658</v>
      </c>
      <c r="E1235" s="24">
        <v>41716</v>
      </c>
      <c r="F1235">
        <v>10</v>
      </c>
      <c r="G1235">
        <v>1</v>
      </c>
      <c r="H1235" t="s">
        <v>4300</v>
      </c>
      <c r="I1235">
        <v>10</v>
      </c>
    </row>
    <row r="1236" spans="2:9" x14ac:dyDescent="0.3">
      <c r="B1236" t="s">
        <v>1022</v>
      </c>
      <c r="C1236" t="s">
        <v>2348</v>
      </c>
      <c r="D1236" t="s">
        <v>2658</v>
      </c>
      <c r="E1236" s="24">
        <v>34878</v>
      </c>
      <c r="F1236">
        <v>10</v>
      </c>
      <c r="G1236">
        <v>1</v>
      </c>
      <c r="H1236" t="s">
        <v>4301</v>
      </c>
      <c r="I1236">
        <v>10</v>
      </c>
    </row>
    <row r="1237" spans="2:9" x14ac:dyDescent="0.3">
      <c r="B1237" t="s">
        <v>1023</v>
      </c>
      <c r="C1237" t="s">
        <v>2349</v>
      </c>
      <c r="D1237" t="s">
        <v>2658</v>
      </c>
      <c r="E1237" s="24">
        <v>40833</v>
      </c>
      <c r="F1237">
        <v>10</v>
      </c>
      <c r="G1237">
        <v>1</v>
      </c>
      <c r="H1237" t="s">
        <v>4302</v>
      </c>
      <c r="I1237">
        <v>10</v>
      </c>
    </row>
    <row r="1238" spans="2:9" x14ac:dyDescent="0.3">
      <c r="B1238" t="s">
        <v>1024</v>
      </c>
      <c r="C1238" t="s">
        <v>2350</v>
      </c>
      <c r="D1238" t="s">
        <v>2658</v>
      </c>
      <c r="E1238" s="24">
        <v>38986</v>
      </c>
      <c r="F1238">
        <v>10</v>
      </c>
      <c r="G1238">
        <v>1</v>
      </c>
      <c r="H1238" t="s">
        <v>4303</v>
      </c>
      <c r="I1238">
        <v>10</v>
      </c>
    </row>
    <row r="1239" spans="2:9" x14ac:dyDescent="0.3">
      <c r="B1239" t="s">
        <v>1025</v>
      </c>
      <c r="C1239" t="s">
        <v>2351</v>
      </c>
      <c r="D1239" t="s">
        <v>2658</v>
      </c>
      <c r="E1239" s="24">
        <v>39315</v>
      </c>
      <c r="F1239">
        <v>10</v>
      </c>
      <c r="G1239">
        <v>1</v>
      </c>
      <c r="H1239" t="s">
        <v>4304</v>
      </c>
      <c r="I1239">
        <v>10</v>
      </c>
    </row>
    <row r="1240" spans="2:9" x14ac:dyDescent="0.3">
      <c r="B1240" t="s">
        <v>1026</v>
      </c>
      <c r="C1240" t="s">
        <v>2352</v>
      </c>
      <c r="D1240" t="s">
        <v>2658</v>
      </c>
      <c r="E1240" s="24">
        <v>41117</v>
      </c>
      <c r="F1240">
        <v>10</v>
      </c>
      <c r="G1240">
        <v>1</v>
      </c>
      <c r="H1240" t="s">
        <v>4305</v>
      </c>
      <c r="I1240">
        <v>10</v>
      </c>
    </row>
    <row r="1241" spans="2:9" x14ac:dyDescent="0.3">
      <c r="B1241" t="s">
        <v>4306</v>
      </c>
      <c r="C1241" t="s">
        <v>4307</v>
      </c>
      <c r="D1241" t="s">
        <v>2658</v>
      </c>
      <c r="E1241" s="24">
        <v>42439</v>
      </c>
      <c r="F1241">
        <v>2</v>
      </c>
      <c r="G1241">
        <v>1</v>
      </c>
      <c r="H1241" t="s">
        <v>4308</v>
      </c>
      <c r="I1241">
        <v>2</v>
      </c>
    </row>
    <row r="1242" spans="2:9" x14ac:dyDescent="0.3">
      <c r="B1242" t="s">
        <v>1027</v>
      </c>
      <c r="C1242" t="s">
        <v>2353</v>
      </c>
      <c r="D1242" t="s">
        <v>2658</v>
      </c>
      <c r="E1242" s="24">
        <v>40675</v>
      </c>
      <c r="F1242">
        <v>10</v>
      </c>
      <c r="G1242">
        <v>1</v>
      </c>
      <c r="H1242" t="s">
        <v>4309</v>
      </c>
      <c r="I1242">
        <v>10</v>
      </c>
    </row>
    <row r="1243" spans="2:9" x14ac:dyDescent="0.3">
      <c r="B1243" t="s">
        <v>1028</v>
      </c>
      <c r="C1243" t="s">
        <v>2354</v>
      </c>
      <c r="D1243" t="s">
        <v>2658</v>
      </c>
      <c r="E1243" s="24">
        <v>34787</v>
      </c>
      <c r="F1243">
        <v>10</v>
      </c>
      <c r="G1243">
        <v>1</v>
      </c>
      <c r="H1243" t="s">
        <v>4310</v>
      </c>
      <c r="I1243">
        <v>10</v>
      </c>
    </row>
    <row r="1244" spans="2:9" x14ac:dyDescent="0.3">
      <c r="B1244" t="s">
        <v>4311</v>
      </c>
      <c r="C1244" t="s">
        <v>4312</v>
      </c>
      <c r="D1244" t="s">
        <v>2658</v>
      </c>
      <c r="E1244" s="24">
        <v>42552</v>
      </c>
      <c r="F1244">
        <v>2</v>
      </c>
      <c r="G1244">
        <v>1</v>
      </c>
      <c r="H1244" t="s">
        <v>4313</v>
      </c>
      <c r="I1244">
        <v>2</v>
      </c>
    </row>
    <row r="1245" spans="2:9" x14ac:dyDescent="0.3">
      <c r="B1245" t="s">
        <v>1029</v>
      </c>
      <c r="C1245" t="s">
        <v>2355</v>
      </c>
      <c r="D1245" t="s">
        <v>2686</v>
      </c>
      <c r="E1245" s="24">
        <v>40869</v>
      </c>
      <c r="F1245">
        <v>10</v>
      </c>
      <c r="G1245">
        <v>1</v>
      </c>
      <c r="H1245" t="s">
        <v>4314</v>
      </c>
      <c r="I1245">
        <v>10</v>
      </c>
    </row>
    <row r="1246" spans="2:9" x14ac:dyDescent="0.3">
      <c r="B1246" t="s">
        <v>4315</v>
      </c>
      <c r="C1246" t="s">
        <v>4316</v>
      </c>
      <c r="D1246" t="s">
        <v>2658</v>
      </c>
      <c r="E1246" s="24">
        <v>42713</v>
      </c>
      <c r="F1246">
        <v>5</v>
      </c>
      <c r="G1246">
        <v>1</v>
      </c>
      <c r="H1246" t="s">
        <v>4317</v>
      </c>
      <c r="I1246">
        <v>5</v>
      </c>
    </row>
    <row r="1247" spans="2:9" x14ac:dyDescent="0.3">
      <c r="B1247" t="s">
        <v>1332</v>
      </c>
      <c r="C1247" t="s">
        <v>2356</v>
      </c>
      <c r="D1247" t="s">
        <v>2686</v>
      </c>
      <c r="E1247" s="24">
        <v>39224</v>
      </c>
      <c r="F1247">
        <v>10</v>
      </c>
      <c r="G1247">
        <v>1</v>
      </c>
      <c r="H1247" t="s">
        <v>4318</v>
      </c>
      <c r="I1247">
        <v>10</v>
      </c>
    </row>
    <row r="1248" spans="2:9" x14ac:dyDescent="0.3">
      <c r="B1248" t="s">
        <v>1333</v>
      </c>
      <c r="C1248" t="s">
        <v>2357</v>
      </c>
      <c r="D1248" t="s">
        <v>2658</v>
      </c>
      <c r="E1248" s="24">
        <v>38817</v>
      </c>
      <c r="F1248">
        <v>10</v>
      </c>
      <c r="G1248">
        <v>1</v>
      </c>
      <c r="H1248" t="s">
        <v>4319</v>
      </c>
      <c r="I1248">
        <v>10</v>
      </c>
    </row>
    <row r="1249" spans="2:9" x14ac:dyDescent="0.3">
      <c r="B1249" t="s">
        <v>1030</v>
      </c>
      <c r="C1249" t="s">
        <v>2358</v>
      </c>
      <c r="D1249" t="s">
        <v>2686</v>
      </c>
      <c r="E1249" s="24">
        <v>38519</v>
      </c>
      <c r="F1249">
        <v>10</v>
      </c>
      <c r="G1249">
        <v>1</v>
      </c>
      <c r="H1249" t="s">
        <v>4320</v>
      </c>
      <c r="I1249">
        <v>10</v>
      </c>
    </row>
    <row r="1250" spans="2:9" x14ac:dyDescent="0.3">
      <c r="B1250" t="s">
        <v>4321</v>
      </c>
      <c r="C1250" t="s">
        <v>4322</v>
      </c>
      <c r="D1250" t="s">
        <v>2658</v>
      </c>
      <c r="E1250" s="24">
        <v>42033</v>
      </c>
      <c r="F1250">
        <v>10</v>
      </c>
      <c r="G1250">
        <v>1</v>
      </c>
      <c r="H1250" t="s">
        <v>4323</v>
      </c>
      <c r="I1250">
        <v>10</v>
      </c>
    </row>
    <row r="1251" spans="2:9" x14ac:dyDescent="0.3">
      <c r="B1251" t="s">
        <v>1031</v>
      </c>
      <c r="C1251" t="s">
        <v>2359</v>
      </c>
      <c r="D1251" t="s">
        <v>2658</v>
      </c>
      <c r="E1251" s="24">
        <v>39510</v>
      </c>
      <c r="F1251">
        <v>2</v>
      </c>
      <c r="G1251">
        <v>1</v>
      </c>
      <c r="H1251" t="s">
        <v>4324</v>
      </c>
      <c r="I1251">
        <v>2</v>
      </c>
    </row>
    <row r="1252" spans="2:9" x14ac:dyDescent="0.3">
      <c r="B1252" t="s">
        <v>4325</v>
      </c>
      <c r="C1252" t="s">
        <v>4326</v>
      </c>
      <c r="D1252" t="s">
        <v>2658</v>
      </c>
      <c r="E1252" s="24">
        <v>42830</v>
      </c>
      <c r="F1252">
        <v>10</v>
      </c>
      <c r="G1252">
        <v>1</v>
      </c>
      <c r="H1252" t="s">
        <v>4327</v>
      </c>
      <c r="I1252">
        <v>10</v>
      </c>
    </row>
    <row r="1253" spans="2:9" x14ac:dyDescent="0.3">
      <c r="B1253" t="s">
        <v>1032</v>
      </c>
      <c r="C1253" t="s">
        <v>2360</v>
      </c>
      <c r="D1253" t="s">
        <v>2658</v>
      </c>
      <c r="E1253" s="24">
        <v>35081</v>
      </c>
      <c r="F1253">
        <v>1</v>
      </c>
      <c r="G1253">
        <v>1</v>
      </c>
      <c r="H1253" t="s">
        <v>4328</v>
      </c>
      <c r="I1253">
        <v>1</v>
      </c>
    </row>
    <row r="1254" spans="2:9" x14ac:dyDescent="0.3">
      <c r="B1254" t="s">
        <v>1033</v>
      </c>
      <c r="C1254" t="s">
        <v>2361</v>
      </c>
      <c r="D1254" t="s">
        <v>2658</v>
      </c>
      <c r="E1254" s="24">
        <v>41905</v>
      </c>
      <c r="F1254">
        <v>10</v>
      </c>
      <c r="G1254">
        <v>1</v>
      </c>
      <c r="H1254" t="s">
        <v>4329</v>
      </c>
      <c r="I1254">
        <v>10</v>
      </c>
    </row>
    <row r="1255" spans="2:9" x14ac:dyDescent="0.3">
      <c r="B1255" t="s">
        <v>4330</v>
      </c>
      <c r="C1255" t="s">
        <v>4331</v>
      </c>
      <c r="D1255" t="s">
        <v>2658</v>
      </c>
      <c r="E1255" s="24">
        <v>42250</v>
      </c>
      <c r="F1255">
        <v>10</v>
      </c>
      <c r="G1255">
        <v>1</v>
      </c>
      <c r="H1255" t="s">
        <v>4332</v>
      </c>
      <c r="I1255">
        <v>10</v>
      </c>
    </row>
    <row r="1256" spans="2:9" x14ac:dyDescent="0.3">
      <c r="B1256" t="s">
        <v>1034</v>
      </c>
      <c r="C1256" t="s">
        <v>2362</v>
      </c>
      <c r="D1256" t="s">
        <v>2658</v>
      </c>
      <c r="E1256" s="24">
        <v>40884</v>
      </c>
      <c r="F1256">
        <v>2</v>
      </c>
      <c r="G1256">
        <v>1</v>
      </c>
      <c r="H1256" t="s">
        <v>4333</v>
      </c>
      <c r="I1256">
        <v>2</v>
      </c>
    </row>
    <row r="1257" spans="2:9" x14ac:dyDescent="0.3">
      <c r="B1257" t="s">
        <v>1035</v>
      </c>
      <c r="C1257" t="s">
        <v>2363</v>
      </c>
      <c r="D1257" t="s">
        <v>2658</v>
      </c>
      <c r="E1257" s="24">
        <v>41913</v>
      </c>
      <c r="F1257">
        <v>10</v>
      </c>
      <c r="G1257">
        <v>1</v>
      </c>
      <c r="H1257" t="s">
        <v>4334</v>
      </c>
      <c r="I1257">
        <v>10</v>
      </c>
    </row>
    <row r="1258" spans="2:9" x14ac:dyDescent="0.3">
      <c r="B1258" t="s">
        <v>1036</v>
      </c>
      <c r="C1258" t="s">
        <v>2364</v>
      </c>
      <c r="D1258" t="s">
        <v>2658</v>
      </c>
      <c r="E1258" s="24">
        <v>40150</v>
      </c>
      <c r="F1258">
        <v>1</v>
      </c>
      <c r="G1258">
        <v>1</v>
      </c>
      <c r="H1258" t="s">
        <v>4335</v>
      </c>
      <c r="I1258">
        <v>1</v>
      </c>
    </row>
    <row r="1259" spans="2:9" x14ac:dyDescent="0.3">
      <c r="B1259" t="s">
        <v>1037</v>
      </c>
      <c r="C1259" t="s">
        <v>2365</v>
      </c>
      <c r="D1259" t="s">
        <v>2658</v>
      </c>
      <c r="E1259" s="24">
        <v>40641</v>
      </c>
      <c r="F1259">
        <v>10</v>
      </c>
      <c r="G1259">
        <v>1</v>
      </c>
      <c r="H1259" t="s">
        <v>4336</v>
      </c>
      <c r="I1259">
        <v>10</v>
      </c>
    </row>
    <row r="1260" spans="2:9" x14ac:dyDescent="0.3">
      <c r="B1260" t="s">
        <v>1038</v>
      </c>
      <c r="C1260" t="s">
        <v>2366</v>
      </c>
      <c r="D1260" t="s">
        <v>2658</v>
      </c>
      <c r="E1260" s="24">
        <v>36971</v>
      </c>
      <c r="F1260">
        <v>10</v>
      </c>
      <c r="G1260">
        <v>1</v>
      </c>
      <c r="H1260" t="s">
        <v>4337</v>
      </c>
      <c r="I1260">
        <v>10</v>
      </c>
    </row>
    <row r="1261" spans="2:9" x14ac:dyDescent="0.3">
      <c r="B1261" t="s">
        <v>1039</v>
      </c>
      <c r="C1261" t="s">
        <v>2367</v>
      </c>
      <c r="D1261" t="s">
        <v>2658</v>
      </c>
      <c r="E1261" s="24">
        <v>39042</v>
      </c>
      <c r="F1261">
        <v>2</v>
      </c>
      <c r="G1261">
        <v>1</v>
      </c>
      <c r="H1261" t="s">
        <v>4338</v>
      </c>
      <c r="I1261">
        <v>2</v>
      </c>
    </row>
    <row r="1262" spans="2:9" x14ac:dyDescent="0.3">
      <c r="B1262" t="s">
        <v>1040</v>
      </c>
      <c r="C1262" t="s">
        <v>2368</v>
      </c>
      <c r="D1262" t="s">
        <v>2658</v>
      </c>
      <c r="E1262" s="24">
        <v>34990</v>
      </c>
      <c r="F1262">
        <v>10</v>
      </c>
      <c r="G1262">
        <v>1</v>
      </c>
      <c r="H1262" t="s">
        <v>4339</v>
      </c>
      <c r="I1262">
        <v>10</v>
      </c>
    </row>
    <row r="1263" spans="2:9" x14ac:dyDescent="0.3">
      <c r="B1263" t="s">
        <v>4340</v>
      </c>
      <c r="C1263" t="s">
        <v>4341</v>
      </c>
      <c r="D1263" t="s">
        <v>2658</v>
      </c>
      <c r="E1263" s="24">
        <v>42324</v>
      </c>
      <c r="F1263">
        <v>10</v>
      </c>
      <c r="G1263">
        <v>1</v>
      </c>
      <c r="H1263" t="s">
        <v>4342</v>
      </c>
      <c r="I1263">
        <v>10</v>
      </c>
    </row>
    <row r="1264" spans="2:9" x14ac:dyDescent="0.3">
      <c r="B1264" t="s">
        <v>1041</v>
      </c>
      <c r="C1264" t="s">
        <v>2369</v>
      </c>
      <c r="D1264" t="s">
        <v>2658</v>
      </c>
      <c r="E1264" s="24">
        <v>38495</v>
      </c>
      <c r="F1264">
        <v>5</v>
      </c>
      <c r="G1264">
        <v>1</v>
      </c>
      <c r="H1264" t="s">
        <v>4343</v>
      </c>
      <c r="I1264">
        <v>5</v>
      </c>
    </row>
    <row r="1265" spans="2:9" x14ac:dyDescent="0.3">
      <c r="B1265" t="s">
        <v>91</v>
      </c>
      <c r="C1265" t="s">
        <v>2370</v>
      </c>
      <c r="D1265" t="s">
        <v>2658</v>
      </c>
      <c r="E1265" s="24">
        <v>34815</v>
      </c>
      <c r="F1265">
        <v>10</v>
      </c>
      <c r="G1265">
        <v>1</v>
      </c>
      <c r="H1265" t="s">
        <v>4344</v>
      </c>
      <c r="I1265">
        <v>10</v>
      </c>
    </row>
    <row r="1266" spans="2:9" x14ac:dyDescent="0.3">
      <c r="B1266" t="s">
        <v>4345</v>
      </c>
      <c r="C1266" t="s">
        <v>4346</v>
      </c>
      <c r="D1266" t="s">
        <v>2658</v>
      </c>
      <c r="E1266" s="24">
        <v>42257</v>
      </c>
      <c r="F1266">
        <v>10</v>
      </c>
      <c r="G1266">
        <v>1</v>
      </c>
      <c r="H1266" t="s">
        <v>4347</v>
      </c>
      <c r="I1266">
        <v>10</v>
      </c>
    </row>
    <row r="1267" spans="2:9" x14ac:dyDescent="0.3">
      <c r="B1267" t="s">
        <v>1042</v>
      </c>
      <c r="C1267" t="s">
        <v>2371</v>
      </c>
      <c r="D1267" t="s">
        <v>2658</v>
      </c>
      <c r="E1267" s="24">
        <v>36598</v>
      </c>
      <c r="F1267">
        <v>5</v>
      </c>
      <c r="G1267">
        <v>1</v>
      </c>
      <c r="H1267" t="s">
        <v>4348</v>
      </c>
      <c r="I1267">
        <v>5</v>
      </c>
    </row>
    <row r="1268" spans="2:9" x14ac:dyDescent="0.3">
      <c r="B1268" t="s">
        <v>1043</v>
      </c>
      <c r="C1268" t="s">
        <v>2372</v>
      </c>
      <c r="D1268" t="s">
        <v>2658</v>
      </c>
      <c r="E1268" s="24">
        <v>35375</v>
      </c>
      <c r="F1268">
        <v>10</v>
      </c>
      <c r="G1268">
        <v>1</v>
      </c>
      <c r="H1268" t="s">
        <v>4349</v>
      </c>
      <c r="I1268">
        <v>10</v>
      </c>
    </row>
    <row r="1269" spans="2:9" x14ac:dyDescent="0.3">
      <c r="B1269" t="s">
        <v>1044</v>
      </c>
      <c r="C1269" t="s">
        <v>2373</v>
      </c>
      <c r="D1269" t="s">
        <v>2658</v>
      </c>
      <c r="E1269" s="24">
        <v>34759</v>
      </c>
      <c r="F1269">
        <v>10</v>
      </c>
      <c r="G1269">
        <v>1</v>
      </c>
      <c r="H1269" t="s">
        <v>4350</v>
      </c>
      <c r="I1269">
        <v>10</v>
      </c>
    </row>
    <row r="1270" spans="2:9" x14ac:dyDescent="0.3">
      <c r="B1270" t="s">
        <v>4351</v>
      </c>
      <c r="C1270" t="s">
        <v>4352</v>
      </c>
      <c r="D1270" t="s">
        <v>2686</v>
      </c>
      <c r="E1270" s="24">
        <v>42523</v>
      </c>
      <c r="F1270">
        <v>10</v>
      </c>
      <c r="G1270">
        <v>1</v>
      </c>
      <c r="H1270" t="s">
        <v>4353</v>
      </c>
      <c r="I1270">
        <v>10</v>
      </c>
    </row>
    <row r="1271" spans="2:9" x14ac:dyDescent="0.3">
      <c r="B1271" t="s">
        <v>1045</v>
      </c>
      <c r="C1271" t="s">
        <v>2374</v>
      </c>
      <c r="D1271" t="s">
        <v>2658</v>
      </c>
      <c r="E1271" s="24">
        <v>38446</v>
      </c>
      <c r="F1271">
        <v>10</v>
      </c>
      <c r="G1271">
        <v>1</v>
      </c>
      <c r="H1271" t="s">
        <v>4354</v>
      </c>
      <c r="I1271">
        <v>10</v>
      </c>
    </row>
    <row r="1272" spans="2:9" x14ac:dyDescent="0.3">
      <c r="B1272" t="s">
        <v>1046</v>
      </c>
      <c r="C1272" t="s">
        <v>2375</v>
      </c>
      <c r="D1272" t="s">
        <v>2658</v>
      </c>
      <c r="E1272" s="24">
        <v>39498</v>
      </c>
      <c r="F1272">
        <v>10</v>
      </c>
      <c r="G1272">
        <v>1</v>
      </c>
      <c r="H1272" t="s">
        <v>4355</v>
      </c>
      <c r="I1272">
        <v>10</v>
      </c>
    </row>
    <row r="1273" spans="2:9" x14ac:dyDescent="0.3">
      <c r="B1273" t="s">
        <v>4356</v>
      </c>
      <c r="C1273" t="s">
        <v>4357</v>
      </c>
      <c r="D1273" t="s">
        <v>2658</v>
      </c>
      <c r="E1273" s="24">
        <v>42213</v>
      </c>
      <c r="F1273">
        <v>1</v>
      </c>
      <c r="G1273">
        <v>1</v>
      </c>
      <c r="H1273" t="s">
        <v>4358</v>
      </c>
      <c r="I1273">
        <v>1</v>
      </c>
    </row>
    <row r="1274" spans="2:9" x14ac:dyDescent="0.3">
      <c r="B1274" t="s">
        <v>1047</v>
      </c>
      <c r="C1274" t="s">
        <v>2376</v>
      </c>
      <c r="D1274" t="s">
        <v>2658</v>
      </c>
      <c r="E1274" s="24">
        <v>39027</v>
      </c>
      <c r="F1274">
        <v>10</v>
      </c>
      <c r="G1274">
        <v>1</v>
      </c>
      <c r="H1274" t="s">
        <v>4359</v>
      </c>
      <c r="I1274">
        <v>10</v>
      </c>
    </row>
    <row r="1275" spans="2:9" x14ac:dyDescent="0.3">
      <c r="B1275" t="s">
        <v>1048</v>
      </c>
      <c r="C1275" t="s">
        <v>2377</v>
      </c>
      <c r="D1275" t="s">
        <v>2658</v>
      </c>
      <c r="E1275" s="24">
        <v>39681</v>
      </c>
      <c r="F1275">
        <v>10</v>
      </c>
      <c r="G1275">
        <v>1</v>
      </c>
      <c r="H1275" t="s">
        <v>4360</v>
      </c>
      <c r="I1275">
        <v>10</v>
      </c>
    </row>
    <row r="1276" spans="2:9" x14ac:dyDescent="0.3">
      <c r="B1276" t="s">
        <v>1049</v>
      </c>
      <c r="C1276" t="s">
        <v>2378</v>
      </c>
      <c r="D1276" t="s">
        <v>2658</v>
      </c>
      <c r="E1276" s="24">
        <v>36278</v>
      </c>
      <c r="F1276">
        <v>10</v>
      </c>
      <c r="G1276">
        <v>1</v>
      </c>
      <c r="H1276" t="s">
        <v>4361</v>
      </c>
      <c r="I1276">
        <v>10</v>
      </c>
    </row>
    <row r="1277" spans="2:9" x14ac:dyDescent="0.3">
      <c r="B1277" t="s">
        <v>92</v>
      </c>
      <c r="C1277" t="s">
        <v>2379</v>
      </c>
      <c r="D1277" t="s">
        <v>2658</v>
      </c>
      <c r="E1277" s="24">
        <v>34948</v>
      </c>
      <c r="F1277">
        <v>2</v>
      </c>
      <c r="G1277">
        <v>1</v>
      </c>
      <c r="H1277" t="s">
        <v>4362</v>
      </c>
      <c r="I1277">
        <v>2</v>
      </c>
    </row>
    <row r="1278" spans="2:9" x14ac:dyDescent="0.3">
      <c r="B1278" t="s">
        <v>4363</v>
      </c>
      <c r="C1278" t="s">
        <v>4364</v>
      </c>
      <c r="D1278" t="s">
        <v>2658</v>
      </c>
      <c r="E1278" s="24">
        <v>42076</v>
      </c>
      <c r="F1278">
        <v>1</v>
      </c>
      <c r="G1278">
        <v>1</v>
      </c>
      <c r="H1278" t="s">
        <v>4365</v>
      </c>
      <c r="I1278">
        <v>1</v>
      </c>
    </row>
    <row r="1279" spans="2:9" x14ac:dyDescent="0.3">
      <c r="B1279" t="s">
        <v>1050</v>
      </c>
      <c r="C1279" t="s">
        <v>2380</v>
      </c>
      <c r="D1279" t="s">
        <v>2686</v>
      </c>
      <c r="E1279" s="24">
        <v>38013</v>
      </c>
      <c r="F1279">
        <v>5</v>
      </c>
      <c r="G1279">
        <v>1</v>
      </c>
      <c r="H1279" t="s">
        <v>4366</v>
      </c>
      <c r="I1279">
        <v>5</v>
      </c>
    </row>
    <row r="1280" spans="2:9" x14ac:dyDescent="0.3">
      <c r="B1280" t="s">
        <v>1051</v>
      </c>
      <c r="C1280" t="s">
        <v>2381</v>
      </c>
      <c r="D1280" t="s">
        <v>2658</v>
      </c>
      <c r="E1280" s="24">
        <v>35207</v>
      </c>
      <c r="F1280">
        <v>10</v>
      </c>
      <c r="G1280">
        <v>1</v>
      </c>
      <c r="H1280" t="s">
        <v>4367</v>
      </c>
      <c r="I1280">
        <v>10</v>
      </c>
    </row>
    <row r="1281" spans="2:9" x14ac:dyDescent="0.3">
      <c r="B1281" t="s">
        <v>4368</v>
      </c>
      <c r="C1281" t="s">
        <v>2382</v>
      </c>
      <c r="D1281" t="s">
        <v>2658</v>
      </c>
      <c r="E1281" s="24">
        <v>42443</v>
      </c>
      <c r="F1281">
        <v>10</v>
      </c>
      <c r="G1281">
        <v>1</v>
      </c>
      <c r="H1281" t="s">
        <v>4369</v>
      </c>
      <c r="I1281">
        <v>10</v>
      </c>
    </row>
    <row r="1282" spans="2:9" x14ac:dyDescent="0.3">
      <c r="B1282" t="s">
        <v>1052</v>
      </c>
      <c r="C1282" t="s">
        <v>2383</v>
      </c>
      <c r="D1282" t="s">
        <v>2686</v>
      </c>
      <c r="E1282" s="24">
        <v>39297</v>
      </c>
      <c r="F1282">
        <v>10</v>
      </c>
      <c r="G1282">
        <v>1</v>
      </c>
      <c r="H1282" t="s">
        <v>4370</v>
      </c>
      <c r="I1282">
        <v>10</v>
      </c>
    </row>
    <row r="1283" spans="2:9" x14ac:dyDescent="0.3">
      <c r="B1283" t="s">
        <v>1053</v>
      </c>
      <c r="C1283" t="s">
        <v>2384</v>
      </c>
      <c r="D1283" t="s">
        <v>2658</v>
      </c>
      <c r="E1283" s="24">
        <v>38055</v>
      </c>
      <c r="F1283">
        <v>2</v>
      </c>
      <c r="G1283">
        <v>1</v>
      </c>
      <c r="H1283" t="s">
        <v>4371</v>
      </c>
      <c r="I1283">
        <v>2</v>
      </c>
    </row>
    <row r="1284" spans="2:9" x14ac:dyDescent="0.3">
      <c r="B1284" t="s">
        <v>1054</v>
      </c>
      <c r="C1284" t="s">
        <v>2385</v>
      </c>
      <c r="D1284" t="s">
        <v>2658</v>
      </c>
      <c r="E1284" s="24">
        <v>36104</v>
      </c>
      <c r="F1284">
        <v>1</v>
      </c>
      <c r="G1284">
        <v>1</v>
      </c>
      <c r="H1284" t="s">
        <v>4372</v>
      </c>
      <c r="I1284">
        <v>1</v>
      </c>
    </row>
    <row r="1285" spans="2:9" x14ac:dyDescent="0.3">
      <c r="B1285" t="s">
        <v>1055</v>
      </c>
      <c r="C1285" t="s">
        <v>2386</v>
      </c>
      <c r="D1285" t="s">
        <v>2658</v>
      </c>
      <c r="E1285" s="24">
        <v>39545</v>
      </c>
      <c r="F1285">
        <v>10</v>
      </c>
      <c r="G1285">
        <v>1</v>
      </c>
      <c r="H1285" t="s">
        <v>4373</v>
      </c>
      <c r="I1285">
        <v>10</v>
      </c>
    </row>
    <row r="1286" spans="2:9" x14ac:dyDescent="0.3">
      <c r="B1286" t="s">
        <v>4374</v>
      </c>
      <c r="C1286" t="s">
        <v>4375</v>
      </c>
      <c r="D1286" t="s">
        <v>2658</v>
      </c>
      <c r="E1286" s="24">
        <v>39092</v>
      </c>
      <c r="F1286">
        <v>1</v>
      </c>
      <c r="G1286">
        <v>1</v>
      </c>
      <c r="H1286" t="s">
        <v>4376</v>
      </c>
      <c r="I1286">
        <v>1</v>
      </c>
    </row>
    <row r="1287" spans="2:9" x14ac:dyDescent="0.3">
      <c r="B1287" t="s">
        <v>1056</v>
      </c>
      <c r="C1287" t="s">
        <v>2387</v>
      </c>
      <c r="D1287" t="s">
        <v>2658</v>
      </c>
      <c r="E1287" s="24">
        <v>39111</v>
      </c>
      <c r="F1287">
        <v>10</v>
      </c>
      <c r="G1287">
        <v>1</v>
      </c>
      <c r="H1287" t="s">
        <v>4377</v>
      </c>
      <c r="I1287">
        <v>10</v>
      </c>
    </row>
    <row r="1288" spans="2:9" x14ac:dyDescent="0.3">
      <c r="B1288" t="s">
        <v>1057</v>
      </c>
      <c r="C1288" t="s">
        <v>2388</v>
      </c>
      <c r="D1288" t="s">
        <v>2658</v>
      </c>
      <c r="E1288" s="24">
        <v>40318</v>
      </c>
      <c r="F1288">
        <v>10</v>
      </c>
      <c r="G1288">
        <v>1</v>
      </c>
      <c r="H1288" t="s">
        <v>4378</v>
      </c>
      <c r="I1288">
        <v>10</v>
      </c>
    </row>
    <row r="1289" spans="2:9" x14ac:dyDescent="0.3">
      <c r="B1289" t="s">
        <v>1058</v>
      </c>
      <c r="C1289" t="s">
        <v>2389</v>
      </c>
      <c r="D1289" t="s">
        <v>2658</v>
      </c>
      <c r="E1289" s="24">
        <v>36187</v>
      </c>
      <c r="F1289">
        <v>10</v>
      </c>
      <c r="G1289">
        <v>1</v>
      </c>
      <c r="H1289" t="s">
        <v>4379</v>
      </c>
      <c r="I1289">
        <v>10</v>
      </c>
    </row>
    <row r="1290" spans="2:9" x14ac:dyDescent="0.3">
      <c r="B1290" t="s">
        <v>1059</v>
      </c>
      <c r="C1290" t="s">
        <v>2390</v>
      </c>
      <c r="D1290" t="s">
        <v>2658</v>
      </c>
      <c r="E1290" s="24">
        <v>35347</v>
      </c>
      <c r="F1290">
        <v>10</v>
      </c>
      <c r="G1290">
        <v>1</v>
      </c>
      <c r="H1290" t="s">
        <v>4380</v>
      </c>
      <c r="I1290">
        <v>10</v>
      </c>
    </row>
    <row r="1291" spans="2:9" x14ac:dyDescent="0.3">
      <c r="B1291" t="s">
        <v>4381</v>
      </c>
      <c r="C1291" t="s">
        <v>4382</v>
      </c>
      <c r="D1291" t="s">
        <v>2658</v>
      </c>
      <c r="E1291" s="24">
        <v>42151</v>
      </c>
      <c r="F1291">
        <v>1</v>
      </c>
      <c r="G1291">
        <v>1</v>
      </c>
      <c r="H1291" t="s">
        <v>4383</v>
      </c>
      <c r="I1291">
        <v>1</v>
      </c>
    </row>
    <row r="1292" spans="2:9" x14ac:dyDescent="0.3">
      <c r="B1292" t="s">
        <v>1060</v>
      </c>
      <c r="C1292" t="s">
        <v>2391</v>
      </c>
      <c r="D1292" t="s">
        <v>2686</v>
      </c>
      <c r="E1292" s="24">
        <v>37041</v>
      </c>
      <c r="F1292">
        <v>10</v>
      </c>
      <c r="G1292">
        <v>1</v>
      </c>
      <c r="H1292" t="s">
        <v>4384</v>
      </c>
      <c r="I1292">
        <v>10</v>
      </c>
    </row>
    <row r="1293" spans="2:9" x14ac:dyDescent="0.3">
      <c r="B1293" t="s">
        <v>1061</v>
      </c>
      <c r="C1293" t="s">
        <v>2392</v>
      </c>
      <c r="D1293" t="s">
        <v>2658</v>
      </c>
      <c r="E1293" s="24">
        <v>36992</v>
      </c>
      <c r="F1293">
        <v>2</v>
      </c>
      <c r="G1293">
        <v>1</v>
      </c>
      <c r="H1293" t="s">
        <v>4385</v>
      </c>
      <c r="I1293">
        <v>2</v>
      </c>
    </row>
    <row r="1294" spans="2:9" x14ac:dyDescent="0.3">
      <c r="B1294" t="s">
        <v>1062</v>
      </c>
      <c r="C1294" t="s">
        <v>2393</v>
      </c>
      <c r="D1294" t="s">
        <v>2658</v>
      </c>
      <c r="E1294" s="24">
        <v>37862</v>
      </c>
      <c r="F1294">
        <v>10</v>
      </c>
      <c r="G1294">
        <v>1</v>
      </c>
      <c r="H1294" t="s">
        <v>4386</v>
      </c>
      <c r="I1294">
        <v>10</v>
      </c>
    </row>
    <row r="1295" spans="2:9" x14ac:dyDescent="0.3">
      <c r="B1295" t="s">
        <v>1063</v>
      </c>
      <c r="C1295" t="s">
        <v>4387</v>
      </c>
      <c r="D1295" t="s">
        <v>2658</v>
      </c>
      <c r="E1295" s="24">
        <v>40246</v>
      </c>
      <c r="F1295">
        <v>5</v>
      </c>
      <c r="G1295">
        <v>1</v>
      </c>
      <c r="H1295" t="s">
        <v>4388</v>
      </c>
      <c r="I1295">
        <v>5</v>
      </c>
    </row>
    <row r="1296" spans="2:9" x14ac:dyDescent="0.3">
      <c r="B1296" t="s">
        <v>1064</v>
      </c>
      <c r="C1296" t="s">
        <v>2394</v>
      </c>
      <c r="D1296" t="s">
        <v>2658</v>
      </c>
      <c r="E1296" s="24">
        <v>39141</v>
      </c>
      <c r="F1296">
        <v>1</v>
      </c>
      <c r="G1296">
        <v>1</v>
      </c>
      <c r="H1296" t="s">
        <v>4389</v>
      </c>
      <c r="I1296">
        <v>1</v>
      </c>
    </row>
    <row r="1297" spans="2:9" x14ac:dyDescent="0.3">
      <c r="B1297" t="s">
        <v>1065</v>
      </c>
      <c r="C1297" t="s">
        <v>2395</v>
      </c>
      <c r="D1297" t="s">
        <v>2658</v>
      </c>
      <c r="E1297" s="24">
        <v>41894</v>
      </c>
      <c r="F1297">
        <v>10</v>
      </c>
      <c r="G1297">
        <v>1</v>
      </c>
      <c r="H1297" t="s">
        <v>4390</v>
      </c>
      <c r="I1297">
        <v>10</v>
      </c>
    </row>
    <row r="1298" spans="2:9" x14ac:dyDescent="0.3">
      <c r="B1298" t="s">
        <v>1066</v>
      </c>
      <c r="C1298" t="s">
        <v>2396</v>
      </c>
      <c r="D1298" t="s">
        <v>2658</v>
      </c>
      <c r="E1298" s="24">
        <v>39071</v>
      </c>
      <c r="F1298">
        <v>10</v>
      </c>
      <c r="G1298">
        <v>1</v>
      </c>
      <c r="H1298" t="s">
        <v>4391</v>
      </c>
      <c r="I1298">
        <v>10</v>
      </c>
    </row>
    <row r="1299" spans="2:9" x14ac:dyDescent="0.3">
      <c r="B1299" t="s">
        <v>1334</v>
      </c>
      <c r="C1299" t="s">
        <v>2397</v>
      </c>
      <c r="D1299" t="s">
        <v>2658</v>
      </c>
      <c r="E1299" s="24">
        <v>36670</v>
      </c>
      <c r="F1299">
        <v>10</v>
      </c>
      <c r="G1299">
        <v>1</v>
      </c>
      <c r="H1299" t="s">
        <v>4392</v>
      </c>
      <c r="I1299">
        <v>10</v>
      </c>
    </row>
    <row r="1300" spans="2:9" x14ac:dyDescent="0.3">
      <c r="B1300" t="s">
        <v>1067</v>
      </c>
      <c r="C1300" t="s">
        <v>2398</v>
      </c>
      <c r="D1300" t="s">
        <v>2658</v>
      </c>
      <c r="E1300" s="24">
        <v>38810</v>
      </c>
      <c r="F1300">
        <v>2</v>
      </c>
      <c r="G1300">
        <v>1</v>
      </c>
      <c r="H1300" t="s">
        <v>4393</v>
      </c>
      <c r="I1300">
        <v>2</v>
      </c>
    </row>
    <row r="1301" spans="2:9" x14ac:dyDescent="0.3">
      <c r="B1301" t="s">
        <v>1068</v>
      </c>
      <c r="C1301" t="s">
        <v>2399</v>
      </c>
      <c r="D1301" t="s">
        <v>2658</v>
      </c>
      <c r="E1301" s="24">
        <v>35025</v>
      </c>
      <c r="F1301">
        <v>2</v>
      </c>
      <c r="G1301">
        <v>1</v>
      </c>
      <c r="H1301" t="s">
        <v>4394</v>
      </c>
      <c r="I1301">
        <v>2</v>
      </c>
    </row>
    <row r="1302" spans="2:9" x14ac:dyDescent="0.3">
      <c r="B1302" t="s">
        <v>1069</v>
      </c>
      <c r="C1302" t="s">
        <v>2400</v>
      </c>
      <c r="D1302" t="s">
        <v>2686</v>
      </c>
      <c r="E1302" s="24">
        <v>36852</v>
      </c>
      <c r="F1302">
        <v>10</v>
      </c>
      <c r="G1302">
        <v>1</v>
      </c>
      <c r="H1302" t="s">
        <v>4395</v>
      </c>
      <c r="I1302">
        <v>10</v>
      </c>
    </row>
    <row r="1303" spans="2:9" x14ac:dyDescent="0.3">
      <c r="B1303" t="s">
        <v>4396</v>
      </c>
      <c r="C1303" t="s">
        <v>4397</v>
      </c>
      <c r="D1303" t="s">
        <v>2658</v>
      </c>
      <c r="E1303" s="24">
        <v>42569</v>
      </c>
      <c r="F1303">
        <v>10</v>
      </c>
      <c r="G1303">
        <v>1</v>
      </c>
      <c r="H1303" t="s">
        <v>4398</v>
      </c>
      <c r="I1303">
        <v>10</v>
      </c>
    </row>
    <row r="1304" spans="2:9" x14ac:dyDescent="0.3">
      <c r="B1304" t="s">
        <v>1070</v>
      </c>
      <c r="C1304" t="s">
        <v>2401</v>
      </c>
      <c r="D1304" t="s">
        <v>2658</v>
      </c>
      <c r="E1304" s="24">
        <v>37998</v>
      </c>
      <c r="F1304">
        <v>1</v>
      </c>
      <c r="G1304">
        <v>1</v>
      </c>
      <c r="H1304" t="s">
        <v>4399</v>
      </c>
      <c r="I1304">
        <v>1</v>
      </c>
    </row>
    <row r="1305" spans="2:9" x14ac:dyDescent="0.3">
      <c r="B1305" t="s">
        <v>1071</v>
      </c>
      <c r="C1305" t="s">
        <v>2402</v>
      </c>
      <c r="D1305" t="s">
        <v>2658</v>
      </c>
      <c r="E1305" s="24">
        <v>36369</v>
      </c>
      <c r="F1305">
        <v>1</v>
      </c>
      <c r="G1305">
        <v>1</v>
      </c>
      <c r="H1305" t="s">
        <v>4400</v>
      </c>
      <c r="I1305">
        <v>1</v>
      </c>
    </row>
    <row r="1306" spans="2:9" x14ac:dyDescent="0.3">
      <c r="B1306" t="s">
        <v>4401</v>
      </c>
      <c r="C1306" t="s">
        <v>4402</v>
      </c>
      <c r="D1306" t="s">
        <v>2658</v>
      </c>
      <c r="E1306" s="24">
        <v>40773</v>
      </c>
      <c r="F1306">
        <v>2</v>
      </c>
      <c r="G1306">
        <v>1</v>
      </c>
      <c r="H1306" t="s">
        <v>4403</v>
      </c>
      <c r="I1306">
        <v>2</v>
      </c>
    </row>
    <row r="1307" spans="2:9" x14ac:dyDescent="0.3">
      <c r="B1307" t="s">
        <v>4404</v>
      </c>
      <c r="C1307" t="s">
        <v>4405</v>
      </c>
      <c r="D1307" t="s">
        <v>2658</v>
      </c>
      <c r="E1307" s="24">
        <v>38692</v>
      </c>
      <c r="F1307">
        <v>10</v>
      </c>
      <c r="G1307">
        <v>1</v>
      </c>
      <c r="H1307" t="s">
        <v>4406</v>
      </c>
      <c r="I1307">
        <v>10</v>
      </c>
    </row>
    <row r="1308" spans="2:9" x14ac:dyDescent="0.3">
      <c r="B1308" t="s">
        <v>1072</v>
      </c>
      <c r="C1308" t="s">
        <v>2403</v>
      </c>
      <c r="D1308" t="s">
        <v>2658</v>
      </c>
      <c r="E1308" s="24">
        <v>34878</v>
      </c>
      <c r="F1308">
        <v>10</v>
      </c>
      <c r="G1308">
        <v>1</v>
      </c>
      <c r="H1308" t="s">
        <v>4407</v>
      </c>
      <c r="I1308">
        <v>10</v>
      </c>
    </row>
    <row r="1309" spans="2:9" x14ac:dyDescent="0.3">
      <c r="B1309" t="s">
        <v>93</v>
      </c>
      <c r="C1309" t="s">
        <v>2404</v>
      </c>
      <c r="D1309" t="s">
        <v>2658</v>
      </c>
      <c r="E1309" s="24">
        <v>36137</v>
      </c>
      <c r="F1309">
        <v>1</v>
      </c>
      <c r="G1309">
        <v>1</v>
      </c>
      <c r="H1309" t="s">
        <v>4408</v>
      </c>
      <c r="I1309">
        <v>1</v>
      </c>
    </row>
    <row r="1310" spans="2:9" x14ac:dyDescent="0.3">
      <c r="B1310" t="s">
        <v>4409</v>
      </c>
      <c r="C1310" t="s">
        <v>4410</v>
      </c>
      <c r="D1310" t="s">
        <v>2658</v>
      </c>
      <c r="E1310" s="24">
        <v>42594</v>
      </c>
      <c r="F1310">
        <v>10</v>
      </c>
      <c r="G1310">
        <v>1</v>
      </c>
      <c r="H1310" t="s">
        <v>4411</v>
      </c>
      <c r="I1310">
        <v>10</v>
      </c>
    </row>
    <row r="1311" spans="2:9" x14ac:dyDescent="0.3">
      <c r="B1311" t="s">
        <v>1073</v>
      </c>
      <c r="C1311" t="s">
        <v>2405</v>
      </c>
      <c r="D1311" t="s">
        <v>2658</v>
      </c>
      <c r="E1311" s="24">
        <v>39281</v>
      </c>
      <c r="F1311">
        <v>1</v>
      </c>
      <c r="G1311">
        <v>1</v>
      </c>
      <c r="H1311" t="s">
        <v>4412</v>
      </c>
      <c r="I1311">
        <v>1</v>
      </c>
    </row>
    <row r="1312" spans="2:9" x14ac:dyDescent="0.3">
      <c r="B1312" t="s">
        <v>4413</v>
      </c>
      <c r="C1312" t="s">
        <v>4414</v>
      </c>
      <c r="D1312" t="s">
        <v>2658</v>
      </c>
      <c r="E1312" s="24">
        <v>42745</v>
      </c>
      <c r="F1312">
        <v>1</v>
      </c>
      <c r="G1312">
        <v>1</v>
      </c>
      <c r="H1312" t="s">
        <v>4415</v>
      </c>
      <c r="I1312">
        <v>1</v>
      </c>
    </row>
    <row r="1313" spans="2:9" x14ac:dyDescent="0.3">
      <c r="B1313" t="s">
        <v>1074</v>
      </c>
      <c r="C1313" t="s">
        <v>2406</v>
      </c>
      <c r="D1313" t="s">
        <v>2686</v>
      </c>
      <c r="E1313" s="24">
        <v>41059</v>
      </c>
      <c r="F1313">
        <v>10</v>
      </c>
      <c r="G1313">
        <v>1</v>
      </c>
      <c r="H1313" t="s">
        <v>4416</v>
      </c>
      <c r="I1313">
        <v>10</v>
      </c>
    </row>
    <row r="1314" spans="2:9" x14ac:dyDescent="0.3">
      <c r="B1314" t="s">
        <v>1075</v>
      </c>
      <c r="C1314" t="s">
        <v>2407</v>
      </c>
      <c r="D1314" t="s">
        <v>2658</v>
      </c>
      <c r="E1314" s="24">
        <v>39071</v>
      </c>
      <c r="F1314">
        <v>10</v>
      </c>
      <c r="G1314">
        <v>1</v>
      </c>
      <c r="H1314" t="s">
        <v>4417</v>
      </c>
      <c r="I1314">
        <v>10</v>
      </c>
    </row>
    <row r="1315" spans="2:9" x14ac:dyDescent="0.3">
      <c r="B1315" t="s">
        <v>4418</v>
      </c>
      <c r="C1315" t="s">
        <v>4419</v>
      </c>
      <c r="D1315" t="s">
        <v>2658</v>
      </c>
      <c r="E1315" s="24">
        <v>35655</v>
      </c>
      <c r="F1315">
        <v>10</v>
      </c>
      <c r="G1315">
        <v>1</v>
      </c>
      <c r="H1315" t="s">
        <v>4420</v>
      </c>
      <c r="I1315">
        <v>10</v>
      </c>
    </row>
    <row r="1316" spans="2:9" x14ac:dyDescent="0.3">
      <c r="B1316" t="s">
        <v>1076</v>
      </c>
      <c r="C1316" t="s">
        <v>2408</v>
      </c>
      <c r="D1316" t="s">
        <v>2658</v>
      </c>
      <c r="E1316" s="24">
        <v>35074</v>
      </c>
      <c r="F1316">
        <v>10</v>
      </c>
      <c r="G1316">
        <v>1</v>
      </c>
      <c r="H1316" t="s">
        <v>4421</v>
      </c>
      <c r="I1316">
        <v>10</v>
      </c>
    </row>
    <row r="1317" spans="2:9" x14ac:dyDescent="0.3">
      <c r="B1317" t="s">
        <v>115</v>
      </c>
      <c r="C1317" t="s">
        <v>2409</v>
      </c>
      <c r="D1317" t="s">
        <v>2658</v>
      </c>
      <c r="E1317" s="24">
        <v>39595</v>
      </c>
      <c r="F1317">
        <v>3</v>
      </c>
      <c r="G1317">
        <v>1</v>
      </c>
      <c r="H1317" t="s">
        <v>4422</v>
      </c>
      <c r="I1317">
        <v>3</v>
      </c>
    </row>
    <row r="1318" spans="2:9" x14ac:dyDescent="0.3">
      <c r="B1318" t="s">
        <v>1077</v>
      </c>
      <c r="C1318" t="s">
        <v>2410</v>
      </c>
      <c r="D1318" t="s">
        <v>2658</v>
      </c>
      <c r="E1318" s="24">
        <v>38559</v>
      </c>
      <c r="F1318">
        <v>10</v>
      </c>
      <c r="G1318">
        <v>1</v>
      </c>
      <c r="H1318" t="s">
        <v>4423</v>
      </c>
      <c r="I1318">
        <v>10</v>
      </c>
    </row>
    <row r="1319" spans="2:9" x14ac:dyDescent="0.3">
      <c r="B1319" t="s">
        <v>1078</v>
      </c>
      <c r="C1319" t="s">
        <v>2411</v>
      </c>
      <c r="D1319" t="s">
        <v>2686</v>
      </c>
      <c r="E1319" s="24">
        <v>36516</v>
      </c>
      <c r="F1319">
        <v>2</v>
      </c>
      <c r="G1319">
        <v>1</v>
      </c>
      <c r="H1319" t="s">
        <v>4424</v>
      </c>
      <c r="I1319">
        <v>2</v>
      </c>
    </row>
    <row r="1320" spans="2:9" x14ac:dyDescent="0.3">
      <c r="B1320" t="s">
        <v>1079</v>
      </c>
      <c r="C1320" t="s">
        <v>2412</v>
      </c>
      <c r="D1320" t="s">
        <v>2658</v>
      </c>
      <c r="E1320" s="24">
        <v>40555</v>
      </c>
      <c r="F1320">
        <v>1</v>
      </c>
      <c r="G1320">
        <v>1</v>
      </c>
      <c r="H1320" t="s">
        <v>4425</v>
      </c>
      <c r="I1320">
        <v>1</v>
      </c>
    </row>
    <row r="1321" spans="2:9" x14ac:dyDescent="0.3">
      <c r="B1321" t="s">
        <v>4426</v>
      </c>
      <c r="C1321" t="s">
        <v>4427</v>
      </c>
      <c r="D1321" t="s">
        <v>2658</v>
      </c>
      <c r="E1321" s="24">
        <v>40112</v>
      </c>
      <c r="F1321">
        <v>10</v>
      </c>
      <c r="G1321">
        <v>1</v>
      </c>
      <c r="H1321" t="s">
        <v>4428</v>
      </c>
      <c r="I1321">
        <v>10</v>
      </c>
    </row>
    <row r="1322" spans="2:9" x14ac:dyDescent="0.3">
      <c r="B1322" t="s">
        <v>1335</v>
      </c>
      <c r="C1322" t="s">
        <v>2413</v>
      </c>
      <c r="D1322" t="s">
        <v>2658</v>
      </c>
      <c r="E1322" s="24">
        <v>41640</v>
      </c>
      <c r="F1322">
        <v>10</v>
      </c>
      <c r="G1322">
        <v>1</v>
      </c>
      <c r="H1322" t="s">
        <v>4429</v>
      </c>
      <c r="I1322">
        <v>10</v>
      </c>
    </row>
    <row r="1323" spans="2:9" x14ac:dyDescent="0.3">
      <c r="B1323" t="s">
        <v>1080</v>
      </c>
      <c r="C1323" t="s">
        <v>2414</v>
      </c>
      <c r="D1323" t="s">
        <v>2658</v>
      </c>
      <c r="E1323" s="24">
        <v>35053</v>
      </c>
      <c r="F1323">
        <v>10</v>
      </c>
      <c r="G1323">
        <v>1</v>
      </c>
      <c r="H1323" t="s">
        <v>4430</v>
      </c>
      <c r="I1323">
        <v>10</v>
      </c>
    </row>
    <row r="1324" spans="2:9" x14ac:dyDescent="0.3">
      <c r="B1324" t="s">
        <v>1081</v>
      </c>
      <c r="C1324" t="s">
        <v>2415</v>
      </c>
      <c r="D1324" t="s">
        <v>2658</v>
      </c>
      <c r="E1324" s="24">
        <v>37851</v>
      </c>
      <c r="F1324">
        <v>10</v>
      </c>
      <c r="G1324">
        <v>1</v>
      </c>
      <c r="H1324" t="s">
        <v>4431</v>
      </c>
      <c r="I1324">
        <v>10</v>
      </c>
    </row>
    <row r="1325" spans="2:9" x14ac:dyDescent="0.3">
      <c r="B1325" t="s">
        <v>1082</v>
      </c>
      <c r="C1325" t="s">
        <v>2416</v>
      </c>
      <c r="D1325" t="s">
        <v>2686</v>
      </c>
      <c r="E1325" s="24">
        <v>36271</v>
      </c>
      <c r="F1325">
        <v>10</v>
      </c>
      <c r="G1325">
        <v>1</v>
      </c>
      <c r="H1325" t="s">
        <v>4432</v>
      </c>
      <c r="I1325">
        <v>10</v>
      </c>
    </row>
    <row r="1326" spans="2:9" x14ac:dyDescent="0.3">
      <c r="B1326" t="s">
        <v>1083</v>
      </c>
      <c r="C1326" t="s">
        <v>2417</v>
      </c>
      <c r="D1326" t="s">
        <v>2658</v>
      </c>
      <c r="E1326" s="24">
        <v>39210</v>
      </c>
      <c r="F1326">
        <v>10</v>
      </c>
      <c r="G1326">
        <v>1</v>
      </c>
      <c r="H1326" t="s">
        <v>4433</v>
      </c>
      <c r="I1326">
        <v>10</v>
      </c>
    </row>
    <row r="1327" spans="2:9" x14ac:dyDescent="0.3">
      <c r="B1327" t="s">
        <v>4434</v>
      </c>
      <c r="C1327" t="s">
        <v>4435</v>
      </c>
      <c r="D1327" t="s">
        <v>2658</v>
      </c>
      <c r="E1327" s="24">
        <v>39322</v>
      </c>
      <c r="F1327">
        <v>10</v>
      </c>
      <c r="G1327">
        <v>1</v>
      </c>
      <c r="H1327" t="s">
        <v>4436</v>
      </c>
      <c r="I1327">
        <v>10</v>
      </c>
    </row>
    <row r="1328" spans="2:9" x14ac:dyDescent="0.3">
      <c r="B1328" t="s">
        <v>109</v>
      </c>
      <c r="C1328" t="s">
        <v>2418</v>
      </c>
      <c r="D1328" t="s">
        <v>2658</v>
      </c>
      <c r="E1328" s="24">
        <v>40802</v>
      </c>
      <c r="F1328">
        <v>10</v>
      </c>
      <c r="G1328">
        <v>1</v>
      </c>
      <c r="H1328" t="s">
        <v>4437</v>
      </c>
      <c r="I1328">
        <v>10</v>
      </c>
    </row>
    <row r="1329" spans="2:9" x14ac:dyDescent="0.3">
      <c r="B1329" t="s">
        <v>1084</v>
      </c>
      <c r="C1329" t="s">
        <v>2419</v>
      </c>
      <c r="D1329" t="s">
        <v>2658</v>
      </c>
      <c r="E1329" s="24">
        <v>35410</v>
      </c>
      <c r="F1329">
        <v>10</v>
      </c>
      <c r="G1329">
        <v>1</v>
      </c>
      <c r="H1329" t="s">
        <v>4438</v>
      </c>
      <c r="I1329">
        <v>10</v>
      </c>
    </row>
    <row r="1330" spans="2:9" x14ac:dyDescent="0.3">
      <c r="B1330" t="s">
        <v>1085</v>
      </c>
      <c r="C1330" t="s">
        <v>2420</v>
      </c>
      <c r="D1330" t="s">
        <v>2658</v>
      </c>
      <c r="E1330" s="24">
        <v>38509</v>
      </c>
      <c r="F1330">
        <v>10</v>
      </c>
      <c r="G1330">
        <v>1</v>
      </c>
      <c r="H1330" t="s">
        <v>4439</v>
      </c>
      <c r="I1330">
        <v>10</v>
      </c>
    </row>
    <row r="1331" spans="2:9" x14ac:dyDescent="0.3">
      <c r="B1331" t="s">
        <v>4440</v>
      </c>
      <c r="C1331" t="s">
        <v>4441</v>
      </c>
      <c r="D1331" t="s">
        <v>2658</v>
      </c>
      <c r="E1331" s="24">
        <v>42576</v>
      </c>
      <c r="F1331">
        <v>1</v>
      </c>
      <c r="G1331">
        <v>1</v>
      </c>
      <c r="H1331" t="s">
        <v>4442</v>
      </c>
      <c r="I1331">
        <v>1</v>
      </c>
    </row>
    <row r="1332" spans="2:9" x14ac:dyDescent="0.3">
      <c r="B1332" t="s">
        <v>94</v>
      </c>
      <c r="C1332" t="s">
        <v>4443</v>
      </c>
      <c r="D1332" t="s">
        <v>2658</v>
      </c>
      <c r="E1332" s="24">
        <v>36558</v>
      </c>
      <c r="F1332">
        <v>10</v>
      </c>
      <c r="G1332">
        <v>1</v>
      </c>
      <c r="H1332" t="s">
        <v>4444</v>
      </c>
      <c r="I1332">
        <v>10</v>
      </c>
    </row>
    <row r="1333" spans="2:9" x14ac:dyDescent="0.3">
      <c r="B1333" t="s">
        <v>1086</v>
      </c>
      <c r="C1333" t="s">
        <v>2421</v>
      </c>
      <c r="D1333" t="s">
        <v>2658</v>
      </c>
      <c r="E1333" s="24">
        <v>34955</v>
      </c>
      <c r="F1333">
        <v>10</v>
      </c>
      <c r="G1333">
        <v>1</v>
      </c>
      <c r="H1333" t="s">
        <v>4445</v>
      </c>
      <c r="I1333">
        <v>10</v>
      </c>
    </row>
    <row r="1334" spans="2:9" x14ac:dyDescent="0.3">
      <c r="B1334" t="s">
        <v>1087</v>
      </c>
      <c r="C1334" t="s">
        <v>2422</v>
      </c>
      <c r="D1334" t="s">
        <v>2658</v>
      </c>
      <c r="E1334" s="24">
        <v>37712</v>
      </c>
      <c r="F1334">
        <v>10</v>
      </c>
      <c r="G1334">
        <v>1</v>
      </c>
      <c r="H1334" t="s">
        <v>4446</v>
      </c>
      <c r="I1334">
        <v>10</v>
      </c>
    </row>
    <row r="1335" spans="2:9" x14ac:dyDescent="0.3">
      <c r="B1335" t="s">
        <v>1088</v>
      </c>
      <c r="C1335" t="s">
        <v>2423</v>
      </c>
      <c r="D1335" t="s">
        <v>2658</v>
      </c>
      <c r="E1335" s="24">
        <v>40583</v>
      </c>
      <c r="F1335">
        <v>10</v>
      </c>
      <c r="G1335">
        <v>1</v>
      </c>
      <c r="H1335" t="s">
        <v>4447</v>
      </c>
      <c r="I1335">
        <v>10</v>
      </c>
    </row>
    <row r="1336" spans="2:9" x14ac:dyDescent="0.3">
      <c r="B1336" t="s">
        <v>1089</v>
      </c>
      <c r="C1336" t="s">
        <v>2424</v>
      </c>
      <c r="D1336" t="s">
        <v>2658</v>
      </c>
      <c r="E1336" s="24">
        <v>37753</v>
      </c>
      <c r="F1336">
        <v>1</v>
      </c>
      <c r="G1336">
        <v>1</v>
      </c>
      <c r="H1336" t="s">
        <v>4448</v>
      </c>
      <c r="I1336">
        <v>1</v>
      </c>
    </row>
    <row r="1337" spans="2:9" x14ac:dyDescent="0.3">
      <c r="B1337" t="s">
        <v>1090</v>
      </c>
      <c r="C1337" t="s">
        <v>2425</v>
      </c>
      <c r="D1337" t="s">
        <v>2658</v>
      </c>
      <c r="E1337" s="24">
        <v>38750</v>
      </c>
      <c r="F1337">
        <v>2</v>
      </c>
      <c r="G1337">
        <v>1</v>
      </c>
      <c r="H1337" t="s">
        <v>4449</v>
      </c>
      <c r="I1337">
        <v>2</v>
      </c>
    </row>
    <row r="1338" spans="2:9" x14ac:dyDescent="0.3">
      <c r="B1338" t="s">
        <v>1091</v>
      </c>
      <c r="C1338" t="s">
        <v>2426</v>
      </c>
      <c r="D1338" t="s">
        <v>2658</v>
      </c>
      <c r="E1338" s="24">
        <v>35039</v>
      </c>
      <c r="F1338">
        <v>10</v>
      </c>
      <c r="G1338">
        <v>1</v>
      </c>
      <c r="H1338" t="s">
        <v>4450</v>
      </c>
      <c r="I1338">
        <v>10</v>
      </c>
    </row>
    <row r="1339" spans="2:9" x14ac:dyDescent="0.3">
      <c r="B1339" t="s">
        <v>1092</v>
      </c>
      <c r="C1339" t="s">
        <v>2427</v>
      </c>
      <c r="D1339" t="s">
        <v>2658</v>
      </c>
      <c r="E1339" s="24">
        <v>36868</v>
      </c>
      <c r="F1339">
        <v>2</v>
      </c>
      <c r="G1339">
        <v>1</v>
      </c>
      <c r="H1339" t="s">
        <v>4451</v>
      </c>
      <c r="I1339">
        <v>2</v>
      </c>
    </row>
    <row r="1340" spans="2:9" x14ac:dyDescent="0.3">
      <c r="B1340" t="s">
        <v>1093</v>
      </c>
      <c r="C1340" t="s">
        <v>2428</v>
      </c>
      <c r="D1340" t="s">
        <v>2658</v>
      </c>
      <c r="E1340" s="24">
        <v>37869</v>
      </c>
      <c r="F1340">
        <v>10</v>
      </c>
      <c r="G1340">
        <v>1</v>
      </c>
      <c r="H1340" t="s">
        <v>4452</v>
      </c>
      <c r="I1340">
        <v>10</v>
      </c>
    </row>
    <row r="1341" spans="2:9" x14ac:dyDescent="0.3">
      <c r="B1341" t="s">
        <v>1094</v>
      </c>
      <c r="C1341" t="s">
        <v>2429</v>
      </c>
      <c r="D1341" t="s">
        <v>2658</v>
      </c>
      <c r="E1341" s="24">
        <v>38546</v>
      </c>
      <c r="F1341">
        <v>2</v>
      </c>
      <c r="G1341">
        <v>1</v>
      </c>
      <c r="H1341" t="s">
        <v>4453</v>
      </c>
      <c r="I1341">
        <v>2</v>
      </c>
    </row>
    <row r="1342" spans="2:9" x14ac:dyDescent="0.3">
      <c r="B1342" t="s">
        <v>1095</v>
      </c>
      <c r="C1342" t="s">
        <v>2430</v>
      </c>
      <c r="D1342" t="s">
        <v>2658</v>
      </c>
      <c r="E1342" s="24">
        <v>34844</v>
      </c>
      <c r="F1342">
        <v>2</v>
      </c>
      <c r="G1342">
        <v>1</v>
      </c>
      <c r="H1342" t="s">
        <v>4454</v>
      </c>
      <c r="I1342">
        <v>2</v>
      </c>
    </row>
    <row r="1343" spans="2:9" x14ac:dyDescent="0.3">
      <c r="B1343" t="s">
        <v>1096</v>
      </c>
      <c r="C1343" t="s">
        <v>2431</v>
      </c>
      <c r="D1343" t="s">
        <v>2658</v>
      </c>
      <c r="E1343" s="24">
        <v>39497</v>
      </c>
      <c r="F1343">
        <v>10</v>
      </c>
      <c r="G1343">
        <v>1</v>
      </c>
      <c r="H1343" t="s">
        <v>4455</v>
      </c>
      <c r="I1343">
        <v>10</v>
      </c>
    </row>
    <row r="1344" spans="2:9" x14ac:dyDescent="0.3">
      <c r="B1344" t="s">
        <v>1097</v>
      </c>
      <c r="C1344" t="s">
        <v>2432</v>
      </c>
      <c r="D1344" t="s">
        <v>2658</v>
      </c>
      <c r="E1344" s="24">
        <v>40522</v>
      </c>
      <c r="F1344">
        <v>10</v>
      </c>
      <c r="G1344">
        <v>1</v>
      </c>
      <c r="H1344" t="s">
        <v>4456</v>
      </c>
      <c r="I1344">
        <v>10</v>
      </c>
    </row>
    <row r="1345" spans="2:9" x14ac:dyDescent="0.3">
      <c r="B1345" t="s">
        <v>1098</v>
      </c>
      <c r="C1345" t="s">
        <v>2433</v>
      </c>
      <c r="D1345" t="s">
        <v>2658</v>
      </c>
      <c r="E1345" s="24">
        <v>40571</v>
      </c>
      <c r="F1345">
        <v>10</v>
      </c>
      <c r="G1345">
        <v>1</v>
      </c>
      <c r="H1345" t="s">
        <v>4457</v>
      </c>
      <c r="I1345">
        <v>10</v>
      </c>
    </row>
    <row r="1346" spans="2:9" x14ac:dyDescent="0.3">
      <c r="B1346" t="s">
        <v>1099</v>
      </c>
      <c r="C1346" t="s">
        <v>2434</v>
      </c>
      <c r="D1346" t="s">
        <v>2658</v>
      </c>
      <c r="E1346" s="24">
        <v>41205</v>
      </c>
      <c r="F1346">
        <v>5</v>
      </c>
      <c r="G1346">
        <v>1</v>
      </c>
      <c r="H1346" t="s">
        <v>4458</v>
      </c>
      <c r="I1346">
        <v>5</v>
      </c>
    </row>
    <row r="1347" spans="2:9" x14ac:dyDescent="0.3">
      <c r="B1347" t="s">
        <v>1100</v>
      </c>
      <c r="C1347" t="s">
        <v>2435</v>
      </c>
      <c r="D1347" t="s">
        <v>2658</v>
      </c>
      <c r="E1347" s="24">
        <v>40331</v>
      </c>
      <c r="F1347">
        <v>1</v>
      </c>
      <c r="G1347">
        <v>1</v>
      </c>
      <c r="H1347" t="s">
        <v>4459</v>
      </c>
      <c r="I1347">
        <v>1</v>
      </c>
    </row>
    <row r="1348" spans="2:9" x14ac:dyDescent="0.3">
      <c r="B1348" t="s">
        <v>1101</v>
      </c>
      <c r="C1348" t="s">
        <v>2436</v>
      </c>
      <c r="D1348" t="s">
        <v>2658</v>
      </c>
      <c r="E1348" s="24">
        <v>35802</v>
      </c>
      <c r="F1348">
        <v>10</v>
      </c>
      <c r="G1348">
        <v>1</v>
      </c>
      <c r="H1348" t="s">
        <v>4460</v>
      </c>
      <c r="I1348">
        <v>10</v>
      </c>
    </row>
    <row r="1349" spans="2:9" x14ac:dyDescent="0.3">
      <c r="B1349" t="s">
        <v>1102</v>
      </c>
      <c r="C1349" t="s">
        <v>2437</v>
      </c>
      <c r="D1349" t="s">
        <v>2658</v>
      </c>
      <c r="E1349" s="24">
        <v>35263</v>
      </c>
      <c r="F1349">
        <v>10</v>
      </c>
      <c r="G1349">
        <v>1</v>
      </c>
      <c r="H1349" t="s">
        <v>4461</v>
      </c>
      <c r="I1349">
        <v>10</v>
      </c>
    </row>
    <row r="1350" spans="2:9" x14ac:dyDescent="0.3">
      <c r="B1350" t="s">
        <v>1103</v>
      </c>
      <c r="C1350" t="s">
        <v>2438</v>
      </c>
      <c r="D1350" t="s">
        <v>2658</v>
      </c>
      <c r="E1350" s="24">
        <v>36684</v>
      </c>
      <c r="F1350">
        <v>1</v>
      </c>
      <c r="G1350">
        <v>1</v>
      </c>
      <c r="H1350" t="s">
        <v>4462</v>
      </c>
      <c r="I1350">
        <v>1</v>
      </c>
    </row>
    <row r="1351" spans="2:9" x14ac:dyDescent="0.3">
      <c r="B1351" t="s">
        <v>1104</v>
      </c>
      <c r="C1351" t="s">
        <v>2439</v>
      </c>
      <c r="D1351" t="s">
        <v>2658</v>
      </c>
      <c r="E1351" s="24">
        <v>38624</v>
      </c>
      <c r="F1351">
        <v>10</v>
      </c>
      <c r="G1351">
        <v>1</v>
      </c>
      <c r="H1351" t="s">
        <v>4463</v>
      </c>
      <c r="I1351">
        <v>10</v>
      </c>
    </row>
    <row r="1352" spans="2:9" x14ac:dyDescent="0.3">
      <c r="B1352" t="s">
        <v>1105</v>
      </c>
      <c r="C1352" t="s">
        <v>2440</v>
      </c>
      <c r="D1352" t="s">
        <v>2658</v>
      </c>
      <c r="E1352" s="24">
        <v>38778</v>
      </c>
      <c r="F1352">
        <v>1</v>
      </c>
      <c r="G1352">
        <v>1</v>
      </c>
      <c r="H1352" t="s">
        <v>4464</v>
      </c>
      <c r="I1352">
        <v>1</v>
      </c>
    </row>
    <row r="1353" spans="2:9" x14ac:dyDescent="0.3">
      <c r="B1353" t="s">
        <v>1106</v>
      </c>
      <c r="C1353" t="s">
        <v>4465</v>
      </c>
      <c r="D1353" t="s">
        <v>2658</v>
      </c>
      <c r="E1353" s="24">
        <v>34738</v>
      </c>
      <c r="F1353">
        <v>1</v>
      </c>
      <c r="G1353">
        <v>1</v>
      </c>
      <c r="H1353" t="s">
        <v>4466</v>
      </c>
      <c r="I1353">
        <v>1</v>
      </c>
    </row>
    <row r="1354" spans="2:9" x14ac:dyDescent="0.3">
      <c r="B1354" t="s">
        <v>1107</v>
      </c>
      <c r="C1354" t="s">
        <v>2441</v>
      </c>
      <c r="D1354" t="s">
        <v>2658</v>
      </c>
      <c r="E1354" s="24">
        <v>40130</v>
      </c>
      <c r="F1354">
        <v>2</v>
      </c>
      <c r="G1354">
        <v>1</v>
      </c>
      <c r="H1354" t="s">
        <v>4467</v>
      </c>
      <c r="I1354">
        <v>2</v>
      </c>
    </row>
    <row r="1355" spans="2:9" x14ac:dyDescent="0.3">
      <c r="B1355" t="s">
        <v>27</v>
      </c>
      <c r="C1355" t="s">
        <v>2442</v>
      </c>
      <c r="D1355" t="s">
        <v>2658</v>
      </c>
      <c r="E1355" s="24">
        <v>38831</v>
      </c>
      <c r="F1355">
        <v>5</v>
      </c>
      <c r="G1355">
        <v>1</v>
      </c>
      <c r="H1355" t="s">
        <v>4468</v>
      </c>
      <c r="I1355">
        <v>5</v>
      </c>
    </row>
    <row r="1356" spans="2:9" x14ac:dyDescent="0.3">
      <c r="B1356" t="s">
        <v>1108</v>
      </c>
      <c r="C1356" t="s">
        <v>2443</v>
      </c>
      <c r="D1356" t="s">
        <v>2658</v>
      </c>
      <c r="E1356" s="24">
        <v>41908</v>
      </c>
      <c r="F1356">
        <v>10</v>
      </c>
      <c r="G1356">
        <v>1</v>
      </c>
      <c r="H1356" t="s">
        <v>4469</v>
      </c>
      <c r="I1356">
        <v>10</v>
      </c>
    </row>
    <row r="1357" spans="2:9" x14ac:dyDescent="0.3">
      <c r="B1357" t="s">
        <v>1109</v>
      </c>
      <c r="C1357" t="s">
        <v>2444</v>
      </c>
      <c r="D1357" t="s">
        <v>2658</v>
      </c>
      <c r="E1357" s="24">
        <v>38176</v>
      </c>
      <c r="F1357">
        <v>1</v>
      </c>
      <c r="G1357">
        <v>1</v>
      </c>
      <c r="H1357" t="s">
        <v>4470</v>
      </c>
      <c r="I1357">
        <v>1</v>
      </c>
    </row>
    <row r="1358" spans="2:9" x14ac:dyDescent="0.3">
      <c r="B1358" t="s">
        <v>1110</v>
      </c>
      <c r="C1358" t="s">
        <v>2445</v>
      </c>
      <c r="D1358" t="s">
        <v>2658</v>
      </c>
      <c r="E1358" s="24">
        <v>36446</v>
      </c>
      <c r="F1358">
        <v>10</v>
      </c>
      <c r="G1358">
        <v>1</v>
      </c>
      <c r="H1358" t="s">
        <v>4471</v>
      </c>
      <c r="I1358">
        <v>10</v>
      </c>
    </row>
    <row r="1359" spans="2:9" x14ac:dyDescent="0.3">
      <c r="B1359" t="s">
        <v>116</v>
      </c>
      <c r="C1359" t="s">
        <v>2446</v>
      </c>
      <c r="D1359" t="s">
        <v>2658</v>
      </c>
      <c r="E1359" s="24">
        <v>38401</v>
      </c>
      <c r="F1359">
        <v>1</v>
      </c>
      <c r="G1359">
        <v>1</v>
      </c>
      <c r="H1359" t="s">
        <v>4472</v>
      </c>
      <c r="I1359">
        <v>1</v>
      </c>
    </row>
    <row r="1360" spans="2:9" x14ac:dyDescent="0.3">
      <c r="B1360" t="s">
        <v>1111</v>
      </c>
      <c r="C1360" t="s">
        <v>2447</v>
      </c>
      <c r="D1360" t="s">
        <v>2658</v>
      </c>
      <c r="E1360" s="24">
        <v>34899</v>
      </c>
      <c r="F1360">
        <v>2</v>
      </c>
      <c r="G1360">
        <v>1</v>
      </c>
      <c r="H1360" t="s">
        <v>4473</v>
      </c>
      <c r="I1360">
        <v>2</v>
      </c>
    </row>
    <row r="1361" spans="2:9" x14ac:dyDescent="0.3">
      <c r="B1361" t="s">
        <v>1112</v>
      </c>
      <c r="C1361" t="s">
        <v>2448</v>
      </c>
      <c r="D1361" t="s">
        <v>2658</v>
      </c>
      <c r="E1361" s="24">
        <v>39373</v>
      </c>
      <c r="F1361">
        <v>10</v>
      </c>
      <c r="G1361">
        <v>1</v>
      </c>
      <c r="H1361" t="s">
        <v>4474</v>
      </c>
      <c r="I1361">
        <v>10</v>
      </c>
    </row>
    <row r="1362" spans="2:9" x14ac:dyDescent="0.3">
      <c r="B1362" t="s">
        <v>1113</v>
      </c>
      <c r="C1362" t="s">
        <v>2449</v>
      </c>
      <c r="D1362" t="s">
        <v>2658</v>
      </c>
      <c r="E1362" s="24">
        <v>39155</v>
      </c>
      <c r="F1362">
        <v>5</v>
      </c>
      <c r="G1362">
        <v>1</v>
      </c>
      <c r="H1362" t="s">
        <v>4475</v>
      </c>
      <c r="I1362">
        <v>5</v>
      </c>
    </row>
    <row r="1363" spans="2:9" x14ac:dyDescent="0.3">
      <c r="B1363" t="s">
        <v>1114</v>
      </c>
      <c r="C1363" t="s">
        <v>2450</v>
      </c>
      <c r="D1363" t="s">
        <v>2658</v>
      </c>
      <c r="E1363" s="24">
        <v>39595</v>
      </c>
      <c r="F1363">
        <v>10</v>
      </c>
      <c r="G1363">
        <v>1</v>
      </c>
      <c r="H1363" t="s">
        <v>4476</v>
      </c>
      <c r="I1363">
        <v>10</v>
      </c>
    </row>
    <row r="1364" spans="2:9" x14ac:dyDescent="0.3">
      <c r="B1364" t="s">
        <v>1115</v>
      </c>
      <c r="C1364" t="s">
        <v>2451</v>
      </c>
      <c r="D1364" t="s">
        <v>2686</v>
      </c>
      <c r="E1364" s="24">
        <v>39079</v>
      </c>
      <c r="F1364">
        <v>10</v>
      </c>
      <c r="G1364">
        <v>1</v>
      </c>
      <c r="H1364" t="s">
        <v>4477</v>
      </c>
      <c r="I1364">
        <v>10</v>
      </c>
    </row>
    <row r="1365" spans="2:9" x14ac:dyDescent="0.3">
      <c r="B1365" t="s">
        <v>1116</v>
      </c>
      <c r="C1365" t="s">
        <v>4478</v>
      </c>
      <c r="D1365" t="s">
        <v>2658</v>
      </c>
      <c r="E1365" s="24">
        <v>40550</v>
      </c>
      <c r="F1365">
        <v>5</v>
      </c>
      <c r="G1365">
        <v>1</v>
      </c>
      <c r="H1365" t="s">
        <v>4479</v>
      </c>
      <c r="I1365">
        <v>5</v>
      </c>
    </row>
    <row r="1366" spans="2:9" x14ac:dyDescent="0.3">
      <c r="B1366" t="s">
        <v>1117</v>
      </c>
      <c r="C1366" t="s">
        <v>2452</v>
      </c>
      <c r="D1366" t="s">
        <v>2658</v>
      </c>
      <c r="E1366" s="24">
        <v>37398</v>
      </c>
      <c r="F1366">
        <v>1</v>
      </c>
      <c r="G1366">
        <v>1</v>
      </c>
      <c r="H1366" t="s">
        <v>4480</v>
      </c>
      <c r="I1366">
        <v>1</v>
      </c>
    </row>
    <row r="1367" spans="2:9" x14ac:dyDescent="0.3">
      <c r="B1367" t="s">
        <v>1118</v>
      </c>
      <c r="C1367" t="s">
        <v>2453</v>
      </c>
      <c r="D1367" t="s">
        <v>2658</v>
      </c>
      <c r="E1367" s="24">
        <v>38518</v>
      </c>
      <c r="F1367">
        <v>10</v>
      </c>
      <c r="G1367">
        <v>1</v>
      </c>
      <c r="H1367" t="s">
        <v>4481</v>
      </c>
      <c r="I1367">
        <v>10</v>
      </c>
    </row>
    <row r="1368" spans="2:9" x14ac:dyDescent="0.3">
      <c r="B1368" t="s">
        <v>1119</v>
      </c>
      <c r="C1368" t="s">
        <v>2454</v>
      </c>
      <c r="D1368" t="s">
        <v>2658</v>
      </c>
      <c r="E1368" s="24">
        <v>34829</v>
      </c>
      <c r="F1368">
        <v>10</v>
      </c>
      <c r="G1368">
        <v>1</v>
      </c>
      <c r="H1368" t="s">
        <v>4482</v>
      </c>
      <c r="I1368">
        <v>10</v>
      </c>
    </row>
    <row r="1369" spans="2:9" x14ac:dyDescent="0.3">
      <c r="B1369" t="s">
        <v>1120</v>
      </c>
      <c r="C1369" t="s">
        <v>2455</v>
      </c>
      <c r="D1369" t="s">
        <v>2658</v>
      </c>
      <c r="E1369" s="24">
        <v>39065</v>
      </c>
      <c r="F1369">
        <v>10</v>
      </c>
      <c r="G1369">
        <v>1</v>
      </c>
      <c r="H1369" t="s">
        <v>4483</v>
      </c>
      <c r="I1369">
        <v>10</v>
      </c>
    </row>
    <row r="1370" spans="2:9" x14ac:dyDescent="0.3">
      <c r="B1370" t="s">
        <v>1121</v>
      </c>
      <c r="C1370" t="s">
        <v>2456</v>
      </c>
      <c r="D1370" t="s">
        <v>2658</v>
      </c>
      <c r="E1370" s="24">
        <v>37917</v>
      </c>
      <c r="F1370">
        <v>1</v>
      </c>
      <c r="G1370">
        <v>1</v>
      </c>
      <c r="H1370" t="s">
        <v>4484</v>
      </c>
      <c r="I1370">
        <v>1</v>
      </c>
    </row>
    <row r="1371" spans="2:9" x14ac:dyDescent="0.3">
      <c r="B1371" t="s">
        <v>1122</v>
      </c>
      <c r="C1371" t="s">
        <v>2457</v>
      </c>
      <c r="D1371" t="s">
        <v>2658</v>
      </c>
      <c r="E1371" s="24">
        <v>38644</v>
      </c>
      <c r="F1371">
        <v>2</v>
      </c>
      <c r="G1371">
        <v>1</v>
      </c>
      <c r="H1371" t="s">
        <v>4485</v>
      </c>
      <c r="I1371">
        <v>2</v>
      </c>
    </row>
    <row r="1372" spans="2:9" x14ac:dyDescent="0.3">
      <c r="B1372" t="s">
        <v>1123</v>
      </c>
      <c r="C1372" t="s">
        <v>2458</v>
      </c>
      <c r="D1372" t="s">
        <v>2658</v>
      </c>
      <c r="E1372" s="24">
        <v>41058</v>
      </c>
      <c r="F1372">
        <v>1</v>
      </c>
      <c r="G1372">
        <v>1</v>
      </c>
      <c r="H1372" t="s">
        <v>4486</v>
      </c>
      <c r="I1372">
        <v>1</v>
      </c>
    </row>
    <row r="1373" spans="2:9" x14ac:dyDescent="0.3">
      <c r="B1373" t="s">
        <v>1124</v>
      </c>
      <c r="C1373" t="s">
        <v>2459</v>
      </c>
      <c r="D1373" t="s">
        <v>2658</v>
      </c>
      <c r="E1373" s="24">
        <v>35039</v>
      </c>
      <c r="F1373">
        <v>10</v>
      </c>
      <c r="G1373">
        <v>1</v>
      </c>
      <c r="H1373" t="s">
        <v>4487</v>
      </c>
      <c r="I1373">
        <v>10</v>
      </c>
    </row>
    <row r="1374" spans="2:9" x14ac:dyDescent="0.3">
      <c r="B1374" t="s">
        <v>1125</v>
      </c>
      <c r="C1374" t="s">
        <v>2460</v>
      </c>
      <c r="D1374" t="s">
        <v>2658</v>
      </c>
      <c r="E1374" s="24">
        <v>38846</v>
      </c>
      <c r="F1374">
        <v>10</v>
      </c>
      <c r="G1374">
        <v>1</v>
      </c>
      <c r="H1374" t="s">
        <v>4488</v>
      </c>
      <c r="I1374">
        <v>10</v>
      </c>
    </row>
    <row r="1375" spans="2:9" x14ac:dyDescent="0.3">
      <c r="B1375" t="s">
        <v>1126</v>
      </c>
      <c r="C1375" t="s">
        <v>2461</v>
      </c>
      <c r="D1375" t="s">
        <v>2658</v>
      </c>
      <c r="E1375" s="24">
        <v>40709</v>
      </c>
      <c r="F1375">
        <v>2</v>
      </c>
      <c r="G1375">
        <v>1</v>
      </c>
      <c r="H1375" t="s">
        <v>4489</v>
      </c>
      <c r="I1375">
        <v>2</v>
      </c>
    </row>
    <row r="1376" spans="2:9" x14ac:dyDescent="0.3">
      <c r="B1376" t="s">
        <v>1127</v>
      </c>
      <c r="C1376" t="s">
        <v>2462</v>
      </c>
      <c r="D1376" t="s">
        <v>2658</v>
      </c>
      <c r="E1376" s="24">
        <v>40224</v>
      </c>
      <c r="F1376">
        <v>10</v>
      </c>
      <c r="G1376">
        <v>1</v>
      </c>
      <c r="H1376" t="s">
        <v>4490</v>
      </c>
      <c r="I1376">
        <v>10</v>
      </c>
    </row>
    <row r="1377" spans="2:9" x14ac:dyDescent="0.3">
      <c r="B1377" t="s">
        <v>95</v>
      </c>
      <c r="C1377" t="s">
        <v>2463</v>
      </c>
      <c r="D1377" t="s">
        <v>2658</v>
      </c>
      <c r="E1377" s="24">
        <v>36516</v>
      </c>
      <c r="F1377">
        <v>10</v>
      </c>
      <c r="G1377">
        <v>1</v>
      </c>
      <c r="H1377" t="s">
        <v>4491</v>
      </c>
      <c r="I1377">
        <v>10</v>
      </c>
    </row>
    <row r="1378" spans="2:9" x14ac:dyDescent="0.3">
      <c r="B1378" t="s">
        <v>4492</v>
      </c>
      <c r="C1378" t="s">
        <v>4493</v>
      </c>
      <c r="D1378" t="s">
        <v>2658</v>
      </c>
      <c r="E1378" s="24">
        <v>42227</v>
      </c>
      <c r="F1378">
        <v>10</v>
      </c>
      <c r="G1378">
        <v>1</v>
      </c>
      <c r="H1378" t="s">
        <v>4494</v>
      </c>
      <c r="I1378">
        <v>10</v>
      </c>
    </row>
    <row r="1379" spans="2:9" x14ac:dyDescent="0.3">
      <c r="B1379" t="s">
        <v>1128</v>
      </c>
      <c r="C1379" t="s">
        <v>2464</v>
      </c>
      <c r="D1379" t="s">
        <v>2658</v>
      </c>
      <c r="E1379" s="24">
        <v>34907</v>
      </c>
      <c r="F1379">
        <v>10</v>
      </c>
      <c r="G1379">
        <v>1</v>
      </c>
      <c r="H1379" t="s">
        <v>4495</v>
      </c>
      <c r="I1379">
        <v>10</v>
      </c>
    </row>
    <row r="1380" spans="2:9" x14ac:dyDescent="0.3">
      <c r="B1380" t="s">
        <v>1129</v>
      </c>
      <c r="C1380" t="s">
        <v>2465</v>
      </c>
      <c r="D1380" t="s">
        <v>2658</v>
      </c>
      <c r="E1380" s="24">
        <v>36880</v>
      </c>
      <c r="F1380">
        <v>2</v>
      </c>
      <c r="G1380">
        <v>1</v>
      </c>
      <c r="H1380" t="s">
        <v>4496</v>
      </c>
      <c r="I1380">
        <v>2</v>
      </c>
    </row>
    <row r="1381" spans="2:9" x14ac:dyDescent="0.3">
      <c r="B1381" t="s">
        <v>1130</v>
      </c>
      <c r="C1381" t="s">
        <v>2466</v>
      </c>
      <c r="D1381" t="s">
        <v>2658</v>
      </c>
      <c r="E1381" s="24">
        <v>39321</v>
      </c>
      <c r="F1381">
        <v>1</v>
      </c>
      <c r="G1381">
        <v>1</v>
      </c>
      <c r="H1381" t="s">
        <v>4497</v>
      </c>
      <c r="I1381">
        <v>1</v>
      </c>
    </row>
    <row r="1382" spans="2:9" x14ac:dyDescent="0.3">
      <c r="B1382" t="s">
        <v>1131</v>
      </c>
      <c r="C1382" t="s">
        <v>2467</v>
      </c>
      <c r="D1382" t="s">
        <v>2658</v>
      </c>
      <c r="E1382" s="24">
        <v>38989</v>
      </c>
      <c r="F1382">
        <v>10</v>
      </c>
      <c r="G1382">
        <v>1</v>
      </c>
      <c r="H1382" t="s">
        <v>4498</v>
      </c>
      <c r="I1382">
        <v>10</v>
      </c>
    </row>
    <row r="1383" spans="2:9" x14ac:dyDescent="0.3">
      <c r="B1383" t="s">
        <v>1132</v>
      </c>
      <c r="C1383" t="s">
        <v>2468</v>
      </c>
      <c r="D1383" t="s">
        <v>2658</v>
      </c>
      <c r="E1383" s="24">
        <v>40308</v>
      </c>
      <c r="F1383">
        <v>10</v>
      </c>
      <c r="G1383">
        <v>1</v>
      </c>
      <c r="H1383" t="s">
        <v>4499</v>
      </c>
      <c r="I1383">
        <v>10</v>
      </c>
    </row>
    <row r="1384" spans="2:9" x14ac:dyDescent="0.3">
      <c r="B1384" t="s">
        <v>1133</v>
      </c>
      <c r="C1384" t="s">
        <v>2469</v>
      </c>
      <c r="D1384" t="s">
        <v>2658</v>
      </c>
      <c r="E1384" s="24">
        <v>39087</v>
      </c>
      <c r="F1384">
        <v>1</v>
      </c>
      <c r="G1384">
        <v>1</v>
      </c>
      <c r="H1384" t="s">
        <v>4500</v>
      </c>
      <c r="I1384">
        <v>1</v>
      </c>
    </row>
    <row r="1385" spans="2:9" x14ac:dyDescent="0.3">
      <c r="B1385" t="s">
        <v>1134</v>
      </c>
      <c r="C1385" t="s">
        <v>2470</v>
      </c>
      <c r="D1385" t="s">
        <v>2686</v>
      </c>
      <c r="E1385" s="24">
        <v>39497</v>
      </c>
      <c r="F1385">
        <v>10</v>
      </c>
      <c r="G1385">
        <v>1</v>
      </c>
      <c r="H1385" t="s">
        <v>4501</v>
      </c>
      <c r="I1385">
        <v>10</v>
      </c>
    </row>
    <row r="1386" spans="2:9" x14ac:dyDescent="0.3">
      <c r="B1386" t="s">
        <v>1135</v>
      </c>
      <c r="C1386" t="s">
        <v>2471</v>
      </c>
      <c r="D1386" t="s">
        <v>2658</v>
      </c>
      <c r="E1386" s="24">
        <v>41249</v>
      </c>
      <c r="F1386">
        <v>10</v>
      </c>
      <c r="G1386">
        <v>1</v>
      </c>
      <c r="H1386" t="s">
        <v>4502</v>
      </c>
      <c r="I1386">
        <v>10</v>
      </c>
    </row>
    <row r="1387" spans="2:9" x14ac:dyDescent="0.3">
      <c r="B1387" t="s">
        <v>1136</v>
      </c>
      <c r="C1387" t="s">
        <v>2472</v>
      </c>
      <c r="D1387" t="s">
        <v>2686</v>
      </c>
      <c r="E1387" s="24">
        <v>40316</v>
      </c>
      <c r="F1387">
        <v>10</v>
      </c>
      <c r="G1387">
        <v>1</v>
      </c>
      <c r="H1387" t="s">
        <v>4503</v>
      </c>
      <c r="I1387">
        <v>10</v>
      </c>
    </row>
    <row r="1388" spans="2:9" x14ac:dyDescent="0.3">
      <c r="B1388" t="s">
        <v>1137</v>
      </c>
      <c r="C1388" t="s">
        <v>2473</v>
      </c>
      <c r="D1388" t="s">
        <v>2686</v>
      </c>
      <c r="E1388" s="24">
        <v>39272</v>
      </c>
      <c r="F1388">
        <v>10</v>
      </c>
      <c r="G1388">
        <v>1</v>
      </c>
      <c r="H1388" t="s">
        <v>4504</v>
      </c>
      <c r="I1388">
        <v>10</v>
      </c>
    </row>
    <row r="1389" spans="2:9" x14ac:dyDescent="0.3">
      <c r="B1389" t="s">
        <v>4505</v>
      </c>
      <c r="C1389" t="s">
        <v>4506</v>
      </c>
      <c r="D1389" t="s">
        <v>2658</v>
      </c>
      <c r="E1389" s="24">
        <v>42817</v>
      </c>
      <c r="F1389">
        <v>10</v>
      </c>
      <c r="G1389">
        <v>1</v>
      </c>
      <c r="H1389" t="s">
        <v>4507</v>
      </c>
      <c r="I1389">
        <v>10</v>
      </c>
    </row>
    <row r="1390" spans="2:9" x14ac:dyDescent="0.3">
      <c r="B1390" t="s">
        <v>97</v>
      </c>
      <c r="C1390" t="s">
        <v>2474</v>
      </c>
      <c r="D1390" t="s">
        <v>2658</v>
      </c>
      <c r="E1390" s="24">
        <v>36251</v>
      </c>
      <c r="F1390">
        <v>10</v>
      </c>
      <c r="G1390">
        <v>1</v>
      </c>
      <c r="H1390" t="s">
        <v>4508</v>
      </c>
      <c r="I1390">
        <v>10</v>
      </c>
    </row>
    <row r="1391" spans="2:9" x14ac:dyDescent="0.3">
      <c r="B1391" t="s">
        <v>97</v>
      </c>
      <c r="C1391" t="s">
        <v>2474</v>
      </c>
      <c r="D1391" t="s">
        <v>3173</v>
      </c>
      <c r="E1391" s="24">
        <v>36251</v>
      </c>
      <c r="F1391">
        <v>10</v>
      </c>
      <c r="G1391">
        <v>1</v>
      </c>
      <c r="H1391" t="s">
        <v>4509</v>
      </c>
      <c r="I1391">
        <v>10</v>
      </c>
    </row>
    <row r="1392" spans="2:9" x14ac:dyDescent="0.3">
      <c r="B1392" t="s">
        <v>1138</v>
      </c>
      <c r="C1392" t="s">
        <v>2475</v>
      </c>
      <c r="D1392" t="s">
        <v>2658</v>
      </c>
      <c r="E1392" s="24">
        <v>36572</v>
      </c>
      <c r="F1392">
        <v>1</v>
      </c>
      <c r="G1392">
        <v>1</v>
      </c>
      <c r="H1392" t="s">
        <v>4510</v>
      </c>
      <c r="I1392">
        <v>1</v>
      </c>
    </row>
    <row r="1393" spans="2:9" x14ac:dyDescent="0.3">
      <c r="B1393" t="s">
        <v>98</v>
      </c>
      <c r="C1393" t="s">
        <v>2476</v>
      </c>
      <c r="D1393" t="s">
        <v>2658</v>
      </c>
      <c r="E1393" s="24">
        <v>34801</v>
      </c>
      <c r="F1393">
        <v>10</v>
      </c>
      <c r="G1393">
        <v>1</v>
      </c>
      <c r="H1393" t="s">
        <v>4511</v>
      </c>
      <c r="I1393">
        <v>10</v>
      </c>
    </row>
    <row r="1394" spans="2:9" x14ac:dyDescent="0.3">
      <c r="B1394" t="s">
        <v>1139</v>
      </c>
      <c r="C1394" t="s">
        <v>2477</v>
      </c>
      <c r="D1394" t="s">
        <v>2658</v>
      </c>
      <c r="E1394" s="24">
        <v>37881</v>
      </c>
      <c r="F1394">
        <v>10</v>
      </c>
      <c r="G1394">
        <v>1</v>
      </c>
      <c r="H1394" t="s">
        <v>4512</v>
      </c>
      <c r="I1394">
        <v>10</v>
      </c>
    </row>
    <row r="1395" spans="2:9" x14ac:dyDescent="0.3">
      <c r="B1395" t="s">
        <v>99</v>
      </c>
      <c r="C1395" t="s">
        <v>2478</v>
      </c>
      <c r="D1395" t="s">
        <v>2658</v>
      </c>
      <c r="E1395" s="24">
        <v>36117</v>
      </c>
      <c r="F1395">
        <v>1</v>
      </c>
      <c r="G1395">
        <v>1</v>
      </c>
      <c r="H1395" t="s">
        <v>4513</v>
      </c>
      <c r="I1395">
        <v>1</v>
      </c>
    </row>
    <row r="1396" spans="2:9" x14ac:dyDescent="0.3">
      <c r="B1396" t="s">
        <v>1140</v>
      </c>
      <c r="C1396" t="s">
        <v>2479</v>
      </c>
      <c r="D1396" t="s">
        <v>2658</v>
      </c>
      <c r="E1396" s="24">
        <v>35970</v>
      </c>
      <c r="F1396">
        <v>10</v>
      </c>
      <c r="G1396">
        <v>1</v>
      </c>
      <c r="H1396" t="s">
        <v>4514</v>
      </c>
      <c r="I1396">
        <v>10</v>
      </c>
    </row>
    <row r="1397" spans="2:9" x14ac:dyDescent="0.3">
      <c r="B1397" t="s">
        <v>1141</v>
      </c>
      <c r="C1397" t="s">
        <v>2480</v>
      </c>
      <c r="D1397" t="s">
        <v>2658</v>
      </c>
      <c r="E1397" s="24">
        <v>37768</v>
      </c>
      <c r="F1397">
        <v>10</v>
      </c>
      <c r="G1397">
        <v>1</v>
      </c>
      <c r="H1397" t="s">
        <v>4515</v>
      </c>
      <c r="I1397">
        <v>10</v>
      </c>
    </row>
    <row r="1398" spans="2:9" x14ac:dyDescent="0.3">
      <c r="B1398" t="s">
        <v>1142</v>
      </c>
      <c r="C1398" t="s">
        <v>2481</v>
      </c>
      <c r="D1398" t="s">
        <v>2658</v>
      </c>
      <c r="E1398" s="24">
        <v>35998</v>
      </c>
      <c r="F1398">
        <v>2</v>
      </c>
      <c r="G1398">
        <v>1</v>
      </c>
      <c r="H1398" t="s">
        <v>4516</v>
      </c>
      <c r="I1398">
        <v>2</v>
      </c>
    </row>
    <row r="1399" spans="2:9" x14ac:dyDescent="0.3">
      <c r="B1399" t="s">
        <v>4517</v>
      </c>
      <c r="C1399" t="s">
        <v>2481</v>
      </c>
      <c r="D1399" t="s">
        <v>2658</v>
      </c>
      <c r="E1399" s="24">
        <v>39757</v>
      </c>
      <c r="F1399">
        <v>2</v>
      </c>
      <c r="G1399">
        <v>1</v>
      </c>
      <c r="H1399" t="s">
        <v>4518</v>
      </c>
      <c r="I1399">
        <v>2</v>
      </c>
    </row>
    <row r="1400" spans="2:9" x14ac:dyDescent="0.3">
      <c r="B1400" t="s">
        <v>1143</v>
      </c>
      <c r="C1400" t="s">
        <v>2482</v>
      </c>
      <c r="D1400" t="s">
        <v>2658</v>
      </c>
      <c r="E1400" s="24">
        <v>35158</v>
      </c>
      <c r="F1400">
        <v>1</v>
      </c>
      <c r="G1400">
        <v>1</v>
      </c>
      <c r="H1400" t="s">
        <v>4519</v>
      </c>
      <c r="I1400">
        <v>1</v>
      </c>
    </row>
    <row r="1401" spans="2:9" x14ac:dyDescent="0.3">
      <c r="B1401" t="s">
        <v>1144</v>
      </c>
      <c r="C1401" t="s">
        <v>2483</v>
      </c>
      <c r="D1401" t="s">
        <v>2658</v>
      </c>
      <c r="E1401" s="24">
        <v>37676</v>
      </c>
      <c r="F1401">
        <v>10</v>
      </c>
      <c r="G1401">
        <v>1</v>
      </c>
      <c r="H1401" t="s">
        <v>4520</v>
      </c>
      <c r="I1401">
        <v>10</v>
      </c>
    </row>
    <row r="1402" spans="2:9" x14ac:dyDescent="0.3">
      <c r="B1402" t="s">
        <v>117</v>
      </c>
      <c r="C1402" t="s">
        <v>2484</v>
      </c>
      <c r="D1402" t="s">
        <v>2658</v>
      </c>
      <c r="E1402" s="24">
        <v>36117</v>
      </c>
      <c r="F1402">
        <v>10</v>
      </c>
      <c r="G1402">
        <v>1</v>
      </c>
      <c r="H1402" t="s">
        <v>4521</v>
      </c>
      <c r="I1402">
        <v>10</v>
      </c>
    </row>
    <row r="1403" spans="2:9" x14ac:dyDescent="0.3">
      <c r="B1403" t="s">
        <v>1145</v>
      </c>
      <c r="C1403" t="s">
        <v>2485</v>
      </c>
      <c r="D1403" t="s">
        <v>2658</v>
      </c>
      <c r="E1403" s="24">
        <v>41038</v>
      </c>
      <c r="F1403">
        <v>10</v>
      </c>
      <c r="G1403">
        <v>1</v>
      </c>
      <c r="H1403" t="s">
        <v>4522</v>
      </c>
      <c r="I1403">
        <v>10</v>
      </c>
    </row>
    <row r="1404" spans="2:9" x14ac:dyDescent="0.3">
      <c r="B1404" t="s">
        <v>1146</v>
      </c>
      <c r="C1404" t="s">
        <v>2486</v>
      </c>
      <c r="D1404" t="s">
        <v>2658</v>
      </c>
      <c r="E1404" s="24">
        <v>37277</v>
      </c>
      <c r="F1404">
        <v>2</v>
      </c>
      <c r="G1404">
        <v>1</v>
      </c>
      <c r="H1404" t="s">
        <v>4523</v>
      </c>
      <c r="I1404">
        <v>2</v>
      </c>
    </row>
    <row r="1405" spans="2:9" x14ac:dyDescent="0.3">
      <c r="B1405" t="s">
        <v>1147</v>
      </c>
      <c r="C1405" t="s">
        <v>2487</v>
      </c>
      <c r="D1405" t="s">
        <v>2658</v>
      </c>
      <c r="E1405" s="24">
        <v>40652</v>
      </c>
      <c r="F1405">
        <v>10</v>
      </c>
      <c r="G1405">
        <v>1</v>
      </c>
      <c r="H1405" t="s">
        <v>4524</v>
      </c>
      <c r="I1405">
        <v>10</v>
      </c>
    </row>
    <row r="1406" spans="2:9" x14ac:dyDescent="0.3">
      <c r="B1406" t="s">
        <v>4525</v>
      </c>
      <c r="C1406" t="s">
        <v>4526</v>
      </c>
      <c r="D1406" t="s">
        <v>2658</v>
      </c>
      <c r="E1406" s="24">
        <v>42719</v>
      </c>
      <c r="F1406">
        <v>2</v>
      </c>
      <c r="G1406">
        <v>1</v>
      </c>
      <c r="H1406" t="s">
        <v>4527</v>
      </c>
      <c r="I1406">
        <v>2</v>
      </c>
    </row>
    <row r="1407" spans="2:9" x14ac:dyDescent="0.3">
      <c r="B1407" t="s">
        <v>1148</v>
      </c>
      <c r="C1407" t="s">
        <v>2488</v>
      </c>
      <c r="D1407" t="s">
        <v>2658</v>
      </c>
      <c r="E1407" s="24">
        <v>35571</v>
      </c>
      <c r="F1407">
        <v>10</v>
      </c>
      <c r="G1407">
        <v>1</v>
      </c>
      <c r="H1407" t="s">
        <v>4528</v>
      </c>
      <c r="I1407">
        <v>10</v>
      </c>
    </row>
    <row r="1408" spans="2:9" x14ac:dyDescent="0.3">
      <c r="B1408" t="s">
        <v>1149</v>
      </c>
      <c r="C1408" t="s">
        <v>2489</v>
      </c>
      <c r="D1408" t="s">
        <v>2658</v>
      </c>
      <c r="E1408" s="24">
        <v>38224</v>
      </c>
      <c r="F1408">
        <v>1</v>
      </c>
      <c r="G1408">
        <v>1</v>
      </c>
      <c r="H1408" t="s">
        <v>4529</v>
      </c>
      <c r="I1408">
        <v>1</v>
      </c>
    </row>
    <row r="1409" spans="2:9" x14ac:dyDescent="0.3">
      <c r="B1409" t="s">
        <v>1150</v>
      </c>
      <c r="C1409" t="s">
        <v>2490</v>
      </c>
      <c r="D1409" t="s">
        <v>2658</v>
      </c>
      <c r="E1409" s="24">
        <v>40794</v>
      </c>
      <c r="F1409">
        <v>10</v>
      </c>
      <c r="G1409">
        <v>1</v>
      </c>
      <c r="H1409" t="s">
        <v>4530</v>
      </c>
      <c r="I1409">
        <v>10</v>
      </c>
    </row>
    <row r="1410" spans="2:9" x14ac:dyDescent="0.3">
      <c r="B1410" t="s">
        <v>4531</v>
      </c>
      <c r="C1410" t="s">
        <v>4532</v>
      </c>
      <c r="D1410" t="s">
        <v>2658</v>
      </c>
      <c r="E1410" s="24">
        <v>42412</v>
      </c>
      <c r="F1410">
        <v>10</v>
      </c>
      <c r="G1410">
        <v>1</v>
      </c>
      <c r="H1410" t="s">
        <v>4533</v>
      </c>
      <c r="I1410">
        <v>10</v>
      </c>
    </row>
    <row r="1411" spans="2:9" x14ac:dyDescent="0.3">
      <c r="B1411" t="s">
        <v>1151</v>
      </c>
      <c r="C1411" t="s">
        <v>4534</v>
      </c>
      <c r="D1411" t="s">
        <v>2686</v>
      </c>
      <c r="E1411" s="24">
        <v>40794</v>
      </c>
      <c r="F1411">
        <v>10</v>
      </c>
      <c r="G1411">
        <v>1</v>
      </c>
      <c r="H1411" t="s">
        <v>4535</v>
      </c>
      <c r="I1411">
        <v>10</v>
      </c>
    </row>
    <row r="1412" spans="2:9" x14ac:dyDescent="0.3">
      <c r="B1412" t="s">
        <v>1152</v>
      </c>
      <c r="C1412" t="s">
        <v>2491</v>
      </c>
      <c r="D1412" t="s">
        <v>2658</v>
      </c>
      <c r="E1412" s="24">
        <v>38957</v>
      </c>
      <c r="F1412">
        <v>5</v>
      </c>
      <c r="G1412">
        <v>1</v>
      </c>
      <c r="H1412" t="s">
        <v>4536</v>
      </c>
      <c r="I1412">
        <v>5</v>
      </c>
    </row>
    <row r="1413" spans="2:9" x14ac:dyDescent="0.3">
      <c r="B1413" t="s">
        <v>1153</v>
      </c>
      <c r="C1413" t="s">
        <v>2492</v>
      </c>
      <c r="D1413" t="s">
        <v>2658</v>
      </c>
      <c r="E1413" s="24">
        <v>40492</v>
      </c>
      <c r="F1413">
        <v>2</v>
      </c>
      <c r="G1413">
        <v>1</v>
      </c>
      <c r="H1413" t="s">
        <v>4537</v>
      </c>
      <c r="I1413">
        <v>2</v>
      </c>
    </row>
    <row r="1414" spans="2:9" x14ac:dyDescent="0.3">
      <c r="B1414" t="s">
        <v>1154</v>
      </c>
      <c r="C1414" t="s">
        <v>2493</v>
      </c>
      <c r="D1414" t="s">
        <v>2658</v>
      </c>
      <c r="E1414" s="24">
        <v>40375</v>
      </c>
      <c r="F1414">
        <v>10</v>
      </c>
      <c r="G1414">
        <v>1</v>
      </c>
      <c r="H1414" t="s">
        <v>4538</v>
      </c>
      <c r="I1414">
        <v>10</v>
      </c>
    </row>
    <row r="1415" spans="2:9" x14ac:dyDescent="0.3">
      <c r="B1415" t="s">
        <v>4539</v>
      </c>
      <c r="C1415" t="s">
        <v>4540</v>
      </c>
      <c r="D1415" t="s">
        <v>2658</v>
      </c>
      <c r="E1415" s="24">
        <v>42733</v>
      </c>
      <c r="F1415">
        <v>10</v>
      </c>
      <c r="G1415">
        <v>1</v>
      </c>
      <c r="H1415" t="s">
        <v>4541</v>
      </c>
      <c r="I1415">
        <v>10</v>
      </c>
    </row>
    <row r="1416" spans="2:9" x14ac:dyDescent="0.3">
      <c r="B1416" t="s">
        <v>1155</v>
      </c>
      <c r="C1416" t="s">
        <v>2494</v>
      </c>
      <c r="D1416" t="s">
        <v>2658</v>
      </c>
      <c r="E1416" s="24">
        <v>38239</v>
      </c>
      <c r="F1416">
        <v>1</v>
      </c>
      <c r="G1416">
        <v>1</v>
      </c>
      <c r="H1416" t="s">
        <v>4542</v>
      </c>
      <c r="I1416">
        <v>1</v>
      </c>
    </row>
    <row r="1417" spans="2:9" x14ac:dyDescent="0.3">
      <c r="B1417" t="s">
        <v>1156</v>
      </c>
      <c r="C1417" t="s">
        <v>2495</v>
      </c>
      <c r="D1417" t="s">
        <v>2686</v>
      </c>
      <c r="E1417" s="24">
        <v>40247</v>
      </c>
      <c r="F1417">
        <v>10</v>
      </c>
      <c r="G1417">
        <v>1</v>
      </c>
      <c r="H1417" t="s">
        <v>4543</v>
      </c>
      <c r="I1417">
        <v>10</v>
      </c>
    </row>
    <row r="1418" spans="2:9" x14ac:dyDescent="0.3">
      <c r="B1418" t="s">
        <v>1157</v>
      </c>
      <c r="C1418" t="s">
        <v>2496</v>
      </c>
      <c r="D1418" t="s">
        <v>2658</v>
      </c>
      <c r="E1418" s="24">
        <v>40605</v>
      </c>
      <c r="F1418">
        <v>1</v>
      </c>
      <c r="G1418">
        <v>1</v>
      </c>
      <c r="H1418" t="s">
        <v>4544</v>
      </c>
      <c r="I1418">
        <v>1</v>
      </c>
    </row>
    <row r="1419" spans="2:9" x14ac:dyDescent="0.3">
      <c r="B1419" t="s">
        <v>1158</v>
      </c>
      <c r="C1419" t="s">
        <v>2497</v>
      </c>
      <c r="D1419" t="s">
        <v>2658</v>
      </c>
      <c r="E1419" s="24">
        <v>36733</v>
      </c>
      <c r="F1419">
        <v>10</v>
      </c>
      <c r="G1419">
        <v>1</v>
      </c>
      <c r="H1419" t="s">
        <v>4545</v>
      </c>
      <c r="I1419">
        <v>10</v>
      </c>
    </row>
    <row r="1420" spans="2:9" x14ac:dyDescent="0.3">
      <c r="B1420" t="s">
        <v>1159</v>
      </c>
      <c r="C1420" t="s">
        <v>2498</v>
      </c>
      <c r="D1420" t="s">
        <v>2686</v>
      </c>
      <c r="E1420" s="24">
        <v>39139</v>
      </c>
      <c r="F1420">
        <v>10</v>
      </c>
      <c r="G1420">
        <v>1</v>
      </c>
      <c r="H1420" t="s">
        <v>4546</v>
      </c>
      <c r="I1420">
        <v>10</v>
      </c>
    </row>
    <row r="1421" spans="2:9" x14ac:dyDescent="0.3">
      <c r="B1421" t="s">
        <v>1160</v>
      </c>
      <c r="C1421" t="s">
        <v>4547</v>
      </c>
      <c r="D1421" t="s">
        <v>2658</v>
      </c>
      <c r="E1421" s="24">
        <v>39219</v>
      </c>
      <c r="F1421">
        <v>10</v>
      </c>
      <c r="G1421">
        <v>1</v>
      </c>
      <c r="H1421" t="s">
        <v>4548</v>
      </c>
      <c r="I1421">
        <v>10</v>
      </c>
    </row>
    <row r="1422" spans="2:9" x14ac:dyDescent="0.3">
      <c r="B1422" t="s">
        <v>1161</v>
      </c>
      <c r="C1422" t="s">
        <v>2499</v>
      </c>
      <c r="D1422" t="s">
        <v>2658</v>
      </c>
      <c r="E1422" s="24">
        <v>40228</v>
      </c>
      <c r="F1422">
        <v>10</v>
      </c>
      <c r="G1422">
        <v>1</v>
      </c>
      <c r="H1422" t="s">
        <v>4549</v>
      </c>
      <c r="I1422">
        <v>10</v>
      </c>
    </row>
    <row r="1423" spans="2:9" x14ac:dyDescent="0.3">
      <c r="B1423" t="s">
        <v>1162</v>
      </c>
      <c r="C1423" t="s">
        <v>2500</v>
      </c>
      <c r="D1423" t="s">
        <v>2658</v>
      </c>
      <c r="E1423" s="24">
        <v>39174</v>
      </c>
      <c r="F1423">
        <v>10</v>
      </c>
      <c r="G1423">
        <v>1</v>
      </c>
      <c r="H1423" t="s">
        <v>4550</v>
      </c>
      <c r="I1423">
        <v>10</v>
      </c>
    </row>
    <row r="1424" spans="2:9" x14ac:dyDescent="0.3">
      <c r="B1424" t="s">
        <v>101</v>
      </c>
      <c r="C1424" t="s">
        <v>2501</v>
      </c>
      <c r="D1424" t="s">
        <v>2658</v>
      </c>
      <c r="E1424" s="24">
        <v>34941</v>
      </c>
      <c r="F1424">
        <v>2</v>
      </c>
      <c r="G1424">
        <v>1</v>
      </c>
      <c r="H1424" t="s">
        <v>4551</v>
      </c>
      <c r="I1424">
        <v>2</v>
      </c>
    </row>
    <row r="1425" spans="2:9" x14ac:dyDescent="0.3">
      <c r="B1425" t="s">
        <v>1163</v>
      </c>
      <c r="C1425" t="s">
        <v>2502</v>
      </c>
      <c r="D1425" t="s">
        <v>2658</v>
      </c>
      <c r="E1425" s="24">
        <v>34821</v>
      </c>
      <c r="F1425">
        <v>10</v>
      </c>
      <c r="G1425">
        <v>1</v>
      </c>
      <c r="H1425" t="s">
        <v>4552</v>
      </c>
      <c r="I1425">
        <v>10</v>
      </c>
    </row>
    <row r="1426" spans="2:9" x14ac:dyDescent="0.3">
      <c r="B1426" t="s">
        <v>1164</v>
      </c>
      <c r="C1426" t="s">
        <v>2503</v>
      </c>
      <c r="D1426" t="s">
        <v>2658</v>
      </c>
      <c r="E1426" s="24">
        <v>36684</v>
      </c>
      <c r="F1426">
        <v>1</v>
      </c>
      <c r="G1426">
        <v>1</v>
      </c>
      <c r="H1426" t="s">
        <v>4553</v>
      </c>
      <c r="I1426">
        <v>1</v>
      </c>
    </row>
    <row r="1427" spans="2:9" x14ac:dyDescent="0.3">
      <c r="B1427" t="s">
        <v>1165</v>
      </c>
      <c r="C1427" t="s">
        <v>2504</v>
      </c>
      <c r="D1427" t="s">
        <v>2686</v>
      </c>
      <c r="E1427" s="24">
        <v>40938</v>
      </c>
      <c r="F1427">
        <v>10</v>
      </c>
      <c r="G1427">
        <v>1</v>
      </c>
      <c r="H1427" t="s">
        <v>4554</v>
      </c>
      <c r="I1427">
        <v>10</v>
      </c>
    </row>
    <row r="1428" spans="2:9" x14ac:dyDescent="0.3">
      <c r="B1428" t="s">
        <v>4555</v>
      </c>
      <c r="C1428" t="s">
        <v>4556</v>
      </c>
      <c r="D1428" t="s">
        <v>2658</v>
      </c>
      <c r="E1428" s="24">
        <v>42499</v>
      </c>
      <c r="F1428">
        <v>10</v>
      </c>
      <c r="G1428">
        <v>1</v>
      </c>
      <c r="H1428" t="s">
        <v>4557</v>
      </c>
      <c r="I1428">
        <v>10</v>
      </c>
    </row>
    <row r="1429" spans="2:9" x14ac:dyDescent="0.3">
      <c r="B1429" t="s">
        <v>1166</v>
      </c>
      <c r="C1429" t="s">
        <v>2505</v>
      </c>
      <c r="D1429" t="s">
        <v>2658</v>
      </c>
      <c r="E1429" s="24">
        <v>40375</v>
      </c>
      <c r="F1429">
        <v>10</v>
      </c>
      <c r="G1429">
        <v>1</v>
      </c>
      <c r="H1429" t="s">
        <v>4558</v>
      </c>
      <c r="I1429">
        <v>10</v>
      </c>
    </row>
    <row r="1430" spans="2:9" x14ac:dyDescent="0.3">
      <c r="B1430" t="s">
        <v>1167</v>
      </c>
      <c r="C1430" t="s">
        <v>2506</v>
      </c>
      <c r="D1430" t="s">
        <v>2658</v>
      </c>
      <c r="E1430" s="24">
        <v>39098</v>
      </c>
      <c r="F1430">
        <v>5</v>
      </c>
      <c r="G1430">
        <v>1</v>
      </c>
      <c r="H1430" t="s">
        <v>4559</v>
      </c>
      <c r="I1430">
        <v>5</v>
      </c>
    </row>
    <row r="1431" spans="2:9" x14ac:dyDescent="0.3">
      <c r="B1431" t="s">
        <v>1168</v>
      </c>
      <c r="C1431" t="s">
        <v>2507</v>
      </c>
      <c r="D1431" t="s">
        <v>2658</v>
      </c>
      <c r="E1431" s="24">
        <v>39125</v>
      </c>
      <c r="F1431">
        <v>10</v>
      </c>
      <c r="G1431">
        <v>1</v>
      </c>
      <c r="H1431" t="s">
        <v>4560</v>
      </c>
      <c r="I1431">
        <v>10</v>
      </c>
    </row>
    <row r="1432" spans="2:9" x14ac:dyDescent="0.3">
      <c r="B1432" t="s">
        <v>1336</v>
      </c>
      <c r="C1432" t="s">
        <v>2508</v>
      </c>
      <c r="D1432" t="s">
        <v>2686</v>
      </c>
      <c r="E1432" s="24">
        <v>40830</v>
      </c>
      <c r="F1432">
        <v>10</v>
      </c>
      <c r="G1432">
        <v>1</v>
      </c>
      <c r="H1432" t="s">
        <v>4561</v>
      </c>
      <c r="I1432">
        <v>10</v>
      </c>
    </row>
    <row r="1433" spans="2:9" x14ac:dyDescent="0.3">
      <c r="B1433" t="s">
        <v>1169</v>
      </c>
      <c r="C1433" t="s">
        <v>2509</v>
      </c>
      <c r="D1433" t="s">
        <v>2658</v>
      </c>
      <c r="E1433" s="24">
        <v>34969</v>
      </c>
      <c r="F1433">
        <v>10</v>
      </c>
      <c r="G1433">
        <v>1</v>
      </c>
      <c r="H1433" t="s">
        <v>4562</v>
      </c>
      <c r="I1433">
        <v>10</v>
      </c>
    </row>
    <row r="1434" spans="2:9" x14ac:dyDescent="0.3">
      <c r="B1434" t="s">
        <v>1170</v>
      </c>
      <c r="C1434" t="s">
        <v>2510</v>
      </c>
      <c r="D1434" t="s">
        <v>2686</v>
      </c>
      <c r="E1434" s="24">
        <v>37879</v>
      </c>
      <c r="F1434">
        <v>10</v>
      </c>
      <c r="G1434">
        <v>1</v>
      </c>
      <c r="H1434" t="s">
        <v>4563</v>
      </c>
      <c r="I1434">
        <v>10</v>
      </c>
    </row>
    <row r="1435" spans="2:9" x14ac:dyDescent="0.3">
      <c r="B1435" t="s">
        <v>1171</v>
      </c>
      <c r="C1435" t="s">
        <v>2511</v>
      </c>
      <c r="D1435" t="s">
        <v>2658</v>
      </c>
      <c r="E1435" s="24">
        <v>39246</v>
      </c>
      <c r="F1435">
        <v>1</v>
      </c>
      <c r="G1435">
        <v>1</v>
      </c>
      <c r="H1435" t="s">
        <v>4564</v>
      </c>
      <c r="I1435">
        <v>1</v>
      </c>
    </row>
    <row r="1436" spans="2:9" x14ac:dyDescent="0.3">
      <c r="B1436" t="s">
        <v>1172</v>
      </c>
      <c r="C1436" t="s">
        <v>2512</v>
      </c>
      <c r="D1436" t="s">
        <v>2658</v>
      </c>
      <c r="E1436" s="24">
        <v>39119</v>
      </c>
      <c r="F1436">
        <v>10</v>
      </c>
      <c r="G1436">
        <v>1</v>
      </c>
      <c r="H1436" t="s">
        <v>4565</v>
      </c>
      <c r="I1436">
        <v>10</v>
      </c>
    </row>
    <row r="1437" spans="2:9" x14ac:dyDescent="0.3">
      <c r="B1437" t="s">
        <v>1173</v>
      </c>
      <c r="C1437" t="s">
        <v>2513</v>
      </c>
      <c r="D1437" t="s">
        <v>2658</v>
      </c>
      <c r="E1437" s="24">
        <v>38744</v>
      </c>
      <c r="F1437">
        <v>10</v>
      </c>
      <c r="G1437">
        <v>1</v>
      </c>
      <c r="H1437" t="s">
        <v>4566</v>
      </c>
      <c r="I1437">
        <v>10</v>
      </c>
    </row>
    <row r="1438" spans="2:9" x14ac:dyDescent="0.3">
      <c r="B1438" t="s">
        <v>1174</v>
      </c>
      <c r="C1438" t="s">
        <v>2514</v>
      </c>
      <c r="D1438" t="s">
        <v>2658</v>
      </c>
      <c r="E1438" s="24">
        <v>36840</v>
      </c>
      <c r="F1438">
        <v>10</v>
      </c>
      <c r="G1438">
        <v>1</v>
      </c>
      <c r="H1438" t="s">
        <v>4567</v>
      </c>
      <c r="I1438">
        <v>10</v>
      </c>
    </row>
    <row r="1439" spans="2:9" x14ac:dyDescent="0.3">
      <c r="B1439" t="s">
        <v>1175</v>
      </c>
      <c r="C1439" t="s">
        <v>2515</v>
      </c>
      <c r="D1439" t="s">
        <v>2658</v>
      </c>
      <c r="E1439" s="24">
        <v>37755</v>
      </c>
      <c r="F1439">
        <v>10</v>
      </c>
      <c r="G1439">
        <v>1</v>
      </c>
      <c r="H1439" t="s">
        <v>4568</v>
      </c>
      <c r="I1439">
        <v>10</v>
      </c>
    </row>
    <row r="1440" spans="2:9" x14ac:dyDescent="0.3">
      <c r="B1440" t="s">
        <v>1176</v>
      </c>
      <c r="C1440" t="s">
        <v>2516</v>
      </c>
      <c r="D1440" t="s">
        <v>2658</v>
      </c>
      <c r="E1440" s="24">
        <v>38254</v>
      </c>
      <c r="F1440">
        <v>1</v>
      </c>
      <c r="G1440">
        <v>1</v>
      </c>
      <c r="H1440" t="s">
        <v>4569</v>
      </c>
      <c r="I1440">
        <v>1</v>
      </c>
    </row>
    <row r="1441" spans="2:9" x14ac:dyDescent="0.3">
      <c r="B1441" t="s">
        <v>4570</v>
      </c>
      <c r="C1441" t="s">
        <v>4571</v>
      </c>
      <c r="D1441" t="s">
        <v>2658</v>
      </c>
      <c r="E1441" s="24">
        <v>42718</v>
      </c>
      <c r="F1441">
        <v>10</v>
      </c>
      <c r="G1441">
        <v>1</v>
      </c>
      <c r="H1441" t="s">
        <v>4572</v>
      </c>
      <c r="I1441">
        <v>10</v>
      </c>
    </row>
    <row r="1442" spans="2:9" x14ac:dyDescent="0.3">
      <c r="B1442" t="s">
        <v>1177</v>
      </c>
      <c r="C1442" t="s">
        <v>2517</v>
      </c>
      <c r="D1442" t="s">
        <v>2658</v>
      </c>
      <c r="E1442" s="24">
        <v>36460</v>
      </c>
      <c r="F1442">
        <v>10</v>
      </c>
      <c r="G1442">
        <v>1</v>
      </c>
      <c r="H1442" t="s">
        <v>4573</v>
      </c>
      <c r="I1442">
        <v>10</v>
      </c>
    </row>
    <row r="1443" spans="2:9" x14ac:dyDescent="0.3">
      <c r="B1443" t="s">
        <v>1178</v>
      </c>
      <c r="C1443" t="s">
        <v>2518</v>
      </c>
      <c r="D1443" t="s">
        <v>2658</v>
      </c>
      <c r="E1443" s="24">
        <v>35109</v>
      </c>
      <c r="F1443">
        <v>10</v>
      </c>
      <c r="G1443">
        <v>1</v>
      </c>
      <c r="H1443" t="s">
        <v>4574</v>
      </c>
      <c r="I1443">
        <v>10</v>
      </c>
    </row>
    <row r="1444" spans="2:9" x14ac:dyDescent="0.3">
      <c r="B1444" t="s">
        <v>1179</v>
      </c>
      <c r="C1444" t="s">
        <v>2519</v>
      </c>
      <c r="D1444" t="s">
        <v>2686</v>
      </c>
      <c r="E1444" s="24">
        <v>37656</v>
      </c>
      <c r="F1444">
        <v>10</v>
      </c>
      <c r="G1444">
        <v>1</v>
      </c>
      <c r="H1444" t="s">
        <v>4575</v>
      </c>
      <c r="I1444">
        <v>10</v>
      </c>
    </row>
    <row r="1445" spans="2:9" x14ac:dyDescent="0.3">
      <c r="B1445" t="s">
        <v>1337</v>
      </c>
      <c r="C1445" t="s">
        <v>2520</v>
      </c>
      <c r="D1445" t="s">
        <v>2686</v>
      </c>
      <c r="E1445" s="24">
        <v>37172</v>
      </c>
      <c r="F1445">
        <v>10</v>
      </c>
      <c r="G1445">
        <v>1</v>
      </c>
      <c r="H1445" t="s">
        <v>4576</v>
      </c>
      <c r="I1445">
        <v>10</v>
      </c>
    </row>
    <row r="1446" spans="2:9" x14ac:dyDescent="0.3">
      <c r="B1446" t="s">
        <v>1180</v>
      </c>
      <c r="C1446" t="s">
        <v>2521</v>
      </c>
      <c r="D1446" t="s">
        <v>2658</v>
      </c>
      <c r="E1446" s="24">
        <v>34983</v>
      </c>
      <c r="F1446">
        <v>10</v>
      </c>
      <c r="G1446">
        <v>1</v>
      </c>
      <c r="H1446" t="s">
        <v>4577</v>
      </c>
      <c r="I1446">
        <v>10</v>
      </c>
    </row>
    <row r="1447" spans="2:9" x14ac:dyDescent="0.3">
      <c r="B1447" t="s">
        <v>102</v>
      </c>
      <c r="C1447" t="s">
        <v>2522</v>
      </c>
      <c r="D1447" t="s">
        <v>2658</v>
      </c>
      <c r="E1447" s="24">
        <v>37585</v>
      </c>
      <c r="F1447">
        <v>5</v>
      </c>
      <c r="G1447">
        <v>1</v>
      </c>
      <c r="H1447" t="s">
        <v>4578</v>
      </c>
      <c r="I1447">
        <v>5</v>
      </c>
    </row>
    <row r="1448" spans="2:9" x14ac:dyDescent="0.3">
      <c r="B1448" t="s">
        <v>103</v>
      </c>
      <c r="C1448" t="s">
        <v>2523</v>
      </c>
      <c r="D1448" t="s">
        <v>2658</v>
      </c>
      <c r="E1448" s="24">
        <v>39049</v>
      </c>
      <c r="F1448">
        <v>10</v>
      </c>
      <c r="G1448">
        <v>1</v>
      </c>
      <c r="H1448" t="s">
        <v>4579</v>
      </c>
      <c r="I1448">
        <v>10</v>
      </c>
    </row>
    <row r="1449" spans="2:9" x14ac:dyDescent="0.3">
      <c r="B1449" t="s">
        <v>4580</v>
      </c>
      <c r="C1449" t="s">
        <v>4581</v>
      </c>
      <c r="D1449" t="s">
        <v>2658</v>
      </c>
      <c r="E1449" s="24">
        <v>42144</v>
      </c>
      <c r="F1449">
        <v>10</v>
      </c>
      <c r="G1449">
        <v>1</v>
      </c>
      <c r="H1449" t="s">
        <v>4582</v>
      </c>
      <c r="I1449">
        <v>10</v>
      </c>
    </row>
    <row r="1450" spans="2:9" x14ac:dyDescent="0.3">
      <c r="B1450" t="s">
        <v>1181</v>
      </c>
      <c r="C1450" t="s">
        <v>2524</v>
      </c>
      <c r="D1450" t="s">
        <v>2658</v>
      </c>
      <c r="E1450" s="24">
        <v>40781</v>
      </c>
      <c r="F1450">
        <v>10</v>
      </c>
      <c r="G1450">
        <v>1</v>
      </c>
      <c r="H1450" t="s">
        <v>4583</v>
      </c>
      <c r="I1450">
        <v>10</v>
      </c>
    </row>
    <row r="1451" spans="2:9" x14ac:dyDescent="0.3">
      <c r="B1451" t="s">
        <v>1182</v>
      </c>
      <c r="C1451" t="s">
        <v>2525</v>
      </c>
      <c r="D1451" t="s">
        <v>2658</v>
      </c>
      <c r="E1451" s="24">
        <v>38145</v>
      </c>
      <c r="F1451">
        <v>1</v>
      </c>
      <c r="G1451">
        <v>1</v>
      </c>
      <c r="H1451" t="s">
        <v>4584</v>
      </c>
      <c r="I1451">
        <v>1</v>
      </c>
    </row>
    <row r="1452" spans="2:9" x14ac:dyDescent="0.3">
      <c r="B1452" t="s">
        <v>1182</v>
      </c>
      <c r="C1452" t="s">
        <v>2525</v>
      </c>
      <c r="D1452" t="s">
        <v>3173</v>
      </c>
      <c r="E1452" s="24">
        <v>38145</v>
      </c>
      <c r="F1452">
        <v>1</v>
      </c>
      <c r="G1452">
        <v>1</v>
      </c>
      <c r="H1452" t="s">
        <v>4584</v>
      </c>
      <c r="I1452">
        <v>1</v>
      </c>
    </row>
    <row r="1453" spans="2:9" x14ac:dyDescent="0.3">
      <c r="B1453" t="s">
        <v>1183</v>
      </c>
      <c r="C1453" t="s">
        <v>2526</v>
      </c>
      <c r="D1453" t="s">
        <v>2658</v>
      </c>
      <c r="E1453" s="24">
        <v>40263</v>
      </c>
      <c r="F1453">
        <v>10</v>
      </c>
      <c r="G1453">
        <v>1</v>
      </c>
      <c r="H1453" t="s">
        <v>4585</v>
      </c>
      <c r="I1453">
        <v>10</v>
      </c>
    </row>
    <row r="1454" spans="2:9" x14ac:dyDescent="0.3">
      <c r="B1454" t="s">
        <v>125</v>
      </c>
      <c r="C1454" t="s">
        <v>2527</v>
      </c>
      <c r="D1454" t="s">
        <v>2658</v>
      </c>
      <c r="E1454" s="24">
        <v>36943</v>
      </c>
      <c r="F1454">
        <v>10</v>
      </c>
      <c r="G1454">
        <v>1</v>
      </c>
      <c r="H1454" t="s">
        <v>4586</v>
      </c>
      <c r="I1454">
        <v>10</v>
      </c>
    </row>
    <row r="1455" spans="2:9" x14ac:dyDescent="0.3">
      <c r="B1455" t="s">
        <v>1184</v>
      </c>
      <c r="C1455" t="s">
        <v>2528</v>
      </c>
      <c r="D1455" t="s">
        <v>2658</v>
      </c>
      <c r="E1455" s="24">
        <v>35894</v>
      </c>
      <c r="F1455">
        <v>10</v>
      </c>
      <c r="G1455">
        <v>1</v>
      </c>
      <c r="H1455" t="s">
        <v>4587</v>
      </c>
      <c r="I1455">
        <v>10</v>
      </c>
    </row>
    <row r="1456" spans="2:9" x14ac:dyDescent="0.3">
      <c r="B1456" t="s">
        <v>1185</v>
      </c>
      <c r="C1456" t="s">
        <v>2529</v>
      </c>
      <c r="D1456" t="s">
        <v>2658</v>
      </c>
      <c r="E1456" s="24">
        <v>39444</v>
      </c>
      <c r="F1456">
        <v>10</v>
      </c>
      <c r="G1456">
        <v>1</v>
      </c>
      <c r="H1456" t="s">
        <v>4588</v>
      </c>
      <c r="I1456">
        <v>10</v>
      </c>
    </row>
    <row r="1457" spans="2:9" x14ac:dyDescent="0.3">
      <c r="B1457" t="s">
        <v>1186</v>
      </c>
      <c r="C1457" t="s">
        <v>2530</v>
      </c>
      <c r="D1457" t="s">
        <v>2658</v>
      </c>
      <c r="E1457" s="24">
        <v>40844</v>
      </c>
      <c r="F1457">
        <v>1</v>
      </c>
      <c r="G1457">
        <v>1</v>
      </c>
      <c r="H1457" t="s">
        <v>4589</v>
      </c>
      <c r="I1457">
        <v>1</v>
      </c>
    </row>
    <row r="1458" spans="2:9" x14ac:dyDescent="0.3">
      <c r="B1458" t="s">
        <v>1187</v>
      </c>
      <c r="C1458" t="s">
        <v>2531</v>
      </c>
      <c r="D1458" t="s">
        <v>2658</v>
      </c>
      <c r="E1458" s="24">
        <v>38699</v>
      </c>
      <c r="F1458">
        <v>1</v>
      </c>
      <c r="G1458">
        <v>1</v>
      </c>
      <c r="H1458" t="s">
        <v>4590</v>
      </c>
      <c r="I1458">
        <v>1</v>
      </c>
    </row>
    <row r="1459" spans="2:9" x14ac:dyDescent="0.3">
      <c r="B1459" t="s">
        <v>4591</v>
      </c>
      <c r="C1459" t="s">
        <v>4592</v>
      </c>
      <c r="D1459" t="s">
        <v>2658</v>
      </c>
      <c r="E1459" s="24">
        <v>42340</v>
      </c>
      <c r="F1459">
        <v>10</v>
      </c>
      <c r="G1459">
        <v>1</v>
      </c>
      <c r="H1459" t="s">
        <v>4593</v>
      </c>
      <c r="I1459">
        <v>10</v>
      </c>
    </row>
    <row r="1460" spans="2:9" x14ac:dyDescent="0.3">
      <c r="B1460" t="s">
        <v>1188</v>
      </c>
      <c r="C1460" t="s">
        <v>2532</v>
      </c>
      <c r="D1460" t="s">
        <v>2658</v>
      </c>
      <c r="E1460" s="24">
        <v>36516</v>
      </c>
      <c r="F1460">
        <v>10</v>
      </c>
      <c r="G1460">
        <v>1</v>
      </c>
      <c r="H1460" t="s">
        <v>4594</v>
      </c>
      <c r="I1460">
        <v>10</v>
      </c>
    </row>
    <row r="1461" spans="2:9" x14ac:dyDescent="0.3">
      <c r="B1461" t="s">
        <v>1189</v>
      </c>
      <c r="C1461" t="s">
        <v>2533</v>
      </c>
      <c r="D1461" t="s">
        <v>2658</v>
      </c>
      <c r="E1461" s="24">
        <v>39135</v>
      </c>
      <c r="F1461">
        <v>10</v>
      </c>
      <c r="G1461">
        <v>1</v>
      </c>
      <c r="H1461" t="s">
        <v>4595</v>
      </c>
      <c r="I1461">
        <v>10</v>
      </c>
    </row>
    <row r="1462" spans="2:9" x14ac:dyDescent="0.3">
      <c r="B1462" t="s">
        <v>1190</v>
      </c>
      <c r="C1462" t="s">
        <v>2534</v>
      </c>
      <c r="D1462" t="s">
        <v>2658</v>
      </c>
      <c r="E1462" s="24">
        <v>36819</v>
      </c>
      <c r="F1462">
        <v>10</v>
      </c>
      <c r="G1462">
        <v>1</v>
      </c>
      <c r="H1462" t="s">
        <v>4596</v>
      </c>
      <c r="I1462">
        <v>10</v>
      </c>
    </row>
    <row r="1463" spans="2:9" x14ac:dyDescent="0.3">
      <c r="B1463" t="s">
        <v>1191</v>
      </c>
      <c r="C1463" t="s">
        <v>2535</v>
      </c>
      <c r="D1463" t="s">
        <v>2658</v>
      </c>
      <c r="E1463" s="24">
        <v>34829</v>
      </c>
      <c r="F1463">
        <v>2</v>
      </c>
      <c r="G1463">
        <v>1</v>
      </c>
      <c r="H1463" t="s">
        <v>4597</v>
      </c>
      <c r="I1463">
        <v>2</v>
      </c>
    </row>
    <row r="1464" spans="2:9" x14ac:dyDescent="0.3">
      <c r="B1464" t="s">
        <v>1192</v>
      </c>
      <c r="C1464" t="s">
        <v>2536</v>
      </c>
      <c r="D1464" t="s">
        <v>2658</v>
      </c>
      <c r="E1464" s="24">
        <v>39503</v>
      </c>
      <c r="F1464">
        <v>10</v>
      </c>
      <c r="G1464">
        <v>1</v>
      </c>
      <c r="H1464" t="s">
        <v>4598</v>
      </c>
      <c r="I1464">
        <v>10</v>
      </c>
    </row>
    <row r="1465" spans="2:9" x14ac:dyDescent="0.3">
      <c r="B1465" t="s">
        <v>96</v>
      </c>
      <c r="C1465" t="s">
        <v>2537</v>
      </c>
      <c r="D1465" t="s">
        <v>2658</v>
      </c>
      <c r="E1465" s="24">
        <v>39121</v>
      </c>
      <c r="F1465">
        <v>2</v>
      </c>
      <c r="G1465">
        <v>1</v>
      </c>
      <c r="H1465" t="s">
        <v>4599</v>
      </c>
      <c r="I1465">
        <v>2</v>
      </c>
    </row>
    <row r="1466" spans="2:9" x14ac:dyDescent="0.3">
      <c r="B1466" t="s">
        <v>1193</v>
      </c>
      <c r="C1466" t="s">
        <v>2538</v>
      </c>
      <c r="D1466" t="s">
        <v>2658</v>
      </c>
      <c r="E1466" s="24">
        <v>37981</v>
      </c>
      <c r="F1466">
        <v>10</v>
      </c>
      <c r="G1466">
        <v>1</v>
      </c>
      <c r="H1466" t="s">
        <v>4600</v>
      </c>
      <c r="I1466">
        <v>10</v>
      </c>
    </row>
    <row r="1467" spans="2:9" x14ac:dyDescent="0.3">
      <c r="B1467" t="s">
        <v>1194</v>
      </c>
      <c r="C1467" t="s">
        <v>2539</v>
      </c>
      <c r="D1467" t="s">
        <v>2658</v>
      </c>
      <c r="E1467" s="24">
        <v>36740</v>
      </c>
      <c r="F1467">
        <v>1</v>
      </c>
      <c r="G1467">
        <v>1</v>
      </c>
      <c r="H1467" t="s">
        <v>4601</v>
      </c>
      <c r="I1467">
        <v>1</v>
      </c>
    </row>
    <row r="1468" spans="2:9" x14ac:dyDescent="0.3">
      <c r="B1468" t="s">
        <v>1195</v>
      </c>
      <c r="C1468" t="s">
        <v>2540</v>
      </c>
      <c r="D1468" t="s">
        <v>2658</v>
      </c>
      <c r="E1468" s="24">
        <v>39126</v>
      </c>
      <c r="F1468">
        <v>10</v>
      </c>
      <c r="G1468">
        <v>1</v>
      </c>
      <c r="H1468" t="s">
        <v>4602</v>
      </c>
      <c r="I1468">
        <v>10</v>
      </c>
    </row>
    <row r="1469" spans="2:9" x14ac:dyDescent="0.3">
      <c r="B1469" t="s">
        <v>1196</v>
      </c>
      <c r="C1469" t="s">
        <v>2541</v>
      </c>
      <c r="D1469" t="s">
        <v>2658</v>
      </c>
      <c r="E1469" s="24">
        <v>38002</v>
      </c>
      <c r="F1469">
        <v>5</v>
      </c>
      <c r="G1469">
        <v>1</v>
      </c>
      <c r="H1469" t="s">
        <v>4603</v>
      </c>
      <c r="I1469">
        <v>5</v>
      </c>
    </row>
    <row r="1470" spans="2:9" x14ac:dyDescent="0.3">
      <c r="B1470" t="s">
        <v>4604</v>
      </c>
      <c r="C1470" t="s">
        <v>4605</v>
      </c>
      <c r="D1470" t="s">
        <v>2658</v>
      </c>
      <c r="E1470" s="24">
        <v>42628</v>
      </c>
      <c r="F1470">
        <v>10</v>
      </c>
      <c r="G1470">
        <v>1</v>
      </c>
      <c r="H1470" t="s">
        <v>4606</v>
      </c>
      <c r="I1470">
        <v>10</v>
      </c>
    </row>
    <row r="1471" spans="2:9" x14ac:dyDescent="0.3">
      <c r="B1471" t="s">
        <v>1197</v>
      </c>
      <c r="C1471" t="s">
        <v>2542</v>
      </c>
      <c r="D1471" t="s">
        <v>2658</v>
      </c>
      <c r="E1471" s="24">
        <v>39559</v>
      </c>
      <c r="F1471">
        <v>2</v>
      </c>
      <c r="G1471">
        <v>1</v>
      </c>
      <c r="H1471" t="s">
        <v>4607</v>
      </c>
      <c r="I1471">
        <v>2</v>
      </c>
    </row>
    <row r="1472" spans="2:9" x14ac:dyDescent="0.3">
      <c r="B1472" t="s">
        <v>1198</v>
      </c>
      <c r="C1472" t="s">
        <v>2543</v>
      </c>
      <c r="D1472" t="s">
        <v>2686</v>
      </c>
      <c r="E1472" s="24">
        <v>39589</v>
      </c>
      <c r="F1472">
        <v>10</v>
      </c>
      <c r="G1472">
        <v>1</v>
      </c>
      <c r="H1472" t="s">
        <v>4608</v>
      </c>
      <c r="I1472">
        <v>10</v>
      </c>
    </row>
    <row r="1473" spans="2:9" x14ac:dyDescent="0.3">
      <c r="B1473" t="s">
        <v>107</v>
      </c>
      <c r="C1473" t="s">
        <v>2544</v>
      </c>
      <c r="D1473" t="s">
        <v>2658</v>
      </c>
      <c r="E1473" s="24">
        <v>39657</v>
      </c>
      <c r="F1473">
        <v>1</v>
      </c>
      <c r="G1473">
        <v>1</v>
      </c>
      <c r="H1473" t="s">
        <v>4609</v>
      </c>
      <c r="I1473">
        <v>1</v>
      </c>
    </row>
    <row r="1474" spans="2:9" x14ac:dyDescent="0.3">
      <c r="B1474" t="s">
        <v>1199</v>
      </c>
      <c r="C1474" t="s">
        <v>2545</v>
      </c>
      <c r="D1474" t="s">
        <v>2658</v>
      </c>
      <c r="E1474" s="24">
        <v>34955</v>
      </c>
      <c r="F1474">
        <v>10</v>
      </c>
      <c r="G1474">
        <v>1</v>
      </c>
      <c r="H1474" t="s">
        <v>4610</v>
      </c>
      <c r="I1474">
        <v>10</v>
      </c>
    </row>
    <row r="1475" spans="2:9" x14ac:dyDescent="0.3">
      <c r="B1475" t="s">
        <v>1200</v>
      </c>
      <c r="C1475" t="s">
        <v>2546</v>
      </c>
      <c r="D1475" t="s">
        <v>2658</v>
      </c>
      <c r="E1475" s="24">
        <v>37903</v>
      </c>
      <c r="F1475">
        <v>10</v>
      </c>
      <c r="G1475">
        <v>1</v>
      </c>
      <c r="H1475" t="s">
        <v>4611</v>
      </c>
      <c r="I1475">
        <v>10</v>
      </c>
    </row>
    <row r="1476" spans="2:9" x14ac:dyDescent="0.3">
      <c r="B1476" t="s">
        <v>1201</v>
      </c>
      <c r="C1476" t="s">
        <v>2547</v>
      </c>
      <c r="D1476" t="s">
        <v>2658</v>
      </c>
      <c r="E1476" s="24">
        <v>34934</v>
      </c>
      <c r="F1476">
        <v>10</v>
      </c>
      <c r="G1476">
        <v>1</v>
      </c>
      <c r="H1476" t="s">
        <v>4612</v>
      </c>
      <c r="I1476">
        <v>10</v>
      </c>
    </row>
    <row r="1477" spans="2:9" x14ac:dyDescent="0.3">
      <c r="B1477" t="s">
        <v>4613</v>
      </c>
      <c r="C1477" t="s">
        <v>4614</v>
      </c>
      <c r="D1477" t="s">
        <v>2658</v>
      </c>
      <c r="E1477" s="24">
        <v>42138</v>
      </c>
      <c r="F1477">
        <v>10</v>
      </c>
      <c r="G1477">
        <v>1</v>
      </c>
      <c r="H1477" t="s">
        <v>4615</v>
      </c>
      <c r="I1477">
        <v>10</v>
      </c>
    </row>
    <row r="1478" spans="2:9" x14ac:dyDescent="0.3">
      <c r="B1478" t="s">
        <v>1202</v>
      </c>
      <c r="C1478" t="s">
        <v>2548</v>
      </c>
      <c r="D1478" t="s">
        <v>2658</v>
      </c>
      <c r="E1478" s="24">
        <v>40413</v>
      </c>
      <c r="F1478">
        <v>1</v>
      </c>
      <c r="G1478">
        <v>1</v>
      </c>
      <c r="H1478" t="s">
        <v>4616</v>
      </c>
      <c r="I1478">
        <v>1</v>
      </c>
    </row>
    <row r="1479" spans="2:9" x14ac:dyDescent="0.3">
      <c r="B1479" t="s">
        <v>1203</v>
      </c>
      <c r="C1479" t="s">
        <v>2549</v>
      </c>
      <c r="D1479" t="s">
        <v>2658</v>
      </c>
      <c r="E1479" s="24">
        <v>40836</v>
      </c>
      <c r="F1479">
        <v>1</v>
      </c>
      <c r="G1479">
        <v>1</v>
      </c>
      <c r="H1479" t="s">
        <v>4617</v>
      </c>
      <c r="I1479">
        <v>1</v>
      </c>
    </row>
    <row r="1480" spans="2:9" x14ac:dyDescent="0.3">
      <c r="B1480" t="s">
        <v>4618</v>
      </c>
      <c r="C1480" t="s">
        <v>4619</v>
      </c>
      <c r="D1480" t="s">
        <v>2658</v>
      </c>
      <c r="E1480" s="24">
        <v>42500</v>
      </c>
      <c r="F1480">
        <v>10</v>
      </c>
      <c r="G1480">
        <v>1</v>
      </c>
      <c r="H1480" t="s">
        <v>4620</v>
      </c>
      <c r="I1480">
        <v>10</v>
      </c>
    </row>
    <row r="1481" spans="2:9" x14ac:dyDescent="0.3">
      <c r="B1481" t="s">
        <v>4618</v>
      </c>
      <c r="C1481" t="s">
        <v>4619</v>
      </c>
      <c r="D1481" t="s">
        <v>3173</v>
      </c>
      <c r="E1481" s="24">
        <v>42500</v>
      </c>
      <c r="F1481">
        <v>10</v>
      </c>
      <c r="G1481">
        <v>1</v>
      </c>
      <c r="H1481" t="s">
        <v>4620</v>
      </c>
      <c r="I1481">
        <v>10</v>
      </c>
    </row>
    <row r="1482" spans="2:9" x14ac:dyDescent="0.3">
      <c r="B1482" t="s">
        <v>1204</v>
      </c>
      <c r="C1482" t="s">
        <v>2550</v>
      </c>
      <c r="D1482" t="s">
        <v>2658</v>
      </c>
      <c r="E1482" s="24">
        <v>38223</v>
      </c>
      <c r="F1482">
        <v>10</v>
      </c>
      <c r="G1482">
        <v>1</v>
      </c>
      <c r="H1482" t="s">
        <v>4621</v>
      </c>
      <c r="I1482">
        <v>10</v>
      </c>
    </row>
    <row r="1483" spans="2:9" x14ac:dyDescent="0.3">
      <c r="B1483" t="s">
        <v>4622</v>
      </c>
      <c r="C1483" t="s">
        <v>4623</v>
      </c>
      <c r="D1483" t="s">
        <v>2658</v>
      </c>
      <c r="E1483" s="24">
        <v>42340</v>
      </c>
      <c r="F1483">
        <v>5</v>
      </c>
      <c r="G1483">
        <v>1</v>
      </c>
      <c r="H1483" t="s">
        <v>4624</v>
      </c>
      <c r="I1483">
        <v>5</v>
      </c>
    </row>
    <row r="1484" spans="2:9" x14ac:dyDescent="0.3">
      <c r="B1484" t="s">
        <v>1205</v>
      </c>
      <c r="C1484" t="s">
        <v>2551</v>
      </c>
      <c r="D1484" t="s">
        <v>2658</v>
      </c>
      <c r="E1484" s="24">
        <v>40371</v>
      </c>
      <c r="F1484">
        <v>1</v>
      </c>
      <c r="G1484">
        <v>1</v>
      </c>
      <c r="H1484" t="s">
        <v>4625</v>
      </c>
      <c r="I1484">
        <v>1</v>
      </c>
    </row>
    <row r="1485" spans="2:9" x14ac:dyDescent="0.3">
      <c r="B1485" t="s">
        <v>1206</v>
      </c>
      <c r="C1485" t="s">
        <v>2552</v>
      </c>
      <c r="D1485" t="s">
        <v>2658</v>
      </c>
      <c r="E1485" s="24">
        <v>36929</v>
      </c>
      <c r="F1485">
        <v>2</v>
      </c>
      <c r="G1485">
        <v>1</v>
      </c>
      <c r="H1485" t="s">
        <v>4626</v>
      </c>
      <c r="I1485">
        <v>2</v>
      </c>
    </row>
    <row r="1486" spans="2:9" x14ac:dyDescent="0.3">
      <c r="B1486" t="s">
        <v>1207</v>
      </c>
      <c r="C1486" t="s">
        <v>2553</v>
      </c>
      <c r="D1486" t="s">
        <v>2658</v>
      </c>
      <c r="E1486" s="24">
        <v>38009</v>
      </c>
      <c r="F1486">
        <v>2</v>
      </c>
      <c r="G1486">
        <v>1</v>
      </c>
      <c r="H1486" t="s">
        <v>4627</v>
      </c>
      <c r="I1486">
        <v>2</v>
      </c>
    </row>
    <row r="1487" spans="2:9" x14ac:dyDescent="0.3">
      <c r="B1487" t="s">
        <v>105</v>
      </c>
      <c r="C1487" t="s">
        <v>2554</v>
      </c>
      <c r="D1487" t="s">
        <v>2658</v>
      </c>
      <c r="E1487" s="24">
        <v>37523</v>
      </c>
      <c r="F1487">
        <v>10</v>
      </c>
      <c r="G1487">
        <v>1</v>
      </c>
      <c r="H1487" t="s">
        <v>4628</v>
      </c>
      <c r="I1487">
        <v>10</v>
      </c>
    </row>
    <row r="1488" spans="2:9" x14ac:dyDescent="0.3">
      <c r="B1488" t="s">
        <v>1208</v>
      </c>
      <c r="C1488" t="s">
        <v>2555</v>
      </c>
      <c r="D1488" t="s">
        <v>2686</v>
      </c>
      <c r="E1488" s="24">
        <v>39149</v>
      </c>
      <c r="F1488">
        <v>10</v>
      </c>
      <c r="G1488">
        <v>1</v>
      </c>
      <c r="H1488" t="s">
        <v>4629</v>
      </c>
      <c r="I1488">
        <v>10</v>
      </c>
    </row>
    <row r="1489" spans="2:9" x14ac:dyDescent="0.3">
      <c r="B1489" t="s">
        <v>106</v>
      </c>
      <c r="C1489" t="s">
        <v>2556</v>
      </c>
      <c r="D1489" t="s">
        <v>2658</v>
      </c>
      <c r="E1489" s="24">
        <v>36411</v>
      </c>
      <c r="F1489">
        <v>2</v>
      </c>
      <c r="G1489">
        <v>1</v>
      </c>
      <c r="H1489" t="s">
        <v>4630</v>
      </c>
      <c r="I1489">
        <v>2</v>
      </c>
    </row>
    <row r="1490" spans="2:9" x14ac:dyDescent="0.3">
      <c r="B1490" t="s">
        <v>1209</v>
      </c>
      <c r="C1490" t="s">
        <v>2557</v>
      </c>
      <c r="D1490" t="s">
        <v>2658</v>
      </c>
      <c r="E1490" s="24">
        <v>40255</v>
      </c>
      <c r="F1490">
        <v>10</v>
      </c>
      <c r="G1490">
        <v>1</v>
      </c>
      <c r="H1490" t="s">
        <v>4631</v>
      </c>
      <c r="I1490">
        <v>10</v>
      </c>
    </row>
    <row r="1491" spans="2:9" x14ac:dyDescent="0.3">
      <c r="B1491" t="s">
        <v>4632</v>
      </c>
      <c r="C1491" t="s">
        <v>4633</v>
      </c>
      <c r="D1491" t="s">
        <v>2658</v>
      </c>
      <c r="E1491" s="24">
        <v>42032</v>
      </c>
      <c r="F1491">
        <v>10</v>
      </c>
      <c r="G1491">
        <v>1</v>
      </c>
      <c r="H1491" t="s">
        <v>4634</v>
      </c>
      <c r="I1491">
        <v>10</v>
      </c>
    </row>
    <row r="1492" spans="2:9" x14ac:dyDescent="0.3">
      <c r="B1492" t="s">
        <v>1210</v>
      </c>
      <c r="C1492" t="s">
        <v>2558</v>
      </c>
      <c r="D1492" t="s">
        <v>2658</v>
      </c>
      <c r="E1492" s="24">
        <v>38880</v>
      </c>
      <c r="F1492">
        <v>2</v>
      </c>
      <c r="G1492">
        <v>1</v>
      </c>
      <c r="H1492" t="s">
        <v>4635</v>
      </c>
      <c r="I1492">
        <v>2</v>
      </c>
    </row>
    <row r="1493" spans="2:9" x14ac:dyDescent="0.3">
      <c r="B1493" t="s">
        <v>1211</v>
      </c>
      <c r="C1493" t="s">
        <v>2559</v>
      </c>
      <c r="D1493" t="s">
        <v>2658</v>
      </c>
      <c r="E1493" s="24">
        <v>34836</v>
      </c>
      <c r="F1493">
        <v>10</v>
      </c>
      <c r="G1493">
        <v>1</v>
      </c>
      <c r="H1493" t="s">
        <v>4636</v>
      </c>
      <c r="I1493">
        <v>10</v>
      </c>
    </row>
    <row r="1494" spans="2:9" x14ac:dyDescent="0.3">
      <c r="B1494" t="s">
        <v>104</v>
      </c>
      <c r="C1494" t="s">
        <v>2560</v>
      </c>
      <c r="D1494" t="s">
        <v>2658</v>
      </c>
      <c r="E1494" s="24">
        <v>38009</v>
      </c>
      <c r="F1494">
        <v>2</v>
      </c>
      <c r="G1494">
        <v>1</v>
      </c>
      <c r="H1494" t="s">
        <v>4637</v>
      </c>
      <c r="I1494">
        <v>2</v>
      </c>
    </row>
    <row r="1495" spans="2:9" x14ac:dyDescent="0.3">
      <c r="B1495" t="s">
        <v>4638</v>
      </c>
      <c r="C1495" t="s">
        <v>4639</v>
      </c>
      <c r="D1495" t="s">
        <v>2686</v>
      </c>
      <c r="E1495" s="24">
        <v>42822</v>
      </c>
      <c r="F1495">
        <v>1</v>
      </c>
      <c r="G1495">
        <v>1</v>
      </c>
      <c r="H1495" t="s">
        <v>4640</v>
      </c>
      <c r="I1495">
        <v>1</v>
      </c>
    </row>
    <row r="1496" spans="2:9" x14ac:dyDescent="0.3">
      <c r="B1496" t="s">
        <v>1212</v>
      </c>
      <c r="C1496" t="s">
        <v>2561</v>
      </c>
      <c r="D1496" t="s">
        <v>2658</v>
      </c>
      <c r="E1496" s="24">
        <v>36810</v>
      </c>
      <c r="F1496">
        <v>1</v>
      </c>
      <c r="G1496">
        <v>1</v>
      </c>
      <c r="H1496" t="s">
        <v>4641</v>
      </c>
      <c r="I1496">
        <v>1</v>
      </c>
    </row>
    <row r="1497" spans="2:9" x14ac:dyDescent="0.3">
      <c r="B1497" t="s">
        <v>1213</v>
      </c>
      <c r="C1497" t="s">
        <v>2562</v>
      </c>
      <c r="D1497" t="s">
        <v>2658</v>
      </c>
      <c r="E1497" s="24">
        <v>40389</v>
      </c>
      <c r="F1497">
        <v>10</v>
      </c>
      <c r="G1497">
        <v>1</v>
      </c>
      <c r="H1497" t="s">
        <v>4642</v>
      </c>
      <c r="I1497">
        <v>10</v>
      </c>
    </row>
    <row r="1498" spans="2:9" x14ac:dyDescent="0.3">
      <c r="B1498" t="s">
        <v>1214</v>
      </c>
      <c r="C1498" t="s">
        <v>2563</v>
      </c>
      <c r="D1498" t="s">
        <v>2658</v>
      </c>
      <c r="E1498" s="24">
        <v>34844</v>
      </c>
      <c r="F1498">
        <v>10</v>
      </c>
      <c r="G1498">
        <v>1</v>
      </c>
      <c r="H1498" t="s">
        <v>4643</v>
      </c>
      <c r="I1498">
        <v>10</v>
      </c>
    </row>
    <row r="1499" spans="2:9" x14ac:dyDescent="0.3">
      <c r="B1499" t="s">
        <v>1215</v>
      </c>
      <c r="C1499" t="s">
        <v>2564</v>
      </c>
      <c r="D1499" t="s">
        <v>2658</v>
      </c>
      <c r="E1499" s="24">
        <v>38817</v>
      </c>
      <c r="F1499">
        <v>10</v>
      </c>
      <c r="G1499">
        <v>1</v>
      </c>
      <c r="H1499" t="s">
        <v>4644</v>
      </c>
      <c r="I1499">
        <v>10</v>
      </c>
    </row>
    <row r="1500" spans="2:9" x14ac:dyDescent="0.3">
      <c r="B1500" t="s">
        <v>4645</v>
      </c>
      <c r="C1500" t="s">
        <v>2565</v>
      </c>
      <c r="D1500" t="s">
        <v>2686</v>
      </c>
      <c r="E1500" s="24">
        <v>42545</v>
      </c>
      <c r="F1500">
        <v>1</v>
      </c>
      <c r="G1500">
        <v>1</v>
      </c>
      <c r="H1500" t="s">
        <v>4646</v>
      </c>
      <c r="I1500">
        <v>1</v>
      </c>
    </row>
    <row r="1501" spans="2:9" x14ac:dyDescent="0.3">
      <c r="B1501" t="s">
        <v>1216</v>
      </c>
      <c r="C1501" t="s">
        <v>2566</v>
      </c>
      <c r="D1501" t="s">
        <v>2658</v>
      </c>
      <c r="E1501" s="24">
        <v>39267</v>
      </c>
      <c r="F1501">
        <v>10</v>
      </c>
      <c r="G1501">
        <v>1</v>
      </c>
      <c r="H1501" t="s">
        <v>4647</v>
      </c>
      <c r="I1501">
        <v>10</v>
      </c>
    </row>
    <row r="1502" spans="2:9" x14ac:dyDescent="0.3">
      <c r="B1502" t="s">
        <v>1217</v>
      </c>
      <c r="C1502" t="s">
        <v>2567</v>
      </c>
      <c r="D1502" t="s">
        <v>2658</v>
      </c>
      <c r="E1502" s="24">
        <v>40709</v>
      </c>
      <c r="F1502">
        <v>10</v>
      </c>
      <c r="G1502">
        <v>1</v>
      </c>
      <c r="H1502" t="s">
        <v>4648</v>
      </c>
      <c r="I1502">
        <v>10</v>
      </c>
    </row>
    <row r="1503" spans="2:9" x14ac:dyDescent="0.3">
      <c r="B1503" t="s">
        <v>1218</v>
      </c>
      <c r="C1503" t="s">
        <v>2568</v>
      </c>
      <c r="D1503" t="s">
        <v>2686</v>
      </c>
      <c r="E1503" s="24">
        <v>38082</v>
      </c>
      <c r="F1503">
        <v>10</v>
      </c>
      <c r="G1503">
        <v>1</v>
      </c>
      <c r="H1503" t="s">
        <v>4649</v>
      </c>
      <c r="I1503">
        <v>10</v>
      </c>
    </row>
    <row r="1504" spans="2:9" x14ac:dyDescent="0.3">
      <c r="B1504" t="s">
        <v>1219</v>
      </c>
      <c r="C1504" t="s">
        <v>4650</v>
      </c>
      <c r="D1504" t="s">
        <v>2658</v>
      </c>
      <c r="E1504" s="24">
        <v>38810</v>
      </c>
      <c r="F1504">
        <v>1</v>
      </c>
      <c r="G1504">
        <v>1</v>
      </c>
      <c r="H1504" t="s">
        <v>4651</v>
      </c>
      <c r="I1504">
        <v>1</v>
      </c>
    </row>
    <row r="1505" spans="2:9" x14ac:dyDescent="0.3">
      <c r="B1505" t="s">
        <v>1220</v>
      </c>
      <c r="C1505" t="s">
        <v>2569</v>
      </c>
      <c r="D1505" t="s">
        <v>2658</v>
      </c>
      <c r="E1505" s="24">
        <v>35277</v>
      </c>
      <c r="F1505">
        <v>10</v>
      </c>
      <c r="G1505">
        <v>1</v>
      </c>
      <c r="H1505" t="s">
        <v>4652</v>
      </c>
      <c r="I1505">
        <v>10</v>
      </c>
    </row>
    <row r="1506" spans="2:9" x14ac:dyDescent="0.3">
      <c r="B1506" t="s">
        <v>1221</v>
      </c>
      <c r="C1506" t="s">
        <v>2570</v>
      </c>
      <c r="D1506" t="s">
        <v>2658</v>
      </c>
      <c r="E1506" s="24">
        <v>37894</v>
      </c>
      <c r="F1506">
        <v>10</v>
      </c>
      <c r="G1506">
        <v>1</v>
      </c>
      <c r="H1506" t="s">
        <v>4653</v>
      </c>
      <c r="I1506">
        <v>10</v>
      </c>
    </row>
    <row r="1507" spans="2:9" x14ac:dyDescent="0.3">
      <c r="B1507" t="s">
        <v>1222</v>
      </c>
      <c r="C1507" t="s">
        <v>2571</v>
      </c>
      <c r="D1507" t="s">
        <v>2658</v>
      </c>
      <c r="E1507" s="24">
        <v>37753</v>
      </c>
      <c r="F1507">
        <v>10</v>
      </c>
      <c r="G1507">
        <v>1</v>
      </c>
      <c r="H1507" t="s">
        <v>4654</v>
      </c>
      <c r="I1507">
        <v>10</v>
      </c>
    </row>
    <row r="1508" spans="2:9" x14ac:dyDescent="0.3">
      <c r="B1508" t="s">
        <v>1223</v>
      </c>
      <c r="C1508" t="s">
        <v>2572</v>
      </c>
      <c r="D1508" t="s">
        <v>2658</v>
      </c>
      <c r="E1508" s="24">
        <v>40224</v>
      </c>
      <c r="F1508">
        <v>10</v>
      </c>
      <c r="G1508">
        <v>1</v>
      </c>
      <c r="H1508" t="s">
        <v>4655</v>
      </c>
      <c r="I1508">
        <v>10</v>
      </c>
    </row>
    <row r="1509" spans="2:9" x14ac:dyDescent="0.3">
      <c r="B1509" t="s">
        <v>1224</v>
      </c>
      <c r="C1509" t="s">
        <v>2573</v>
      </c>
      <c r="D1509" t="s">
        <v>2658</v>
      </c>
      <c r="E1509" s="24">
        <v>40806</v>
      </c>
      <c r="F1509">
        <v>10</v>
      </c>
      <c r="G1509">
        <v>1</v>
      </c>
      <c r="H1509" t="s">
        <v>4656</v>
      </c>
      <c r="I1509">
        <v>10</v>
      </c>
    </row>
    <row r="1510" spans="2:9" x14ac:dyDescent="0.3">
      <c r="B1510" t="s">
        <v>4657</v>
      </c>
      <c r="C1510" t="s">
        <v>4658</v>
      </c>
      <c r="D1510" t="s">
        <v>2658</v>
      </c>
      <c r="E1510" s="24">
        <v>42682</v>
      </c>
      <c r="F1510">
        <v>10</v>
      </c>
      <c r="G1510">
        <v>1</v>
      </c>
      <c r="H1510" t="s">
        <v>4659</v>
      </c>
      <c r="I1510">
        <v>10</v>
      </c>
    </row>
    <row r="1511" spans="2:9" x14ac:dyDescent="0.3">
      <c r="B1511" t="s">
        <v>4660</v>
      </c>
      <c r="C1511" t="s">
        <v>4661</v>
      </c>
      <c r="D1511" t="s">
        <v>2658</v>
      </c>
      <c r="E1511" s="24">
        <v>35928</v>
      </c>
      <c r="F1511">
        <v>1</v>
      </c>
      <c r="G1511">
        <v>1</v>
      </c>
      <c r="H1511" t="s">
        <v>4662</v>
      </c>
      <c r="I1511">
        <v>1</v>
      </c>
    </row>
    <row r="1512" spans="2:9" x14ac:dyDescent="0.3">
      <c r="B1512" t="s">
        <v>1225</v>
      </c>
      <c r="C1512" t="s">
        <v>2574</v>
      </c>
      <c r="D1512" t="s">
        <v>2658</v>
      </c>
      <c r="E1512" s="24">
        <v>37830</v>
      </c>
      <c r="F1512">
        <v>10</v>
      </c>
      <c r="G1512">
        <v>1</v>
      </c>
      <c r="H1512" t="s">
        <v>4663</v>
      </c>
      <c r="I1512">
        <v>10</v>
      </c>
    </row>
    <row r="1513" spans="2:9" x14ac:dyDescent="0.3">
      <c r="B1513" t="s">
        <v>1226</v>
      </c>
      <c r="C1513" t="s">
        <v>2575</v>
      </c>
      <c r="D1513" t="s">
        <v>2658</v>
      </c>
      <c r="E1513" s="24">
        <v>39071</v>
      </c>
      <c r="F1513">
        <v>10</v>
      </c>
      <c r="G1513">
        <v>1</v>
      </c>
      <c r="H1513" t="s">
        <v>4664</v>
      </c>
      <c r="I1513">
        <v>10</v>
      </c>
    </row>
    <row r="1514" spans="2:9" x14ac:dyDescent="0.3">
      <c r="B1514" t="s">
        <v>1227</v>
      </c>
      <c r="C1514" t="s">
        <v>2576</v>
      </c>
      <c r="D1514" t="s">
        <v>2658</v>
      </c>
      <c r="E1514" s="24">
        <v>37533</v>
      </c>
      <c r="F1514">
        <v>10</v>
      </c>
      <c r="G1514">
        <v>1</v>
      </c>
      <c r="H1514" t="s">
        <v>4665</v>
      </c>
      <c r="I1514">
        <v>10</v>
      </c>
    </row>
    <row r="1515" spans="2:9" x14ac:dyDescent="0.3">
      <c r="B1515" t="s">
        <v>1339</v>
      </c>
      <c r="C1515" t="s">
        <v>2642</v>
      </c>
      <c r="D1515" t="s">
        <v>2658</v>
      </c>
      <c r="E1515" s="24">
        <v>42123</v>
      </c>
      <c r="F1515">
        <v>10</v>
      </c>
      <c r="G1515">
        <v>1</v>
      </c>
      <c r="H1515" t="s">
        <v>4666</v>
      </c>
      <c r="I1515">
        <v>10</v>
      </c>
    </row>
    <row r="1516" spans="2:9" x14ac:dyDescent="0.3">
      <c r="B1516" t="s">
        <v>1228</v>
      </c>
      <c r="C1516" t="s">
        <v>2577</v>
      </c>
      <c r="D1516" t="s">
        <v>2658</v>
      </c>
      <c r="E1516" s="24">
        <v>39520</v>
      </c>
      <c r="F1516">
        <v>1</v>
      </c>
      <c r="G1516">
        <v>1</v>
      </c>
      <c r="H1516" t="s">
        <v>4667</v>
      </c>
      <c r="I1516">
        <v>1</v>
      </c>
    </row>
    <row r="1517" spans="2:9" x14ac:dyDescent="0.3">
      <c r="B1517" t="s">
        <v>1229</v>
      </c>
      <c r="C1517" t="s">
        <v>2578</v>
      </c>
      <c r="D1517" t="s">
        <v>2658</v>
      </c>
      <c r="E1517" s="24">
        <v>38533</v>
      </c>
      <c r="F1517">
        <v>10</v>
      </c>
      <c r="G1517">
        <v>1</v>
      </c>
      <c r="H1517" t="s">
        <v>4668</v>
      </c>
      <c r="I1517">
        <v>10</v>
      </c>
    </row>
    <row r="1518" spans="2:9" x14ac:dyDescent="0.3">
      <c r="B1518" t="s">
        <v>1230</v>
      </c>
      <c r="C1518" t="s">
        <v>2579</v>
      </c>
      <c r="D1518" t="s">
        <v>2658</v>
      </c>
      <c r="E1518" s="24">
        <v>39315</v>
      </c>
      <c r="F1518">
        <v>10</v>
      </c>
      <c r="G1518">
        <v>1</v>
      </c>
      <c r="H1518" t="s">
        <v>4669</v>
      </c>
      <c r="I1518">
        <v>10</v>
      </c>
    </row>
    <row r="1519" spans="2:9" x14ac:dyDescent="0.3">
      <c r="B1519" t="s">
        <v>1231</v>
      </c>
      <c r="C1519" t="s">
        <v>2580</v>
      </c>
      <c r="D1519" t="s">
        <v>2658</v>
      </c>
      <c r="E1519" s="24">
        <v>35277</v>
      </c>
      <c r="F1519">
        <v>10</v>
      </c>
      <c r="G1519">
        <v>1</v>
      </c>
      <c r="H1519" t="s">
        <v>4670</v>
      </c>
      <c r="I1519">
        <v>10</v>
      </c>
    </row>
    <row r="1520" spans="2:9" x14ac:dyDescent="0.3">
      <c r="B1520" t="s">
        <v>4671</v>
      </c>
      <c r="C1520" t="s">
        <v>4672</v>
      </c>
      <c r="D1520" t="s">
        <v>2658</v>
      </c>
      <c r="E1520" s="24">
        <v>42431</v>
      </c>
      <c r="F1520">
        <v>1</v>
      </c>
      <c r="G1520">
        <v>1</v>
      </c>
      <c r="H1520" t="s">
        <v>4673</v>
      </c>
      <c r="I1520">
        <v>1</v>
      </c>
    </row>
    <row r="1521" spans="2:9" x14ac:dyDescent="0.3">
      <c r="B1521" t="s">
        <v>1232</v>
      </c>
      <c r="C1521" t="s">
        <v>2581</v>
      </c>
      <c r="D1521" t="s">
        <v>2658</v>
      </c>
      <c r="E1521" s="24">
        <v>36901</v>
      </c>
      <c r="F1521">
        <v>10</v>
      </c>
      <c r="G1521">
        <v>1</v>
      </c>
      <c r="H1521" t="s">
        <v>4674</v>
      </c>
      <c r="I1521">
        <v>10</v>
      </c>
    </row>
    <row r="1522" spans="2:9" x14ac:dyDescent="0.3">
      <c r="B1522" t="s">
        <v>4675</v>
      </c>
      <c r="C1522" t="s">
        <v>4676</v>
      </c>
      <c r="D1522" t="s">
        <v>2686</v>
      </c>
      <c r="E1522" s="24">
        <v>42562</v>
      </c>
      <c r="F1522">
        <v>1</v>
      </c>
      <c r="G1522">
        <v>1</v>
      </c>
      <c r="H1522" t="s">
        <v>4677</v>
      </c>
      <c r="I1522">
        <v>1</v>
      </c>
    </row>
    <row r="1523" spans="2:9" x14ac:dyDescent="0.3">
      <c r="B1523" t="s">
        <v>1233</v>
      </c>
      <c r="C1523" t="s">
        <v>2582</v>
      </c>
      <c r="D1523" t="s">
        <v>2658</v>
      </c>
      <c r="E1523" s="24">
        <v>39589</v>
      </c>
      <c r="F1523">
        <v>10</v>
      </c>
      <c r="G1523">
        <v>1</v>
      </c>
      <c r="H1523" t="s">
        <v>4678</v>
      </c>
      <c r="I1523">
        <v>10</v>
      </c>
    </row>
    <row r="1524" spans="2:9" x14ac:dyDescent="0.3">
      <c r="B1524" t="s">
        <v>4679</v>
      </c>
      <c r="C1524" t="s">
        <v>4680</v>
      </c>
      <c r="D1524" t="s">
        <v>2658</v>
      </c>
      <c r="E1524" s="24">
        <v>40889</v>
      </c>
      <c r="F1524">
        <v>1</v>
      </c>
      <c r="G1524">
        <v>1</v>
      </c>
      <c r="H1524" t="s">
        <v>4681</v>
      </c>
      <c r="I1524">
        <v>1</v>
      </c>
    </row>
    <row r="1525" spans="2:9" x14ac:dyDescent="0.3">
      <c r="B1525" t="s">
        <v>1234</v>
      </c>
      <c r="C1525" t="s">
        <v>2583</v>
      </c>
      <c r="D1525" t="s">
        <v>2686</v>
      </c>
      <c r="E1525" s="24">
        <v>41415</v>
      </c>
      <c r="F1525">
        <v>10</v>
      </c>
      <c r="G1525">
        <v>1</v>
      </c>
      <c r="H1525" t="s">
        <v>4682</v>
      </c>
      <c r="I1525">
        <v>10</v>
      </c>
    </row>
    <row r="1526" spans="2:9" x14ac:dyDescent="0.3">
      <c r="B1526" t="s">
        <v>1235</v>
      </c>
      <c r="C1526" t="s">
        <v>2584</v>
      </c>
      <c r="D1526" t="s">
        <v>2658</v>
      </c>
      <c r="E1526" s="24">
        <v>38701</v>
      </c>
      <c r="F1526">
        <v>2</v>
      </c>
      <c r="G1526">
        <v>1</v>
      </c>
      <c r="H1526" t="s">
        <v>4683</v>
      </c>
      <c r="I1526">
        <v>2</v>
      </c>
    </row>
    <row r="1527" spans="2:9" x14ac:dyDescent="0.3">
      <c r="B1527" t="s">
        <v>1236</v>
      </c>
      <c r="C1527" t="s">
        <v>2585</v>
      </c>
      <c r="D1527" t="s">
        <v>2658</v>
      </c>
      <c r="E1527" s="24">
        <v>40022</v>
      </c>
      <c r="F1527">
        <v>2</v>
      </c>
      <c r="G1527">
        <v>1</v>
      </c>
      <c r="H1527" t="s">
        <v>4684</v>
      </c>
      <c r="I1527">
        <v>2</v>
      </c>
    </row>
    <row r="1528" spans="2:9" x14ac:dyDescent="0.3">
      <c r="B1528" t="s">
        <v>1237</v>
      </c>
      <c r="C1528" t="s">
        <v>2586</v>
      </c>
      <c r="D1528" t="s">
        <v>2658</v>
      </c>
      <c r="E1528" s="24">
        <v>34738</v>
      </c>
      <c r="F1528">
        <v>10</v>
      </c>
      <c r="G1528">
        <v>1</v>
      </c>
      <c r="H1528" t="s">
        <v>4685</v>
      </c>
      <c r="I1528">
        <v>10</v>
      </c>
    </row>
    <row r="1529" spans="2:9" x14ac:dyDescent="0.3">
      <c r="B1529" t="s">
        <v>1238</v>
      </c>
      <c r="C1529" t="s">
        <v>2587</v>
      </c>
      <c r="D1529" t="s">
        <v>2658</v>
      </c>
      <c r="E1529" s="24">
        <v>39650</v>
      </c>
      <c r="F1529">
        <v>1</v>
      </c>
      <c r="G1529">
        <v>1</v>
      </c>
      <c r="H1529" t="s">
        <v>4686</v>
      </c>
      <c r="I1529">
        <v>1</v>
      </c>
    </row>
    <row r="1530" spans="2:9" x14ac:dyDescent="0.3">
      <c r="B1530" t="s">
        <v>4687</v>
      </c>
      <c r="C1530" t="s">
        <v>4688</v>
      </c>
      <c r="D1530" t="s">
        <v>2658</v>
      </c>
      <c r="E1530" s="24">
        <v>39300</v>
      </c>
      <c r="F1530">
        <v>2</v>
      </c>
      <c r="G1530">
        <v>1</v>
      </c>
      <c r="H1530" t="s">
        <v>4689</v>
      </c>
      <c r="I1530">
        <v>2</v>
      </c>
    </row>
    <row r="1531" spans="2:9" x14ac:dyDescent="0.3">
      <c r="B1531" t="s">
        <v>1239</v>
      </c>
      <c r="C1531" t="s">
        <v>2588</v>
      </c>
      <c r="D1531" t="s">
        <v>2658</v>
      </c>
      <c r="E1531" s="24">
        <v>38413</v>
      </c>
      <c r="F1531">
        <v>2</v>
      </c>
      <c r="G1531">
        <v>1</v>
      </c>
      <c r="H1531" t="s">
        <v>4690</v>
      </c>
      <c r="I1531">
        <v>2</v>
      </c>
    </row>
    <row r="1532" spans="2:9" x14ac:dyDescent="0.3">
      <c r="B1532" t="s">
        <v>4691</v>
      </c>
      <c r="C1532" t="s">
        <v>4692</v>
      </c>
      <c r="D1532" t="s">
        <v>2658</v>
      </c>
      <c r="E1532" s="24">
        <v>42117</v>
      </c>
      <c r="F1532">
        <v>1</v>
      </c>
      <c r="G1532">
        <v>1</v>
      </c>
      <c r="H1532" t="s">
        <v>4693</v>
      </c>
      <c r="I1532">
        <v>1</v>
      </c>
    </row>
    <row r="1533" spans="2:9" x14ac:dyDescent="0.3">
      <c r="B1533" t="s">
        <v>1240</v>
      </c>
      <c r="C1533" t="s">
        <v>2589</v>
      </c>
      <c r="D1533" t="s">
        <v>2658</v>
      </c>
      <c r="E1533" s="24">
        <v>35305</v>
      </c>
      <c r="F1533">
        <v>10</v>
      </c>
      <c r="G1533">
        <v>1</v>
      </c>
      <c r="H1533" t="s">
        <v>4694</v>
      </c>
      <c r="I1533">
        <v>10</v>
      </c>
    </row>
    <row r="1534" spans="2:9" x14ac:dyDescent="0.3">
      <c r="B1534" t="s">
        <v>1241</v>
      </c>
      <c r="C1534" t="s">
        <v>2590</v>
      </c>
      <c r="D1534" t="s">
        <v>2658</v>
      </c>
      <c r="E1534" s="24">
        <v>38793</v>
      </c>
      <c r="F1534">
        <v>10</v>
      </c>
      <c r="G1534">
        <v>1</v>
      </c>
      <c r="H1534" t="s">
        <v>4695</v>
      </c>
      <c r="I1534">
        <v>10</v>
      </c>
    </row>
    <row r="1535" spans="2:9" x14ac:dyDescent="0.3">
      <c r="B1535" t="s">
        <v>1242</v>
      </c>
      <c r="C1535" t="s">
        <v>2591</v>
      </c>
      <c r="D1535" t="s">
        <v>2686</v>
      </c>
      <c r="E1535" s="24">
        <v>36539</v>
      </c>
      <c r="F1535">
        <v>1</v>
      </c>
      <c r="G1535">
        <v>1</v>
      </c>
      <c r="H1535" t="s">
        <v>4696</v>
      </c>
      <c r="I1535">
        <v>1</v>
      </c>
    </row>
    <row r="1536" spans="2:9" x14ac:dyDescent="0.3">
      <c r="B1536" t="s">
        <v>4697</v>
      </c>
      <c r="C1536" t="s">
        <v>4698</v>
      </c>
      <c r="D1536" t="s">
        <v>2658</v>
      </c>
      <c r="E1536" s="24">
        <v>42068</v>
      </c>
      <c r="F1536">
        <v>10</v>
      </c>
      <c r="G1536">
        <v>1</v>
      </c>
      <c r="H1536" t="s">
        <v>4699</v>
      </c>
      <c r="I1536">
        <v>10</v>
      </c>
    </row>
    <row r="1537" spans="2:9" x14ac:dyDescent="0.3">
      <c r="B1537" t="s">
        <v>1338</v>
      </c>
      <c r="C1537" t="s">
        <v>2592</v>
      </c>
      <c r="D1537" t="s">
        <v>2686</v>
      </c>
      <c r="E1537" s="24">
        <v>39080</v>
      </c>
      <c r="F1537">
        <v>10</v>
      </c>
      <c r="G1537">
        <v>1</v>
      </c>
      <c r="H1537" t="s">
        <v>4700</v>
      </c>
      <c r="I1537">
        <v>10</v>
      </c>
    </row>
    <row r="1538" spans="2:9" x14ac:dyDescent="0.3">
      <c r="B1538" t="s">
        <v>1243</v>
      </c>
      <c r="C1538" t="s">
        <v>2593</v>
      </c>
      <c r="D1538" t="s">
        <v>2658</v>
      </c>
      <c r="E1538" s="24">
        <v>41415</v>
      </c>
      <c r="F1538">
        <v>1</v>
      </c>
      <c r="G1538">
        <v>1</v>
      </c>
      <c r="H1538" t="s">
        <v>4701</v>
      </c>
      <c r="I1538">
        <v>1</v>
      </c>
    </row>
    <row r="1539" spans="2:9" x14ac:dyDescent="0.3">
      <c r="B1539" t="s">
        <v>1244</v>
      </c>
      <c r="C1539" t="s">
        <v>2594</v>
      </c>
      <c r="D1539" t="s">
        <v>2658</v>
      </c>
      <c r="E1539" s="24">
        <v>38581</v>
      </c>
      <c r="F1539">
        <v>2</v>
      </c>
      <c r="G1539">
        <v>1</v>
      </c>
      <c r="H1539" t="s">
        <v>4702</v>
      </c>
      <c r="I1539">
        <v>2</v>
      </c>
    </row>
    <row r="1540" spans="2:9" x14ac:dyDescent="0.3">
      <c r="B1540" t="s">
        <v>1245</v>
      </c>
      <c r="C1540" t="s">
        <v>2595</v>
      </c>
      <c r="D1540" t="s">
        <v>2658</v>
      </c>
      <c r="E1540" s="24">
        <v>34844</v>
      </c>
      <c r="F1540">
        <v>10</v>
      </c>
      <c r="G1540">
        <v>1</v>
      </c>
      <c r="H1540" t="s">
        <v>4703</v>
      </c>
      <c r="I1540">
        <v>10</v>
      </c>
    </row>
    <row r="1541" spans="2:9" x14ac:dyDescent="0.3">
      <c r="B1541" t="s">
        <v>1246</v>
      </c>
      <c r="C1541" t="s">
        <v>2596</v>
      </c>
      <c r="D1541" t="s">
        <v>2658</v>
      </c>
      <c r="E1541" s="24">
        <v>41325</v>
      </c>
      <c r="F1541">
        <v>10</v>
      </c>
      <c r="G1541">
        <v>1</v>
      </c>
      <c r="H1541" t="s">
        <v>4704</v>
      </c>
      <c r="I1541">
        <v>10</v>
      </c>
    </row>
    <row r="1542" spans="2:9" x14ac:dyDescent="0.3">
      <c r="B1542" t="s">
        <v>1247</v>
      </c>
      <c r="C1542" t="s">
        <v>2597</v>
      </c>
      <c r="D1542" t="s">
        <v>2658</v>
      </c>
      <c r="E1542" s="24">
        <v>38980</v>
      </c>
      <c r="F1542">
        <v>10</v>
      </c>
      <c r="G1542">
        <v>1</v>
      </c>
      <c r="H1542" t="s">
        <v>4705</v>
      </c>
      <c r="I1542">
        <v>10</v>
      </c>
    </row>
    <row r="1543" spans="2:9" x14ac:dyDescent="0.3">
      <c r="B1543" t="s">
        <v>1247</v>
      </c>
      <c r="C1543" t="s">
        <v>2597</v>
      </c>
      <c r="D1543" t="s">
        <v>3173</v>
      </c>
      <c r="E1543" s="24">
        <v>38980</v>
      </c>
      <c r="F1543">
        <v>10</v>
      </c>
      <c r="G1543">
        <v>1</v>
      </c>
      <c r="H1543" t="s">
        <v>4705</v>
      </c>
      <c r="I1543">
        <v>10</v>
      </c>
    </row>
    <row r="1544" spans="2:9" x14ac:dyDescent="0.3">
      <c r="B1544" t="s">
        <v>108</v>
      </c>
      <c r="C1544" t="s">
        <v>2598</v>
      </c>
      <c r="D1544" t="s">
        <v>2658</v>
      </c>
      <c r="E1544" s="24">
        <v>34801</v>
      </c>
      <c r="F1544">
        <v>1</v>
      </c>
      <c r="G1544">
        <v>1</v>
      </c>
      <c r="H1544" t="s">
        <v>4706</v>
      </c>
      <c r="I1544">
        <v>1</v>
      </c>
    </row>
    <row r="1545" spans="2:9" x14ac:dyDescent="0.3">
      <c r="B1545" t="s">
        <v>4707</v>
      </c>
      <c r="C1545" t="s">
        <v>4708</v>
      </c>
      <c r="D1545" t="s">
        <v>2658</v>
      </c>
      <c r="E1545" s="24">
        <v>42124</v>
      </c>
      <c r="F1545">
        <v>10</v>
      </c>
      <c r="G1545">
        <v>1</v>
      </c>
      <c r="H1545" t="s">
        <v>4709</v>
      </c>
      <c r="I1545">
        <v>10</v>
      </c>
    </row>
    <row r="1546" spans="2:9" x14ac:dyDescent="0.3">
      <c r="B1546" t="s">
        <v>1248</v>
      </c>
      <c r="C1546" t="s">
        <v>2599</v>
      </c>
      <c r="D1546" t="s">
        <v>2658</v>
      </c>
      <c r="E1546" s="24">
        <v>41046</v>
      </c>
      <c r="F1546">
        <v>10</v>
      </c>
      <c r="G1546">
        <v>1</v>
      </c>
      <c r="H1546" t="s">
        <v>4710</v>
      </c>
      <c r="I1546">
        <v>10</v>
      </c>
    </row>
    <row r="1547" spans="2:9" x14ac:dyDescent="0.3">
      <c r="B1547" t="s">
        <v>1249</v>
      </c>
      <c r="C1547" t="s">
        <v>2600</v>
      </c>
      <c r="D1547" t="s">
        <v>2658</v>
      </c>
      <c r="E1547" s="24">
        <v>37869</v>
      </c>
      <c r="F1547">
        <v>10</v>
      </c>
      <c r="G1547">
        <v>1</v>
      </c>
      <c r="H1547" t="s">
        <v>4711</v>
      </c>
      <c r="I1547">
        <v>10</v>
      </c>
    </row>
    <row r="1548" spans="2:9" x14ac:dyDescent="0.3">
      <c r="B1548" t="s">
        <v>1250</v>
      </c>
      <c r="C1548" t="s">
        <v>2601</v>
      </c>
      <c r="D1548" t="s">
        <v>2658</v>
      </c>
      <c r="E1548" s="24">
        <v>40714</v>
      </c>
      <c r="F1548">
        <v>10</v>
      </c>
      <c r="G1548">
        <v>1</v>
      </c>
      <c r="H1548" t="s">
        <v>4712</v>
      </c>
      <c r="I1548">
        <v>10</v>
      </c>
    </row>
    <row r="1549" spans="2:9" x14ac:dyDescent="0.3">
      <c r="B1549" t="s">
        <v>1251</v>
      </c>
      <c r="C1549" t="s">
        <v>2602</v>
      </c>
      <c r="D1549" t="s">
        <v>2658</v>
      </c>
      <c r="E1549" s="24">
        <v>37635</v>
      </c>
      <c r="F1549">
        <v>10</v>
      </c>
      <c r="G1549">
        <v>1</v>
      </c>
      <c r="H1549" t="s">
        <v>4713</v>
      </c>
      <c r="I1549">
        <v>10</v>
      </c>
    </row>
    <row r="1550" spans="2:9" x14ac:dyDescent="0.3">
      <c r="B1550" t="s">
        <v>1252</v>
      </c>
      <c r="C1550" t="s">
        <v>2603</v>
      </c>
      <c r="D1550" t="s">
        <v>2658</v>
      </c>
      <c r="E1550" s="24">
        <v>40464</v>
      </c>
      <c r="F1550">
        <v>2</v>
      </c>
      <c r="G1550">
        <v>1</v>
      </c>
      <c r="H1550" t="s">
        <v>4714</v>
      </c>
      <c r="I1550">
        <v>2</v>
      </c>
    </row>
    <row r="1551" spans="2:9" x14ac:dyDescent="0.3">
      <c r="B1551" t="s">
        <v>1253</v>
      </c>
      <c r="C1551" t="s">
        <v>2604</v>
      </c>
      <c r="D1551" t="s">
        <v>2658</v>
      </c>
      <c r="E1551" s="24">
        <v>39722</v>
      </c>
      <c r="F1551">
        <v>5</v>
      </c>
      <c r="G1551">
        <v>1</v>
      </c>
      <c r="H1551" t="s">
        <v>4715</v>
      </c>
      <c r="I1551">
        <v>5</v>
      </c>
    </row>
    <row r="1552" spans="2:9" x14ac:dyDescent="0.3">
      <c r="B1552" t="s">
        <v>1254</v>
      </c>
      <c r="C1552" t="s">
        <v>2605</v>
      </c>
      <c r="D1552" t="s">
        <v>2658</v>
      </c>
      <c r="E1552" s="24">
        <v>35326</v>
      </c>
      <c r="F1552">
        <v>2</v>
      </c>
      <c r="G1552">
        <v>1</v>
      </c>
      <c r="H1552" t="s">
        <v>4716</v>
      </c>
      <c r="I1552">
        <v>2</v>
      </c>
    </row>
    <row r="1553" spans="2:9" x14ac:dyDescent="0.3">
      <c r="B1553" t="s">
        <v>1255</v>
      </c>
      <c r="C1553" t="s">
        <v>2606</v>
      </c>
      <c r="D1553" t="s">
        <v>2686</v>
      </c>
      <c r="E1553" s="24">
        <v>39111</v>
      </c>
      <c r="F1553">
        <v>10</v>
      </c>
      <c r="G1553">
        <v>1</v>
      </c>
      <c r="H1553" t="s">
        <v>4717</v>
      </c>
      <c r="I1553">
        <v>10</v>
      </c>
    </row>
    <row r="1554" spans="2:9" x14ac:dyDescent="0.3">
      <c r="B1554" t="s">
        <v>1256</v>
      </c>
      <c r="C1554" t="s">
        <v>2607</v>
      </c>
      <c r="D1554" t="s">
        <v>2686</v>
      </c>
      <c r="E1554" s="24">
        <v>39217</v>
      </c>
      <c r="F1554">
        <v>10</v>
      </c>
      <c r="G1554">
        <v>1</v>
      </c>
      <c r="H1554" t="s">
        <v>4718</v>
      </c>
      <c r="I1554">
        <v>10</v>
      </c>
    </row>
    <row r="1555" spans="2:9" x14ac:dyDescent="0.3">
      <c r="B1555" t="s">
        <v>1257</v>
      </c>
      <c r="C1555" t="s">
        <v>2608</v>
      </c>
      <c r="D1555" t="s">
        <v>2658</v>
      </c>
      <c r="E1555" s="24">
        <v>40722</v>
      </c>
      <c r="F1555">
        <v>10</v>
      </c>
      <c r="G1555">
        <v>1</v>
      </c>
      <c r="H1555" t="s">
        <v>4719</v>
      </c>
      <c r="I1555">
        <v>10</v>
      </c>
    </row>
    <row r="1556" spans="2:9" x14ac:dyDescent="0.3">
      <c r="B1556" t="s">
        <v>1258</v>
      </c>
      <c r="C1556" t="s">
        <v>2609</v>
      </c>
      <c r="D1556" t="s">
        <v>2658</v>
      </c>
      <c r="E1556" s="24">
        <v>34829</v>
      </c>
      <c r="F1556">
        <v>10</v>
      </c>
      <c r="G1556">
        <v>1</v>
      </c>
      <c r="H1556" t="s">
        <v>4720</v>
      </c>
      <c r="I1556">
        <v>10</v>
      </c>
    </row>
    <row r="1557" spans="2:9" x14ac:dyDescent="0.3">
      <c r="B1557" t="s">
        <v>1259</v>
      </c>
      <c r="C1557" t="s">
        <v>2610</v>
      </c>
      <c r="D1557" t="s">
        <v>2658</v>
      </c>
      <c r="E1557" s="24">
        <v>38496</v>
      </c>
      <c r="F1557">
        <v>5</v>
      </c>
      <c r="G1557">
        <v>1</v>
      </c>
      <c r="H1557" t="s">
        <v>4721</v>
      </c>
      <c r="I1557">
        <v>5</v>
      </c>
    </row>
    <row r="1558" spans="2:9" x14ac:dyDescent="0.3">
      <c r="B1558" t="s">
        <v>4722</v>
      </c>
      <c r="C1558" t="s">
        <v>2611</v>
      </c>
      <c r="D1558" t="s">
        <v>2658</v>
      </c>
      <c r="E1558" s="24">
        <v>38295</v>
      </c>
      <c r="F1558">
        <v>10</v>
      </c>
      <c r="G1558">
        <v>1</v>
      </c>
      <c r="H1558" t="s">
        <v>4723</v>
      </c>
      <c r="I1558">
        <v>10</v>
      </c>
    </row>
    <row r="1559" spans="2:9" x14ac:dyDescent="0.3">
      <c r="B1559" t="s">
        <v>1260</v>
      </c>
      <c r="C1559" t="s">
        <v>2612</v>
      </c>
      <c r="D1559" t="s">
        <v>2658</v>
      </c>
      <c r="E1559" s="24">
        <v>40441</v>
      </c>
      <c r="F1559">
        <v>10</v>
      </c>
      <c r="G1559">
        <v>1</v>
      </c>
      <c r="H1559" t="s">
        <v>4724</v>
      </c>
      <c r="I1559">
        <v>10</v>
      </c>
    </row>
    <row r="1560" spans="2:9" x14ac:dyDescent="0.3">
      <c r="B1560" t="s">
        <v>1261</v>
      </c>
      <c r="C1560" t="s">
        <v>2613</v>
      </c>
      <c r="D1560" t="s">
        <v>2658</v>
      </c>
      <c r="E1560" s="24">
        <v>37959</v>
      </c>
      <c r="F1560">
        <v>1</v>
      </c>
      <c r="G1560">
        <v>1</v>
      </c>
      <c r="H1560" t="s">
        <v>4725</v>
      </c>
      <c r="I1560">
        <v>1</v>
      </c>
    </row>
    <row r="1561" spans="2:9" x14ac:dyDescent="0.3">
      <c r="B1561" t="s">
        <v>1262</v>
      </c>
      <c r="C1561" t="s">
        <v>2614</v>
      </c>
      <c r="D1561" t="s">
        <v>2658</v>
      </c>
      <c r="E1561" s="24">
        <v>38936</v>
      </c>
      <c r="F1561">
        <v>10</v>
      </c>
      <c r="G1561">
        <v>1</v>
      </c>
      <c r="H1561" t="s">
        <v>4726</v>
      </c>
      <c r="I1561">
        <v>10</v>
      </c>
    </row>
    <row r="1562" spans="2:9" x14ac:dyDescent="0.3">
      <c r="B1562" t="s">
        <v>1263</v>
      </c>
      <c r="C1562" t="s">
        <v>2615</v>
      </c>
      <c r="D1562" t="s">
        <v>2658</v>
      </c>
      <c r="E1562" s="24">
        <v>36623</v>
      </c>
      <c r="F1562">
        <v>10</v>
      </c>
      <c r="G1562">
        <v>1</v>
      </c>
      <c r="H1562" t="s">
        <v>4727</v>
      </c>
      <c r="I1562">
        <v>10</v>
      </c>
    </row>
    <row r="1563" spans="2:9" x14ac:dyDescent="0.3">
      <c r="B1563" t="s">
        <v>1264</v>
      </c>
      <c r="C1563" t="s">
        <v>2616</v>
      </c>
      <c r="D1563" t="s">
        <v>2658</v>
      </c>
      <c r="E1563" s="24">
        <v>40274</v>
      </c>
      <c r="F1563">
        <v>10</v>
      </c>
      <c r="G1563">
        <v>1</v>
      </c>
      <c r="H1563" t="s">
        <v>4728</v>
      </c>
      <c r="I1563">
        <v>10</v>
      </c>
    </row>
    <row r="1564" spans="2:9" x14ac:dyDescent="0.3">
      <c r="B1564" t="s">
        <v>1265</v>
      </c>
      <c r="C1564" t="s">
        <v>2617</v>
      </c>
      <c r="D1564" t="s">
        <v>2686</v>
      </c>
      <c r="E1564" s="24">
        <v>36040</v>
      </c>
      <c r="F1564">
        <v>10</v>
      </c>
      <c r="G1564">
        <v>1</v>
      </c>
      <c r="H1564" t="s">
        <v>4729</v>
      </c>
      <c r="I1564">
        <v>10</v>
      </c>
    </row>
    <row r="1565" spans="2:9" x14ac:dyDescent="0.3">
      <c r="B1565" t="s">
        <v>1266</v>
      </c>
      <c r="C1565" t="s">
        <v>2618</v>
      </c>
      <c r="D1565" t="s">
        <v>2658</v>
      </c>
      <c r="E1565" s="24">
        <v>40772</v>
      </c>
      <c r="F1565">
        <v>2</v>
      </c>
      <c r="G1565">
        <v>1</v>
      </c>
      <c r="H1565" t="s">
        <v>4730</v>
      </c>
      <c r="I1565">
        <v>2</v>
      </c>
    </row>
    <row r="1566" spans="2:9" x14ac:dyDescent="0.3">
      <c r="B1566" t="s">
        <v>1267</v>
      </c>
      <c r="C1566" t="s">
        <v>2619</v>
      </c>
      <c r="D1566" t="s">
        <v>2658</v>
      </c>
      <c r="E1566" s="24">
        <v>40780</v>
      </c>
      <c r="F1566">
        <v>10</v>
      </c>
      <c r="G1566">
        <v>1</v>
      </c>
      <c r="H1566" t="s">
        <v>4731</v>
      </c>
      <c r="I1566">
        <v>10</v>
      </c>
    </row>
    <row r="1567" spans="2:9" x14ac:dyDescent="0.3">
      <c r="B1567" t="s">
        <v>4732</v>
      </c>
      <c r="C1567" t="s">
        <v>4733</v>
      </c>
      <c r="D1567" t="s">
        <v>2686</v>
      </c>
      <c r="E1567" s="24">
        <v>42842</v>
      </c>
      <c r="F1567">
        <v>10</v>
      </c>
      <c r="G1567">
        <v>1</v>
      </c>
      <c r="H1567" t="s">
        <v>4734</v>
      </c>
      <c r="I1567">
        <v>10</v>
      </c>
    </row>
    <row r="1568" spans="2:9" x14ac:dyDescent="0.3">
      <c r="B1568" t="s">
        <v>126</v>
      </c>
      <c r="C1568" t="s">
        <v>2620</v>
      </c>
      <c r="D1568" t="s">
        <v>2658</v>
      </c>
      <c r="E1568" s="24">
        <v>35011</v>
      </c>
      <c r="F1568">
        <v>2</v>
      </c>
      <c r="G1568">
        <v>1</v>
      </c>
      <c r="H1568" t="s">
        <v>4735</v>
      </c>
      <c r="I1568">
        <v>2</v>
      </c>
    </row>
    <row r="1569" spans="2:9" x14ac:dyDescent="0.3">
      <c r="B1569" t="s">
        <v>1268</v>
      </c>
      <c r="C1569" t="s">
        <v>2621</v>
      </c>
      <c r="D1569" t="s">
        <v>2658</v>
      </c>
      <c r="E1569" s="24">
        <v>36579</v>
      </c>
      <c r="F1569">
        <v>5</v>
      </c>
      <c r="G1569">
        <v>1</v>
      </c>
      <c r="H1569" t="s">
        <v>4736</v>
      </c>
      <c r="I1569">
        <v>5</v>
      </c>
    </row>
    <row r="1570" spans="2:9" x14ac:dyDescent="0.3">
      <c r="B1570" t="s">
        <v>1269</v>
      </c>
      <c r="C1570" t="s">
        <v>2622</v>
      </c>
      <c r="D1570" t="s">
        <v>2658</v>
      </c>
      <c r="E1570" s="24">
        <v>41768</v>
      </c>
      <c r="F1570">
        <v>10</v>
      </c>
      <c r="G1570">
        <v>1</v>
      </c>
      <c r="H1570" t="s">
        <v>4737</v>
      </c>
      <c r="I1570">
        <v>10</v>
      </c>
    </row>
    <row r="1571" spans="2:9" x14ac:dyDescent="0.3">
      <c r="B1571" t="s">
        <v>1270</v>
      </c>
      <c r="C1571" t="s">
        <v>2623</v>
      </c>
      <c r="D1571" t="s">
        <v>2658</v>
      </c>
      <c r="E1571" s="24">
        <v>39295</v>
      </c>
      <c r="F1571">
        <v>10</v>
      </c>
      <c r="G1571">
        <v>1</v>
      </c>
      <c r="H1571" t="s">
        <v>4738</v>
      </c>
      <c r="I1571">
        <v>10</v>
      </c>
    </row>
    <row r="1572" spans="2:9" x14ac:dyDescent="0.3">
      <c r="B1572" t="s">
        <v>1271</v>
      </c>
      <c r="C1572" t="s">
        <v>2624</v>
      </c>
      <c r="D1572" t="s">
        <v>2658</v>
      </c>
      <c r="E1572" s="24">
        <v>36908</v>
      </c>
      <c r="F1572">
        <v>2</v>
      </c>
      <c r="G1572">
        <v>1</v>
      </c>
      <c r="H1572" t="s">
        <v>4739</v>
      </c>
      <c r="I1572">
        <v>2</v>
      </c>
    </row>
    <row r="1573" spans="2:9" x14ac:dyDescent="0.3">
      <c r="B1573" t="s">
        <v>1272</v>
      </c>
      <c r="C1573" t="s">
        <v>2625</v>
      </c>
      <c r="D1573" t="s">
        <v>2658</v>
      </c>
      <c r="E1573" s="24">
        <v>38420</v>
      </c>
      <c r="F1573">
        <v>10</v>
      </c>
      <c r="G1573">
        <v>1</v>
      </c>
      <c r="H1573" t="s">
        <v>4740</v>
      </c>
      <c r="I1573">
        <v>10</v>
      </c>
    </row>
    <row r="1574" spans="2:9" x14ac:dyDescent="0.3">
      <c r="B1574" t="s">
        <v>1273</v>
      </c>
      <c r="C1574" t="s">
        <v>2626</v>
      </c>
      <c r="D1574" t="s">
        <v>2658</v>
      </c>
      <c r="E1574" s="24">
        <v>39079</v>
      </c>
      <c r="F1574">
        <v>10</v>
      </c>
      <c r="G1574">
        <v>1</v>
      </c>
      <c r="H1574" t="s">
        <v>4741</v>
      </c>
      <c r="I1574">
        <v>10</v>
      </c>
    </row>
    <row r="1575" spans="2:9" x14ac:dyDescent="0.3">
      <c r="B1575" t="s">
        <v>1274</v>
      </c>
      <c r="C1575" t="s">
        <v>2627</v>
      </c>
      <c r="D1575" t="s">
        <v>2658</v>
      </c>
      <c r="E1575" s="24">
        <v>38104</v>
      </c>
      <c r="F1575">
        <v>10</v>
      </c>
      <c r="G1575">
        <v>1</v>
      </c>
      <c r="H1575" t="s">
        <v>4742</v>
      </c>
      <c r="I1575">
        <v>10</v>
      </c>
    </row>
    <row r="1576" spans="2:9" x14ac:dyDescent="0.3">
      <c r="B1576" t="s">
        <v>1275</v>
      </c>
      <c r="C1576" t="s">
        <v>2628</v>
      </c>
      <c r="D1576" t="s">
        <v>2658</v>
      </c>
      <c r="E1576" s="24">
        <v>38545</v>
      </c>
      <c r="F1576">
        <v>10</v>
      </c>
      <c r="G1576">
        <v>1</v>
      </c>
      <c r="H1576" t="s">
        <v>4743</v>
      </c>
      <c r="I1576">
        <v>10</v>
      </c>
    </row>
    <row r="1577" spans="2:9" x14ac:dyDescent="0.3">
      <c r="B1577" t="s">
        <v>1276</v>
      </c>
      <c r="C1577" t="s">
        <v>2629</v>
      </c>
      <c r="D1577" t="s">
        <v>2658</v>
      </c>
      <c r="E1577" s="24">
        <v>36194</v>
      </c>
      <c r="F1577">
        <v>100</v>
      </c>
      <c r="G1577">
        <v>1</v>
      </c>
      <c r="H1577" t="s">
        <v>4744</v>
      </c>
      <c r="I1577">
        <v>100</v>
      </c>
    </row>
    <row r="1578" spans="2:9" x14ac:dyDescent="0.3">
      <c r="B1578" t="s">
        <v>1277</v>
      </c>
      <c r="C1578" t="s">
        <v>2630</v>
      </c>
      <c r="D1578" t="s">
        <v>2658</v>
      </c>
      <c r="E1578" s="24">
        <v>36047</v>
      </c>
      <c r="F1578">
        <v>1</v>
      </c>
      <c r="G1578">
        <v>1</v>
      </c>
      <c r="H1578" t="s">
        <v>4745</v>
      </c>
      <c r="I1578">
        <v>1</v>
      </c>
    </row>
    <row r="1579" spans="2:9" x14ac:dyDescent="0.3">
      <c r="B1579" t="s">
        <v>1278</v>
      </c>
      <c r="C1579" t="s">
        <v>2631</v>
      </c>
      <c r="D1579" t="s">
        <v>2658</v>
      </c>
      <c r="E1579" s="24">
        <v>40532</v>
      </c>
      <c r="F1579">
        <v>1</v>
      </c>
      <c r="G1579">
        <v>1</v>
      </c>
      <c r="H1579" t="s">
        <v>4746</v>
      </c>
      <c r="I1579">
        <v>1</v>
      </c>
    </row>
    <row r="1580" spans="2:9" x14ac:dyDescent="0.3">
      <c r="B1580" t="s">
        <v>1279</v>
      </c>
      <c r="C1580" t="s">
        <v>2632</v>
      </c>
      <c r="D1580" t="s">
        <v>2658</v>
      </c>
      <c r="E1580" s="24">
        <v>39092</v>
      </c>
      <c r="F1580">
        <v>1</v>
      </c>
      <c r="G1580">
        <v>1</v>
      </c>
      <c r="H1580" t="s">
        <v>4747</v>
      </c>
      <c r="I1580">
        <v>1</v>
      </c>
    </row>
    <row r="1581" spans="2:9" x14ac:dyDescent="0.3">
      <c r="B1581" t="s">
        <v>1280</v>
      </c>
      <c r="C1581" t="s">
        <v>2633</v>
      </c>
      <c r="D1581" t="s">
        <v>2658</v>
      </c>
      <c r="E1581" s="24">
        <v>39202</v>
      </c>
      <c r="F1581">
        <v>10</v>
      </c>
      <c r="G1581">
        <v>1</v>
      </c>
      <c r="H1581" t="s">
        <v>4748</v>
      </c>
      <c r="I1581">
        <v>10</v>
      </c>
    </row>
    <row r="1582" spans="2:9" x14ac:dyDescent="0.3">
      <c r="B1582" t="s">
        <v>1281</v>
      </c>
      <c r="C1582" t="s">
        <v>2634</v>
      </c>
      <c r="D1582" t="s">
        <v>2686</v>
      </c>
      <c r="E1582" s="24">
        <v>36796</v>
      </c>
      <c r="F1582">
        <v>10</v>
      </c>
      <c r="G1582">
        <v>1</v>
      </c>
      <c r="H1582" t="s">
        <v>4749</v>
      </c>
      <c r="I1582">
        <v>10</v>
      </c>
    </row>
    <row r="1583" spans="2:9" x14ac:dyDescent="0.3">
      <c r="B1583" t="s">
        <v>1282</v>
      </c>
      <c r="C1583" t="s">
        <v>2635</v>
      </c>
      <c r="D1583" t="s">
        <v>2658</v>
      </c>
      <c r="E1583" s="24">
        <v>37811</v>
      </c>
      <c r="F1583">
        <v>10</v>
      </c>
      <c r="G1583">
        <v>1</v>
      </c>
      <c r="H1583" t="s">
        <v>4750</v>
      </c>
      <c r="I1583">
        <v>10</v>
      </c>
    </row>
    <row r="1584" spans="2:9" x14ac:dyDescent="0.3">
      <c r="B1584" t="s">
        <v>4751</v>
      </c>
      <c r="C1584" t="s">
        <v>4752</v>
      </c>
      <c r="D1584" t="s">
        <v>2658</v>
      </c>
      <c r="E1584" s="24">
        <v>42093</v>
      </c>
      <c r="F1584">
        <v>1</v>
      </c>
      <c r="G1584">
        <v>1</v>
      </c>
      <c r="H1584" t="s">
        <v>4753</v>
      </c>
      <c r="I1584">
        <v>1</v>
      </c>
    </row>
    <row r="1585" spans="2:9" x14ac:dyDescent="0.3">
      <c r="B1585" t="s">
        <v>1283</v>
      </c>
      <c r="C1585" t="s">
        <v>2636</v>
      </c>
      <c r="D1585" t="s">
        <v>2658</v>
      </c>
      <c r="E1585" s="24">
        <v>38825</v>
      </c>
      <c r="F1585">
        <v>10</v>
      </c>
      <c r="G1585">
        <v>1</v>
      </c>
      <c r="H1585" t="s">
        <v>4754</v>
      </c>
      <c r="I1585">
        <v>10</v>
      </c>
    </row>
    <row r="1586" spans="2:9" x14ac:dyDescent="0.3">
      <c r="B1586" t="s">
        <v>1284</v>
      </c>
      <c r="C1586" t="s">
        <v>2637</v>
      </c>
      <c r="D1586" t="s">
        <v>2658</v>
      </c>
      <c r="E1586" s="24">
        <v>34969</v>
      </c>
      <c r="F1586">
        <v>10</v>
      </c>
      <c r="G1586">
        <v>1</v>
      </c>
      <c r="H1586" t="s">
        <v>4755</v>
      </c>
      <c r="I1586">
        <v>10</v>
      </c>
    </row>
    <row r="1587" spans="2:9" x14ac:dyDescent="0.3">
      <c r="B1587" t="s">
        <v>1285</v>
      </c>
      <c r="C1587" t="s">
        <v>2638</v>
      </c>
      <c r="D1587" t="s">
        <v>2658</v>
      </c>
      <c r="E1587" s="24">
        <v>34899</v>
      </c>
      <c r="F1587">
        <v>10</v>
      </c>
      <c r="G1587">
        <v>1</v>
      </c>
      <c r="H1587" t="s">
        <v>4756</v>
      </c>
      <c r="I1587">
        <v>10</v>
      </c>
    </row>
    <row r="1588" spans="2:9" x14ac:dyDescent="0.3">
      <c r="B1588" t="s">
        <v>1286</v>
      </c>
      <c r="C1588" t="s">
        <v>2639</v>
      </c>
      <c r="D1588" t="s">
        <v>2658</v>
      </c>
      <c r="E1588" s="24">
        <v>41240</v>
      </c>
      <c r="F1588">
        <v>10</v>
      </c>
      <c r="G1588">
        <v>1</v>
      </c>
      <c r="H1588" t="s">
        <v>4757</v>
      </c>
      <c r="I1588">
        <v>10</v>
      </c>
    </row>
    <row r="1589" spans="2:9" x14ac:dyDescent="0.3">
      <c r="B1589" t="s">
        <v>1287</v>
      </c>
      <c r="C1589" t="s">
        <v>4758</v>
      </c>
      <c r="D1589" t="s">
        <v>2658</v>
      </c>
      <c r="E1589" s="24">
        <v>34801</v>
      </c>
      <c r="F1589">
        <v>10</v>
      </c>
      <c r="G1589">
        <v>1</v>
      </c>
      <c r="H1589" t="s">
        <v>4759</v>
      </c>
      <c r="I1589">
        <v>10</v>
      </c>
    </row>
    <row r="1590" spans="2:9" x14ac:dyDescent="0.3">
      <c r="B1590" t="s">
        <v>1288</v>
      </c>
      <c r="C1590" t="s">
        <v>2640</v>
      </c>
      <c r="D1590" t="s">
        <v>2658</v>
      </c>
      <c r="E1590" s="24">
        <v>40130</v>
      </c>
      <c r="F1590">
        <v>10</v>
      </c>
      <c r="G1590">
        <v>1</v>
      </c>
      <c r="H1590" t="s">
        <v>4760</v>
      </c>
      <c r="I1590">
        <v>10</v>
      </c>
    </row>
    <row r="1591" spans="2:9" x14ac:dyDescent="0.3">
      <c r="B1591" t="s">
        <v>1289</v>
      </c>
      <c r="C1591" t="s">
        <v>2641</v>
      </c>
      <c r="D1591" t="s">
        <v>2658</v>
      </c>
      <c r="E1591" s="24">
        <v>39311</v>
      </c>
      <c r="F1591">
        <v>5</v>
      </c>
      <c r="G1591">
        <v>1</v>
      </c>
      <c r="H1591" t="s">
        <v>4761</v>
      </c>
      <c r="I1591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236"/>
  <sheetViews>
    <sheetView zoomScaleNormal="100" workbookViewId="0">
      <selection activeCell="E12" sqref="E12"/>
    </sheetView>
  </sheetViews>
  <sheetFormatPr defaultColWidth="9.109375" defaultRowHeight="0" customHeight="1" zeroHeight="1" x14ac:dyDescent="0.3"/>
  <cols>
    <col min="1" max="1" width="4.33203125" customWidth="1"/>
    <col min="2" max="2" width="11" customWidth="1"/>
    <col min="3" max="9" width="9.109375" customWidth="1"/>
  </cols>
  <sheetData>
    <row r="1" spans="1:9" ht="14.4" x14ac:dyDescent="0.3">
      <c r="B1" s="1" t="s">
        <v>11</v>
      </c>
      <c r="C1" s="50" t="s">
        <v>106</v>
      </c>
    </row>
    <row r="2" spans="1:9" ht="14.4" x14ac:dyDescent="0.3"/>
    <row r="3" spans="1:9" ht="14.4" x14ac:dyDescent="0.3"/>
    <row r="4" spans="1:9" ht="14.4" x14ac:dyDescent="0.3"/>
    <row r="5" spans="1:9" ht="14.4" x14ac:dyDescent="0.3"/>
    <row r="6" spans="1:9" ht="14.4" x14ac:dyDescent="0.3"/>
    <row r="7" spans="1:9" ht="14.4" x14ac:dyDescent="0.3"/>
    <row r="8" spans="1:9" ht="14.4" x14ac:dyDescent="0.3"/>
    <row r="9" spans="1:9" ht="14.4" x14ac:dyDescent="0.3"/>
    <row r="10" spans="1:9" ht="14.4" x14ac:dyDescent="0.3"/>
    <row r="11" spans="1:9" ht="14.4" x14ac:dyDescent="0.3"/>
    <row r="12" spans="1:9" ht="14.4" x14ac:dyDescent="0.3"/>
    <row r="13" spans="1:9" ht="14.4" x14ac:dyDescent="0.3"/>
    <row r="14" spans="1:9" s="47" customFormat="1" ht="14.4" x14ac:dyDescent="0.3">
      <c r="A14"/>
      <c r="B14"/>
      <c r="C14"/>
      <c r="D14"/>
      <c r="E14"/>
      <c r="F14"/>
      <c r="G14"/>
      <c r="H14"/>
      <c r="I14"/>
    </row>
    <row r="15" spans="1:9" s="47" customFormat="1" ht="14.4" x14ac:dyDescent="0.3">
      <c r="A15"/>
      <c r="B15"/>
      <c r="C15"/>
      <c r="D15"/>
      <c r="E15"/>
      <c r="F15"/>
      <c r="G15"/>
      <c r="H15"/>
      <c r="I15"/>
    </row>
    <row r="16" spans="1:9" s="47" customFormat="1" ht="14.4" x14ac:dyDescent="0.3">
      <c r="A16"/>
      <c r="B16"/>
      <c r="C16"/>
      <c r="D16"/>
      <c r="E16"/>
      <c r="F16"/>
      <c r="G16"/>
      <c r="H16"/>
      <c r="I16"/>
    </row>
    <row r="17" spans="1:9" s="47" customFormat="1" ht="14.4" x14ac:dyDescent="0.3">
      <c r="A17"/>
      <c r="B17"/>
      <c r="C17"/>
      <c r="D17"/>
      <c r="E17"/>
      <c r="F17"/>
      <c r="G17"/>
      <c r="H17"/>
      <c r="I17"/>
    </row>
    <row r="18" spans="1:9" s="47" customFormat="1" ht="14.4" x14ac:dyDescent="0.3">
      <c r="A18"/>
      <c r="B18"/>
      <c r="C18"/>
      <c r="D18"/>
      <c r="E18" s="51">
        <v>43295</v>
      </c>
      <c r="F18">
        <f>50+50/6</f>
        <v>58.333333333333336</v>
      </c>
      <c r="G18" s="51">
        <f>E18+F18</f>
        <v>43353.333333333336</v>
      </c>
      <c r="H18"/>
      <c r="I18"/>
    </row>
    <row r="19" spans="1:9" s="47" customFormat="1" ht="14.4" x14ac:dyDescent="0.3">
      <c r="A19"/>
      <c r="B19"/>
      <c r="C19"/>
      <c r="D19"/>
      <c r="E19"/>
      <c r="F19"/>
      <c r="G19"/>
      <c r="H19"/>
      <c r="I19"/>
    </row>
    <row r="20" spans="1:9" s="47" customFormat="1" ht="14.4" x14ac:dyDescent="0.3">
      <c r="A20"/>
      <c r="B20"/>
      <c r="C20"/>
      <c r="D20"/>
      <c r="E20"/>
      <c r="F20"/>
      <c r="G20"/>
      <c r="H20"/>
      <c r="I20"/>
    </row>
    <row r="21" spans="1:9" s="47" customFormat="1" ht="14.4" x14ac:dyDescent="0.3">
      <c r="A21"/>
      <c r="B21"/>
      <c r="C21"/>
      <c r="D21"/>
      <c r="E21"/>
      <c r="F21"/>
      <c r="G21"/>
      <c r="H21"/>
      <c r="I21"/>
    </row>
    <row r="22" spans="1:9" s="47" customFormat="1" ht="14.4" x14ac:dyDescent="0.3">
      <c r="A22"/>
      <c r="B22"/>
      <c r="C22"/>
      <c r="D22"/>
      <c r="E22"/>
      <c r="F22"/>
      <c r="G22"/>
      <c r="H22"/>
      <c r="I22"/>
    </row>
    <row r="23" spans="1:9" s="47" customFormat="1" ht="14.4" x14ac:dyDescent="0.3">
      <c r="A23"/>
      <c r="B23"/>
      <c r="C23"/>
      <c r="D23"/>
      <c r="E23"/>
      <c r="F23"/>
      <c r="G23"/>
      <c r="H23"/>
      <c r="I23"/>
    </row>
    <row r="24" spans="1:9" s="47" customFormat="1" ht="14.4" x14ac:dyDescent="0.3">
      <c r="A24"/>
      <c r="B24"/>
      <c r="C24"/>
      <c r="D24"/>
      <c r="E24"/>
      <c r="F24"/>
      <c r="G24"/>
      <c r="H24"/>
      <c r="I24"/>
    </row>
    <row r="25" spans="1:9" s="47" customFormat="1" ht="14.4" x14ac:dyDescent="0.3">
      <c r="A25"/>
      <c r="B25"/>
      <c r="C25"/>
      <c r="D25"/>
      <c r="E25"/>
      <c r="F25"/>
      <c r="G25"/>
      <c r="H25"/>
      <c r="I25"/>
    </row>
    <row r="26" spans="1:9" s="47" customFormat="1" ht="14.4" x14ac:dyDescent="0.3">
      <c r="A26"/>
      <c r="B26"/>
      <c r="C26"/>
      <c r="D26"/>
      <c r="E26"/>
      <c r="F26"/>
      <c r="G26"/>
      <c r="H26"/>
      <c r="I26"/>
    </row>
    <row r="27" spans="1:9" s="47" customFormat="1" ht="14.4" x14ac:dyDescent="0.3">
      <c r="A27"/>
      <c r="B27"/>
      <c r="C27"/>
      <c r="D27"/>
      <c r="E27"/>
      <c r="F27"/>
      <c r="G27"/>
      <c r="H27"/>
      <c r="I27"/>
    </row>
    <row r="28" spans="1:9" s="47" customFormat="1" ht="14.4" x14ac:dyDescent="0.3">
      <c r="A28"/>
      <c r="B28"/>
      <c r="C28"/>
      <c r="D28"/>
      <c r="E28"/>
      <c r="F28"/>
      <c r="G28"/>
      <c r="H28"/>
      <c r="I28"/>
    </row>
    <row r="29" spans="1:9" s="47" customFormat="1" ht="14.4" x14ac:dyDescent="0.3">
      <c r="A29"/>
      <c r="B29"/>
      <c r="C29"/>
      <c r="D29"/>
      <c r="E29"/>
      <c r="F29"/>
      <c r="G29"/>
      <c r="H29"/>
      <c r="I29"/>
    </row>
    <row r="30" spans="1:9" s="47" customFormat="1" ht="14.4" x14ac:dyDescent="0.3">
      <c r="A30"/>
      <c r="B30"/>
      <c r="C30"/>
      <c r="D30"/>
      <c r="E30"/>
      <c r="F30"/>
      <c r="G30"/>
      <c r="H30"/>
      <c r="I30"/>
    </row>
    <row r="31" spans="1:9" s="47" customFormat="1" ht="14.4" x14ac:dyDescent="0.3">
      <c r="A31"/>
      <c r="B31"/>
      <c r="C31"/>
      <c r="D31"/>
      <c r="E31"/>
      <c r="F31"/>
      <c r="G31"/>
      <c r="H31"/>
      <c r="I31"/>
    </row>
    <row r="32" spans="1:9" s="47" customFormat="1" ht="14.4" x14ac:dyDescent="0.3">
      <c r="A32"/>
      <c r="B32"/>
      <c r="C32"/>
      <c r="D32"/>
      <c r="E32"/>
      <c r="F32"/>
      <c r="G32"/>
      <c r="H32"/>
      <c r="I32"/>
    </row>
    <row r="33" spans="1:9" s="47" customFormat="1" ht="14.4" x14ac:dyDescent="0.3">
      <c r="A33"/>
      <c r="B33"/>
      <c r="C33"/>
      <c r="D33"/>
      <c r="E33"/>
      <c r="F33"/>
      <c r="G33"/>
      <c r="H33"/>
      <c r="I33"/>
    </row>
    <row r="34" spans="1:9" s="47" customFormat="1" ht="14.4" x14ac:dyDescent="0.3">
      <c r="A34"/>
      <c r="B34"/>
      <c r="C34"/>
      <c r="D34"/>
      <c r="E34"/>
      <c r="F34"/>
      <c r="G34"/>
      <c r="H34"/>
      <c r="I34"/>
    </row>
    <row r="35" spans="1:9" s="47" customFormat="1" ht="14.4" x14ac:dyDescent="0.3">
      <c r="A35"/>
      <c r="B35"/>
      <c r="C35"/>
      <c r="D35"/>
      <c r="E35"/>
      <c r="F35"/>
      <c r="G35"/>
      <c r="H35"/>
      <c r="I35"/>
    </row>
    <row r="36" spans="1:9" s="47" customFormat="1" ht="14.4" x14ac:dyDescent="0.3">
      <c r="A36"/>
      <c r="B36"/>
      <c r="C36"/>
      <c r="D36"/>
      <c r="E36"/>
      <c r="F36"/>
      <c r="G36"/>
      <c r="H36"/>
      <c r="I36"/>
    </row>
    <row r="37" spans="1:9" s="47" customFormat="1" ht="14.4" x14ac:dyDescent="0.3">
      <c r="A37"/>
      <c r="B37"/>
      <c r="C37"/>
      <c r="D37"/>
      <c r="E37"/>
      <c r="F37"/>
      <c r="G37"/>
      <c r="H37"/>
      <c r="I37"/>
    </row>
    <row r="38" spans="1:9" s="47" customFormat="1" ht="14.4" x14ac:dyDescent="0.3">
      <c r="A38"/>
      <c r="B38"/>
      <c r="C38"/>
      <c r="D38"/>
      <c r="E38"/>
      <c r="F38"/>
      <c r="G38"/>
      <c r="H38"/>
      <c r="I38"/>
    </row>
    <row r="39" spans="1:9" s="47" customFormat="1" ht="14.4" x14ac:dyDescent="0.3">
      <c r="A39"/>
      <c r="B39"/>
      <c r="C39"/>
      <c r="D39"/>
      <c r="E39"/>
      <c r="F39"/>
      <c r="G39"/>
      <c r="H39"/>
      <c r="I39"/>
    </row>
    <row r="40" spans="1:9" s="47" customFormat="1" ht="14.4" x14ac:dyDescent="0.3">
      <c r="A40"/>
      <c r="B40"/>
      <c r="C40"/>
      <c r="D40"/>
      <c r="E40"/>
      <c r="F40"/>
      <c r="G40"/>
      <c r="H40"/>
      <c r="I40"/>
    </row>
    <row r="41" spans="1:9" s="47" customFormat="1" ht="14.4" x14ac:dyDescent="0.3">
      <c r="A41"/>
      <c r="B41"/>
      <c r="C41"/>
      <c r="D41"/>
      <c r="E41"/>
      <c r="F41"/>
      <c r="G41"/>
      <c r="H41"/>
      <c r="I41"/>
    </row>
    <row r="42" spans="1:9" s="47" customFormat="1" ht="14.4" x14ac:dyDescent="0.3">
      <c r="A42"/>
      <c r="B42"/>
      <c r="C42"/>
      <c r="D42"/>
      <c r="E42"/>
      <c r="F42"/>
      <c r="G42"/>
      <c r="H42"/>
      <c r="I42"/>
    </row>
    <row r="43" spans="1:9" s="47" customFormat="1" ht="14.4" x14ac:dyDescent="0.3">
      <c r="A43"/>
      <c r="B43"/>
      <c r="C43"/>
      <c r="D43"/>
      <c r="E43"/>
      <c r="F43"/>
      <c r="G43"/>
      <c r="H43"/>
      <c r="I43"/>
    </row>
    <row r="44" spans="1:9" s="47" customFormat="1" ht="14.4" x14ac:dyDescent="0.3">
      <c r="A44"/>
      <c r="B44"/>
      <c r="C44"/>
      <c r="D44"/>
      <c r="E44"/>
      <c r="F44"/>
      <c r="G44"/>
      <c r="H44"/>
      <c r="I44"/>
    </row>
    <row r="45" spans="1:9" s="47" customFormat="1" ht="14.4" x14ac:dyDescent="0.3">
      <c r="A45"/>
      <c r="B45"/>
      <c r="C45"/>
      <c r="D45"/>
      <c r="E45"/>
      <c r="F45"/>
      <c r="G45"/>
      <c r="H45"/>
      <c r="I45"/>
    </row>
    <row r="46" spans="1:9" s="47" customFormat="1" ht="14.4" x14ac:dyDescent="0.3">
      <c r="A46"/>
      <c r="B46"/>
      <c r="C46"/>
      <c r="D46"/>
      <c r="E46"/>
      <c r="F46"/>
      <c r="G46"/>
      <c r="H46"/>
      <c r="I46"/>
    </row>
    <row r="47" spans="1:9" s="47" customFormat="1" ht="14.4" x14ac:dyDescent="0.3">
      <c r="A47"/>
      <c r="B47"/>
      <c r="C47"/>
      <c r="D47"/>
      <c r="E47"/>
      <c r="F47"/>
      <c r="G47"/>
      <c r="H47"/>
      <c r="I47"/>
    </row>
    <row r="48" spans="1:9" s="47" customFormat="1" ht="14.4" x14ac:dyDescent="0.3">
      <c r="A48"/>
      <c r="B48"/>
      <c r="C48"/>
      <c r="D48"/>
      <c r="E48"/>
      <c r="F48"/>
      <c r="G48"/>
      <c r="H48"/>
      <c r="I48"/>
    </row>
    <row r="49" spans="1:9" s="47" customFormat="1" ht="14.4" x14ac:dyDescent="0.3">
      <c r="A49"/>
      <c r="B49"/>
      <c r="C49"/>
      <c r="D49"/>
      <c r="E49"/>
      <c r="F49"/>
      <c r="G49"/>
      <c r="H49"/>
      <c r="I49"/>
    </row>
    <row r="50" spans="1:9" s="47" customFormat="1" ht="14.4" x14ac:dyDescent="0.3">
      <c r="A50"/>
      <c r="B50"/>
      <c r="C50"/>
      <c r="D50"/>
      <c r="E50"/>
      <c r="F50"/>
      <c r="G50"/>
      <c r="H50"/>
      <c r="I50"/>
    </row>
    <row r="51" spans="1:9" s="47" customFormat="1" ht="14.4" x14ac:dyDescent="0.3">
      <c r="A51"/>
      <c r="B51"/>
      <c r="C51"/>
      <c r="D51"/>
      <c r="E51"/>
      <c r="F51"/>
      <c r="G51"/>
      <c r="H51"/>
      <c r="I51"/>
    </row>
    <row r="52" spans="1:9" s="47" customFormat="1" ht="14.4" x14ac:dyDescent="0.3">
      <c r="A52"/>
      <c r="B52"/>
      <c r="C52"/>
      <c r="D52"/>
      <c r="E52"/>
      <c r="F52"/>
      <c r="G52"/>
      <c r="H52"/>
      <c r="I52"/>
    </row>
    <row r="53" spans="1:9" s="47" customFormat="1" ht="14.4" x14ac:dyDescent="0.3">
      <c r="A53"/>
      <c r="B53"/>
      <c r="C53"/>
      <c r="D53"/>
      <c r="E53"/>
      <c r="F53"/>
      <c r="G53"/>
      <c r="H53"/>
      <c r="I53"/>
    </row>
    <row r="54" spans="1:9" s="47" customFormat="1" ht="14.4" x14ac:dyDescent="0.3">
      <c r="A54"/>
      <c r="B54"/>
      <c r="C54"/>
      <c r="D54"/>
      <c r="E54"/>
      <c r="F54"/>
      <c r="G54"/>
      <c r="H54"/>
      <c r="I54"/>
    </row>
    <row r="55" spans="1:9" s="47" customFormat="1" ht="14.4" x14ac:dyDescent="0.3">
      <c r="A55"/>
      <c r="B55"/>
      <c r="C55"/>
      <c r="D55"/>
      <c r="E55"/>
      <c r="F55"/>
      <c r="G55"/>
      <c r="H55"/>
      <c r="I55"/>
    </row>
    <row r="56" spans="1:9" s="47" customFormat="1" ht="14.4" x14ac:dyDescent="0.3">
      <c r="A56"/>
      <c r="B56"/>
      <c r="C56"/>
      <c r="D56"/>
      <c r="E56"/>
      <c r="F56"/>
      <c r="G56"/>
      <c r="H56"/>
      <c r="I56"/>
    </row>
    <row r="57" spans="1:9" s="47" customFormat="1" ht="14.4" x14ac:dyDescent="0.3">
      <c r="A57"/>
      <c r="B57"/>
      <c r="C57"/>
      <c r="D57"/>
      <c r="E57"/>
      <c r="F57"/>
      <c r="G57"/>
      <c r="H57"/>
      <c r="I57"/>
    </row>
    <row r="58" spans="1:9" s="47" customFormat="1" ht="14.4" x14ac:dyDescent="0.3">
      <c r="A58"/>
      <c r="B58"/>
      <c r="C58"/>
      <c r="D58"/>
      <c r="E58"/>
      <c r="F58"/>
      <c r="G58"/>
      <c r="H58"/>
      <c r="I58"/>
    </row>
    <row r="59" spans="1:9" s="47" customFormat="1" ht="14.4" x14ac:dyDescent="0.3">
      <c r="A59"/>
      <c r="B59"/>
      <c r="C59"/>
      <c r="D59"/>
      <c r="E59"/>
      <c r="F59"/>
      <c r="G59"/>
      <c r="H59"/>
      <c r="I59"/>
    </row>
    <row r="60" spans="1:9" s="47" customFormat="1" ht="14.4" x14ac:dyDescent="0.3">
      <c r="A60"/>
      <c r="B60"/>
      <c r="C60"/>
      <c r="D60"/>
      <c r="E60"/>
      <c r="F60"/>
      <c r="G60"/>
      <c r="H60"/>
      <c r="I60"/>
    </row>
    <row r="61" spans="1:9" s="47" customFormat="1" ht="14.4" x14ac:dyDescent="0.3">
      <c r="A61"/>
      <c r="B61"/>
      <c r="C61"/>
      <c r="D61"/>
      <c r="E61"/>
      <c r="F61"/>
      <c r="G61"/>
      <c r="H61"/>
      <c r="I61"/>
    </row>
    <row r="62" spans="1:9" s="47" customFormat="1" ht="14.4" x14ac:dyDescent="0.3">
      <c r="A62"/>
      <c r="B62"/>
      <c r="C62"/>
      <c r="D62"/>
      <c r="E62"/>
      <c r="F62"/>
      <c r="G62"/>
      <c r="H62"/>
      <c r="I62"/>
    </row>
    <row r="63" spans="1:9" s="47" customFormat="1" ht="14.4" x14ac:dyDescent="0.3">
      <c r="A63"/>
      <c r="B63"/>
      <c r="C63"/>
      <c r="D63"/>
      <c r="E63"/>
      <c r="F63"/>
      <c r="G63"/>
      <c r="H63"/>
      <c r="I63"/>
    </row>
    <row r="64" spans="1:9" s="47" customFormat="1" ht="14.4" x14ac:dyDescent="0.3">
      <c r="A64"/>
      <c r="B64"/>
      <c r="C64"/>
      <c r="D64"/>
      <c r="E64"/>
      <c r="F64"/>
      <c r="G64"/>
      <c r="H64"/>
      <c r="I64"/>
    </row>
    <row r="65" spans="1:9" s="47" customFormat="1" ht="14.4" x14ac:dyDescent="0.3">
      <c r="A65"/>
      <c r="B65"/>
      <c r="C65"/>
      <c r="D65"/>
      <c r="E65"/>
      <c r="F65"/>
      <c r="G65"/>
      <c r="H65"/>
      <c r="I65"/>
    </row>
    <row r="66" spans="1:9" s="47" customFormat="1" ht="14.4" x14ac:dyDescent="0.3">
      <c r="A66"/>
      <c r="B66"/>
      <c r="C66"/>
      <c r="D66"/>
      <c r="E66"/>
      <c r="F66"/>
      <c r="G66"/>
      <c r="H66"/>
      <c r="I66"/>
    </row>
    <row r="67" spans="1:9" s="47" customFormat="1" ht="14.4" x14ac:dyDescent="0.3">
      <c r="A67"/>
      <c r="B67"/>
      <c r="C67"/>
      <c r="D67"/>
      <c r="E67"/>
      <c r="F67"/>
      <c r="G67"/>
      <c r="H67"/>
      <c r="I67"/>
    </row>
    <row r="68" spans="1:9" s="47" customFormat="1" ht="14.4" x14ac:dyDescent="0.3">
      <c r="A68"/>
      <c r="B68"/>
      <c r="C68"/>
      <c r="D68"/>
      <c r="E68"/>
      <c r="F68"/>
      <c r="G68"/>
      <c r="H68"/>
      <c r="I68"/>
    </row>
    <row r="69" spans="1:9" s="47" customFormat="1" ht="14.4" x14ac:dyDescent="0.3">
      <c r="A69"/>
      <c r="B69"/>
      <c r="C69"/>
      <c r="D69"/>
      <c r="E69"/>
      <c r="F69"/>
      <c r="G69"/>
      <c r="H69"/>
      <c r="I69"/>
    </row>
    <row r="70" spans="1:9" s="47" customFormat="1" ht="14.4" x14ac:dyDescent="0.3">
      <c r="A70"/>
      <c r="B70"/>
      <c r="C70"/>
      <c r="D70"/>
      <c r="E70"/>
      <c r="F70"/>
      <c r="G70"/>
      <c r="H70"/>
      <c r="I70"/>
    </row>
    <row r="71" spans="1:9" s="47" customFormat="1" ht="14.4" x14ac:dyDescent="0.3">
      <c r="A71"/>
      <c r="B71"/>
      <c r="C71"/>
      <c r="D71"/>
      <c r="E71"/>
      <c r="F71"/>
      <c r="G71"/>
      <c r="H71"/>
      <c r="I71"/>
    </row>
    <row r="72" spans="1:9" s="47" customFormat="1" ht="14.4" x14ac:dyDescent="0.3">
      <c r="A72"/>
      <c r="B72"/>
      <c r="C72"/>
      <c r="D72"/>
      <c r="E72"/>
      <c r="F72"/>
      <c r="G72"/>
      <c r="H72"/>
      <c r="I72"/>
    </row>
    <row r="73" spans="1:9" s="47" customFormat="1" ht="14.4" x14ac:dyDescent="0.3">
      <c r="A73"/>
      <c r="B73"/>
      <c r="C73"/>
      <c r="D73"/>
      <c r="E73"/>
      <c r="F73"/>
      <c r="G73"/>
      <c r="H73"/>
      <c r="I73"/>
    </row>
    <row r="74" spans="1:9" s="47" customFormat="1" ht="14.4" x14ac:dyDescent="0.3">
      <c r="A74"/>
      <c r="B74"/>
      <c r="C74"/>
      <c r="D74"/>
      <c r="E74"/>
      <c r="F74"/>
      <c r="G74"/>
      <c r="H74"/>
      <c r="I74"/>
    </row>
    <row r="75" spans="1:9" s="47" customFormat="1" ht="14.4" x14ac:dyDescent="0.3">
      <c r="A75"/>
      <c r="B75"/>
      <c r="C75"/>
      <c r="D75"/>
      <c r="E75"/>
      <c r="F75"/>
      <c r="G75"/>
      <c r="H75"/>
      <c r="I75"/>
    </row>
    <row r="76" spans="1:9" s="47" customFormat="1" ht="14.4" x14ac:dyDescent="0.3">
      <c r="A76"/>
      <c r="B76"/>
      <c r="C76"/>
      <c r="D76"/>
      <c r="E76"/>
      <c r="F76"/>
      <c r="G76"/>
      <c r="H76"/>
      <c r="I76"/>
    </row>
    <row r="77" spans="1:9" s="47" customFormat="1" ht="14.4" x14ac:dyDescent="0.3">
      <c r="A77"/>
      <c r="B77"/>
      <c r="C77"/>
      <c r="D77"/>
      <c r="E77"/>
      <c r="F77"/>
      <c r="G77"/>
      <c r="H77"/>
      <c r="I77"/>
    </row>
    <row r="78" spans="1:9" s="47" customFormat="1" ht="14.4" x14ac:dyDescent="0.3">
      <c r="A78"/>
      <c r="B78"/>
      <c r="C78"/>
      <c r="D78"/>
      <c r="E78"/>
      <c r="F78"/>
      <c r="G78"/>
      <c r="H78"/>
      <c r="I78"/>
    </row>
    <row r="79" spans="1:9" s="47" customFormat="1" ht="14.4" x14ac:dyDescent="0.3">
      <c r="A79"/>
      <c r="B79"/>
      <c r="C79"/>
      <c r="D79"/>
      <c r="E79"/>
      <c r="F79"/>
      <c r="G79"/>
      <c r="H79"/>
      <c r="I79"/>
    </row>
    <row r="80" spans="1:9" s="47" customFormat="1" ht="14.4" x14ac:dyDescent="0.3">
      <c r="A80"/>
      <c r="B80"/>
      <c r="C80"/>
      <c r="D80"/>
      <c r="E80"/>
      <c r="F80"/>
      <c r="G80"/>
      <c r="H80"/>
      <c r="I80"/>
    </row>
    <row r="81" spans="1:9" s="47" customFormat="1" ht="14.4" x14ac:dyDescent="0.3">
      <c r="A81"/>
      <c r="B81"/>
      <c r="C81"/>
      <c r="D81"/>
      <c r="E81"/>
      <c r="F81"/>
      <c r="G81"/>
      <c r="H81"/>
      <c r="I81"/>
    </row>
    <row r="82" spans="1:9" s="47" customFormat="1" ht="14.4" x14ac:dyDescent="0.3">
      <c r="A82"/>
      <c r="B82"/>
      <c r="C82"/>
      <c r="D82"/>
      <c r="E82"/>
      <c r="F82"/>
      <c r="G82"/>
      <c r="H82"/>
      <c r="I82"/>
    </row>
    <row r="83" spans="1:9" s="47" customFormat="1" ht="14.4" x14ac:dyDescent="0.3">
      <c r="A83"/>
      <c r="B83"/>
      <c r="C83"/>
      <c r="D83"/>
      <c r="E83"/>
      <c r="F83"/>
      <c r="G83"/>
      <c r="H83"/>
      <c r="I83"/>
    </row>
    <row r="84" spans="1:9" s="47" customFormat="1" ht="14.4" x14ac:dyDescent="0.3">
      <c r="A84"/>
      <c r="B84"/>
      <c r="C84"/>
      <c r="D84"/>
      <c r="E84"/>
      <c r="F84"/>
      <c r="G84"/>
      <c r="H84"/>
      <c r="I84"/>
    </row>
    <row r="85" spans="1:9" s="47" customFormat="1" ht="14.4" x14ac:dyDescent="0.3">
      <c r="A85"/>
      <c r="B85"/>
      <c r="C85"/>
      <c r="D85"/>
      <c r="E85"/>
      <c r="F85"/>
      <c r="G85"/>
      <c r="H85"/>
      <c r="I85"/>
    </row>
    <row r="86" spans="1:9" s="47" customFormat="1" ht="14.4" x14ac:dyDescent="0.3">
      <c r="A86"/>
      <c r="B86"/>
      <c r="C86"/>
      <c r="D86"/>
      <c r="E86"/>
      <c r="F86"/>
      <c r="G86"/>
      <c r="H86"/>
      <c r="I86"/>
    </row>
    <row r="87" spans="1:9" s="47" customFormat="1" ht="14.4" x14ac:dyDescent="0.3">
      <c r="A87"/>
      <c r="B87"/>
      <c r="C87"/>
      <c r="D87"/>
      <c r="E87"/>
      <c r="F87"/>
      <c r="G87"/>
      <c r="H87"/>
      <c r="I87"/>
    </row>
    <row r="88" spans="1:9" s="47" customFormat="1" ht="14.4" x14ac:dyDescent="0.3">
      <c r="A88"/>
      <c r="B88"/>
      <c r="C88"/>
      <c r="D88"/>
      <c r="E88"/>
      <c r="F88"/>
      <c r="G88"/>
      <c r="H88"/>
      <c r="I88"/>
    </row>
    <row r="89" spans="1:9" s="47" customFormat="1" ht="14.4" x14ac:dyDescent="0.3">
      <c r="A89"/>
      <c r="B89"/>
      <c r="C89"/>
      <c r="D89"/>
      <c r="E89"/>
      <c r="F89"/>
      <c r="G89"/>
      <c r="H89"/>
      <c r="I89"/>
    </row>
    <row r="90" spans="1:9" s="47" customFormat="1" ht="14.4" x14ac:dyDescent="0.3">
      <c r="A90"/>
      <c r="B90"/>
      <c r="C90"/>
      <c r="D90"/>
      <c r="E90"/>
      <c r="F90"/>
      <c r="G90"/>
      <c r="H90"/>
      <c r="I90"/>
    </row>
    <row r="91" spans="1:9" s="47" customFormat="1" ht="14.4" x14ac:dyDescent="0.3">
      <c r="A91"/>
      <c r="B91"/>
      <c r="C91"/>
      <c r="D91"/>
      <c r="E91"/>
      <c r="F91"/>
      <c r="G91"/>
      <c r="H91"/>
      <c r="I91"/>
    </row>
    <row r="92" spans="1:9" s="47" customFormat="1" ht="14.4" x14ac:dyDescent="0.3">
      <c r="A92"/>
      <c r="B92"/>
      <c r="C92"/>
      <c r="D92"/>
      <c r="E92"/>
      <c r="F92"/>
      <c r="G92"/>
      <c r="H92"/>
      <c r="I92"/>
    </row>
    <row r="93" spans="1:9" s="47" customFormat="1" ht="14.4" x14ac:dyDescent="0.3">
      <c r="A93"/>
      <c r="B93"/>
      <c r="C93"/>
      <c r="D93"/>
      <c r="E93"/>
      <c r="F93"/>
      <c r="G93"/>
      <c r="H93"/>
      <c r="I93"/>
    </row>
    <row r="94" spans="1:9" s="47" customFormat="1" ht="14.4" x14ac:dyDescent="0.3">
      <c r="A94"/>
      <c r="B94"/>
      <c r="C94"/>
      <c r="D94"/>
      <c r="E94"/>
      <c r="F94"/>
      <c r="G94"/>
      <c r="H94"/>
      <c r="I94"/>
    </row>
    <row r="95" spans="1:9" s="47" customFormat="1" ht="14.4" x14ac:dyDescent="0.3">
      <c r="A95"/>
      <c r="B95"/>
      <c r="C95"/>
      <c r="D95"/>
      <c r="E95"/>
      <c r="F95"/>
      <c r="G95"/>
      <c r="H95"/>
      <c r="I95"/>
    </row>
    <row r="96" spans="1:9" s="47" customFormat="1" ht="14.4" x14ac:dyDescent="0.3">
      <c r="A96"/>
      <c r="B96"/>
      <c r="C96"/>
      <c r="D96"/>
      <c r="E96"/>
      <c r="F96"/>
      <c r="G96"/>
      <c r="H96"/>
      <c r="I96"/>
    </row>
    <row r="97" spans="1:9" s="47" customFormat="1" ht="14.4" x14ac:dyDescent="0.3">
      <c r="A97"/>
      <c r="B97"/>
      <c r="C97"/>
      <c r="D97"/>
      <c r="E97"/>
      <c r="F97"/>
      <c r="G97"/>
      <c r="H97"/>
      <c r="I97"/>
    </row>
    <row r="98" spans="1:9" s="47" customFormat="1" ht="14.4" x14ac:dyDescent="0.3">
      <c r="A98"/>
      <c r="B98"/>
      <c r="C98"/>
      <c r="D98"/>
      <c r="E98"/>
      <c r="F98"/>
      <c r="G98"/>
      <c r="H98"/>
      <c r="I98"/>
    </row>
    <row r="99" spans="1:9" s="47" customFormat="1" ht="14.4" x14ac:dyDescent="0.3">
      <c r="A99"/>
      <c r="B99"/>
      <c r="C99"/>
      <c r="D99"/>
      <c r="E99"/>
      <c r="F99"/>
      <c r="G99"/>
      <c r="H99"/>
      <c r="I99"/>
    </row>
    <row r="100" spans="1:9" s="47" customFormat="1" ht="14.4" x14ac:dyDescent="0.3">
      <c r="A100"/>
      <c r="B100"/>
      <c r="C100"/>
      <c r="D100"/>
      <c r="E100"/>
      <c r="F100"/>
      <c r="G100"/>
      <c r="H100"/>
      <c r="I100"/>
    </row>
    <row r="101" spans="1:9" s="47" customFormat="1" ht="14.4" x14ac:dyDescent="0.3">
      <c r="A101"/>
      <c r="B101"/>
      <c r="C101"/>
      <c r="D101"/>
      <c r="E101"/>
      <c r="F101"/>
      <c r="G101"/>
      <c r="H101"/>
      <c r="I101"/>
    </row>
    <row r="102" spans="1:9" s="47" customFormat="1" ht="14.4" x14ac:dyDescent="0.3">
      <c r="A102"/>
      <c r="B102"/>
      <c r="C102"/>
      <c r="D102"/>
      <c r="E102"/>
      <c r="F102"/>
      <c r="G102"/>
      <c r="H102"/>
      <c r="I102"/>
    </row>
    <row r="103" spans="1:9" s="47" customFormat="1" ht="14.4" x14ac:dyDescent="0.3">
      <c r="A103"/>
      <c r="B103"/>
      <c r="C103"/>
      <c r="D103"/>
      <c r="E103"/>
      <c r="F103"/>
      <c r="G103"/>
      <c r="H103"/>
      <c r="I103"/>
    </row>
    <row r="104" spans="1:9" s="47" customFormat="1" ht="14.4" x14ac:dyDescent="0.3">
      <c r="A104"/>
      <c r="B104"/>
      <c r="C104"/>
      <c r="D104"/>
      <c r="E104"/>
      <c r="F104"/>
      <c r="G104"/>
      <c r="H104"/>
      <c r="I104"/>
    </row>
    <row r="105" spans="1:9" s="47" customFormat="1" ht="14.4" x14ac:dyDescent="0.3">
      <c r="A105"/>
      <c r="B105"/>
      <c r="C105"/>
      <c r="D105"/>
      <c r="E105"/>
      <c r="F105"/>
      <c r="G105"/>
      <c r="H105"/>
      <c r="I105"/>
    </row>
    <row r="106" spans="1:9" s="47" customFormat="1" ht="14.4" x14ac:dyDescent="0.3">
      <c r="A106"/>
      <c r="B106"/>
      <c r="C106"/>
      <c r="D106"/>
      <c r="E106"/>
      <c r="F106"/>
      <c r="G106"/>
      <c r="H106"/>
      <c r="I106"/>
    </row>
    <row r="107" spans="1:9" s="47" customFormat="1" ht="14.4" x14ac:dyDescent="0.3">
      <c r="A107"/>
      <c r="B107"/>
      <c r="C107"/>
      <c r="D107"/>
      <c r="E107"/>
      <c r="F107"/>
      <c r="G107"/>
      <c r="H107"/>
      <c r="I107"/>
    </row>
    <row r="108" spans="1:9" s="47" customFormat="1" ht="14.4" x14ac:dyDescent="0.3">
      <c r="A108"/>
      <c r="B108"/>
      <c r="C108"/>
      <c r="D108"/>
      <c r="E108"/>
      <c r="F108"/>
      <c r="G108"/>
      <c r="H108"/>
      <c r="I108"/>
    </row>
    <row r="109" spans="1:9" s="47" customFormat="1" ht="14.4" x14ac:dyDescent="0.3">
      <c r="A109"/>
      <c r="B109"/>
      <c r="C109"/>
      <c r="D109"/>
      <c r="E109"/>
      <c r="F109"/>
      <c r="G109"/>
      <c r="H109"/>
      <c r="I109"/>
    </row>
    <row r="110" spans="1:9" s="47" customFormat="1" ht="14.4" x14ac:dyDescent="0.3">
      <c r="A110"/>
      <c r="B110"/>
      <c r="C110"/>
      <c r="D110"/>
      <c r="E110"/>
      <c r="F110"/>
      <c r="G110"/>
      <c r="H110"/>
      <c r="I110"/>
    </row>
    <row r="111" spans="1:9" s="47" customFormat="1" ht="14.4" x14ac:dyDescent="0.3">
      <c r="A111"/>
      <c r="B111"/>
      <c r="C111"/>
      <c r="D111"/>
      <c r="E111"/>
      <c r="F111"/>
      <c r="G111"/>
      <c r="H111"/>
      <c r="I111"/>
    </row>
    <row r="112" spans="1:9" s="47" customFormat="1" ht="14.4" x14ac:dyDescent="0.3">
      <c r="A112"/>
      <c r="B112"/>
      <c r="C112"/>
      <c r="D112"/>
      <c r="E112"/>
      <c r="F112"/>
      <c r="G112"/>
      <c r="H112"/>
      <c r="I112"/>
    </row>
    <row r="113" spans="1:9" s="47" customFormat="1" ht="14.4" x14ac:dyDescent="0.3">
      <c r="A113"/>
      <c r="B113"/>
      <c r="C113"/>
      <c r="D113"/>
      <c r="E113"/>
      <c r="F113"/>
      <c r="G113"/>
      <c r="H113"/>
      <c r="I113"/>
    </row>
    <row r="114" spans="1:9" s="47" customFormat="1" ht="14.4" x14ac:dyDescent="0.3">
      <c r="A114"/>
      <c r="B114"/>
      <c r="C114"/>
      <c r="D114"/>
      <c r="E114"/>
      <c r="F114"/>
      <c r="G114"/>
      <c r="H114"/>
      <c r="I114"/>
    </row>
    <row r="115" spans="1:9" s="47" customFormat="1" ht="14.4" x14ac:dyDescent="0.3">
      <c r="A115"/>
      <c r="B115"/>
      <c r="C115"/>
      <c r="D115"/>
      <c r="E115"/>
      <c r="F115"/>
      <c r="G115"/>
      <c r="H115"/>
      <c r="I115"/>
    </row>
    <row r="116" spans="1:9" s="47" customFormat="1" ht="14.4" x14ac:dyDescent="0.3">
      <c r="A116"/>
      <c r="B116"/>
      <c r="C116"/>
      <c r="D116"/>
      <c r="E116"/>
      <c r="F116"/>
      <c r="G116"/>
      <c r="H116"/>
      <c r="I116"/>
    </row>
    <row r="117" spans="1:9" s="47" customFormat="1" ht="14.4" x14ac:dyDescent="0.3">
      <c r="A117"/>
      <c r="B117"/>
      <c r="C117"/>
      <c r="D117"/>
      <c r="E117"/>
      <c r="F117"/>
      <c r="G117"/>
      <c r="H117"/>
      <c r="I117"/>
    </row>
    <row r="118" spans="1:9" s="47" customFormat="1" ht="14.4" x14ac:dyDescent="0.3">
      <c r="A118"/>
      <c r="B118"/>
      <c r="C118"/>
      <c r="D118"/>
      <c r="E118"/>
      <c r="F118"/>
      <c r="G118"/>
      <c r="H118"/>
      <c r="I118"/>
    </row>
    <row r="119" spans="1:9" s="47" customFormat="1" ht="14.4" x14ac:dyDescent="0.3">
      <c r="A119"/>
      <c r="B119"/>
      <c r="C119"/>
      <c r="D119"/>
      <c r="E119"/>
      <c r="F119"/>
      <c r="G119"/>
      <c r="H119"/>
      <c r="I119"/>
    </row>
    <row r="120" spans="1:9" s="47" customFormat="1" ht="14.4" x14ac:dyDescent="0.3">
      <c r="A120"/>
      <c r="B120"/>
      <c r="C120"/>
      <c r="D120"/>
      <c r="E120"/>
      <c r="F120"/>
      <c r="G120"/>
      <c r="H120"/>
      <c r="I120"/>
    </row>
    <row r="121" spans="1:9" s="47" customFormat="1" ht="14.4" x14ac:dyDescent="0.3">
      <c r="A121"/>
      <c r="B121"/>
      <c r="C121"/>
      <c r="D121"/>
      <c r="E121"/>
      <c r="F121"/>
      <c r="G121"/>
      <c r="H121"/>
      <c r="I121"/>
    </row>
    <row r="122" spans="1:9" s="47" customFormat="1" ht="14.4" x14ac:dyDescent="0.3">
      <c r="A122"/>
      <c r="B122"/>
      <c r="C122"/>
      <c r="D122"/>
      <c r="E122"/>
      <c r="F122"/>
      <c r="G122"/>
      <c r="H122"/>
      <c r="I122"/>
    </row>
    <row r="123" spans="1:9" s="47" customFormat="1" ht="14.4" x14ac:dyDescent="0.3">
      <c r="A123"/>
      <c r="B123"/>
      <c r="C123"/>
      <c r="D123"/>
      <c r="E123"/>
      <c r="F123"/>
      <c r="G123"/>
      <c r="H123"/>
      <c r="I123"/>
    </row>
    <row r="124" spans="1:9" s="47" customFormat="1" ht="14.4" x14ac:dyDescent="0.3">
      <c r="A124"/>
      <c r="B124"/>
      <c r="C124"/>
      <c r="D124"/>
      <c r="E124"/>
      <c r="F124"/>
      <c r="G124"/>
      <c r="H124"/>
      <c r="I124"/>
    </row>
    <row r="125" spans="1:9" s="47" customFormat="1" ht="14.4" x14ac:dyDescent="0.3">
      <c r="A125"/>
      <c r="B125"/>
      <c r="C125"/>
      <c r="D125"/>
      <c r="E125"/>
      <c r="F125"/>
      <c r="G125"/>
      <c r="H125"/>
      <c r="I125"/>
    </row>
    <row r="126" spans="1:9" s="47" customFormat="1" ht="14.4" x14ac:dyDescent="0.3">
      <c r="A126"/>
      <c r="B126"/>
      <c r="C126"/>
      <c r="D126"/>
      <c r="E126"/>
      <c r="F126"/>
      <c r="G126"/>
      <c r="H126"/>
      <c r="I126"/>
    </row>
    <row r="127" spans="1:9" s="47" customFormat="1" ht="14.4" x14ac:dyDescent="0.3">
      <c r="A127"/>
      <c r="B127"/>
      <c r="C127"/>
      <c r="D127"/>
      <c r="E127"/>
      <c r="F127"/>
      <c r="G127"/>
      <c r="H127"/>
      <c r="I127"/>
    </row>
    <row r="128" spans="1:9" s="47" customFormat="1" ht="14.4" x14ac:dyDescent="0.3">
      <c r="A128"/>
      <c r="B128"/>
      <c r="C128"/>
      <c r="D128"/>
      <c r="E128"/>
      <c r="F128"/>
      <c r="G128"/>
      <c r="H128"/>
      <c r="I128"/>
    </row>
    <row r="129" spans="1:9" s="47" customFormat="1" ht="14.4" x14ac:dyDescent="0.3">
      <c r="A129"/>
      <c r="B129"/>
      <c r="C129"/>
      <c r="D129"/>
      <c r="E129"/>
      <c r="F129"/>
      <c r="G129"/>
      <c r="H129"/>
      <c r="I129"/>
    </row>
    <row r="130" spans="1:9" s="47" customFormat="1" ht="14.4" x14ac:dyDescent="0.3">
      <c r="A130"/>
      <c r="B130"/>
      <c r="C130"/>
      <c r="D130"/>
      <c r="E130"/>
      <c r="F130"/>
      <c r="G130"/>
      <c r="H130"/>
      <c r="I130"/>
    </row>
    <row r="131" spans="1:9" s="47" customFormat="1" ht="14.4" x14ac:dyDescent="0.3">
      <c r="A131"/>
      <c r="B131"/>
      <c r="C131"/>
      <c r="D131"/>
      <c r="E131"/>
      <c r="F131"/>
      <c r="G131"/>
      <c r="H131"/>
      <c r="I131"/>
    </row>
    <row r="132" spans="1:9" s="47" customFormat="1" ht="14.4" x14ac:dyDescent="0.3">
      <c r="A132"/>
      <c r="B132"/>
      <c r="C132"/>
      <c r="D132"/>
      <c r="E132"/>
      <c r="F132"/>
      <c r="G132"/>
      <c r="H132"/>
      <c r="I132"/>
    </row>
    <row r="133" spans="1:9" s="47" customFormat="1" ht="14.4" x14ac:dyDescent="0.3">
      <c r="A133"/>
      <c r="B133"/>
      <c r="C133"/>
      <c r="D133"/>
      <c r="E133"/>
      <c r="F133"/>
      <c r="G133"/>
      <c r="H133"/>
      <c r="I133"/>
    </row>
    <row r="134" spans="1:9" s="47" customFormat="1" ht="14.4" x14ac:dyDescent="0.3">
      <c r="A134"/>
      <c r="B134"/>
      <c r="C134"/>
      <c r="D134"/>
      <c r="E134"/>
      <c r="F134"/>
      <c r="G134"/>
      <c r="H134"/>
      <c r="I134"/>
    </row>
    <row r="135" spans="1:9" s="47" customFormat="1" ht="14.4" x14ac:dyDescent="0.3">
      <c r="A135"/>
      <c r="B135"/>
      <c r="C135"/>
      <c r="D135"/>
      <c r="E135"/>
      <c r="F135"/>
      <c r="G135"/>
      <c r="H135"/>
      <c r="I135"/>
    </row>
    <row r="136" spans="1:9" s="47" customFormat="1" ht="14.4" x14ac:dyDescent="0.3">
      <c r="A136"/>
      <c r="B136"/>
      <c r="C136"/>
      <c r="D136"/>
      <c r="E136"/>
      <c r="F136"/>
      <c r="G136"/>
      <c r="H136"/>
      <c r="I136"/>
    </row>
    <row r="137" spans="1:9" s="47" customFormat="1" ht="14.4" x14ac:dyDescent="0.3">
      <c r="A137"/>
      <c r="B137"/>
      <c r="C137"/>
      <c r="D137"/>
      <c r="E137"/>
      <c r="F137"/>
      <c r="G137"/>
      <c r="H137"/>
      <c r="I137"/>
    </row>
    <row r="138" spans="1:9" s="47" customFormat="1" ht="14.4" x14ac:dyDescent="0.3">
      <c r="A138"/>
      <c r="B138"/>
      <c r="C138"/>
      <c r="D138"/>
      <c r="E138"/>
      <c r="F138"/>
      <c r="G138"/>
      <c r="H138"/>
      <c r="I138"/>
    </row>
    <row r="139" spans="1:9" s="47" customFormat="1" ht="14.4" x14ac:dyDescent="0.3">
      <c r="A139"/>
      <c r="B139"/>
      <c r="C139"/>
      <c r="D139"/>
      <c r="E139"/>
      <c r="F139"/>
      <c r="G139"/>
      <c r="H139"/>
      <c r="I139"/>
    </row>
    <row r="140" spans="1:9" s="47" customFormat="1" ht="14.4" x14ac:dyDescent="0.3">
      <c r="A140"/>
      <c r="B140"/>
      <c r="C140"/>
      <c r="D140"/>
      <c r="E140"/>
      <c r="F140"/>
      <c r="G140"/>
      <c r="H140"/>
      <c r="I140"/>
    </row>
    <row r="141" spans="1:9" s="47" customFormat="1" ht="14.4" x14ac:dyDescent="0.3">
      <c r="A141"/>
      <c r="B141"/>
      <c r="C141"/>
      <c r="D141"/>
      <c r="E141"/>
      <c r="F141"/>
      <c r="G141"/>
      <c r="H141"/>
      <c r="I141"/>
    </row>
    <row r="142" spans="1:9" s="47" customFormat="1" ht="14.4" x14ac:dyDescent="0.3">
      <c r="A142"/>
      <c r="B142"/>
      <c r="C142"/>
      <c r="D142"/>
      <c r="E142"/>
      <c r="F142"/>
      <c r="G142"/>
      <c r="H142"/>
      <c r="I142"/>
    </row>
    <row r="143" spans="1:9" s="47" customFormat="1" ht="14.4" x14ac:dyDescent="0.3">
      <c r="A143"/>
      <c r="B143"/>
      <c r="C143"/>
      <c r="D143"/>
      <c r="E143"/>
      <c r="F143"/>
      <c r="G143"/>
      <c r="H143"/>
      <c r="I143"/>
    </row>
    <row r="144" spans="1:9" s="47" customFormat="1" ht="14.4" x14ac:dyDescent="0.3">
      <c r="A144"/>
      <c r="B144"/>
      <c r="C144"/>
      <c r="D144"/>
      <c r="E144"/>
      <c r="F144"/>
      <c r="G144"/>
      <c r="H144"/>
      <c r="I144"/>
    </row>
    <row r="145" spans="1:9" s="47" customFormat="1" ht="14.4" x14ac:dyDescent="0.3">
      <c r="A145"/>
      <c r="B145"/>
      <c r="C145"/>
      <c r="D145"/>
      <c r="E145"/>
      <c r="F145"/>
      <c r="G145"/>
      <c r="H145"/>
      <c r="I145"/>
    </row>
    <row r="146" spans="1:9" s="47" customFormat="1" ht="14.4" x14ac:dyDescent="0.3">
      <c r="A146"/>
      <c r="B146"/>
      <c r="C146"/>
      <c r="D146"/>
      <c r="E146"/>
      <c r="F146"/>
      <c r="G146"/>
      <c r="H146"/>
      <c r="I146"/>
    </row>
    <row r="147" spans="1:9" s="47" customFormat="1" ht="14.4" x14ac:dyDescent="0.3">
      <c r="A147"/>
      <c r="B147"/>
      <c r="C147"/>
      <c r="D147"/>
      <c r="E147"/>
      <c r="F147"/>
      <c r="G147"/>
      <c r="H147"/>
      <c r="I147"/>
    </row>
    <row r="148" spans="1:9" s="47" customFormat="1" ht="14.4" x14ac:dyDescent="0.3">
      <c r="A148"/>
      <c r="B148"/>
      <c r="C148"/>
      <c r="D148"/>
      <c r="E148"/>
      <c r="F148"/>
      <c r="G148"/>
      <c r="H148"/>
      <c r="I148"/>
    </row>
    <row r="149" spans="1:9" s="47" customFormat="1" ht="14.4" x14ac:dyDescent="0.3">
      <c r="A149"/>
      <c r="B149"/>
      <c r="C149"/>
      <c r="D149"/>
      <c r="E149"/>
      <c r="F149"/>
      <c r="G149"/>
      <c r="H149"/>
      <c r="I149"/>
    </row>
    <row r="150" spans="1:9" s="47" customFormat="1" ht="14.4" x14ac:dyDescent="0.3">
      <c r="A150"/>
      <c r="B150"/>
      <c r="C150"/>
      <c r="D150"/>
      <c r="E150"/>
      <c r="F150"/>
      <c r="G150"/>
      <c r="H150"/>
      <c r="I150"/>
    </row>
    <row r="151" spans="1:9" s="47" customFormat="1" ht="14.4" x14ac:dyDescent="0.3">
      <c r="A151"/>
      <c r="B151"/>
      <c r="C151"/>
      <c r="D151"/>
      <c r="E151"/>
      <c r="F151"/>
      <c r="G151"/>
      <c r="H151"/>
      <c r="I151"/>
    </row>
    <row r="152" spans="1:9" s="47" customFormat="1" ht="14.4" x14ac:dyDescent="0.3">
      <c r="A152"/>
      <c r="B152"/>
      <c r="C152"/>
      <c r="D152"/>
      <c r="E152"/>
      <c r="F152"/>
      <c r="G152"/>
      <c r="H152"/>
      <c r="I152"/>
    </row>
    <row r="153" spans="1:9" s="47" customFormat="1" ht="14.4" x14ac:dyDescent="0.3">
      <c r="A153"/>
      <c r="B153"/>
      <c r="C153"/>
      <c r="D153"/>
      <c r="E153"/>
      <c r="F153"/>
      <c r="G153"/>
      <c r="H153"/>
      <c r="I153"/>
    </row>
    <row r="154" spans="1:9" s="47" customFormat="1" ht="14.4" x14ac:dyDescent="0.3">
      <c r="A154"/>
      <c r="B154"/>
      <c r="C154"/>
      <c r="D154"/>
      <c r="E154"/>
      <c r="F154"/>
      <c r="G154"/>
      <c r="H154"/>
      <c r="I154"/>
    </row>
    <row r="155" spans="1:9" s="47" customFormat="1" ht="14.4" x14ac:dyDescent="0.3">
      <c r="A155"/>
      <c r="B155"/>
      <c r="C155"/>
      <c r="D155"/>
      <c r="E155"/>
      <c r="F155"/>
      <c r="G155"/>
      <c r="H155"/>
      <c r="I155"/>
    </row>
    <row r="156" spans="1:9" s="47" customFormat="1" ht="14.4" x14ac:dyDescent="0.3">
      <c r="A156"/>
      <c r="B156"/>
      <c r="C156"/>
      <c r="D156"/>
      <c r="E156"/>
      <c r="F156"/>
      <c r="G156"/>
      <c r="H156"/>
      <c r="I156"/>
    </row>
    <row r="157" spans="1:9" s="47" customFormat="1" ht="14.4" x14ac:dyDescent="0.3">
      <c r="A157"/>
      <c r="B157"/>
      <c r="C157"/>
      <c r="D157"/>
      <c r="E157"/>
      <c r="F157"/>
      <c r="G157"/>
      <c r="H157"/>
      <c r="I157"/>
    </row>
    <row r="158" spans="1:9" s="47" customFormat="1" ht="14.4" x14ac:dyDescent="0.3">
      <c r="A158"/>
      <c r="B158"/>
      <c r="C158"/>
      <c r="D158"/>
      <c r="E158"/>
      <c r="F158"/>
      <c r="G158"/>
      <c r="H158"/>
      <c r="I158"/>
    </row>
    <row r="159" spans="1:9" s="47" customFormat="1" ht="14.4" x14ac:dyDescent="0.3">
      <c r="A159"/>
      <c r="B159"/>
      <c r="C159"/>
      <c r="D159"/>
      <c r="E159"/>
      <c r="F159"/>
      <c r="G159"/>
      <c r="H159"/>
      <c r="I159"/>
    </row>
    <row r="160" spans="1:9" s="47" customFormat="1" ht="14.4" x14ac:dyDescent="0.3">
      <c r="A160"/>
      <c r="B160"/>
      <c r="C160"/>
      <c r="D160"/>
      <c r="E160"/>
      <c r="F160"/>
      <c r="G160"/>
      <c r="H160"/>
      <c r="I160"/>
    </row>
    <row r="161" spans="1:9" s="47" customFormat="1" ht="14.4" x14ac:dyDescent="0.3">
      <c r="A161"/>
      <c r="B161"/>
      <c r="C161"/>
      <c r="D161"/>
      <c r="E161"/>
      <c r="F161"/>
      <c r="G161"/>
      <c r="H161"/>
      <c r="I161"/>
    </row>
    <row r="162" spans="1:9" s="47" customFormat="1" ht="14.4" x14ac:dyDescent="0.3">
      <c r="A162"/>
      <c r="B162"/>
      <c r="C162"/>
      <c r="D162"/>
      <c r="E162"/>
      <c r="F162"/>
      <c r="G162"/>
      <c r="H162"/>
      <c r="I162"/>
    </row>
    <row r="163" spans="1:9" s="47" customFormat="1" ht="14.4" x14ac:dyDescent="0.3">
      <c r="A163"/>
      <c r="B163"/>
      <c r="C163"/>
      <c r="D163"/>
      <c r="E163"/>
      <c r="F163"/>
      <c r="G163"/>
      <c r="H163"/>
      <c r="I163"/>
    </row>
    <row r="164" spans="1:9" s="47" customFormat="1" ht="14.4" x14ac:dyDescent="0.3">
      <c r="A164"/>
      <c r="B164"/>
      <c r="C164"/>
      <c r="D164"/>
      <c r="E164"/>
      <c r="F164"/>
      <c r="G164"/>
      <c r="H164"/>
      <c r="I164"/>
    </row>
    <row r="165" spans="1:9" s="47" customFormat="1" ht="14.4" x14ac:dyDescent="0.3">
      <c r="A165"/>
      <c r="B165"/>
      <c r="C165"/>
      <c r="D165"/>
      <c r="E165"/>
      <c r="F165"/>
      <c r="G165"/>
      <c r="H165"/>
      <c r="I165"/>
    </row>
    <row r="166" spans="1:9" s="47" customFormat="1" ht="14.4" x14ac:dyDescent="0.3">
      <c r="A166"/>
      <c r="B166"/>
      <c r="C166"/>
      <c r="D166"/>
      <c r="E166"/>
      <c r="F166"/>
      <c r="G166"/>
      <c r="H166"/>
      <c r="I166"/>
    </row>
    <row r="167" spans="1:9" s="47" customFormat="1" ht="14.4" x14ac:dyDescent="0.3">
      <c r="A167"/>
      <c r="B167"/>
      <c r="C167"/>
      <c r="D167"/>
      <c r="E167"/>
      <c r="F167"/>
      <c r="G167"/>
      <c r="H167"/>
      <c r="I167"/>
    </row>
    <row r="168" spans="1:9" s="47" customFormat="1" ht="14.4" x14ac:dyDescent="0.3">
      <c r="A168"/>
      <c r="B168"/>
      <c r="C168"/>
      <c r="D168"/>
      <c r="E168"/>
      <c r="F168"/>
      <c r="G168"/>
      <c r="H168"/>
      <c r="I168"/>
    </row>
    <row r="169" spans="1:9" s="47" customFormat="1" ht="14.4" x14ac:dyDescent="0.3">
      <c r="A169"/>
      <c r="B169"/>
      <c r="C169"/>
      <c r="D169"/>
      <c r="E169"/>
      <c r="F169"/>
      <c r="G169"/>
      <c r="H169"/>
      <c r="I169"/>
    </row>
    <row r="170" spans="1:9" s="47" customFormat="1" ht="14.4" x14ac:dyDescent="0.3">
      <c r="A170"/>
      <c r="B170"/>
      <c r="C170"/>
      <c r="D170"/>
      <c r="E170"/>
      <c r="F170"/>
      <c r="G170"/>
      <c r="H170"/>
      <c r="I170"/>
    </row>
    <row r="171" spans="1:9" s="47" customFormat="1" ht="14.4" x14ac:dyDescent="0.3">
      <c r="A171"/>
      <c r="B171"/>
      <c r="C171"/>
      <c r="D171"/>
      <c r="E171"/>
      <c r="F171"/>
      <c r="G171"/>
      <c r="H171"/>
      <c r="I171"/>
    </row>
    <row r="172" spans="1:9" s="47" customFormat="1" ht="14.4" x14ac:dyDescent="0.3">
      <c r="A172"/>
      <c r="B172"/>
      <c r="C172"/>
      <c r="D172"/>
      <c r="E172"/>
      <c r="F172"/>
      <c r="G172"/>
      <c r="H172"/>
      <c r="I172"/>
    </row>
    <row r="173" spans="1:9" s="47" customFormat="1" ht="14.4" x14ac:dyDescent="0.3">
      <c r="A173"/>
      <c r="B173"/>
      <c r="C173"/>
      <c r="D173"/>
      <c r="E173"/>
      <c r="F173"/>
      <c r="G173"/>
      <c r="H173"/>
      <c r="I173"/>
    </row>
    <row r="174" spans="1:9" s="47" customFormat="1" ht="14.4" x14ac:dyDescent="0.3">
      <c r="A174"/>
      <c r="B174"/>
      <c r="C174"/>
      <c r="D174"/>
      <c r="E174"/>
      <c r="F174"/>
      <c r="G174"/>
      <c r="H174"/>
      <c r="I174"/>
    </row>
    <row r="175" spans="1:9" s="47" customFormat="1" ht="14.4" x14ac:dyDescent="0.3">
      <c r="A175"/>
      <c r="B175"/>
      <c r="C175"/>
      <c r="D175"/>
      <c r="E175"/>
      <c r="F175"/>
      <c r="G175"/>
      <c r="H175"/>
      <c r="I175"/>
    </row>
    <row r="176" spans="1:9" s="47" customFormat="1" ht="14.4" x14ac:dyDescent="0.3">
      <c r="A176"/>
      <c r="B176"/>
      <c r="C176"/>
      <c r="D176"/>
      <c r="E176"/>
      <c r="F176"/>
      <c r="G176"/>
      <c r="H176"/>
      <c r="I176"/>
    </row>
    <row r="177" spans="1:9" s="47" customFormat="1" ht="14.4" x14ac:dyDescent="0.3">
      <c r="A177"/>
      <c r="B177"/>
      <c r="C177"/>
      <c r="D177"/>
      <c r="E177"/>
      <c r="F177"/>
      <c r="G177"/>
      <c r="H177"/>
      <c r="I177"/>
    </row>
    <row r="178" spans="1:9" s="47" customFormat="1" ht="14.4" x14ac:dyDescent="0.3">
      <c r="A178"/>
      <c r="B178"/>
      <c r="C178"/>
      <c r="D178"/>
      <c r="E178"/>
      <c r="F178"/>
      <c r="G178"/>
      <c r="H178"/>
      <c r="I178"/>
    </row>
    <row r="179" spans="1:9" s="47" customFormat="1" ht="14.4" x14ac:dyDescent="0.3">
      <c r="A179"/>
      <c r="B179"/>
      <c r="C179"/>
      <c r="D179"/>
      <c r="E179"/>
      <c r="F179"/>
      <c r="G179"/>
      <c r="H179"/>
      <c r="I179"/>
    </row>
    <row r="180" spans="1:9" s="47" customFormat="1" ht="14.4" x14ac:dyDescent="0.3">
      <c r="A180"/>
      <c r="B180"/>
      <c r="C180"/>
      <c r="D180"/>
      <c r="E180"/>
      <c r="F180"/>
      <c r="G180"/>
      <c r="H180"/>
      <c r="I180"/>
    </row>
    <row r="181" spans="1:9" s="47" customFormat="1" ht="14.4" x14ac:dyDescent="0.3">
      <c r="A181"/>
      <c r="B181"/>
      <c r="C181"/>
      <c r="D181"/>
      <c r="E181"/>
      <c r="F181"/>
      <c r="G181"/>
      <c r="H181"/>
      <c r="I181"/>
    </row>
    <row r="182" spans="1:9" s="47" customFormat="1" ht="14.4" x14ac:dyDescent="0.3">
      <c r="A182"/>
      <c r="B182"/>
      <c r="C182"/>
      <c r="D182"/>
      <c r="E182"/>
      <c r="F182"/>
      <c r="G182"/>
      <c r="H182"/>
      <c r="I182"/>
    </row>
    <row r="183" spans="1:9" s="47" customFormat="1" ht="14.4" x14ac:dyDescent="0.3">
      <c r="A183"/>
      <c r="B183"/>
      <c r="C183"/>
      <c r="D183"/>
      <c r="E183"/>
      <c r="F183"/>
      <c r="G183"/>
      <c r="H183"/>
      <c r="I183"/>
    </row>
    <row r="184" spans="1:9" s="47" customFormat="1" ht="14.4" x14ac:dyDescent="0.3">
      <c r="A184"/>
      <c r="B184"/>
      <c r="C184"/>
      <c r="D184"/>
      <c r="E184"/>
      <c r="F184"/>
      <c r="G184"/>
      <c r="H184"/>
      <c r="I184"/>
    </row>
    <row r="185" spans="1:9" s="47" customFormat="1" ht="14.4" x14ac:dyDescent="0.3">
      <c r="A185"/>
      <c r="B185"/>
      <c r="C185"/>
      <c r="D185"/>
      <c r="E185"/>
      <c r="F185"/>
      <c r="G185"/>
      <c r="H185"/>
      <c r="I185"/>
    </row>
    <row r="186" spans="1:9" s="47" customFormat="1" ht="14.4" x14ac:dyDescent="0.3">
      <c r="A186"/>
      <c r="B186"/>
      <c r="C186"/>
      <c r="D186"/>
      <c r="E186"/>
      <c r="F186"/>
      <c r="G186"/>
      <c r="H186"/>
      <c r="I186"/>
    </row>
    <row r="187" spans="1:9" s="47" customFormat="1" ht="14.4" x14ac:dyDescent="0.3">
      <c r="A187"/>
      <c r="B187"/>
      <c r="C187"/>
      <c r="D187"/>
      <c r="E187"/>
      <c r="F187"/>
      <c r="G187"/>
      <c r="H187"/>
      <c r="I187"/>
    </row>
    <row r="188" spans="1:9" s="47" customFormat="1" ht="14.4" x14ac:dyDescent="0.3">
      <c r="A188"/>
      <c r="B188"/>
      <c r="C188"/>
      <c r="D188"/>
      <c r="E188"/>
      <c r="F188"/>
      <c r="G188"/>
      <c r="H188"/>
      <c r="I188"/>
    </row>
    <row r="189" spans="1:9" s="47" customFormat="1" ht="14.4" x14ac:dyDescent="0.3">
      <c r="A189"/>
      <c r="B189"/>
      <c r="C189"/>
      <c r="D189"/>
      <c r="E189"/>
      <c r="F189"/>
      <c r="G189"/>
      <c r="H189"/>
      <c r="I189"/>
    </row>
    <row r="190" spans="1:9" s="47" customFormat="1" ht="14.4" x14ac:dyDescent="0.3">
      <c r="A190"/>
      <c r="B190"/>
      <c r="C190"/>
      <c r="D190"/>
      <c r="E190"/>
      <c r="F190"/>
      <c r="G190"/>
      <c r="H190"/>
      <c r="I190"/>
    </row>
    <row r="191" spans="1:9" s="47" customFormat="1" ht="14.4" x14ac:dyDescent="0.3">
      <c r="A191"/>
      <c r="B191"/>
      <c r="C191"/>
      <c r="D191"/>
      <c r="E191"/>
      <c r="F191"/>
      <c r="G191"/>
      <c r="H191"/>
      <c r="I191"/>
    </row>
    <row r="192" spans="1:9" s="47" customFormat="1" ht="14.4" x14ac:dyDescent="0.3">
      <c r="A192"/>
      <c r="B192"/>
      <c r="C192"/>
      <c r="D192"/>
      <c r="E192"/>
      <c r="F192"/>
      <c r="G192"/>
      <c r="H192"/>
      <c r="I192"/>
    </row>
    <row r="193" spans="1:9" s="47" customFormat="1" ht="14.4" x14ac:dyDescent="0.3">
      <c r="A193"/>
      <c r="B193"/>
      <c r="C193"/>
      <c r="D193"/>
      <c r="E193"/>
      <c r="F193"/>
      <c r="G193"/>
      <c r="H193"/>
      <c r="I193"/>
    </row>
    <row r="194" spans="1:9" s="47" customFormat="1" ht="14.4" x14ac:dyDescent="0.3">
      <c r="A194"/>
      <c r="B194"/>
      <c r="C194"/>
      <c r="D194"/>
      <c r="E194"/>
      <c r="F194"/>
      <c r="G194"/>
      <c r="H194"/>
      <c r="I194"/>
    </row>
    <row r="195" spans="1:9" s="47" customFormat="1" ht="14.4" x14ac:dyDescent="0.3">
      <c r="A195"/>
      <c r="B195"/>
      <c r="C195"/>
      <c r="D195"/>
      <c r="E195"/>
      <c r="F195"/>
      <c r="G195"/>
      <c r="H195"/>
      <c r="I195"/>
    </row>
    <row r="196" spans="1:9" s="47" customFormat="1" ht="14.4" x14ac:dyDescent="0.3">
      <c r="A196"/>
      <c r="B196"/>
      <c r="C196"/>
      <c r="D196"/>
      <c r="E196"/>
      <c r="F196"/>
      <c r="G196"/>
      <c r="H196"/>
      <c r="I196"/>
    </row>
    <row r="197" spans="1:9" s="47" customFormat="1" ht="14.4" x14ac:dyDescent="0.3">
      <c r="A197"/>
      <c r="B197"/>
      <c r="C197"/>
      <c r="D197"/>
      <c r="E197"/>
      <c r="F197"/>
      <c r="G197"/>
      <c r="H197"/>
      <c r="I197"/>
    </row>
    <row r="198" spans="1:9" s="47" customFormat="1" ht="14.4" x14ac:dyDescent="0.3">
      <c r="A198"/>
      <c r="B198"/>
      <c r="C198"/>
      <c r="D198"/>
      <c r="E198"/>
      <c r="F198"/>
      <c r="G198"/>
      <c r="H198"/>
      <c r="I198"/>
    </row>
    <row r="199" spans="1:9" s="47" customFormat="1" ht="14.4" x14ac:dyDescent="0.3">
      <c r="A199"/>
      <c r="B199"/>
      <c r="C199"/>
      <c r="D199"/>
      <c r="E199"/>
      <c r="F199"/>
      <c r="G199"/>
      <c r="H199"/>
      <c r="I199"/>
    </row>
    <row r="200" spans="1:9" s="47" customFormat="1" ht="14.4" x14ac:dyDescent="0.3">
      <c r="A200"/>
      <c r="B200"/>
      <c r="C200"/>
      <c r="D200"/>
      <c r="E200"/>
      <c r="F200"/>
      <c r="G200"/>
      <c r="H200"/>
      <c r="I200"/>
    </row>
    <row r="201" spans="1:9" s="47" customFormat="1" ht="14.4" x14ac:dyDescent="0.3">
      <c r="A201"/>
      <c r="B201"/>
      <c r="C201"/>
      <c r="D201"/>
      <c r="E201"/>
      <c r="F201"/>
      <c r="G201"/>
      <c r="H201"/>
      <c r="I201"/>
    </row>
    <row r="202" spans="1:9" s="47" customFormat="1" ht="14.4" x14ac:dyDescent="0.3">
      <c r="A202"/>
      <c r="B202"/>
      <c r="C202"/>
      <c r="D202"/>
      <c r="E202"/>
      <c r="F202"/>
      <c r="G202"/>
      <c r="H202"/>
      <c r="I202"/>
    </row>
    <row r="203" spans="1:9" s="47" customFormat="1" ht="14.4" x14ac:dyDescent="0.3">
      <c r="A203"/>
      <c r="B203"/>
      <c r="C203"/>
      <c r="D203"/>
      <c r="E203"/>
      <c r="F203"/>
      <c r="G203"/>
      <c r="H203"/>
      <c r="I203"/>
    </row>
    <row r="204" spans="1:9" s="47" customFormat="1" ht="14.4" x14ac:dyDescent="0.3">
      <c r="A204"/>
      <c r="B204"/>
      <c r="C204"/>
      <c r="D204"/>
      <c r="E204"/>
      <c r="F204"/>
      <c r="G204"/>
      <c r="H204"/>
      <c r="I204"/>
    </row>
    <row r="205" spans="1:9" s="47" customFormat="1" ht="14.4" x14ac:dyDescent="0.3">
      <c r="A205"/>
      <c r="B205"/>
      <c r="C205"/>
      <c r="D205"/>
      <c r="E205"/>
      <c r="F205"/>
      <c r="G205"/>
      <c r="H205"/>
      <c r="I205"/>
    </row>
    <row r="206" spans="1:9" s="47" customFormat="1" ht="14.4" x14ac:dyDescent="0.3">
      <c r="A206"/>
      <c r="B206"/>
      <c r="C206"/>
      <c r="D206"/>
      <c r="E206"/>
      <c r="F206"/>
      <c r="G206"/>
      <c r="H206"/>
      <c r="I206"/>
    </row>
    <row r="207" spans="1:9" s="47" customFormat="1" ht="14.4" x14ac:dyDescent="0.3">
      <c r="A207"/>
      <c r="B207"/>
      <c r="C207"/>
      <c r="D207"/>
      <c r="E207"/>
      <c r="F207"/>
      <c r="G207"/>
      <c r="H207"/>
      <c r="I207"/>
    </row>
    <row r="208" spans="1:9" s="47" customFormat="1" ht="14.4" x14ac:dyDescent="0.3">
      <c r="A208"/>
      <c r="B208"/>
      <c r="C208"/>
      <c r="D208"/>
      <c r="E208"/>
      <c r="F208"/>
      <c r="G208"/>
      <c r="H208"/>
      <c r="I208"/>
    </row>
    <row r="209" spans="1:9" s="47" customFormat="1" ht="14.4" x14ac:dyDescent="0.3">
      <c r="A209"/>
      <c r="B209"/>
      <c r="C209"/>
      <c r="D209"/>
      <c r="E209"/>
      <c r="F209"/>
      <c r="G209"/>
      <c r="H209"/>
      <c r="I209"/>
    </row>
    <row r="210" spans="1:9" s="47" customFormat="1" ht="14.4" x14ac:dyDescent="0.3">
      <c r="A210"/>
      <c r="B210"/>
      <c r="C210"/>
      <c r="D210"/>
      <c r="E210"/>
      <c r="F210"/>
      <c r="G210"/>
      <c r="H210"/>
      <c r="I210"/>
    </row>
    <row r="211" spans="1:9" s="47" customFormat="1" ht="14.4" x14ac:dyDescent="0.3">
      <c r="A211"/>
      <c r="B211"/>
      <c r="C211"/>
      <c r="D211"/>
      <c r="E211"/>
      <c r="F211"/>
      <c r="G211"/>
      <c r="H211"/>
      <c r="I211"/>
    </row>
    <row r="212" spans="1:9" s="47" customFormat="1" ht="14.4" x14ac:dyDescent="0.3">
      <c r="A212"/>
      <c r="B212"/>
      <c r="C212"/>
      <c r="D212"/>
      <c r="E212"/>
      <c r="F212"/>
      <c r="G212"/>
      <c r="H212"/>
      <c r="I212"/>
    </row>
    <row r="213" spans="1:9" s="47" customFormat="1" ht="14.4" x14ac:dyDescent="0.3">
      <c r="A213"/>
      <c r="B213"/>
      <c r="C213"/>
      <c r="D213"/>
      <c r="E213"/>
      <c r="F213"/>
      <c r="G213"/>
      <c r="H213"/>
      <c r="I213"/>
    </row>
    <row r="214" spans="1:9" s="47" customFormat="1" ht="14.4" x14ac:dyDescent="0.3">
      <c r="A214"/>
      <c r="B214"/>
      <c r="C214"/>
      <c r="D214"/>
      <c r="E214"/>
      <c r="F214"/>
      <c r="G214"/>
      <c r="H214"/>
      <c r="I214"/>
    </row>
    <row r="215" spans="1:9" s="47" customFormat="1" ht="14.4" x14ac:dyDescent="0.3">
      <c r="A215"/>
      <c r="B215"/>
      <c r="C215"/>
      <c r="D215"/>
      <c r="E215"/>
      <c r="F215"/>
      <c r="G215"/>
      <c r="H215"/>
      <c r="I215"/>
    </row>
    <row r="216" spans="1:9" s="47" customFormat="1" ht="14.4" x14ac:dyDescent="0.3">
      <c r="A216"/>
      <c r="B216"/>
      <c r="C216"/>
      <c r="D216"/>
      <c r="E216"/>
      <c r="F216"/>
      <c r="G216"/>
      <c r="H216"/>
      <c r="I216"/>
    </row>
    <row r="217" spans="1:9" s="47" customFormat="1" ht="14.4" x14ac:dyDescent="0.3">
      <c r="A217"/>
      <c r="B217"/>
      <c r="C217"/>
      <c r="D217"/>
      <c r="E217"/>
      <c r="F217"/>
      <c r="G217"/>
      <c r="H217"/>
      <c r="I217"/>
    </row>
    <row r="218" spans="1:9" s="47" customFormat="1" ht="14.4" x14ac:dyDescent="0.3">
      <c r="A218"/>
      <c r="B218"/>
      <c r="C218"/>
      <c r="D218"/>
      <c r="E218"/>
      <c r="F218"/>
      <c r="G218"/>
      <c r="H218"/>
      <c r="I218"/>
    </row>
    <row r="219" spans="1:9" s="47" customFormat="1" ht="14.4" x14ac:dyDescent="0.3">
      <c r="A219"/>
      <c r="B219"/>
      <c r="C219"/>
      <c r="D219"/>
      <c r="E219"/>
      <c r="F219"/>
      <c r="G219"/>
      <c r="H219"/>
      <c r="I219"/>
    </row>
    <row r="220" spans="1:9" s="47" customFormat="1" ht="14.4" x14ac:dyDescent="0.3">
      <c r="A220"/>
      <c r="B220"/>
      <c r="C220"/>
      <c r="D220"/>
      <c r="E220"/>
      <c r="F220"/>
      <c r="G220"/>
      <c r="H220"/>
      <c r="I220"/>
    </row>
    <row r="221" spans="1:9" s="47" customFormat="1" ht="14.4" x14ac:dyDescent="0.3">
      <c r="A221"/>
      <c r="B221"/>
      <c r="C221"/>
      <c r="D221"/>
      <c r="E221"/>
      <c r="F221"/>
      <c r="G221"/>
      <c r="H221"/>
      <c r="I221"/>
    </row>
    <row r="222" spans="1:9" s="47" customFormat="1" ht="14.4" x14ac:dyDescent="0.3">
      <c r="A222"/>
      <c r="B222"/>
      <c r="C222"/>
      <c r="D222"/>
      <c r="E222"/>
      <c r="F222"/>
      <c r="G222"/>
      <c r="H222"/>
      <c r="I222"/>
    </row>
    <row r="223" spans="1:9" s="47" customFormat="1" ht="14.4" x14ac:dyDescent="0.3">
      <c r="A223"/>
      <c r="B223"/>
      <c r="C223"/>
      <c r="D223"/>
      <c r="E223"/>
      <c r="F223"/>
      <c r="G223"/>
      <c r="H223"/>
      <c r="I223"/>
    </row>
    <row r="224" spans="1:9" s="47" customFormat="1" ht="14.4" x14ac:dyDescent="0.3">
      <c r="A224"/>
      <c r="B224"/>
      <c r="C224"/>
      <c r="D224"/>
      <c r="E224"/>
      <c r="F224"/>
      <c r="G224"/>
      <c r="H224"/>
      <c r="I224"/>
    </row>
    <row r="225" spans="1:9" s="47" customFormat="1" ht="14.4" x14ac:dyDescent="0.3">
      <c r="A225"/>
      <c r="B225"/>
      <c r="C225"/>
      <c r="D225"/>
      <c r="E225"/>
      <c r="F225"/>
      <c r="G225"/>
      <c r="H225"/>
      <c r="I225"/>
    </row>
    <row r="226" spans="1:9" s="47" customFormat="1" ht="14.4" x14ac:dyDescent="0.3">
      <c r="A226"/>
      <c r="B226"/>
      <c r="C226"/>
      <c r="D226"/>
      <c r="E226"/>
      <c r="F226"/>
      <c r="G226"/>
      <c r="H226"/>
      <c r="I226"/>
    </row>
    <row r="227" spans="1:9" s="47" customFormat="1" ht="14.4" x14ac:dyDescent="0.3">
      <c r="A227"/>
      <c r="B227"/>
      <c r="C227"/>
      <c r="D227"/>
      <c r="E227"/>
      <c r="F227"/>
      <c r="G227"/>
      <c r="H227"/>
      <c r="I227"/>
    </row>
    <row r="228" spans="1:9" s="47" customFormat="1" ht="14.4" x14ac:dyDescent="0.3">
      <c r="A228"/>
      <c r="B228"/>
      <c r="C228"/>
      <c r="D228"/>
      <c r="E228"/>
      <c r="F228"/>
      <c r="G228"/>
      <c r="H228"/>
      <c r="I228"/>
    </row>
    <row r="229" spans="1:9" s="47" customFormat="1" ht="14.4" x14ac:dyDescent="0.3">
      <c r="A229"/>
      <c r="B229"/>
      <c r="C229"/>
      <c r="D229"/>
      <c r="E229"/>
      <c r="F229"/>
      <c r="G229"/>
      <c r="H229"/>
      <c r="I229"/>
    </row>
    <row r="230" spans="1:9" s="47" customFormat="1" ht="14.4" x14ac:dyDescent="0.3">
      <c r="A230"/>
      <c r="B230"/>
      <c r="C230"/>
      <c r="D230"/>
      <c r="E230"/>
      <c r="F230"/>
      <c r="G230"/>
      <c r="H230"/>
      <c r="I230"/>
    </row>
    <row r="231" spans="1:9" s="47" customFormat="1" ht="14.4" x14ac:dyDescent="0.3">
      <c r="A231"/>
      <c r="B231"/>
      <c r="C231"/>
      <c r="D231"/>
      <c r="E231"/>
      <c r="F231"/>
      <c r="G231"/>
      <c r="H231"/>
      <c r="I231"/>
    </row>
    <row r="232" spans="1:9" s="47" customFormat="1" ht="14.4" x14ac:dyDescent="0.3">
      <c r="A232"/>
      <c r="B232"/>
      <c r="C232"/>
      <c r="D232"/>
      <c r="E232"/>
      <c r="F232"/>
      <c r="G232"/>
      <c r="H232"/>
      <c r="I232"/>
    </row>
    <row r="233" spans="1:9" s="47" customFormat="1" ht="14.4" x14ac:dyDescent="0.3">
      <c r="A233"/>
      <c r="B233"/>
      <c r="C233"/>
      <c r="D233"/>
      <c r="E233"/>
      <c r="F233"/>
      <c r="G233"/>
      <c r="H233"/>
      <c r="I233"/>
    </row>
    <row r="234" spans="1:9" s="47" customFormat="1" ht="14.4" x14ac:dyDescent="0.3">
      <c r="A234"/>
      <c r="B234"/>
      <c r="C234"/>
      <c r="D234"/>
      <c r="E234"/>
      <c r="F234"/>
      <c r="G234"/>
      <c r="H234"/>
      <c r="I234"/>
    </row>
    <row r="235" spans="1:9" s="47" customFormat="1" ht="14.4" x14ac:dyDescent="0.3">
      <c r="A235"/>
      <c r="B235"/>
      <c r="C235"/>
      <c r="D235"/>
      <c r="E235"/>
      <c r="F235"/>
      <c r="G235"/>
      <c r="H235"/>
      <c r="I235"/>
    </row>
    <row r="236" spans="1:9" s="47" customFormat="1" ht="14.4" x14ac:dyDescent="0.3">
      <c r="A236"/>
      <c r="B236"/>
      <c r="C236"/>
      <c r="D236"/>
      <c r="E236"/>
      <c r="F236"/>
      <c r="G236"/>
      <c r="H236"/>
      <c r="I236"/>
    </row>
    <row r="237" spans="1:9" s="47" customFormat="1" ht="14.4" x14ac:dyDescent="0.3">
      <c r="A237"/>
      <c r="B237"/>
      <c r="C237"/>
      <c r="D237"/>
      <c r="E237"/>
      <c r="F237"/>
      <c r="G237"/>
      <c r="H237"/>
      <c r="I237"/>
    </row>
    <row r="238" spans="1:9" s="47" customFormat="1" ht="14.4" x14ac:dyDescent="0.3">
      <c r="A238"/>
      <c r="B238"/>
      <c r="C238"/>
      <c r="D238"/>
      <c r="E238"/>
      <c r="F238"/>
      <c r="G238"/>
      <c r="H238"/>
      <c r="I238"/>
    </row>
    <row r="239" spans="1:9" s="47" customFormat="1" ht="14.4" x14ac:dyDescent="0.3">
      <c r="A239"/>
      <c r="B239"/>
      <c r="C239"/>
      <c r="D239"/>
      <c r="E239"/>
      <c r="F239"/>
      <c r="G239"/>
      <c r="H239"/>
      <c r="I239"/>
    </row>
    <row r="240" spans="1:9" s="47" customFormat="1" ht="14.4" x14ac:dyDescent="0.3">
      <c r="A240"/>
      <c r="B240"/>
      <c r="C240"/>
      <c r="D240"/>
      <c r="E240"/>
      <c r="F240"/>
      <c r="G240"/>
      <c r="H240"/>
      <c r="I240"/>
    </row>
    <row r="241" spans="1:9" s="47" customFormat="1" ht="14.4" x14ac:dyDescent="0.3">
      <c r="A241"/>
      <c r="B241"/>
      <c r="C241"/>
      <c r="D241"/>
      <c r="E241"/>
      <c r="F241"/>
      <c r="G241"/>
      <c r="H241"/>
      <c r="I241"/>
    </row>
    <row r="242" spans="1:9" s="47" customFormat="1" ht="14.4" x14ac:dyDescent="0.3">
      <c r="A242"/>
      <c r="B242"/>
      <c r="C242"/>
      <c r="D242"/>
      <c r="E242"/>
      <c r="F242"/>
      <c r="G242"/>
      <c r="H242"/>
      <c r="I242"/>
    </row>
    <row r="243" spans="1:9" s="47" customFormat="1" ht="14.4" x14ac:dyDescent="0.3">
      <c r="A243"/>
      <c r="B243"/>
      <c r="C243"/>
      <c r="D243"/>
      <c r="E243"/>
      <c r="F243"/>
      <c r="G243"/>
      <c r="H243"/>
      <c r="I243"/>
    </row>
    <row r="244" spans="1:9" s="47" customFormat="1" ht="14.4" x14ac:dyDescent="0.3">
      <c r="A244"/>
      <c r="B244"/>
      <c r="C244"/>
      <c r="D244"/>
      <c r="E244"/>
      <c r="F244"/>
      <c r="G244"/>
      <c r="H244"/>
      <c r="I244"/>
    </row>
    <row r="245" spans="1:9" s="47" customFormat="1" ht="14.4" x14ac:dyDescent="0.3">
      <c r="A245"/>
      <c r="B245"/>
      <c r="C245"/>
      <c r="D245"/>
      <c r="E245"/>
      <c r="F245"/>
      <c r="G245"/>
      <c r="H245"/>
      <c r="I245"/>
    </row>
    <row r="246" spans="1:9" s="47" customFormat="1" ht="14.4" x14ac:dyDescent="0.3">
      <c r="A246"/>
      <c r="B246"/>
      <c r="C246"/>
      <c r="D246"/>
      <c r="E246"/>
      <c r="F246"/>
      <c r="G246"/>
      <c r="H246"/>
      <c r="I246"/>
    </row>
    <row r="247" spans="1:9" s="47" customFormat="1" ht="14.4" x14ac:dyDescent="0.3">
      <c r="A247"/>
      <c r="B247"/>
      <c r="C247"/>
      <c r="D247"/>
      <c r="E247"/>
      <c r="F247"/>
      <c r="G247"/>
      <c r="H247"/>
      <c r="I247"/>
    </row>
    <row r="248" spans="1:9" s="47" customFormat="1" ht="14.4" x14ac:dyDescent="0.3">
      <c r="A248"/>
      <c r="B248"/>
      <c r="C248"/>
      <c r="D248"/>
      <c r="E248"/>
      <c r="F248"/>
      <c r="G248"/>
      <c r="H248"/>
      <c r="I248"/>
    </row>
    <row r="249" spans="1:9" s="47" customFormat="1" ht="14.4" x14ac:dyDescent="0.3">
      <c r="A249"/>
      <c r="B249"/>
      <c r="C249"/>
      <c r="D249"/>
      <c r="E249"/>
      <c r="F249"/>
      <c r="G249"/>
      <c r="H249"/>
      <c r="I249"/>
    </row>
    <row r="250" spans="1:9" s="47" customFormat="1" ht="14.4" x14ac:dyDescent="0.3">
      <c r="A250"/>
      <c r="B250"/>
      <c r="C250"/>
      <c r="D250"/>
      <c r="E250"/>
      <c r="F250"/>
      <c r="G250"/>
      <c r="H250"/>
      <c r="I250"/>
    </row>
    <row r="251" spans="1:9" s="47" customFormat="1" ht="14.4" x14ac:dyDescent="0.3">
      <c r="A251"/>
      <c r="B251"/>
      <c r="C251"/>
      <c r="D251"/>
      <c r="E251"/>
      <c r="F251"/>
      <c r="G251"/>
      <c r="H251"/>
      <c r="I251"/>
    </row>
    <row r="252" spans="1:9" s="47" customFormat="1" ht="14.4" x14ac:dyDescent="0.3">
      <c r="A252"/>
      <c r="B252"/>
      <c r="C252"/>
      <c r="D252"/>
      <c r="E252"/>
      <c r="F252"/>
      <c r="G252"/>
      <c r="H252"/>
      <c r="I252"/>
    </row>
    <row r="253" spans="1:9" s="47" customFormat="1" ht="14.4" x14ac:dyDescent="0.3">
      <c r="A253"/>
      <c r="B253"/>
      <c r="C253"/>
      <c r="D253"/>
      <c r="E253"/>
      <c r="F253"/>
      <c r="G253"/>
      <c r="H253"/>
      <c r="I253"/>
    </row>
    <row r="254" spans="1:9" s="47" customFormat="1" ht="14.4" x14ac:dyDescent="0.3">
      <c r="A254"/>
      <c r="B254"/>
      <c r="C254"/>
      <c r="D254"/>
      <c r="E254"/>
      <c r="F254"/>
      <c r="G254"/>
      <c r="H254"/>
      <c r="I254"/>
    </row>
    <row r="255" spans="1:9" s="47" customFormat="1" ht="14.4" x14ac:dyDescent="0.3">
      <c r="A255"/>
      <c r="B255"/>
      <c r="C255"/>
      <c r="D255"/>
      <c r="E255"/>
      <c r="F255"/>
      <c r="G255"/>
      <c r="H255"/>
      <c r="I255"/>
    </row>
    <row r="256" spans="1:9" s="47" customFormat="1" ht="14.4" x14ac:dyDescent="0.3">
      <c r="A256"/>
      <c r="B256"/>
      <c r="C256"/>
      <c r="D256"/>
      <c r="E256"/>
      <c r="F256"/>
      <c r="G256"/>
      <c r="H256"/>
      <c r="I256"/>
    </row>
    <row r="257" spans="1:9" s="47" customFormat="1" ht="14.4" x14ac:dyDescent="0.3">
      <c r="A257"/>
      <c r="B257"/>
      <c r="C257"/>
      <c r="D257"/>
      <c r="E257"/>
      <c r="F257"/>
      <c r="G257"/>
      <c r="H257"/>
      <c r="I257"/>
    </row>
    <row r="258" spans="1:9" s="47" customFormat="1" ht="14.4" x14ac:dyDescent="0.3">
      <c r="A258"/>
      <c r="B258"/>
      <c r="C258"/>
      <c r="D258"/>
      <c r="E258"/>
      <c r="F258"/>
      <c r="G258"/>
      <c r="H258"/>
      <c r="I258"/>
    </row>
    <row r="259" spans="1:9" s="47" customFormat="1" ht="14.4" x14ac:dyDescent="0.3">
      <c r="A259"/>
      <c r="B259"/>
      <c r="C259"/>
      <c r="D259"/>
      <c r="E259"/>
      <c r="F259"/>
      <c r="G259"/>
      <c r="H259"/>
      <c r="I259"/>
    </row>
    <row r="260" spans="1:9" s="47" customFormat="1" ht="14.4" x14ac:dyDescent="0.3">
      <c r="A260"/>
      <c r="B260"/>
      <c r="C260"/>
      <c r="D260"/>
      <c r="E260"/>
      <c r="F260"/>
      <c r="G260"/>
      <c r="H260"/>
      <c r="I260"/>
    </row>
    <row r="261" spans="1:9" s="47" customFormat="1" ht="14.4" x14ac:dyDescent="0.3">
      <c r="A261"/>
      <c r="B261"/>
      <c r="C261"/>
      <c r="D261"/>
      <c r="E261"/>
      <c r="F261"/>
      <c r="G261"/>
      <c r="H261"/>
      <c r="I261"/>
    </row>
    <row r="262" spans="1:9" s="47" customFormat="1" ht="14.4" x14ac:dyDescent="0.3">
      <c r="A262"/>
      <c r="B262"/>
      <c r="C262"/>
      <c r="D262"/>
      <c r="E262"/>
      <c r="F262"/>
      <c r="G262"/>
      <c r="H262"/>
      <c r="I262"/>
    </row>
    <row r="263" spans="1:9" s="47" customFormat="1" ht="14.4" x14ac:dyDescent="0.3">
      <c r="A263"/>
      <c r="B263"/>
      <c r="C263"/>
      <c r="D263"/>
      <c r="E263"/>
      <c r="F263"/>
      <c r="G263"/>
      <c r="H263"/>
      <c r="I263"/>
    </row>
    <row r="264" spans="1:9" s="47" customFormat="1" ht="14.4" x14ac:dyDescent="0.3">
      <c r="A264"/>
      <c r="B264"/>
      <c r="C264"/>
      <c r="D264"/>
      <c r="E264"/>
      <c r="F264"/>
      <c r="G264"/>
      <c r="H264"/>
      <c r="I264"/>
    </row>
    <row r="265" spans="1:9" s="47" customFormat="1" ht="14.4" x14ac:dyDescent="0.3">
      <c r="A265"/>
      <c r="B265"/>
      <c r="C265"/>
      <c r="D265"/>
      <c r="E265"/>
      <c r="F265"/>
      <c r="G265"/>
      <c r="H265"/>
      <c r="I265"/>
    </row>
    <row r="266" spans="1:9" s="47" customFormat="1" ht="14.4" x14ac:dyDescent="0.3">
      <c r="A266"/>
      <c r="B266"/>
      <c r="C266"/>
      <c r="D266"/>
      <c r="E266"/>
      <c r="F266"/>
      <c r="G266"/>
      <c r="H266"/>
      <c r="I266"/>
    </row>
    <row r="267" spans="1:9" s="47" customFormat="1" ht="14.4" x14ac:dyDescent="0.3">
      <c r="A267"/>
      <c r="B267"/>
      <c r="C267"/>
      <c r="D267"/>
      <c r="E267"/>
      <c r="F267"/>
      <c r="G267"/>
      <c r="H267"/>
      <c r="I267"/>
    </row>
    <row r="268" spans="1:9" s="47" customFormat="1" ht="14.4" x14ac:dyDescent="0.3">
      <c r="A268"/>
      <c r="B268"/>
      <c r="C268"/>
      <c r="D268"/>
      <c r="E268"/>
      <c r="F268"/>
      <c r="G268"/>
      <c r="H268"/>
      <c r="I268"/>
    </row>
    <row r="269" spans="1:9" s="47" customFormat="1" ht="14.4" x14ac:dyDescent="0.3">
      <c r="A269"/>
      <c r="B269"/>
      <c r="C269"/>
      <c r="D269"/>
      <c r="E269"/>
      <c r="F269"/>
      <c r="G269"/>
      <c r="H269"/>
      <c r="I269"/>
    </row>
    <row r="270" spans="1:9" s="47" customFormat="1" ht="14.4" x14ac:dyDescent="0.3">
      <c r="A270"/>
      <c r="B270"/>
      <c r="C270"/>
      <c r="D270"/>
      <c r="E270"/>
      <c r="F270"/>
      <c r="G270"/>
      <c r="H270"/>
      <c r="I270"/>
    </row>
    <row r="271" spans="1:9" s="47" customFormat="1" ht="14.4" x14ac:dyDescent="0.3">
      <c r="A271"/>
      <c r="B271"/>
      <c r="C271"/>
      <c r="D271"/>
      <c r="E271"/>
      <c r="F271"/>
      <c r="G271"/>
      <c r="H271"/>
      <c r="I271"/>
    </row>
    <row r="272" spans="1:9" s="47" customFormat="1" ht="14.4" x14ac:dyDescent="0.3">
      <c r="A272"/>
      <c r="B272"/>
      <c r="C272"/>
      <c r="D272"/>
      <c r="E272"/>
      <c r="F272"/>
      <c r="G272"/>
      <c r="H272"/>
      <c r="I272"/>
    </row>
    <row r="273" spans="1:9" s="47" customFormat="1" ht="14.4" x14ac:dyDescent="0.3">
      <c r="A273"/>
      <c r="B273"/>
      <c r="C273"/>
      <c r="D273"/>
      <c r="E273"/>
      <c r="F273"/>
      <c r="G273"/>
      <c r="H273"/>
      <c r="I273"/>
    </row>
    <row r="274" spans="1:9" s="47" customFormat="1" ht="14.4" x14ac:dyDescent="0.3">
      <c r="A274"/>
      <c r="B274"/>
      <c r="C274"/>
      <c r="D274"/>
      <c r="E274"/>
      <c r="F274"/>
      <c r="G274"/>
      <c r="H274"/>
      <c r="I274"/>
    </row>
    <row r="275" spans="1:9" s="47" customFormat="1" ht="14.4" x14ac:dyDescent="0.3">
      <c r="A275"/>
      <c r="B275"/>
      <c r="C275"/>
      <c r="D275"/>
      <c r="E275"/>
      <c r="F275"/>
      <c r="G275"/>
      <c r="H275"/>
      <c r="I275"/>
    </row>
    <row r="276" spans="1:9" s="47" customFormat="1" ht="14.4" x14ac:dyDescent="0.3">
      <c r="A276"/>
      <c r="B276"/>
      <c r="C276"/>
      <c r="D276"/>
      <c r="E276"/>
      <c r="F276"/>
      <c r="G276"/>
      <c r="H276"/>
      <c r="I276"/>
    </row>
    <row r="277" spans="1:9" s="47" customFormat="1" ht="14.4" x14ac:dyDescent="0.3">
      <c r="A277"/>
      <c r="B277"/>
      <c r="C277"/>
      <c r="D277"/>
      <c r="E277"/>
      <c r="F277"/>
      <c r="G277"/>
      <c r="H277"/>
      <c r="I277"/>
    </row>
    <row r="278" spans="1:9" s="47" customFormat="1" ht="14.4" x14ac:dyDescent="0.3">
      <c r="A278"/>
      <c r="B278"/>
      <c r="C278"/>
      <c r="D278"/>
      <c r="E278"/>
      <c r="F278"/>
      <c r="G278"/>
      <c r="H278"/>
      <c r="I278"/>
    </row>
    <row r="279" spans="1:9" s="47" customFormat="1" ht="14.4" x14ac:dyDescent="0.3">
      <c r="A279"/>
      <c r="B279"/>
      <c r="C279"/>
      <c r="D279"/>
      <c r="E279"/>
      <c r="F279"/>
      <c r="G279"/>
      <c r="H279"/>
      <c r="I279"/>
    </row>
    <row r="280" spans="1:9" s="47" customFormat="1" ht="14.4" x14ac:dyDescent="0.3">
      <c r="A280"/>
      <c r="B280"/>
      <c r="C280"/>
      <c r="D280"/>
      <c r="E280"/>
      <c r="F280"/>
      <c r="G280"/>
      <c r="H280"/>
      <c r="I280"/>
    </row>
    <row r="281" spans="1:9" s="47" customFormat="1" ht="14.4" x14ac:dyDescent="0.3">
      <c r="A281"/>
      <c r="B281"/>
      <c r="C281"/>
      <c r="D281"/>
      <c r="E281"/>
      <c r="F281"/>
      <c r="G281"/>
      <c r="H281"/>
      <c r="I281"/>
    </row>
    <row r="282" spans="1:9" s="47" customFormat="1" ht="14.4" x14ac:dyDescent="0.3">
      <c r="A282"/>
      <c r="B282"/>
      <c r="C282"/>
      <c r="D282"/>
      <c r="E282"/>
      <c r="F282"/>
      <c r="G282"/>
      <c r="H282"/>
      <c r="I282"/>
    </row>
    <row r="283" spans="1:9" s="47" customFormat="1" ht="14.4" x14ac:dyDescent="0.3">
      <c r="A283"/>
      <c r="B283"/>
      <c r="C283"/>
      <c r="D283"/>
      <c r="E283"/>
      <c r="F283"/>
      <c r="G283"/>
      <c r="H283"/>
      <c r="I283"/>
    </row>
    <row r="284" spans="1:9" s="47" customFormat="1" ht="14.4" x14ac:dyDescent="0.3">
      <c r="A284"/>
      <c r="B284"/>
      <c r="C284"/>
      <c r="D284"/>
      <c r="E284"/>
      <c r="F284"/>
      <c r="G284"/>
      <c r="H284"/>
      <c r="I284"/>
    </row>
    <row r="285" spans="1:9" s="47" customFormat="1" ht="14.4" x14ac:dyDescent="0.3">
      <c r="A285"/>
      <c r="B285"/>
      <c r="C285"/>
      <c r="D285"/>
      <c r="E285"/>
      <c r="F285"/>
      <c r="G285"/>
      <c r="H285"/>
      <c r="I285"/>
    </row>
    <row r="286" spans="1:9" s="47" customFormat="1" ht="14.4" x14ac:dyDescent="0.3">
      <c r="A286"/>
      <c r="B286"/>
      <c r="C286"/>
      <c r="D286"/>
      <c r="E286"/>
      <c r="F286"/>
      <c r="G286"/>
      <c r="H286"/>
      <c r="I286"/>
    </row>
    <row r="287" spans="1:9" s="47" customFormat="1" ht="14.4" x14ac:dyDescent="0.3">
      <c r="A287"/>
      <c r="B287"/>
      <c r="C287"/>
      <c r="D287"/>
      <c r="E287"/>
      <c r="F287"/>
      <c r="G287"/>
      <c r="H287"/>
      <c r="I287"/>
    </row>
    <row r="288" spans="1:9" s="47" customFormat="1" ht="14.4" x14ac:dyDescent="0.3">
      <c r="A288"/>
      <c r="B288"/>
      <c r="C288"/>
      <c r="D288"/>
      <c r="E288"/>
      <c r="F288"/>
      <c r="G288"/>
      <c r="H288"/>
      <c r="I288"/>
    </row>
    <row r="289" spans="1:9" s="47" customFormat="1" ht="14.4" x14ac:dyDescent="0.3">
      <c r="A289"/>
      <c r="B289"/>
      <c r="C289"/>
      <c r="D289"/>
      <c r="E289"/>
      <c r="F289"/>
      <c r="G289"/>
      <c r="H289"/>
      <c r="I289"/>
    </row>
    <row r="290" spans="1:9" s="47" customFormat="1" ht="14.4" x14ac:dyDescent="0.3">
      <c r="A290"/>
      <c r="B290"/>
      <c r="C290"/>
      <c r="D290"/>
      <c r="E290"/>
      <c r="F290"/>
      <c r="G290"/>
      <c r="H290"/>
      <c r="I290"/>
    </row>
    <row r="291" spans="1:9" s="47" customFormat="1" ht="14.4" x14ac:dyDescent="0.3">
      <c r="A291"/>
      <c r="B291"/>
      <c r="C291"/>
      <c r="D291"/>
      <c r="E291"/>
      <c r="F291"/>
      <c r="G291"/>
      <c r="H291"/>
      <c r="I291"/>
    </row>
    <row r="292" spans="1:9" s="47" customFormat="1" ht="14.4" x14ac:dyDescent="0.3">
      <c r="A292"/>
      <c r="B292"/>
      <c r="C292"/>
      <c r="D292"/>
      <c r="E292"/>
      <c r="F292"/>
      <c r="G292"/>
      <c r="H292"/>
      <c r="I292"/>
    </row>
    <row r="293" spans="1:9" s="47" customFormat="1" ht="14.4" x14ac:dyDescent="0.3">
      <c r="A293"/>
      <c r="B293"/>
      <c r="C293"/>
      <c r="D293"/>
      <c r="E293"/>
      <c r="F293"/>
      <c r="G293"/>
      <c r="H293"/>
      <c r="I293"/>
    </row>
    <row r="294" spans="1:9" s="47" customFormat="1" ht="14.4" x14ac:dyDescent="0.3">
      <c r="A294"/>
      <c r="B294"/>
      <c r="C294"/>
      <c r="D294"/>
      <c r="E294"/>
      <c r="F294"/>
      <c r="G294"/>
      <c r="H294"/>
      <c r="I294"/>
    </row>
    <row r="295" spans="1:9" s="47" customFormat="1" ht="14.4" x14ac:dyDescent="0.3">
      <c r="A295"/>
      <c r="B295"/>
      <c r="C295"/>
      <c r="D295"/>
      <c r="E295"/>
      <c r="F295"/>
      <c r="G295"/>
      <c r="H295"/>
      <c r="I295"/>
    </row>
    <row r="296" spans="1:9" s="47" customFormat="1" ht="14.4" x14ac:dyDescent="0.3">
      <c r="A296"/>
      <c r="B296"/>
      <c r="C296"/>
      <c r="D296"/>
      <c r="E296"/>
      <c r="F296"/>
      <c r="G296"/>
      <c r="H296"/>
      <c r="I296"/>
    </row>
    <row r="297" spans="1:9" s="47" customFormat="1" ht="14.4" x14ac:dyDescent="0.3">
      <c r="A297"/>
      <c r="B297"/>
      <c r="C297"/>
      <c r="D297"/>
      <c r="E297"/>
      <c r="F297"/>
      <c r="G297"/>
      <c r="H297"/>
      <c r="I297"/>
    </row>
    <row r="298" spans="1:9" s="47" customFormat="1" ht="14.4" x14ac:dyDescent="0.3">
      <c r="A298"/>
      <c r="B298"/>
      <c r="C298"/>
      <c r="D298"/>
      <c r="E298"/>
      <c r="F298"/>
      <c r="G298"/>
      <c r="H298"/>
      <c r="I298"/>
    </row>
    <row r="299" spans="1:9" s="47" customFormat="1" ht="14.4" x14ac:dyDescent="0.3">
      <c r="A299"/>
      <c r="B299"/>
      <c r="C299"/>
      <c r="D299"/>
      <c r="E299"/>
      <c r="F299"/>
      <c r="G299"/>
      <c r="H299"/>
      <c r="I299"/>
    </row>
    <row r="300" spans="1:9" s="47" customFormat="1" ht="14.4" x14ac:dyDescent="0.3">
      <c r="A300"/>
      <c r="B300"/>
      <c r="C300"/>
      <c r="D300"/>
      <c r="E300"/>
      <c r="F300"/>
      <c r="G300"/>
      <c r="H300"/>
      <c r="I300"/>
    </row>
    <row r="301" spans="1:9" s="47" customFormat="1" ht="14.4" x14ac:dyDescent="0.3">
      <c r="A301"/>
      <c r="B301"/>
      <c r="C301"/>
      <c r="D301"/>
      <c r="E301"/>
      <c r="F301"/>
      <c r="G301"/>
      <c r="H301"/>
      <c r="I301"/>
    </row>
    <row r="302" spans="1:9" s="47" customFormat="1" ht="14.4" x14ac:dyDescent="0.3">
      <c r="A302"/>
      <c r="B302"/>
      <c r="C302"/>
      <c r="D302"/>
      <c r="E302"/>
      <c r="F302"/>
      <c r="G302"/>
      <c r="H302"/>
      <c r="I302"/>
    </row>
    <row r="303" spans="1:9" s="47" customFormat="1" ht="14.4" x14ac:dyDescent="0.3">
      <c r="A303"/>
      <c r="B303"/>
      <c r="C303"/>
      <c r="D303"/>
      <c r="E303"/>
      <c r="F303"/>
      <c r="G303"/>
      <c r="H303"/>
      <c r="I303"/>
    </row>
    <row r="304" spans="1:9" s="47" customFormat="1" ht="14.4" x14ac:dyDescent="0.3">
      <c r="A304"/>
      <c r="B304"/>
      <c r="C304"/>
      <c r="D304"/>
      <c r="E304"/>
      <c r="F304"/>
      <c r="G304"/>
      <c r="H304"/>
      <c r="I304"/>
    </row>
    <row r="305" spans="1:9" s="47" customFormat="1" ht="14.4" x14ac:dyDescent="0.3">
      <c r="A305"/>
      <c r="B305"/>
      <c r="C305"/>
      <c r="D305"/>
      <c r="E305"/>
      <c r="F305"/>
      <c r="G305"/>
      <c r="H305"/>
      <c r="I305"/>
    </row>
    <row r="306" spans="1:9" s="47" customFormat="1" ht="14.4" x14ac:dyDescent="0.3">
      <c r="A306"/>
      <c r="B306"/>
      <c r="C306"/>
      <c r="D306"/>
      <c r="E306"/>
      <c r="F306"/>
      <c r="G306"/>
      <c r="H306"/>
      <c r="I306"/>
    </row>
    <row r="307" spans="1:9" s="47" customFormat="1" ht="14.4" x14ac:dyDescent="0.3">
      <c r="A307"/>
      <c r="B307"/>
      <c r="C307"/>
      <c r="D307"/>
      <c r="E307"/>
      <c r="F307"/>
      <c r="G307"/>
      <c r="H307"/>
      <c r="I307"/>
    </row>
    <row r="308" spans="1:9" s="47" customFormat="1" ht="14.4" x14ac:dyDescent="0.3">
      <c r="A308"/>
      <c r="B308"/>
      <c r="C308"/>
      <c r="D308"/>
      <c r="E308"/>
      <c r="F308"/>
      <c r="G308"/>
      <c r="H308"/>
      <c r="I308"/>
    </row>
    <row r="309" spans="1:9" s="47" customFormat="1" ht="14.4" x14ac:dyDescent="0.3">
      <c r="A309"/>
      <c r="B309"/>
      <c r="C309"/>
      <c r="D309"/>
      <c r="E309"/>
      <c r="F309"/>
      <c r="G309"/>
      <c r="H309"/>
      <c r="I309"/>
    </row>
    <row r="310" spans="1:9" s="47" customFormat="1" ht="14.4" x14ac:dyDescent="0.3">
      <c r="A310"/>
      <c r="B310"/>
      <c r="C310"/>
      <c r="D310"/>
      <c r="E310"/>
      <c r="F310"/>
      <c r="G310"/>
      <c r="H310"/>
      <c r="I310"/>
    </row>
    <row r="311" spans="1:9" s="47" customFormat="1" ht="14.4" x14ac:dyDescent="0.3">
      <c r="A311"/>
      <c r="B311"/>
      <c r="C311"/>
      <c r="D311"/>
      <c r="E311"/>
      <c r="F311"/>
      <c r="G311"/>
      <c r="H311"/>
      <c r="I311"/>
    </row>
    <row r="312" spans="1:9" s="47" customFormat="1" ht="14.4" x14ac:dyDescent="0.3">
      <c r="A312"/>
      <c r="B312"/>
      <c r="C312"/>
      <c r="D312"/>
      <c r="E312"/>
      <c r="F312"/>
      <c r="G312"/>
      <c r="H312"/>
      <c r="I312"/>
    </row>
    <row r="313" spans="1:9" s="47" customFormat="1" ht="14.4" x14ac:dyDescent="0.3">
      <c r="A313"/>
      <c r="B313"/>
      <c r="C313"/>
      <c r="D313"/>
      <c r="E313"/>
      <c r="F313"/>
      <c r="G313"/>
      <c r="H313"/>
      <c r="I313"/>
    </row>
    <row r="314" spans="1:9" s="47" customFormat="1" ht="14.4" x14ac:dyDescent="0.3">
      <c r="A314"/>
      <c r="B314"/>
      <c r="C314"/>
      <c r="D314"/>
      <c r="E314"/>
      <c r="F314"/>
      <c r="G314"/>
      <c r="H314"/>
      <c r="I314"/>
    </row>
    <row r="315" spans="1:9" s="47" customFormat="1" ht="14.4" x14ac:dyDescent="0.3">
      <c r="A315"/>
      <c r="B315"/>
      <c r="C315"/>
      <c r="D315"/>
      <c r="E315"/>
      <c r="F315"/>
      <c r="G315"/>
      <c r="H315"/>
      <c r="I315"/>
    </row>
    <row r="316" spans="1:9" s="47" customFormat="1" ht="14.4" x14ac:dyDescent="0.3">
      <c r="A316"/>
      <c r="B316"/>
      <c r="C316"/>
      <c r="D316"/>
      <c r="E316"/>
      <c r="F316"/>
      <c r="G316"/>
      <c r="H316"/>
      <c r="I316"/>
    </row>
    <row r="317" spans="1:9" s="47" customFormat="1" ht="14.4" x14ac:dyDescent="0.3">
      <c r="A317"/>
      <c r="B317"/>
      <c r="C317"/>
      <c r="D317"/>
      <c r="E317"/>
      <c r="F317"/>
      <c r="G317"/>
      <c r="H317"/>
      <c r="I317"/>
    </row>
    <row r="318" spans="1:9" s="47" customFormat="1" ht="14.4" x14ac:dyDescent="0.3">
      <c r="A318"/>
      <c r="B318"/>
      <c r="C318"/>
      <c r="D318"/>
      <c r="E318"/>
      <c r="F318"/>
      <c r="G318"/>
      <c r="H318"/>
      <c r="I318"/>
    </row>
    <row r="319" spans="1:9" s="47" customFormat="1" ht="14.4" x14ac:dyDescent="0.3">
      <c r="A319"/>
      <c r="B319"/>
      <c r="C319"/>
      <c r="D319"/>
      <c r="E319"/>
      <c r="F319"/>
      <c r="G319"/>
      <c r="H319"/>
      <c r="I319"/>
    </row>
    <row r="320" spans="1:9" s="47" customFormat="1" ht="14.4" x14ac:dyDescent="0.3">
      <c r="A320"/>
      <c r="B320"/>
      <c r="C320"/>
      <c r="D320"/>
      <c r="E320"/>
      <c r="F320"/>
      <c r="G320"/>
      <c r="H320"/>
      <c r="I320"/>
    </row>
    <row r="321" spans="1:9" s="47" customFormat="1" ht="14.4" x14ac:dyDescent="0.3">
      <c r="A321"/>
      <c r="B321"/>
      <c r="C321"/>
      <c r="D321"/>
      <c r="E321"/>
      <c r="F321"/>
      <c r="G321"/>
      <c r="H321"/>
      <c r="I321"/>
    </row>
    <row r="322" spans="1:9" s="47" customFormat="1" ht="14.4" x14ac:dyDescent="0.3">
      <c r="A322"/>
      <c r="B322"/>
      <c r="C322"/>
      <c r="D322"/>
      <c r="E322"/>
      <c r="F322"/>
      <c r="G322"/>
      <c r="H322"/>
      <c r="I322"/>
    </row>
    <row r="323" spans="1:9" s="47" customFormat="1" ht="14.4" x14ac:dyDescent="0.3">
      <c r="A323"/>
      <c r="B323"/>
      <c r="C323"/>
      <c r="D323"/>
      <c r="E323"/>
      <c r="F323"/>
      <c r="G323"/>
      <c r="H323"/>
      <c r="I323"/>
    </row>
    <row r="324" spans="1:9" s="47" customFormat="1" ht="14.4" x14ac:dyDescent="0.3">
      <c r="A324"/>
      <c r="B324"/>
      <c r="C324"/>
      <c r="D324"/>
      <c r="E324"/>
      <c r="F324"/>
      <c r="G324"/>
      <c r="H324"/>
      <c r="I324"/>
    </row>
    <row r="325" spans="1:9" s="47" customFormat="1" ht="14.4" x14ac:dyDescent="0.3">
      <c r="A325"/>
      <c r="B325"/>
      <c r="C325"/>
      <c r="D325"/>
      <c r="E325"/>
      <c r="F325"/>
      <c r="G325"/>
      <c r="H325"/>
      <c r="I325"/>
    </row>
    <row r="326" spans="1:9" s="47" customFormat="1" ht="14.4" x14ac:dyDescent="0.3">
      <c r="A326"/>
      <c r="B326"/>
      <c r="C326"/>
      <c r="D326"/>
      <c r="E326"/>
      <c r="F326"/>
      <c r="G326"/>
      <c r="H326"/>
      <c r="I326"/>
    </row>
    <row r="327" spans="1:9" s="47" customFormat="1" ht="14.4" x14ac:dyDescent="0.3">
      <c r="A327"/>
      <c r="B327"/>
      <c r="C327"/>
      <c r="D327"/>
      <c r="E327"/>
      <c r="F327"/>
      <c r="G327"/>
      <c r="H327"/>
      <c r="I327"/>
    </row>
    <row r="328" spans="1:9" s="47" customFormat="1" ht="14.4" x14ac:dyDescent="0.3">
      <c r="A328"/>
      <c r="B328"/>
      <c r="C328"/>
      <c r="D328"/>
      <c r="E328"/>
      <c r="F328"/>
      <c r="G328"/>
      <c r="H328"/>
      <c r="I328"/>
    </row>
    <row r="329" spans="1:9" s="47" customFormat="1" ht="14.4" x14ac:dyDescent="0.3">
      <c r="A329"/>
      <c r="B329"/>
      <c r="C329"/>
      <c r="D329"/>
      <c r="E329"/>
      <c r="F329"/>
      <c r="G329"/>
      <c r="H329"/>
      <c r="I329"/>
    </row>
    <row r="330" spans="1:9" s="47" customFormat="1" ht="14.4" x14ac:dyDescent="0.3">
      <c r="A330"/>
      <c r="B330"/>
      <c r="C330"/>
      <c r="D330"/>
      <c r="E330"/>
      <c r="F330"/>
      <c r="G330"/>
      <c r="H330"/>
      <c r="I330"/>
    </row>
    <row r="331" spans="1:9" s="47" customFormat="1" ht="14.4" x14ac:dyDescent="0.3">
      <c r="A331"/>
      <c r="B331"/>
      <c r="C331"/>
      <c r="D331"/>
      <c r="E331"/>
      <c r="F331"/>
      <c r="G331"/>
      <c r="H331"/>
      <c r="I331"/>
    </row>
    <row r="332" spans="1:9" s="47" customFormat="1" ht="14.4" x14ac:dyDescent="0.3">
      <c r="A332"/>
      <c r="B332"/>
      <c r="C332"/>
      <c r="D332"/>
      <c r="E332"/>
      <c r="F332"/>
      <c r="G332"/>
      <c r="H332"/>
      <c r="I332"/>
    </row>
    <row r="333" spans="1:9" s="47" customFormat="1" ht="14.4" x14ac:dyDescent="0.3">
      <c r="A333"/>
      <c r="B333"/>
      <c r="C333"/>
      <c r="D333"/>
      <c r="E333"/>
      <c r="F333"/>
      <c r="G333"/>
      <c r="H333"/>
      <c r="I333"/>
    </row>
    <row r="334" spans="1:9" s="47" customFormat="1" ht="14.4" x14ac:dyDescent="0.3">
      <c r="A334"/>
      <c r="B334"/>
      <c r="C334"/>
      <c r="D334"/>
      <c r="E334"/>
      <c r="F334"/>
      <c r="G334"/>
      <c r="H334"/>
      <c r="I334"/>
    </row>
    <row r="335" spans="1:9" s="47" customFormat="1" ht="14.4" x14ac:dyDescent="0.3">
      <c r="A335"/>
      <c r="B335"/>
      <c r="C335"/>
      <c r="D335"/>
      <c r="E335"/>
      <c r="F335"/>
      <c r="G335"/>
      <c r="H335"/>
      <c r="I335"/>
    </row>
    <row r="336" spans="1:9" s="47" customFormat="1" ht="14.4" x14ac:dyDescent="0.3">
      <c r="A336"/>
      <c r="B336"/>
      <c r="C336"/>
      <c r="D336"/>
      <c r="E336"/>
      <c r="F336"/>
      <c r="G336"/>
      <c r="H336"/>
      <c r="I336"/>
    </row>
    <row r="337" spans="1:9" s="47" customFormat="1" ht="14.4" x14ac:dyDescent="0.3">
      <c r="A337"/>
      <c r="B337"/>
      <c r="C337"/>
      <c r="D337"/>
      <c r="E337"/>
      <c r="F337"/>
      <c r="G337"/>
      <c r="H337"/>
      <c r="I337"/>
    </row>
    <row r="338" spans="1:9" s="47" customFormat="1" ht="14.4" x14ac:dyDescent="0.3">
      <c r="A338"/>
      <c r="B338"/>
      <c r="C338"/>
      <c r="D338"/>
      <c r="E338"/>
      <c r="F338"/>
      <c r="G338"/>
      <c r="H338"/>
      <c r="I338"/>
    </row>
    <row r="339" spans="1:9" s="47" customFormat="1" ht="14.4" x14ac:dyDescent="0.3">
      <c r="A339"/>
      <c r="B339"/>
      <c r="C339"/>
      <c r="D339"/>
      <c r="E339"/>
      <c r="F339"/>
      <c r="G339"/>
      <c r="H339"/>
      <c r="I339"/>
    </row>
    <row r="340" spans="1:9" s="47" customFormat="1" ht="14.4" x14ac:dyDescent="0.3">
      <c r="A340"/>
      <c r="B340"/>
      <c r="C340"/>
      <c r="D340"/>
      <c r="E340"/>
      <c r="F340"/>
      <c r="G340"/>
      <c r="H340"/>
      <c r="I340"/>
    </row>
    <row r="341" spans="1:9" s="47" customFormat="1" ht="14.4" x14ac:dyDescent="0.3">
      <c r="A341"/>
      <c r="B341"/>
      <c r="C341"/>
      <c r="D341"/>
      <c r="E341"/>
      <c r="F341"/>
      <c r="G341"/>
      <c r="H341"/>
      <c r="I341"/>
    </row>
    <row r="342" spans="1:9" s="47" customFormat="1" ht="14.4" x14ac:dyDescent="0.3">
      <c r="A342"/>
      <c r="B342"/>
      <c r="C342"/>
      <c r="D342"/>
      <c r="E342"/>
      <c r="F342"/>
      <c r="G342"/>
      <c r="H342"/>
      <c r="I342"/>
    </row>
    <row r="343" spans="1:9" s="47" customFormat="1" ht="14.4" x14ac:dyDescent="0.3">
      <c r="A343"/>
      <c r="B343"/>
      <c r="C343"/>
      <c r="D343"/>
      <c r="E343"/>
      <c r="F343"/>
      <c r="G343"/>
      <c r="H343"/>
      <c r="I343"/>
    </row>
    <row r="344" spans="1:9" s="47" customFormat="1" ht="14.4" x14ac:dyDescent="0.3">
      <c r="A344"/>
      <c r="B344"/>
      <c r="C344"/>
      <c r="D344"/>
      <c r="E344"/>
      <c r="F344"/>
      <c r="G344"/>
      <c r="H344"/>
      <c r="I344"/>
    </row>
    <row r="345" spans="1:9" s="47" customFormat="1" ht="14.4" x14ac:dyDescent="0.3">
      <c r="A345"/>
      <c r="B345"/>
      <c r="C345"/>
      <c r="D345"/>
      <c r="E345"/>
      <c r="F345"/>
      <c r="G345"/>
      <c r="H345"/>
      <c r="I345"/>
    </row>
    <row r="346" spans="1:9" s="47" customFormat="1" ht="14.4" x14ac:dyDescent="0.3">
      <c r="A346"/>
      <c r="B346"/>
      <c r="C346"/>
      <c r="D346"/>
      <c r="E346"/>
      <c r="F346"/>
      <c r="G346"/>
      <c r="H346"/>
      <c r="I346"/>
    </row>
    <row r="347" spans="1:9" s="47" customFormat="1" ht="14.4" x14ac:dyDescent="0.3">
      <c r="A347"/>
      <c r="B347"/>
      <c r="C347"/>
      <c r="D347"/>
      <c r="E347"/>
      <c r="F347"/>
      <c r="G347"/>
      <c r="H347"/>
      <c r="I347"/>
    </row>
    <row r="348" spans="1:9" s="47" customFormat="1" ht="14.4" x14ac:dyDescent="0.3">
      <c r="A348"/>
      <c r="B348"/>
      <c r="C348"/>
      <c r="D348"/>
      <c r="E348"/>
      <c r="F348"/>
      <c r="G348"/>
      <c r="H348"/>
      <c r="I348"/>
    </row>
    <row r="349" spans="1:9" s="47" customFormat="1" ht="14.4" x14ac:dyDescent="0.3">
      <c r="A349"/>
      <c r="B349"/>
      <c r="C349"/>
      <c r="D349"/>
      <c r="E349"/>
      <c r="F349"/>
      <c r="G349"/>
      <c r="H349"/>
      <c r="I349"/>
    </row>
    <row r="350" spans="1:9" s="47" customFormat="1" ht="14.4" x14ac:dyDescent="0.3">
      <c r="A350"/>
      <c r="B350"/>
      <c r="C350"/>
      <c r="D350"/>
      <c r="E350"/>
      <c r="F350"/>
      <c r="G350"/>
      <c r="H350"/>
      <c r="I350"/>
    </row>
    <row r="351" spans="1:9" s="47" customFormat="1" ht="14.4" x14ac:dyDescent="0.3">
      <c r="A351"/>
      <c r="B351"/>
      <c r="C351"/>
      <c r="D351"/>
      <c r="E351"/>
      <c r="F351"/>
      <c r="G351"/>
      <c r="H351"/>
      <c r="I351"/>
    </row>
    <row r="352" spans="1:9" s="47" customFormat="1" ht="14.4" x14ac:dyDescent="0.3">
      <c r="A352"/>
      <c r="B352"/>
      <c r="C352"/>
      <c r="D352"/>
      <c r="E352"/>
      <c r="F352"/>
      <c r="G352"/>
      <c r="H352"/>
      <c r="I352"/>
    </row>
    <row r="353" spans="1:9" s="47" customFormat="1" ht="14.4" x14ac:dyDescent="0.3">
      <c r="A353"/>
      <c r="B353"/>
      <c r="C353"/>
      <c r="D353"/>
      <c r="E353"/>
      <c r="F353"/>
      <c r="G353"/>
      <c r="H353"/>
      <c r="I353"/>
    </row>
    <row r="354" spans="1:9" s="47" customFormat="1" ht="14.4" x14ac:dyDescent="0.3">
      <c r="A354"/>
      <c r="B354"/>
      <c r="C354"/>
      <c r="D354"/>
      <c r="E354"/>
      <c r="F354"/>
      <c r="G354"/>
      <c r="H354"/>
      <c r="I354"/>
    </row>
    <row r="355" spans="1:9" s="47" customFormat="1" ht="14.4" x14ac:dyDescent="0.3">
      <c r="A355"/>
      <c r="B355"/>
      <c r="C355"/>
      <c r="D355"/>
      <c r="E355"/>
      <c r="F355"/>
      <c r="G355"/>
      <c r="H355"/>
      <c r="I355"/>
    </row>
    <row r="356" spans="1:9" s="47" customFormat="1" ht="14.4" x14ac:dyDescent="0.3">
      <c r="A356"/>
      <c r="B356"/>
      <c r="C356"/>
      <c r="D356"/>
      <c r="E356"/>
      <c r="F356"/>
      <c r="G356"/>
      <c r="H356"/>
      <c r="I356"/>
    </row>
    <row r="357" spans="1:9" s="47" customFormat="1" ht="14.4" x14ac:dyDescent="0.3">
      <c r="A357"/>
      <c r="B357"/>
      <c r="C357"/>
      <c r="D357"/>
      <c r="E357"/>
      <c r="F357"/>
      <c r="G357"/>
      <c r="H357"/>
      <c r="I357"/>
    </row>
    <row r="358" spans="1:9" s="47" customFormat="1" ht="14.4" x14ac:dyDescent="0.3">
      <c r="A358"/>
      <c r="B358"/>
      <c r="C358"/>
      <c r="D358"/>
      <c r="E358"/>
      <c r="F358"/>
      <c r="G358"/>
      <c r="H358"/>
      <c r="I358"/>
    </row>
    <row r="359" spans="1:9" s="47" customFormat="1" ht="14.4" x14ac:dyDescent="0.3">
      <c r="A359"/>
      <c r="B359"/>
      <c r="C359"/>
      <c r="D359"/>
      <c r="E359"/>
      <c r="F359"/>
      <c r="G359"/>
      <c r="H359"/>
      <c r="I359"/>
    </row>
    <row r="360" spans="1:9" s="47" customFormat="1" ht="14.4" x14ac:dyDescent="0.3">
      <c r="A360"/>
      <c r="B360"/>
      <c r="C360"/>
      <c r="D360"/>
      <c r="E360"/>
      <c r="F360"/>
      <c r="G360"/>
      <c r="H360"/>
      <c r="I360"/>
    </row>
    <row r="361" spans="1:9" s="47" customFormat="1" ht="14.4" x14ac:dyDescent="0.3">
      <c r="A361"/>
      <c r="B361"/>
      <c r="C361"/>
      <c r="D361"/>
      <c r="E361"/>
      <c r="F361"/>
      <c r="G361"/>
      <c r="H361"/>
      <c r="I361"/>
    </row>
    <row r="362" spans="1:9" s="47" customFormat="1" ht="14.4" x14ac:dyDescent="0.3">
      <c r="A362"/>
      <c r="B362"/>
      <c r="C362"/>
      <c r="D362"/>
      <c r="E362"/>
      <c r="F362"/>
      <c r="G362"/>
      <c r="H362"/>
      <c r="I362"/>
    </row>
    <row r="363" spans="1:9" s="47" customFormat="1" ht="14.4" x14ac:dyDescent="0.3">
      <c r="A363"/>
      <c r="B363"/>
      <c r="C363"/>
      <c r="D363"/>
      <c r="E363"/>
      <c r="F363"/>
      <c r="G363"/>
      <c r="H363"/>
      <c r="I363"/>
    </row>
    <row r="364" spans="1:9" s="47" customFormat="1" ht="14.4" x14ac:dyDescent="0.3">
      <c r="A364"/>
      <c r="B364"/>
      <c r="C364"/>
      <c r="D364"/>
      <c r="E364"/>
      <c r="F364"/>
      <c r="G364"/>
      <c r="H364"/>
      <c r="I364"/>
    </row>
    <row r="365" spans="1:9" s="47" customFormat="1" ht="14.4" x14ac:dyDescent="0.3">
      <c r="A365"/>
      <c r="B365"/>
      <c r="C365"/>
      <c r="D365"/>
      <c r="E365"/>
      <c r="F365"/>
      <c r="G365"/>
      <c r="H365"/>
      <c r="I365"/>
    </row>
    <row r="366" spans="1:9" s="47" customFormat="1" ht="14.4" x14ac:dyDescent="0.3">
      <c r="A366"/>
      <c r="B366"/>
      <c r="C366"/>
      <c r="D366"/>
      <c r="E366"/>
      <c r="F366"/>
      <c r="G366"/>
      <c r="H366"/>
      <c r="I366"/>
    </row>
    <row r="367" spans="1:9" s="47" customFormat="1" ht="14.4" x14ac:dyDescent="0.3">
      <c r="A367"/>
      <c r="B367"/>
      <c r="C367"/>
      <c r="D367"/>
      <c r="E367"/>
      <c r="F367"/>
      <c r="G367"/>
      <c r="H367"/>
      <c r="I367"/>
    </row>
    <row r="368" spans="1:9" s="47" customFormat="1" ht="14.4" x14ac:dyDescent="0.3">
      <c r="A368"/>
      <c r="B368"/>
      <c r="C368"/>
      <c r="D368"/>
      <c r="E368"/>
      <c r="F368"/>
      <c r="G368"/>
      <c r="H368"/>
      <c r="I368"/>
    </row>
    <row r="369" spans="1:9" s="47" customFormat="1" ht="14.4" x14ac:dyDescent="0.3">
      <c r="A369"/>
      <c r="B369"/>
      <c r="C369"/>
      <c r="D369"/>
      <c r="E369"/>
      <c r="F369"/>
      <c r="G369"/>
      <c r="H369"/>
      <c r="I369"/>
    </row>
    <row r="370" spans="1:9" s="47" customFormat="1" ht="14.4" x14ac:dyDescent="0.3">
      <c r="A370"/>
      <c r="B370"/>
      <c r="C370"/>
      <c r="D370"/>
      <c r="E370"/>
      <c r="F370"/>
      <c r="G370"/>
      <c r="H370"/>
      <c r="I370"/>
    </row>
    <row r="371" spans="1:9" s="47" customFormat="1" ht="14.4" x14ac:dyDescent="0.3">
      <c r="A371"/>
      <c r="B371"/>
      <c r="C371"/>
      <c r="D371"/>
      <c r="E371"/>
      <c r="F371"/>
      <c r="G371"/>
      <c r="H371"/>
      <c r="I371"/>
    </row>
    <row r="372" spans="1:9" s="47" customFormat="1" ht="14.4" x14ac:dyDescent="0.3">
      <c r="A372"/>
      <c r="B372"/>
      <c r="C372"/>
      <c r="D372"/>
      <c r="E372"/>
      <c r="F372"/>
      <c r="G372"/>
      <c r="H372"/>
      <c r="I372"/>
    </row>
    <row r="373" spans="1:9" s="47" customFormat="1" ht="14.4" x14ac:dyDescent="0.3">
      <c r="A373"/>
      <c r="B373"/>
      <c r="C373"/>
      <c r="D373"/>
      <c r="E373"/>
      <c r="F373"/>
      <c r="G373"/>
      <c r="H373"/>
      <c r="I373"/>
    </row>
    <row r="374" spans="1:9" s="47" customFormat="1" ht="14.4" x14ac:dyDescent="0.3">
      <c r="A374"/>
      <c r="B374"/>
      <c r="C374"/>
      <c r="D374"/>
      <c r="E374"/>
      <c r="F374"/>
      <c r="G374"/>
      <c r="H374"/>
      <c r="I374"/>
    </row>
    <row r="375" spans="1:9" s="47" customFormat="1" ht="14.4" x14ac:dyDescent="0.3">
      <c r="A375"/>
      <c r="B375"/>
      <c r="C375"/>
      <c r="D375"/>
      <c r="E375"/>
      <c r="F375"/>
      <c r="G375"/>
      <c r="H375"/>
      <c r="I375"/>
    </row>
    <row r="376" spans="1:9" s="47" customFormat="1" ht="14.4" x14ac:dyDescent="0.3">
      <c r="A376"/>
      <c r="B376"/>
      <c r="C376"/>
      <c r="D376"/>
      <c r="E376"/>
      <c r="F376"/>
      <c r="G376"/>
      <c r="H376"/>
      <c r="I376"/>
    </row>
    <row r="377" spans="1:9" s="47" customFormat="1" ht="14.4" x14ac:dyDescent="0.3">
      <c r="A377"/>
      <c r="B377"/>
      <c r="C377"/>
      <c r="D377"/>
      <c r="E377"/>
      <c r="F377"/>
      <c r="G377"/>
      <c r="H377"/>
      <c r="I377"/>
    </row>
    <row r="378" spans="1:9" s="47" customFormat="1" ht="14.4" x14ac:dyDescent="0.3">
      <c r="A378"/>
      <c r="B378"/>
      <c r="C378"/>
      <c r="D378"/>
      <c r="E378"/>
      <c r="F378"/>
      <c r="G378"/>
      <c r="H378"/>
      <c r="I378"/>
    </row>
    <row r="379" spans="1:9" s="47" customFormat="1" ht="14.4" x14ac:dyDescent="0.3">
      <c r="A379"/>
      <c r="B379"/>
      <c r="C379"/>
      <c r="D379"/>
      <c r="E379"/>
      <c r="F379"/>
      <c r="G379"/>
      <c r="H379"/>
      <c r="I379"/>
    </row>
    <row r="380" spans="1:9" s="47" customFormat="1" ht="14.4" x14ac:dyDescent="0.3">
      <c r="A380"/>
      <c r="B380"/>
      <c r="C380"/>
      <c r="D380"/>
      <c r="E380"/>
      <c r="F380"/>
      <c r="G380"/>
      <c r="H380"/>
      <c r="I380"/>
    </row>
    <row r="381" spans="1:9" s="47" customFormat="1" ht="14.4" x14ac:dyDescent="0.3">
      <c r="A381"/>
      <c r="B381"/>
      <c r="C381"/>
      <c r="D381"/>
      <c r="E381"/>
      <c r="F381"/>
      <c r="G381"/>
      <c r="H381"/>
      <c r="I381"/>
    </row>
    <row r="382" spans="1:9" s="47" customFormat="1" ht="14.4" x14ac:dyDescent="0.3">
      <c r="A382"/>
      <c r="B382"/>
      <c r="C382"/>
      <c r="D382"/>
      <c r="E382"/>
      <c r="F382"/>
      <c r="G382"/>
      <c r="H382"/>
      <c r="I382"/>
    </row>
    <row r="383" spans="1:9" s="47" customFormat="1" ht="14.4" x14ac:dyDescent="0.3">
      <c r="A383"/>
      <c r="B383"/>
      <c r="C383"/>
      <c r="D383"/>
      <c r="E383"/>
      <c r="F383"/>
      <c r="G383"/>
      <c r="H383"/>
      <c r="I383"/>
    </row>
    <row r="384" spans="1:9" s="47" customFormat="1" ht="14.4" x14ac:dyDescent="0.3">
      <c r="A384"/>
      <c r="B384"/>
      <c r="C384"/>
      <c r="D384"/>
      <c r="E384"/>
      <c r="F384"/>
      <c r="G384"/>
      <c r="H384"/>
      <c r="I384"/>
    </row>
    <row r="385" spans="1:9" s="47" customFormat="1" ht="14.4" x14ac:dyDescent="0.3">
      <c r="A385"/>
      <c r="B385"/>
      <c r="C385"/>
      <c r="D385"/>
      <c r="E385"/>
      <c r="F385"/>
      <c r="G385"/>
      <c r="H385"/>
      <c r="I385"/>
    </row>
    <row r="386" spans="1:9" s="47" customFormat="1" ht="14.4" x14ac:dyDescent="0.3">
      <c r="A386"/>
      <c r="B386"/>
      <c r="C386"/>
      <c r="D386"/>
      <c r="E386"/>
      <c r="F386"/>
      <c r="G386"/>
      <c r="H386"/>
      <c r="I386"/>
    </row>
    <row r="387" spans="1:9" s="47" customFormat="1" ht="14.4" x14ac:dyDescent="0.3">
      <c r="A387"/>
      <c r="B387"/>
      <c r="C387"/>
      <c r="D387"/>
      <c r="E387"/>
      <c r="F387"/>
      <c r="G387"/>
      <c r="H387"/>
      <c r="I387"/>
    </row>
    <row r="388" spans="1:9" s="47" customFormat="1" ht="14.4" x14ac:dyDescent="0.3">
      <c r="A388"/>
      <c r="B388"/>
      <c r="C388"/>
      <c r="D388"/>
      <c r="E388"/>
      <c r="F388"/>
      <c r="G388"/>
      <c r="H388"/>
      <c r="I388"/>
    </row>
    <row r="389" spans="1:9" s="47" customFormat="1" ht="14.4" x14ac:dyDescent="0.3">
      <c r="A389"/>
      <c r="B389"/>
      <c r="C389"/>
      <c r="D389"/>
      <c r="E389"/>
      <c r="F389"/>
      <c r="G389"/>
      <c r="H389"/>
      <c r="I389"/>
    </row>
    <row r="390" spans="1:9" s="47" customFormat="1" ht="14.4" x14ac:dyDescent="0.3">
      <c r="A390"/>
      <c r="B390"/>
      <c r="C390"/>
      <c r="D390"/>
      <c r="E390"/>
      <c r="F390"/>
      <c r="G390"/>
      <c r="H390"/>
      <c r="I390"/>
    </row>
    <row r="391" spans="1:9" s="47" customFormat="1" ht="14.4" x14ac:dyDescent="0.3">
      <c r="A391"/>
      <c r="B391"/>
      <c r="C391"/>
      <c r="D391"/>
      <c r="E391"/>
      <c r="F391"/>
      <c r="G391"/>
      <c r="H391"/>
      <c r="I391"/>
    </row>
    <row r="392" spans="1:9" s="47" customFormat="1" ht="14.4" x14ac:dyDescent="0.3">
      <c r="A392"/>
      <c r="B392"/>
      <c r="C392"/>
      <c r="D392"/>
      <c r="E392"/>
      <c r="F392"/>
      <c r="G392"/>
      <c r="H392"/>
      <c r="I392"/>
    </row>
    <row r="393" spans="1:9" s="47" customFormat="1" ht="14.4" x14ac:dyDescent="0.3">
      <c r="A393"/>
      <c r="B393"/>
      <c r="C393"/>
      <c r="D393"/>
      <c r="E393"/>
      <c r="F393"/>
      <c r="G393"/>
      <c r="H393"/>
      <c r="I393"/>
    </row>
    <row r="394" spans="1:9" s="47" customFormat="1" ht="14.4" x14ac:dyDescent="0.3">
      <c r="A394"/>
      <c r="B394"/>
      <c r="C394"/>
      <c r="D394"/>
      <c r="E394"/>
      <c r="F394"/>
      <c r="G394"/>
      <c r="H394"/>
      <c r="I394"/>
    </row>
    <row r="395" spans="1:9" s="47" customFormat="1" ht="14.4" x14ac:dyDescent="0.3">
      <c r="A395"/>
      <c r="B395"/>
      <c r="C395"/>
      <c r="D395"/>
      <c r="E395"/>
      <c r="F395"/>
      <c r="G395"/>
      <c r="H395"/>
      <c r="I395"/>
    </row>
    <row r="396" spans="1:9" s="47" customFormat="1" ht="14.4" x14ac:dyDescent="0.3">
      <c r="A396"/>
      <c r="B396"/>
      <c r="C396"/>
      <c r="D396"/>
      <c r="E396"/>
      <c r="F396"/>
      <c r="G396"/>
      <c r="H396"/>
      <c r="I396"/>
    </row>
    <row r="397" spans="1:9" s="47" customFormat="1" ht="14.4" x14ac:dyDescent="0.3">
      <c r="A397"/>
      <c r="B397"/>
      <c r="C397"/>
      <c r="D397"/>
      <c r="E397"/>
      <c r="F397"/>
      <c r="G397"/>
      <c r="H397"/>
      <c r="I397"/>
    </row>
    <row r="398" spans="1:9" s="47" customFormat="1" ht="14.4" x14ac:dyDescent="0.3">
      <c r="A398"/>
      <c r="B398"/>
      <c r="C398"/>
      <c r="D398"/>
      <c r="E398"/>
      <c r="F398"/>
      <c r="G398"/>
      <c r="H398"/>
      <c r="I398"/>
    </row>
    <row r="399" spans="1:9" s="47" customFormat="1" ht="14.4" x14ac:dyDescent="0.3">
      <c r="A399"/>
      <c r="B399"/>
      <c r="C399"/>
      <c r="D399"/>
      <c r="E399"/>
      <c r="F399"/>
      <c r="G399"/>
      <c r="H399"/>
      <c r="I399"/>
    </row>
    <row r="400" spans="1:9" s="47" customFormat="1" ht="14.4" x14ac:dyDescent="0.3">
      <c r="A400"/>
      <c r="B400"/>
      <c r="C400"/>
      <c r="D400"/>
      <c r="E400"/>
      <c r="F400"/>
      <c r="G400"/>
      <c r="H400"/>
      <c r="I400"/>
    </row>
    <row r="401" spans="1:9" s="47" customFormat="1" ht="14.4" x14ac:dyDescent="0.3">
      <c r="A401"/>
      <c r="B401"/>
      <c r="C401"/>
      <c r="D401"/>
      <c r="E401"/>
      <c r="F401"/>
      <c r="G401"/>
      <c r="H401"/>
      <c r="I401"/>
    </row>
    <row r="402" spans="1:9" s="47" customFormat="1" ht="14.4" x14ac:dyDescent="0.3">
      <c r="A402"/>
      <c r="B402"/>
      <c r="C402"/>
      <c r="D402"/>
      <c r="E402"/>
      <c r="F402"/>
      <c r="G402"/>
      <c r="H402"/>
      <c r="I402"/>
    </row>
    <row r="403" spans="1:9" s="47" customFormat="1" ht="14.4" x14ac:dyDescent="0.3">
      <c r="A403"/>
      <c r="B403"/>
      <c r="C403"/>
      <c r="D403"/>
      <c r="E403"/>
      <c r="F403"/>
      <c r="G403"/>
      <c r="H403"/>
      <c r="I403"/>
    </row>
    <row r="404" spans="1:9" s="47" customFormat="1" ht="14.4" x14ac:dyDescent="0.3">
      <c r="A404"/>
      <c r="B404"/>
      <c r="C404"/>
      <c r="D404"/>
      <c r="E404"/>
      <c r="F404"/>
      <c r="G404"/>
      <c r="H404"/>
      <c r="I404"/>
    </row>
    <row r="405" spans="1:9" s="47" customFormat="1" ht="14.4" x14ac:dyDescent="0.3">
      <c r="A405"/>
      <c r="B405"/>
      <c r="C405"/>
      <c r="D405"/>
      <c r="E405"/>
      <c r="F405"/>
      <c r="G405"/>
      <c r="H405"/>
      <c r="I405"/>
    </row>
    <row r="406" spans="1:9" s="47" customFormat="1" ht="14.4" x14ac:dyDescent="0.3">
      <c r="A406"/>
      <c r="B406"/>
      <c r="C406"/>
      <c r="D406"/>
      <c r="E406"/>
      <c r="F406"/>
      <c r="G406"/>
      <c r="H406"/>
      <c r="I406"/>
    </row>
    <row r="407" spans="1:9" s="47" customFormat="1" ht="14.4" x14ac:dyDescent="0.3">
      <c r="A407"/>
      <c r="B407"/>
      <c r="C407"/>
      <c r="D407"/>
      <c r="E407"/>
      <c r="F407"/>
      <c r="G407"/>
      <c r="H407"/>
      <c r="I407"/>
    </row>
    <row r="408" spans="1:9" s="47" customFormat="1" ht="14.4" x14ac:dyDescent="0.3">
      <c r="A408"/>
      <c r="B408"/>
      <c r="C408"/>
      <c r="D408"/>
      <c r="E408"/>
      <c r="F408"/>
      <c r="G408"/>
      <c r="H408"/>
      <c r="I408"/>
    </row>
    <row r="409" spans="1:9" s="47" customFormat="1" ht="14.4" x14ac:dyDescent="0.3">
      <c r="A409"/>
      <c r="B409"/>
      <c r="C409"/>
      <c r="D409"/>
      <c r="E409"/>
      <c r="F409"/>
      <c r="G409"/>
      <c r="H409"/>
      <c r="I409"/>
    </row>
    <row r="410" spans="1:9" s="47" customFormat="1" ht="14.4" x14ac:dyDescent="0.3">
      <c r="A410"/>
      <c r="B410"/>
      <c r="C410"/>
      <c r="D410"/>
      <c r="E410"/>
      <c r="F410"/>
      <c r="G410"/>
      <c r="H410"/>
      <c r="I410"/>
    </row>
    <row r="411" spans="1:9" s="47" customFormat="1" ht="14.4" x14ac:dyDescent="0.3">
      <c r="A411"/>
      <c r="B411"/>
      <c r="C411"/>
      <c r="D411"/>
      <c r="E411"/>
      <c r="F411"/>
      <c r="G411"/>
      <c r="H411"/>
      <c r="I411"/>
    </row>
    <row r="412" spans="1:9" s="47" customFormat="1" ht="14.4" x14ac:dyDescent="0.3">
      <c r="A412"/>
      <c r="B412"/>
      <c r="C412"/>
      <c r="D412"/>
      <c r="E412"/>
      <c r="F412"/>
      <c r="G412"/>
      <c r="H412"/>
      <c r="I412"/>
    </row>
    <row r="413" spans="1:9" s="47" customFormat="1" ht="14.4" x14ac:dyDescent="0.3">
      <c r="A413"/>
      <c r="B413"/>
      <c r="C413"/>
      <c r="D413"/>
      <c r="E413"/>
      <c r="F413"/>
      <c r="G413"/>
      <c r="H413"/>
      <c r="I413"/>
    </row>
    <row r="414" spans="1:9" s="47" customFormat="1" ht="14.4" x14ac:dyDescent="0.3">
      <c r="A414"/>
      <c r="B414"/>
      <c r="C414"/>
      <c r="D414"/>
      <c r="E414"/>
      <c r="F414"/>
      <c r="G414"/>
      <c r="H414"/>
      <c r="I414"/>
    </row>
    <row r="415" spans="1:9" s="47" customFormat="1" ht="14.4" x14ac:dyDescent="0.3">
      <c r="A415"/>
      <c r="B415"/>
      <c r="C415"/>
      <c r="D415"/>
      <c r="E415"/>
      <c r="F415"/>
      <c r="G415"/>
      <c r="H415"/>
      <c r="I415"/>
    </row>
    <row r="416" spans="1:9" s="47" customFormat="1" ht="14.4" x14ac:dyDescent="0.3">
      <c r="A416"/>
      <c r="B416"/>
      <c r="C416"/>
      <c r="D416"/>
      <c r="E416"/>
      <c r="F416"/>
      <c r="G416"/>
      <c r="H416"/>
      <c r="I416"/>
    </row>
    <row r="417" spans="1:9" s="47" customFormat="1" ht="14.4" x14ac:dyDescent="0.3">
      <c r="A417"/>
      <c r="B417"/>
      <c r="C417"/>
      <c r="D417"/>
      <c r="E417"/>
      <c r="F417"/>
      <c r="G417"/>
      <c r="H417"/>
      <c r="I417"/>
    </row>
    <row r="418" spans="1:9" s="47" customFormat="1" ht="14.4" x14ac:dyDescent="0.3">
      <c r="A418"/>
      <c r="B418"/>
      <c r="C418"/>
      <c r="D418"/>
      <c r="E418"/>
      <c r="F418"/>
      <c r="G418"/>
      <c r="H418"/>
      <c r="I418"/>
    </row>
    <row r="419" spans="1:9" s="47" customFormat="1" ht="14.4" x14ac:dyDescent="0.3">
      <c r="A419"/>
      <c r="B419"/>
      <c r="C419"/>
      <c r="D419"/>
      <c r="E419"/>
      <c r="F419"/>
      <c r="G419"/>
      <c r="H419"/>
      <c r="I419"/>
    </row>
    <row r="420" spans="1:9" s="47" customFormat="1" ht="14.4" x14ac:dyDescent="0.3">
      <c r="A420"/>
      <c r="B420"/>
      <c r="C420"/>
      <c r="D420"/>
      <c r="E420"/>
      <c r="F420"/>
      <c r="G420"/>
      <c r="H420"/>
      <c r="I420"/>
    </row>
    <row r="421" spans="1:9" s="47" customFormat="1" ht="14.4" x14ac:dyDescent="0.3">
      <c r="A421"/>
      <c r="B421"/>
      <c r="C421"/>
      <c r="D421"/>
      <c r="E421"/>
      <c r="F421"/>
      <c r="G421"/>
      <c r="H421"/>
      <c r="I421"/>
    </row>
    <row r="422" spans="1:9" s="47" customFormat="1" ht="14.4" x14ac:dyDescent="0.3">
      <c r="A422"/>
      <c r="B422"/>
      <c r="C422"/>
      <c r="D422"/>
      <c r="E422"/>
      <c r="F422"/>
      <c r="G422"/>
      <c r="H422"/>
      <c r="I422"/>
    </row>
    <row r="423" spans="1:9" s="47" customFormat="1" ht="14.4" x14ac:dyDescent="0.3">
      <c r="A423"/>
      <c r="B423"/>
      <c r="C423"/>
      <c r="D423"/>
      <c r="E423"/>
      <c r="F423"/>
      <c r="G423"/>
      <c r="H423"/>
      <c r="I423"/>
    </row>
    <row r="424" spans="1:9" s="47" customFormat="1" ht="14.4" x14ac:dyDescent="0.3">
      <c r="A424"/>
      <c r="B424"/>
      <c r="C424"/>
      <c r="D424"/>
      <c r="E424"/>
      <c r="F424"/>
      <c r="G424"/>
      <c r="H424"/>
      <c r="I424"/>
    </row>
    <row r="425" spans="1:9" s="47" customFormat="1" ht="14.4" x14ac:dyDescent="0.3">
      <c r="A425"/>
      <c r="B425"/>
      <c r="C425"/>
      <c r="D425"/>
      <c r="E425"/>
      <c r="F425"/>
      <c r="G425"/>
      <c r="H425"/>
      <c r="I425"/>
    </row>
    <row r="426" spans="1:9" s="47" customFormat="1" ht="14.4" x14ac:dyDescent="0.3">
      <c r="A426"/>
      <c r="B426"/>
      <c r="C426"/>
      <c r="D426"/>
      <c r="E426"/>
      <c r="F426"/>
      <c r="G426"/>
      <c r="H426"/>
      <c r="I426"/>
    </row>
    <row r="427" spans="1:9" s="47" customFormat="1" ht="14.4" x14ac:dyDescent="0.3">
      <c r="A427"/>
      <c r="B427"/>
      <c r="C427"/>
      <c r="D427"/>
      <c r="E427"/>
      <c r="F427"/>
      <c r="G427"/>
      <c r="H427"/>
      <c r="I427"/>
    </row>
    <row r="428" spans="1:9" s="47" customFormat="1" ht="14.4" x14ac:dyDescent="0.3">
      <c r="A428"/>
      <c r="B428"/>
      <c r="C428"/>
      <c r="D428"/>
      <c r="E428"/>
      <c r="F428"/>
      <c r="G428"/>
      <c r="H428"/>
      <c r="I428"/>
    </row>
    <row r="429" spans="1:9" s="47" customFormat="1" ht="14.4" x14ac:dyDescent="0.3">
      <c r="A429"/>
      <c r="B429"/>
      <c r="C429"/>
      <c r="D429"/>
      <c r="E429"/>
      <c r="F429"/>
      <c r="G429"/>
      <c r="H429"/>
      <c r="I429"/>
    </row>
    <row r="430" spans="1:9" s="47" customFormat="1" ht="14.4" x14ac:dyDescent="0.3">
      <c r="A430"/>
      <c r="B430"/>
      <c r="C430"/>
      <c r="D430"/>
      <c r="E430"/>
      <c r="F430"/>
      <c r="G430"/>
      <c r="H430"/>
      <c r="I430"/>
    </row>
    <row r="431" spans="1:9" s="47" customFormat="1" ht="14.4" x14ac:dyDescent="0.3">
      <c r="A431"/>
      <c r="B431"/>
      <c r="C431"/>
      <c r="D431"/>
      <c r="E431"/>
      <c r="F431"/>
      <c r="G431"/>
      <c r="H431"/>
      <c r="I431"/>
    </row>
    <row r="432" spans="1:9" s="47" customFormat="1" ht="14.4" x14ac:dyDescent="0.3">
      <c r="A432"/>
      <c r="B432"/>
      <c r="C432"/>
      <c r="D432"/>
      <c r="E432"/>
      <c r="F432"/>
      <c r="G432"/>
      <c r="H432"/>
      <c r="I432"/>
    </row>
    <row r="433" spans="1:9" s="47" customFormat="1" ht="14.4" x14ac:dyDescent="0.3">
      <c r="A433"/>
      <c r="B433"/>
      <c r="C433"/>
      <c r="D433"/>
      <c r="E433"/>
      <c r="F433"/>
      <c r="G433"/>
      <c r="H433"/>
      <c r="I433"/>
    </row>
    <row r="434" spans="1:9" s="47" customFormat="1" ht="14.4" x14ac:dyDescent="0.3">
      <c r="A434"/>
      <c r="B434"/>
      <c r="C434"/>
      <c r="D434"/>
      <c r="E434"/>
      <c r="F434"/>
      <c r="G434"/>
      <c r="H434"/>
      <c r="I434"/>
    </row>
    <row r="435" spans="1:9" s="47" customFormat="1" ht="14.4" x14ac:dyDescent="0.3">
      <c r="A435"/>
      <c r="B435"/>
      <c r="C435"/>
      <c r="D435"/>
      <c r="E435"/>
      <c r="F435"/>
      <c r="G435"/>
      <c r="H435"/>
      <c r="I435"/>
    </row>
    <row r="436" spans="1:9" s="47" customFormat="1" ht="14.4" x14ac:dyDescent="0.3">
      <c r="A436"/>
      <c r="B436"/>
      <c r="C436"/>
      <c r="D436"/>
      <c r="E436"/>
      <c r="F436"/>
      <c r="G436"/>
      <c r="H436"/>
      <c r="I436"/>
    </row>
    <row r="437" spans="1:9" s="47" customFormat="1" ht="14.4" x14ac:dyDescent="0.3">
      <c r="A437"/>
      <c r="B437"/>
      <c r="C437"/>
      <c r="D437"/>
      <c r="E437"/>
      <c r="F437"/>
      <c r="G437"/>
      <c r="H437"/>
      <c r="I437"/>
    </row>
    <row r="438" spans="1:9" s="47" customFormat="1" ht="14.4" x14ac:dyDescent="0.3">
      <c r="A438"/>
      <c r="B438"/>
      <c r="C438"/>
      <c r="D438"/>
      <c r="E438"/>
      <c r="F438"/>
      <c r="G438"/>
      <c r="H438"/>
      <c r="I438"/>
    </row>
    <row r="439" spans="1:9" s="47" customFormat="1" ht="14.4" x14ac:dyDescent="0.3">
      <c r="A439"/>
      <c r="B439"/>
      <c r="C439"/>
      <c r="D439"/>
      <c r="E439"/>
      <c r="F439"/>
      <c r="G439"/>
      <c r="H439"/>
      <c r="I439"/>
    </row>
    <row r="440" spans="1:9" s="47" customFormat="1" ht="14.4" x14ac:dyDescent="0.3">
      <c r="A440"/>
      <c r="B440"/>
      <c r="C440"/>
      <c r="D440"/>
      <c r="E440"/>
      <c r="F440"/>
      <c r="G440"/>
      <c r="H440"/>
      <c r="I440"/>
    </row>
    <row r="441" spans="1:9" s="47" customFormat="1" ht="14.4" x14ac:dyDescent="0.3">
      <c r="A441"/>
      <c r="B441"/>
      <c r="C441"/>
      <c r="D441"/>
      <c r="E441"/>
      <c r="F441"/>
      <c r="G441"/>
      <c r="H441"/>
      <c r="I441"/>
    </row>
    <row r="442" spans="1:9" s="47" customFormat="1" ht="14.4" x14ac:dyDescent="0.3">
      <c r="A442"/>
      <c r="B442"/>
      <c r="C442"/>
      <c r="D442"/>
      <c r="E442"/>
      <c r="F442"/>
      <c r="G442"/>
      <c r="H442"/>
      <c r="I442"/>
    </row>
    <row r="443" spans="1:9" s="47" customFormat="1" ht="14.4" x14ac:dyDescent="0.3">
      <c r="A443"/>
      <c r="B443"/>
      <c r="C443"/>
      <c r="D443"/>
      <c r="E443"/>
      <c r="F443"/>
      <c r="G443"/>
      <c r="H443"/>
      <c r="I443"/>
    </row>
    <row r="444" spans="1:9" s="47" customFormat="1" ht="14.4" x14ac:dyDescent="0.3">
      <c r="A444"/>
      <c r="B444"/>
      <c r="C444"/>
      <c r="D444"/>
      <c r="E444"/>
      <c r="F444"/>
      <c r="G444"/>
      <c r="H444"/>
      <c r="I444"/>
    </row>
    <row r="445" spans="1:9" s="47" customFormat="1" ht="14.4" x14ac:dyDescent="0.3">
      <c r="A445"/>
      <c r="B445"/>
      <c r="C445"/>
      <c r="D445"/>
      <c r="E445"/>
      <c r="F445"/>
      <c r="G445"/>
      <c r="H445"/>
      <c r="I445"/>
    </row>
    <row r="446" spans="1:9" s="47" customFormat="1" ht="14.4" x14ac:dyDescent="0.3">
      <c r="A446"/>
      <c r="B446"/>
      <c r="C446"/>
      <c r="D446"/>
      <c r="E446"/>
      <c r="F446"/>
      <c r="G446"/>
      <c r="H446"/>
      <c r="I446"/>
    </row>
    <row r="447" spans="1:9" s="47" customFormat="1" ht="14.4" x14ac:dyDescent="0.3">
      <c r="A447"/>
      <c r="B447"/>
      <c r="C447"/>
      <c r="D447"/>
      <c r="E447"/>
      <c r="F447"/>
      <c r="G447"/>
      <c r="H447"/>
      <c r="I447"/>
    </row>
    <row r="448" spans="1:9" s="47" customFormat="1" ht="14.4" x14ac:dyDescent="0.3">
      <c r="A448"/>
      <c r="B448"/>
      <c r="C448"/>
      <c r="D448"/>
      <c r="E448"/>
      <c r="F448"/>
      <c r="G448"/>
      <c r="H448"/>
      <c r="I448"/>
    </row>
    <row r="449" spans="1:9" s="47" customFormat="1" ht="14.4" x14ac:dyDescent="0.3">
      <c r="A449"/>
      <c r="B449"/>
      <c r="C449"/>
      <c r="D449"/>
      <c r="E449"/>
      <c r="F449"/>
      <c r="G449"/>
      <c r="H449"/>
      <c r="I449"/>
    </row>
    <row r="450" spans="1:9" s="47" customFormat="1" ht="14.4" x14ac:dyDescent="0.3">
      <c r="A450"/>
      <c r="B450"/>
      <c r="C450"/>
      <c r="D450"/>
      <c r="E450"/>
      <c r="F450"/>
      <c r="G450"/>
      <c r="H450"/>
      <c r="I450"/>
    </row>
    <row r="451" spans="1:9" s="47" customFormat="1" ht="14.4" x14ac:dyDescent="0.3">
      <c r="A451"/>
      <c r="B451"/>
      <c r="C451"/>
      <c r="D451"/>
      <c r="E451"/>
      <c r="F451"/>
      <c r="G451"/>
      <c r="H451"/>
      <c r="I451"/>
    </row>
    <row r="452" spans="1:9" s="47" customFormat="1" ht="14.4" x14ac:dyDescent="0.3">
      <c r="A452"/>
      <c r="B452"/>
      <c r="C452"/>
      <c r="D452"/>
      <c r="E452"/>
      <c r="F452"/>
      <c r="G452"/>
      <c r="H452"/>
      <c r="I452"/>
    </row>
    <row r="453" spans="1:9" s="47" customFormat="1" ht="14.4" x14ac:dyDescent="0.3">
      <c r="A453"/>
      <c r="B453"/>
      <c r="C453"/>
      <c r="D453"/>
      <c r="E453"/>
      <c r="F453"/>
      <c r="G453"/>
      <c r="H453"/>
      <c r="I453"/>
    </row>
    <row r="454" spans="1:9" s="47" customFormat="1" ht="14.4" x14ac:dyDescent="0.3">
      <c r="A454"/>
      <c r="B454"/>
      <c r="C454"/>
      <c r="D454"/>
      <c r="E454"/>
      <c r="F454"/>
      <c r="G454"/>
      <c r="H454"/>
      <c r="I454"/>
    </row>
    <row r="455" spans="1:9" s="47" customFormat="1" ht="14.4" x14ac:dyDescent="0.3">
      <c r="A455"/>
      <c r="B455"/>
      <c r="C455"/>
      <c r="D455"/>
      <c r="E455"/>
      <c r="F455"/>
      <c r="G455"/>
      <c r="H455"/>
      <c r="I455"/>
    </row>
    <row r="456" spans="1:9" s="47" customFormat="1" ht="14.4" x14ac:dyDescent="0.3">
      <c r="A456"/>
      <c r="B456"/>
      <c r="C456"/>
      <c r="D456"/>
      <c r="E456"/>
      <c r="F456"/>
      <c r="G456"/>
      <c r="H456"/>
      <c r="I456"/>
    </row>
    <row r="457" spans="1:9" s="47" customFormat="1" ht="14.4" x14ac:dyDescent="0.3">
      <c r="A457"/>
      <c r="B457"/>
      <c r="C457"/>
      <c r="D457"/>
      <c r="E457"/>
      <c r="F457"/>
      <c r="G457"/>
      <c r="H457"/>
      <c r="I457"/>
    </row>
    <row r="458" spans="1:9" s="47" customFormat="1" ht="14.4" x14ac:dyDescent="0.3">
      <c r="A458"/>
      <c r="B458"/>
      <c r="C458"/>
      <c r="D458"/>
      <c r="E458"/>
      <c r="F458"/>
      <c r="G458"/>
      <c r="H458"/>
      <c r="I458"/>
    </row>
    <row r="459" spans="1:9" s="47" customFormat="1" ht="14.4" x14ac:dyDescent="0.3">
      <c r="A459"/>
      <c r="B459"/>
      <c r="C459"/>
      <c r="D459"/>
      <c r="E459"/>
      <c r="F459"/>
      <c r="G459"/>
      <c r="H459"/>
      <c r="I459"/>
    </row>
    <row r="460" spans="1:9" s="47" customFormat="1" ht="14.4" x14ac:dyDescent="0.3">
      <c r="A460"/>
      <c r="B460"/>
      <c r="C460"/>
      <c r="D460"/>
      <c r="E460"/>
      <c r="F460"/>
      <c r="G460"/>
      <c r="H460"/>
      <c r="I460"/>
    </row>
    <row r="461" spans="1:9" s="47" customFormat="1" ht="14.4" x14ac:dyDescent="0.3">
      <c r="A461"/>
      <c r="B461"/>
      <c r="C461"/>
      <c r="D461"/>
      <c r="E461"/>
      <c r="F461"/>
      <c r="G461"/>
      <c r="H461"/>
      <c r="I461"/>
    </row>
    <row r="462" spans="1:9" s="47" customFormat="1" ht="14.4" x14ac:dyDescent="0.3">
      <c r="A462"/>
      <c r="B462"/>
      <c r="C462"/>
      <c r="D462"/>
      <c r="E462"/>
      <c r="F462"/>
      <c r="G462"/>
      <c r="H462"/>
      <c r="I462"/>
    </row>
    <row r="463" spans="1:9" s="47" customFormat="1" ht="14.4" x14ac:dyDescent="0.3">
      <c r="A463"/>
      <c r="B463"/>
      <c r="C463"/>
      <c r="D463"/>
      <c r="E463"/>
      <c r="F463"/>
      <c r="G463"/>
      <c r="H463"/>
      <c r="I463"/>
    </row>
    <row r="464" spans="1:9" s="47" customFormat="1" ht="14.4" x14ac:dyDescent="0.3">
      <c r="A464"/>
      <c r="B464"/>
      <c r="C464"/>
      <c r="D464"/>
      <c r="E464"/>
      <c r="F464"/>
      <c r="G464"/>
      <c r="H464"/>
      <c r="I464"/>
    </row>
    <row r="465" spans="1:9" s="47" customFormat="1" ht="14.4" x14ac:dyDescent="0.3">
      <c r="A465"/>
      <c r="B465"/>
      <c r="C465"/>
      <c r="D465"/>
      <c r="E465"/>
      <c r="F465"/>
      <c r="G465"/>
      <c r="H465"/>
      <c r="I465"/>
    </row>
    <row r="466" spans="1:9" s="47" customFormat="1" ht="14.4" x14ac:dyDescent="0.3">
      <c r="A466"/>
      <c r="B466"/>
      <c r="C466"/>
      <c r="D466"/>
      <c r="E466"/>
      <c r="F466"/>
      <c r="G466"/>
      <c r="H466"/>
      <c r="I466"/>
    </row>
    <row r="467" spans="1:9" s="47" customFormat="1" ht="14.4" x14ac:dyDescent="0.3">
      <c r="A467"/>
      <c r="B467"/>
      <c r="C467"/>
      <c r="D467"/>
      <c r="E467"/>
      <c r="F467"/>
      <c r="G467"/>
      <c r="H467"/>
      <c r="I467"/>
    </row>
    <row r="468" spans="1:9" s="47" customFormat="1" ht="14.4" x14ac:dyDescent="0.3">
      <c r="A468"/>
      <c r="B468"/>
      <c r="C468"/>
      <c r="D468"/>
      <c r="E468"/>
      <c r="F468"/>
      <c r="G468"/>
      <c r="H468"/>
      <c r="I468"/>
    </row>
    <row r="469" spans="1:9" s="47" customFormat="1" ht="14.4" x14ac:dyDescent="0.3">
      <c r="A469"/>
      <c r="B469"/>
      <c r="C469"/>
      <c r="D469"/>
      <c r="E469"/>
      <c r="F469"/>
      <c r="G469"/>
      <c r="H469"/>
      <c r="I469"/>
    </row>
    <row r="470" spans="1:9" s="47" customFormat="1" ht="14.4" x14ac:dyDescent="0.3">
      <c r="A470"/>
      <c r="B470"/>
      <c r="C470"/>
      <c r="D470"/>
      <c r="E470"/>
      <c r="F470"/>
      <c r="G470"/>
      <c r="H470"/>
      <c r="I470"/>
    </row>
    <row r="471" spans="1:9" s="47" customFormat="1" ht="14.4" x14ac:dyDescent="0.3">
      <c r="A471"/>
      <c r="B471"/>
      <c r="C471"/>
      <c r="D471"/>
      <c r="E471"/>
      <c r="F471"/>
      <c r="G471"/>
      <c r="H471"/>
      <c r="I471"/>
    </row>
    <row r="472" spans="1:9" s="47" customFormat="1" ht="14.4" x14ac:dyDescent="0.3">
      <c r="A472"/>
      <c r="B472"/>
      <c r="C472"/>
      <c r="D472"/>
      <c r="E472"/>
      <c r="F472"/>
      <c r="G472"/>
      <c r="H472"/>
      <c r="I472"/>
    </row>
    <row r="473" spans="1:9" s="47" customFormat="1" ht="14.4" x14ac:dyDescent="0.3">
      <c r="A473"/>
      <c r="B473"/>
      <c r="C473"/>
      <c r="D473"/>
      <c r="E473"/>
      <c r="F473"/>
      <c r="G473"/>
      <c r="H473"/>
      <c r="I473"/>
    </row>
    <row r="474" spans="1:9" s="47" customFormat="1" ht="14.4" x14ac:dyDescent="0.3">
      <c r="A474"/>
      <c r="B474"/>
      <c r="C474"/>
      <c r="D474"/>
      <c r="E474"/>
      <c r="F474"/>
      <c r="G474"/>
      <c r="H474"/>
      <c r="I474"/>
    </row>
    <row r="475" spans="1:9" s="47" customFormat="1" ht="14.4" x14ac:dyDescent="0.3">
      <c r="A475"/>
      <c r="B475"/>
      <c r="C475"/>
      <c r="D475"/>
      <c r="E475"/>
      <c r="F475"/>
      <c r="G475"/>
      <c r="H475"/>
      <c r="I475"/>
    </row>
    <row r="476" spans="1:9" s="47" customFormat="1" ht="14.4" x14ac:dyDescent="0.3">
      <c r="A476"/>
      <c r="B476"/>
      <c r="C476"/>
      <c r="D476"/>
      <c r="E476"/>
      <c r="F476"/>
      <c r="G476"/>
      <c r="H476"/>
      <c r="I476"/>
    </row>
    <row r="477" spans="1:9" s="47" customFormat="1" ht="14.4" x14ac:dyDescent="0.3">
      <c r="A477"/>
      <c r="B477"/>
      <c r="C477"/>
      <c r="D477"/>
      <c r="E477"/>
      <c r="F477"/>
      <c r="G477"/>
      <c r="H477"/>
      <c r="I477"/>
    </row>
    <row r="478" spans="1:9" s="47" customFormat="1" ht="14.4" x14ac:dyDescent="0.3">
      <c r="A478"/>
      <c r="B478"/>
      <c r="C478"/>
      <c r="D478"/>
      <c r="E478"/>
      <c r="F478"/>
      <c r="G478"/>
      <c r="H478"/>
      <c r="I478"/>
    </row>
    <row r="479" spans="1:9" s="47" customFormat="1" ht="14.4" x14ac:dyDescent="0.3">
      <c r="A479"/>
      <c r="B479"/>
      <c r="C479"/>
      <c r="D479"/>
      <c r="E479"/>
      <c r="F479"/>
      <c r="G479"/>
      <c r="H479"/>
      <c r="I479"/>
    </row>
    <row r="480" spans="1:9" s="47" customFormat="1" ht="14.4" x14ac:dyDescent="0.3">
      <c r="A480"/>
      <c r="B480"/>
      <c r="C480"/>
      <c r="D480"/>
      <c r="E480"/>
      <c r="F480"/>
      <c r="G480"/>
      <c r="H480"/>
      <c r="I480"/>
    </row>
    <row r="481" spans="1:9" s="47" customFormat="1" ht="14.4" x14ac:dyDescent="0.3">
      <c r="A481"/>
      <c r="B481"/>
      <c r="C481"/>
      <c r="D481"/>
      <c r="E481"/>
      <c r="F481"/>
      <c r="G481"/>
      <c r="H481"/>
      <c r="I481"/>
    </row>
    <row r="482" spans="1:9" s="47" customFormat="1" ht="14.4" x14ac:dyDescent="0.3">
      <c r="A482"/>
      <c r="B482"/>
      <c r="C482"/>
      <c r="D482"/>
      <c r="E482"/>
      <c r="F482"/>
      <c r="G482"/>
      <c r="H482"/>
      <c r="I482"/>
    </row>
    <row r="483" spans="1:9" s="47" customFormat="1" ht="14.4" x14ac:dyDescent="0.3">
      <c r="A483"/>
      <c r="B483"/>
      <c r="C483"/>
      <c r="D483"/>
      <c r="E483"/>
      <c r="F483"/>
      <c r="G483"/>
      <c r="H483"/>
      <c r="I483"/>
    </row>
    <row r="484" spans="1:9" s="47" customFormat="1" ht="14.4" x14ac:dyDescent="0.3">
      <c r="A484"/>
      <c r="B484"/>
      <c r="C484"/>
      <c r="D484"/>
      <c r="E484"/>
      <c r="F484"/>
      <c r="G484"/>
      <c r="H484"/>
      <c r="I484"/>
    </row>
    <row r="485" spans="1:9" s="47" customFormat="1" ht="14.4" x14ac:dyDescent="0.3">
      <c r="A485"/>
      <c r="B485"/>
      <c r="C485"/>
      <c r="D485"/>
      <c r="E485"/>
      <c r="F485"/>
      <c r="G485"/>
      <c r="H485"/>
      <c r="I485"/>
    </row>
    <row r="486" spans="1:9" s="47" customFormat="1" ht="14.4" x14ac:dyDescent="0.3">
      <c r="A486"/>
      <c r="B486"/>
      <c r="C486"/>
      <c r="D486"/>
      <c r="E486"/>
      <c r="F486"/>
      <c r="G486"/>
      <c r="H486"/>
      <c r="I486"/>
    </row>
    <row r="487" spans="1:9" s="47" customFormat="1" ht="14.4" x14ac:dyDescent="0.3">
      <c r="A487"/>
      <c r="B487"/>
      <c r="C487"/>
      <c r="D487"/>
      <c r="E487"/>
      <c r="F487"/>
      <c r="G487"/>
      <c r="H487"/>
      <c r="I487"/>
    </row>
    <row r="488" spans="1:9" s="47" customFormat="1" ht="14.4" x14ac:dyDescent="0.3">
      <c r="A488"/>
      <c r="B488"/>
      <c r="C488"/>
      <c r="D488"/>
      <c r="E488"/>
      <c r="F488"/>
      <c r="G488"/>
      <c r="H488"/>
      <c r="I488"/>
    </row>
    <row r="489" spans="1:9" s="47" customFormat="1" ht="14.4" x14ac:dyDescent="0.3">
      <c r="A489"/>
      <c r="B489"/>
      <c r="C489"/>
      <c r="D489"/>
      <c r="E489"/>
      <c r="F489"/>
      <c r="G489"/>
      <c r="H489"/>
      <c r="I489"/>
    </row>
    <row r="490" spans="1:9" s="47" customFormat="1" ht="14.4" x14ac:dyDescent="0.3">
      <c r="A490"/>
      <c r="B490"/>
      <c r="C490"/>
      <c r="D490"/>
      <c r="E490"/>
      <c r="F490"/>
      <c r="G490"/>
      <c r="H490"/>
      <c r="I490"/>
    </row>
    <row r="491" spans="1:9" s="47" customFormat="1" ht="14.4" x14ac:dyDescent="0.3">
      <c r="A491"/>
      <c r="B491"/>
      <c r="C491"/>
      <c r="D491"/>
      <c r="E491"/>
      <c r="F491"/>
      <c r="G491"/>
      <c r="H491"/>
      <c r="I491"/>
    </row>
    <row r="492" spans="1:9" s="47" customFormat="1" ht="14.4" x14ac:dyDescent="0.3">
      <c r="A492"/>
      <c r="B492"/>
      <c r="C492"/>
      <c r="D492"/>
      <c r="E492"/>
      <c r="F492"/>
      <c r="G492"/>
      <c r="H492"/>
      <c r="I492"/>
    </row>
    <row r="493" spans="1:9" s="47" customFormat="1" ht="14.4" x14ac:dyDescent="0.3">
      <c r="A493"/>
      <c r="B493"/>
      <c r="C493"/>
      <c r="D493"/>
      <c r="E493"/>
      <c r="F493"/>
      <c r="G493"/>
      <c r="H493"/>
      <c r="I493"/>
    </row>
    <row r="494" spans="1:9" s="47" customFormat="1" ht="14.4" x14ac:dyDescent="0.3">
      <c r="A494"/>
      <c r="B494"/>
      <c r="C494"/>
      <c r="D494"/>
      <c r="E494"/>
      <c r="F494"/>
      <c r="G494"/>
      <c r="H494"/>
      <c r="I494"/>
    </row>
    <row r="495" spans="1:9" s="47" customFormat="1" ht="14.4" x14ac:dyDescent="0.3">
      <c r="A495"/>
      <c r="B495"/>
      <c r="C495"/>
      <c r="D495"/>
      <c r="E495"/>
      <c r="F495"/>
      <c r="G495"/>
      <c r="H495"/>
      <c r="I495"/>
    </row>
    <row r="496" spans="1:9" s="47" customFormat="1" ht="14.4" x14ac:dyDescent="0.3">
      <c r="A496"/>
      <c r="B496"/>
      <c r="C496"/>
      <c r="D496"/>
      <c r="E496"/>
      <c r="F496"/>
      <c r="G496"/>
      <c r="H496"/>
      <c r="I496"/>
    </row>
    <row r="497" spans="1:9" s="47" customFormat="1" ht="14.4" x14ac:dyDescent="0.3">
      <c r="A497"/>
      <c r="B497"/>
      <c r="C497"/>
      <c r="D497"/>
      <c r="E497"/>
      <c r="F497"/>
      <c r="G497"/>
      <c r="H497"/>
      <c r="I497"/>
    </row>
    <row r="498" spans="1:9" s="47" customFormat="1" ht="14.4" x14ac:dyDescent="0.3">
      <c r="A498"/>
      <c r="B498"/>
      <c r="C498"/>
      <c r="D498"/>
      <c r="E498"/>
      <c r="F498"/>
      <c r="G498"/>
      <c r="H498"/>
      <c r="I498"/>
    </row>
    <row r="499" spans="1:9" s="47" customFormat="1" ht="14.4" x14ac:dyDescent="0.3">
      <c r="A499"/>
      <c r="B499"/>
      <c r="C499"/>
      <c r="D499"/>
      <c r="E499"/>
      <c r="F499"/>
      <c r="G499"/>
      <c r="H499"/>
      <c r="I499"/>
    </row>
    <row r="500" spans="1:9" s="47" customFormat="1" ht="14.4" x14ac:dyDescent="0.3">
      <c r="A500"/>
      <c r="B500"/>
      <c r="C500"/>
      <c r="D500"/>
      <c r="E500"/>
      <c r="F500"/>
      <c r="G500"/>
      <c r="H500"/>
      <c r="I500"/>
    </row>
    <row r="501" spans="1:9" s="47" customFormat="1" ht="14.4" x14ac:dyDescent="0.3">
      <c r="A501"/>
      <c r="B501"/>
      <c r="C501"/>
      <c r="D501"/>
      <c r="E501"/>
      <c r="F501"/>
      <c r="G501"/>
      <c r="H501"/>
      <c r="I501"/>
    </row>
    <row r="502" spans="1:9" s="47" customFormat="1" ht="14.4" x14ac:dyDescent="0.3">
      <c r="A502"/>
      <c r="B502"/>
      <c r="C502"/>
      <c r="D502"/>
      <c r="E502"/>
      <c r="F502"/>
      <c r="G502"/>
      <c r="H502"/>
      <c r="I502"/>
    </row>
    <row r="503" spans="1:9" s="47" customFormat="1" ht="14.4" x14ac:dyDescent="0.3">
      <c r="A503"/>
      <c r="B503"/>
      <c r="C503"/>
      <c r="D503"/>
      <c r="E503"/>
      <c r="F503"/>
      <c r="G503"/>
      <c r="H503"/>
      <c r="I503"/>
    </row>
    <row r="504" spans="1:9" s="47" customFormat="1" ht="14.4" x14ac:dyDescent="0.3">
      <c r="A504"/>
      <c r="B504"/>
      <c r="C504"/>
      <c r="D504"/>
      <c r="E504"/>
      <c r="F504"/>
      <c r="G504"/>
      <c r="H504"/>
      <c r="I504"/>
    </row>
    <row r="505" spans="1:9" s="47" customFormat="1" ht="14.4" x14ac:dyDescent="0.3">
      <c r="A505"/>
      <c r="B505"/>
      <c r="C505"/>
      <c r="D505"/>
      <c r="E505"/>
      <c r="F505"/>
      <c r="G505"/>
      <c r="H505"/>
      <c r="I505"/>
    </row>
    <row r="506" spans="1:9" s="47" customFormat="1" ht="14.4" x14ac:dyDescent="0.3">
      <c r="A506"/>
      <c r="B506"/>
      <c r="C506"/>
      <c r="D506"/>
      <c r="E506"/>
      <c r="F506"/>
      <c r="G506"/>
      <c r="H506"/>
      <c r="I506"/>
    </row>
    <row r="507" spans="1:9" s="47" customFormat="1" ht="14.4" x14ac:dyDescent="0.3">
      <c r="A507"/>
      <c r="B507"/>
      <c r="C507"/>
      <c r="D507"/>
      <c r="E507"/>
      <c r="F507"/>
      <c r="G507"/>
      <c r="H507"/>
      <c r="I507"/>
    </row>
    <row r="508" spans="1:9" s="47" customFormat="1" ht="14.4" x14ac:dyDescent="0.3">
      <c r="A508"/>
      <c r="B508"/>
      <c r="C508"/>
      <c r="D508"/>
      <c r="E508"/>
      <c r="F508"/>
      <c r="G508"/>
      <c r="H508"/>
      <c r="I508"/>
    </row>
    <row r="509" spans="1:9" s="47" customFormat="1" ht="14.4" x14ac:dyDescent="0.3">
      <c r="A509"/>
      <c r="B509"/>
      <c r="C509"/>
      <c r="D509"/>
      <c r="E509"/>
      <c r="F509"/>
      <c r="G509"/>
      <c r="H509"/>
      <c r="I509"/>
    </row>
    <row r="510" spans="1:9" s="47" customFormat="1" ht="14.4" x14ac:dyDescent="0.3">
      <c r="A510"/>
      <c r="B510"/>
      <c r="C510"/>
      <c r="D510"/>
      <c r="E510"/>
      <c r="F510"/>
      <c r="G510"/>
      <c r="H510"/>
      <c r="I510"/>
    </row>
    <row r="511" spans="1:9" s="47" customFormat="1" ht="14.4" x14ac:dyDescent="0.3">
      <c r="A511"/>
      <c r="B511"/>
      <c r="C511"/>
      <c r="D511"/>
      <c r="E511"/>
      <c r="F511"/>
      <c r="G511"/>
      <c r="H511"/>
      <c r="I511"/>
    </row>
    <row r="512" spans="1:9" s="47" customFormat="1" ht="14.4" x14ac:dyDescent="0.3">
      <c r="A512"/>
      <c r="B512"/>
      <c r="C512"/>
      <c r="D512"/>
      <c r="E512"/>
      <c r="F512"/>
      <c r="G512"/>
      <c r="H512"/>
      <c r="I512"/>
    </row>
    <row r="513" spans="1:9" s="47" customFormat="1" ht="14.4" x14ac:dyDescent="0.3">
      <c r="A513"/>
      <c r="B513"/>
      <c r="C513"/>
      <c r="D513"/>
      <c r="E513"/>
      <c r="F513"/>
      <c r="G513"/>
      <c r="H513"/>
      <c r="I513"/>
    </row>
    <row r="514" spans="1:9" s="47" customFormat="1" ht="14.4" x14ac:dyDescent="0.3">
      <c r="A514"/>
      <c r="B514"/>
      <c r="C514"/>
      <c r="D514"/>
      <c r="E514"/>
      <c r="F514"/>
      <c r="G514"/>
      <c r="H514"/>
      <c r="I514"/>
    </row>
    <row r="515" spans="1:9" s="47" customFormat="1" ht="14.4" x14ac:dyDescent="0.3">
      <c r="A515"/>
      <c r="B515"/>
      <c r="C515"/>
      <c r="D515"/>
      <c r="E515"/>
      <c r="F515"/>
      <c r="G515"/>
      <c r="H515"/>
      <c r="I515"/>
    </row>
    <row r="516" spans="1:9" s="47" customFormat="1" ht="14.4" x14ac:dyDescent="0.3">
      <c r="A516"/>
      <c r="B516"/>
      <c r="C516"/>
      <c r="D516"/>
      <c r="E516"/>
      <c r="F516"/>
      <c r="G516"/>
      <c r="H516"/>
      <c r="I516"/>
    </row>
    <row r="517" spans="1:9" s="47" customFormat="1" ht="14.4" x14ac:dyDescent="0.3">
      <c r="A517"/>
      <c r="B517"/>
      <c r="C517"/>
      <c r="D517"/>
      <c r="E517"/>
      <c r="F517"/>
      <c r="G517"/>
      <c r="H517"/>
      <c r="I517"/>
    </row>
    <row r="518" spans="1:9" s="47" customFormat="1" ht="14.4" x14ac:dyDescent="0.3">
      <c r="A518"/>
      <c r="B518"/>
      <c r="C518"/>
      <c r="D518"/>
      <c r="E518"/>
      <c r="F518"/>
      <c r="G518"/>
      <c r="H518"/>
      <c r="I518"/>
    </row>
    <row r="519" spans="1:9" s="47" customFormat="1" ht="14.4" x14ac:dyDescent="0.3">
      <c r="A519"/>
      <c r="B519"/>
      <c r="C519"/>
      <c r="D519"/>
      <c r="E519"/>
      <c r="F519"/>
      <c r="G519"/>
      <c r="H519"/>
      <c r="I519"/>
    </row>
    <row r="520" spans="1:9" s="47" customFormat="1" ht="14.4" x14ac:dyDescent="0.3">
      <c r="A520"/>
      <c r="B520"/>
      <c r="C520"/>
      <c r="D520"/>
      <c r="E520"/>
      <c r="F520"/>
      <c r="G520"/>
      <c r="H520"/>
      <c r="I520"/>
    </row>
    <row r="521" spans="1:9" s="47" customFormat="1" ht="14.4" x14ac:dyDescent="0.3">
      <c r="A521"/>
      <c r="B521"/>
      <c r="C521"/>
      <c r="D521"/>
      <c r="E521"/>
      <c r="F521"/>
      <c r="G521"/>
      <c r="H521"/>
      <c r="I521"/>
    </row>
    <row r="522" spans="1:9" s="47" customFormat="1" ht="14.4" x14ac:dyDescent="0.3">
      <c r="A522"/>
      <c r="B522"/>
      <c r="C522"/>
      <c r="D522"/>
      <c r="E522"/>
      <c r="F522"/>
      <c r="G522"/>
      <c r="H522"/>
      <c r="I522"/>
    </row>
    <row r="523" spans="1:9" s="47" customFormat="1" ht="14.4" x14ac:dyDescent="0.3">
      <c r="A523"/>
      <c r="B523"/>
      <c r="C523"/>
      <c r="D523"/>
      <c r="E523"/>
      <c r="F523"/>
      <c r="G523"/>
      <c r="H523"/>
      <c r="I523"/>
    </row>
    <row r="524" spans="1:9" s="47" customFormat="1" ht="14.4" x14ac:dyDescent="0.3">
      <c r="A524"/>
      <c r="B524"/>
      <c r="C524"/>
      <c r="D524"/>
      <c r="E524"/>
      <c r="F524"/>
      <c r="G524"/>
      <c r="H524"/>
      <c r="I524"/>
    </row>
    <row r="525" spans="1:9" s="47" customFormat="1" ht="14.4" x14ac:dyDescent="0.3">
      <c r="A525"/>
      <c r="B525"/>
      <c r="C525"/>
      <c r="D525"/>
      <c r="E525"/>
      <c r="F525"/>
      <c r="G525"/>
      <c r="H525"/>
      <c r="I525"/>
    </row>
    <row r="526" spans="1:9" s="47" customFormat="1" ht="14.4" x14ac:dyDescent="0.3">
      <c r="A526"/>
      <c r="B526"/>
      <c r="C526"/>
      <c r="D526"/>
      <c r="E526"/>
      <c r="F526"/>
      <c r="G526"/>
      <c r="H526"/>
      <c r="I526"/>
    </row>
    <row r="527" spans="1:9" s="47" customFormat="1" ht="14.4" x14ac:dyDescent="0.3">
      <c r="A527"/>
      <c r="B527"/>
      <c r="C527"/>
      <c r="D527"/>
      <c r="E527"/>
      <c r="F527"/>
      <c r="G527"/>
      <c r="H527"/>
      <c r="I527"/>
    </row>
    <row r="528" spans="1:9" s="47" customFormat="1" ht="14.4" x14ac:dyDescent="0.3">
      <c r="A528"/>
      <c r="B528"/>
      <c r="C528"/>
      <c r="D528"/>
      <c r="E528"/>
      <c r="F528"/>
      <c r="G528"/>
      <c r="H528"/>
      <c r="I528"/>
    </row>
    <row r="529" spans="1:9" s="47" customFormat="1" ht="14.4" x14ac:dyDescent="0.3">
      <c r="A529"/>
      <c r="B529"/>
      <c r="C529"/>
      <c r="D529"/>
      <c r="E529"/>
      <c r="F529"/>
      <c r="G529"/>
      <c r="H529"/>
      <c r="I529"/>
    </row>
    <row r="530" spans="1:9" s="47" customFormat="1" ht="14.4" x14ac:dyDescent="0.3">
      <c r="A530"/>
      <c r="B530"/>
      <c r="C530"/>
      <c r="D530"/>
      <c r="E530"/>
      <c r="F530"/>
      <c r="G530"/>
      <c r="H530"/>
      <c r="I530"/>
    </row>
    <row r="531" spans="1:9" s="47" customFormat="1" ht="14.4" x14ac:dyDescent="0.3">
      <c r="A531"/>
      <c r="B531"/>
      <c r="C531"/>
      <c r="D531"/>
      <c r="E531"/>
      <c r="F531"/>
      <c r="G531"/>
      <c r="H531"/>
      <c r="I531"/>
    </row>
    <row r="532" spans="1:9" s="47" customFormat="1" ht="14.4" x14ac:dyDescent="0.3">
      <c r="A532"/>
      <c r="B532"/>
      <c r="C532"/>
      <c r="D532"/>
      <c r="E532"/>
      <c r="F532"/>
      <c r="G532"/>
      <c r="H532"/>
      <c r="I532"/>
    </row>
    <row r="533" spans="1:9" s="47" customFormat="1" ht="14.4" x14ac:dyDescent="0.3">
      <c r="A533"/>
      <c r="B533"/>
      <c r="C533"/>
      <c r="D533"/>
      <c r="E533"/>
      <c r="F533"/>
      <c r="G533"/>
      <c r="H533"/>
      <c r="I533"/>
    </row>
    <row r="534" spans="1:9" s="47" customFormat="1" ht="14.4" x14ac:dyDescent="0.3">
      <c r="A534"/>
      <c r="B534"/>
      <c r="C534"/>
      <c r="D534"/>
      <c r="E534"/>
      <c r="F534"/>
      <c r="G534"/>
      <c r="H534"/>
      <c r="I534"/>
    </row>
    <row r="535" spans="1:9" s="47" customFormat="1" ht="14.4" x14ac:dyDescent="0.3">
      <c r="A535"/>
      <c r="B535"/>
      <c r="C535"/>
      <c r="D535"/>
      <c r="E535"/>
      <c r="F535"/>
      <c r="G535"/>
      <c r="H535"/>
      <c r="I535"/>
    </row>
    <row r="536" spans="1:9" s="47" customFormat="1" ht="14.4" x14ac:dyDescent="0.3">
      <c r="A536"/>
      <c r="B536"/>
      <c r="C536"/>
      <c r="D536"/>
      <c r="E536"/>
      <c r="F536"/>
      <c r="G536"/>
      <c r="H536"/>
      <c r="I536"/>
    </row>
    <row r="537" spans="1:9" s="47" customFormat="1" ht="14.4" x14ac:dyDescent="0.3">
      <c r="A537"/>
      <c r="B537"/>
      <c r="C537"/>
      <c r="D537"/>
      <c r="E537"/>
      <c r="F537"/>
      <c r="G537"/>
      <c r="H537"/>
      <c r="I537"/>
    </row>
    <row r="538" spans="1:9" s="47" customFormat="1" ht="14.4" x14ac:dyDescent="0.3">
      <c r="A538"/>
      <c r="B538"/>
      <c r="C538"/>
      <c r="D538"/>
      <c r="E538"/>
      <c r="F538"/>
      <c r="G538"/>
      <c r="H538"/>
      <c r="I538"/>
    </row>
    <row r="539" spans="1:9" s="47" customFormat="1" ht="14.4" x14ac:dyDescent="0.3">
      <c r="A539"/>
      <c r="B539"/>
      <c r="C539"/>
      <c r="D539"/>
      <c r="E539"/>
      <c r="F539"/>
      <c r="G539"/>
      <c r="H539"/>
      <c r="I539"/>
    </row>
    <row r="540" spans="1:9" s="47" customFormat="1" ht="14.4" x14ac:dyDescent="0.3">
      <c r="A540"/>
      <c r="B540"/>
      <c r="C540"/>
      <c r="D540"/>
      <c r="E540"/>
      <c r="F540"/>
      <c r="G540"/>
      <c r="H540"/>
      <c r="I540"/>
    </row>
    <row r="541" spans="1:9" s="47" customFormat="1" ht="14.4" x14ac:dyDescent="0.3">
      <c r="A541"/>
      <c r="B541"/>
      <c r="C541"/>
      <c r="D541"/>
      <c r="E541"/>
      <c r="F541"/>
      <c r="G541"/>
      <c r="H541"/>
      <c r="I541"/>
    </row>
    <row r="542" spans="1:9" s="47" customFormat="1" ht="14.4" x14ac:dyDescent="0.3">
      <c r="A542"/>
      <c r="B542"/>
      <c r="C542"/>
      <c r="D542"/>
      <c r="E542"/>
      <c r="F542"/>
      <c r="G542"/>
      <c r="H542"/>
      <c r="I542"/>
    </row>
    <row r="543" spans="1:9" s="47" customFormat="1" ht="14.4" x14ac:dyDescent="0.3">
      <c r="A543"/>
      <c r="B543"/>
      <c r="C543"/>
      <c r="D543"/>
      <c r="E543"/>
      <c r="F543"/>
      <c r="G543"/>
      <c r="H543"/>
      <c r="I543"/>
    </row>
    <row r="544" spans="1:9" s="47" customFormat="1" ht="14.4" x14ac:dyDescent="0.3">
      <c r="A544"/>
      <c r="B544"/>
      <c r="C544"/>
      <c r="D544"/>
      <c r="E544"/>
      <c r="F544"/>
      <c r="G544"/>
      <c r="H544"/>
      <c r="I544"/>
    </row>
    <row r="545" spans="1:9" s="47" customFormat="1" ht="14.4" x14ac:dyDescent="0.3">
      <c r="A545"/>
      <c r="B545"/>
      <c r="C545"/>
      <c r="D545"/>
      <c r="E545"/>
      <c r="F545"/>
      <c r="G545"/>
      <c r="H545"/>
      <c r="I545"/>
    </row>
    <row r="546" spans="1:9" s="47" customFormat="1" ht="14.4" x14ac:dyDescent="0.3">
      <c r="A546"/>
      <c r="B546"/>
      <c r="C546"/>
      <c r="D546"/>
      <c r="E546"/>
      <c r="F546"/>
      <c r="G546"/>
      <c r="H546"/>
      <c r="I546"/>
    </row>
    <row r="547" spans="1:9" s="47" customFormat="1" ht="14.4" x14ac:dyDescent="0.3">
      <c r="A547"/>
      <c r="B547"/>
      <c r="C547"/>
      <c r="D547"/>
      <c r="E547"/>
      <c r="F547"/>
      <c r="G547"/>
      <c r="H547"/>
      <c r="I547"/>
    </row>
    <row r="548" spans="1:9" s="47" customFormat="1" ht="14.4" x14ac:dyDescent="0.3">
      <c r="A548"/>
      <c r="B548"/>
      <c r="C548"/>
      <c r="D548"/>
      <c r="E548"/>
      <c r="F548"/>
      <c r="G548"/>
      <c r="H548"/>
      <c r="I548"/>
    </row>
    <row r="549" spans="1:9" s="47" customFormat="1" ht="14.4" x14ac:dyDescent="0.3">
      <c r="A549"/>
      <c r="B549"/>
      <c r="C549"/>
      <c r="D549"/>
      <c r="E549"/>
      <c r="F549"/>
      <c r="G549"/>
      <c r="H549"/>
      <c r="I549"/>
    </row>
    <row r="550" spans="1:9" s="47" customFormat="1" ht="14.4" x14ac:dyDescent="0.3">
      <c r="A550"/>
      <c r="B550"/>
      <c r="C550"/>
      <c r="D550"/>
      <c r="E550"/>
      <c r="F550"/>
      <c r="G550"/>
      <c r="H550"/>
      <c r="I550"/>
    </row>
    <row r="551" spans="1:9" s="47" customFormat="1" ht="14.4" x14ac:dyDescent="0.3">
      <c r="A551"/>
      <c r="B551"/>
      <c r="C551"/>
      <c r="D551"/>
      <c r="E551"/>
      <c r="F551"/>
      <c r="G551"/>
      <c r="H551"/>
      <c r="I551"/>
    </row>
    <row r="552" spans="1:9" s="47" customFormat="1" ht="14.4" x14ac:dyDescent="0.3">
      <c r="A552"/>
      <c r="B552"/>
      <c r="C552"/>
      <c r="D552"/>
      <c r="E552"/>
      <c r="F552"/>
      <c r="G552"/>
      <c r="H552"/>
      <c r="I552"/>
    </row>
    <row r="553" spans="1:9" s="47" customFormat="1" ht="14.4" x14ac:dyDescent="0.3">
      <c r="A553"/>
      <c r="B553"/>
      <c r="C553"/>
      <c r="D553"/>
      <c r="E553"/>
      <c r="F553"/>
      <c r="G553"/>
      <c r="H553"/>
      <c r="I553"/>
    </row>
    <row r="554" spans="1:9" s="47" customFormat="1" ht="14.4" x14ac:dyDescent="0.3">
      <c r="A554"/>
      <c r="B554"/>
      <c r="C554"/>
      <c r="D554"/>
      <c r="E554"/>
      <c r="F554"/>
      <c r="G554"/>
      <c r="H554"/>
      <c r="I554"/>
    </row>
    <row r="555" spans="1:9" s="47" customFormat="1" ht="14.4" x14ac:dyDescent="0.3">
      <c r="A555"/>
      <c r="B555"/>
      <c r="C555"/>
      <c r="D555"/>
      <c r="E555"/>
      <c r="F555"/>
      <c r="G555"/>
      <c r="H555"/>
      <c r="I555"/>
    </row>
    <row r="556" spans="1:9" s="47" customFormat="1" ht="14.4" x14ac:dyDescent="0.3">
      <c r="A556"/>
      <c r="B556"/>
      <c r="C556"/>
      <c r="D556"/>
      <c r="E556"/>
      <c r="F556"/>
      <c r="G556"/>
      <c r="H556"/>
      <c r="I556"/>
    </row>
    <row r="557" spans="1:9" s="47" customFormat="1" ht="14.4" x14ac:dyDescent="0.3">
      <c r="A557"/>
      <c r="B557"/>
      <c r="C557"/>
      <c r="D557"/>
      <c r="E557"/>
      <c r="F557"/>
      <c r="G557"/>
      <c r="H557"/>
      <c r="I557"/>
    </row>
    <row r="558" spans="1:9" s="47" customFormat="1" ht="14.4" x14ac:dyDescent="0.3">
      <c r="A558"/>
      <c r="B558"/>
      <c r="C558"/>
      <c r="D558"/>
      <c r="E558"/>
      <c r="F558"/>
      <c r="G558"/>
      <c r="H558"/>
      <c r="I558"/>
    </row>
    <row r="559" spans="1:9" s="47" customFormat="1" ht="14.4" x14ac:dyDescent="0.3">
      <c r="A559"/>
      <c r="B559"/>
      <c r="C559"/>
      <c r="D559"/>
      <c r="E559"/>
      <c r="F559"/>
      <c r="G559"/>
      <c r="H559"/>
      <c r="I559"/>
    </row>
    <row r="560" spans="1:9" s="47" customFormat="1" ht="14.4" x14ac:dyDescent="0.3">
      <c r="A560"/>
      <c r="B560"/>
      <c r="C560"/>
      <c r="D560"/>
      <c r="E560"/>
      <c r="F560"/>
      <c r="G560"/>
      <c r="H560"/>
      <c r="I560"/>
    </row>
    <row r="561" spans="1:9" s="47" customFormat="1" ht="14.4" x14ac:dyDescent="0.3">
      <c r="A561"/>
      <c r="B561"/>
      <c r="C561"/>
      <c r="D561"/>
      <c r="E561"/>
      <c r="F561"/>
      <c r="G561"/>
      <c r="H561"/>
      <c r="I561"/>
    </row>
    <row r="562" spans="1:9" s="47" customFormat="1" ht="14.4" x14ac:dyDescent="0.3">
      <c r="A562"/>
      <c r="B562"/>
      <c r="C562"/>
      <c r="D562"/>
      <c r="E562"/>
      <c r="F562"/>
      <c r="G562"/>
      <c r="H562"/>
      <c r="I562"/>
    </row>
    <row r="563" spans="1:9" s="47" customFormat="1" ht="14.4" x14ac:dyDescent="0.3">
      <c r="A563"/>
      <c r="B563"/>
      <c r="C563"/>
      <c r="D563"/>
      <c r="E563"/>
      <c r="F563"/>
      <c r="G563"/>
      <c r="H563"/>
      <c r="I563"/>
    </row>
    <row r="564" spans="1:9" s="47" customFormat="1" ht="14.4" x14ac:dyDescent="0.3">
      <c r="A564"/>
      <c r="B564"/>
      <c r="C564"/>
      <c r="D564"/>
      <c r="E564"/>
      <c r="F564"/>
      <c r="G564"/>
      <c r="H564"/>
      <c r="I564"/>
    </row>
    <row r="565" spans="1:9" s="47" customFormat="1" ht="14.4" x14ac:dyDescent="0.3">
      <c r="A565"/>
      <c r="B565"/>
      <c r="C565"/>
      <c r="D565"/>
      <c r="E565"/>
      <c r="F565"/>
      <c r="G565"/>
      <c r="H565"/>
      <c r="I565"/>
    </row>
    <row r="566" spans="1:9" s="47" customFormat="1" ht="14.4" x14ac:dyDescent="0.3">
      <c r="A566"/>
      <c r="B566"/>
      <c r="C566"/>
      <c r="D566"/>
      <c r="E566"/>
      <c r="F566"/>
      <c r="G566"/>
      <c r="H566"/>
      <c r="I566"/>
    </row>
    <row r="567" spans="1:9" s="47" customFormat="1" ht="14.4" x14ac:dyDescent="0.3">
      <c r="A567"/>
      <c r="B567"/>
      <c r="C567"/>
      <c r="D567"/>
      <c r="E567"/>
      <c r="F567"/>
      <c r="G567"/>
      <c r="H567"/>
      <c r="I567"/>
    </row>
    <row r="568" spans="1:9" s="47" customFormat="1" ht="14.4" x14ac:dyDescent="0.3">
      <c r="A568"/>
      <c r="B568"/>
      <c r="C568"/>
      <c r="D568"/>
      <c r="E568"/>
      <c r="F568"/>
      <c r="G568"/>
      <c r="H568"/>
      <c r="I568"/>
    </row>
    <row r="569" spans="1:9" s="47" customFormat="1" ht="14.4" x14ac:dyDescent="0.3">
      <c r="A569"/>
      <c r="B569"/>
      <c r="C569"/>
      <c r="D569"/>
      <c r="E569"/>
      <c r="F569"/>
      <c r="G569"/>
      <c r="H569"/>
      <c r="I569"/>
    </row>
    <row r="570" spans="1:9" s="47" customFormat="1" ht="14.4" x14ac:dyDescent="0.3">
      <c r="A570"/>
      <c r="B570"/>
      <c r="C570"/>
      <c r="D570"/>
      <c r="E570"/>
      <c r="F570"/>
      <c r="G570"/>
      <c r="H570"/>
      <c r="I570"/>
    </row>
    <row r="571" spans="1:9" s="47" customFormat="1" ht="14.4" x14ac:dyDescent="0.3">
      <c r="A571"/>
      <c r="B571"/>
      <c r="C571"/>
      <c r="D571"/>
      <c r="E571"/>
      <c r="F571"/>
      <c r="G571"/>
      <c r="H571"/>
      <c r="I571"/>
    </row>
    <row r="572" spans="1:9" s="47" customFormat="1" ht="14.4" x14ac:dyDescent="0.3">
      <c r="A572"/>
      <c r="B572"/>
      <c r="C572"/>
      <c r="D572"/>
      <c r="E572"/>
      <c r="F572"/>
      <c r="G572"/>
      <c r="H572"/>
      <c r="I572"/>
    </row>
    <row r="573" spans="1:9" s="47" customFormat="1" ht="14.4" x14ac:dyDescent="0.3">
      <c r="A573"/>
      <c r="B573"/>
      <c r="C573"/>
      <c r="D573"/>
      <c r="E573"/>
      <c r="F573"/>
      <c r="G573"/>
      <c r="H573"/>
      <c r="I573"/>
    </row>
    <row r="574" spans="1:9" s="47" customFormat="1" ht="14.4" x14ac:dyDescent="0.3">
      <c r="A574"/>
      <c r="B574"/>
      <c r="C574"/>
      <c r="D574"/>
      <c r="E574"/>
      <c r="F574"/>
      <c r="G574"/>
      <c r="H574"/>
      <c r="I574"/>
    </row>
    <row r="575" spans="1:9" s="47" customFormat="1" ht="14.4" x14ac:dyDescent="0.3">
      <c r="A575"/>
      <c r="B575"/>
      <c r="C575"/>
      <c r="D575"/>
      <c r="E575"/>
      <c r="F575"/>
      <c r="G575"/>
      <c r="H575"/>
      <c r="I575"/>
    </row>
    <row r="576" spans="1:9" s="47" customFormat="1" ht="14.4" x14ac:dyDescent="0.3">
      <c r="A576"/>
      <c r="B576"/>
      <c r="C576"/>
      <c r="D576"/>
      <c r="E576"/>
      <c r="F576"/>
      <c r="G576"/>
      <c r="H576"/>
      <c r="I576"/>
    </row>
    <row r="577" spans="1:9" s="47" customFormat="1" ht="14.4" x14ac:dyDescent="0.3">
      <c r="A577"/>
      <c r="B577"/>
      <c r="C577"/>
      <c r="D577"/>
      <c r="E577"/>
      <c r="F577"/>
      <c r="G577"/>
      <c r="H577"/>
      <c r="I577"/>
    </row>
    <row r="578" spans="1:9" s="47" customFormat="1" ht="14.4" x14ac:dyDescent="0.3">
      <c r="A578"/>
      <c r="B578"/>
      <c r="C578"/>
      <c r="D578"/>
      <c r="E578"/>
      <c r="F578"/>
      <c r="G578"/>
      <c r="H578"/>
      <c r="I578"/>
    </row>
    <row r="579" spans="1:9" s="47" customFormat="1" ht="14.4" x14ac:dyDescent="0.3">
      <c r="A579"/>
      <c r="B579"/>
      <c r="C579"/>
      <c r="D579"/>
      <c r="E579"/>
      <c r="F579"/>
      <c r="G579"/>
      <c r="H579"/>
      <c r="I579"/>
    </row>
    <row r="580" spans="1:9" s="47" customFormat="1" ht="14.4" x14ac:dyDescent="0.3">
      <c r="A580"/>
      <c r="B580"/>
      <c r="C580"/>
      <c r="D580"/>
      <c r="E580"/>
      <c r="F580"/>
      <c r="G580"/>
      <c r="H580"/>
      <c r="I580"/>
    </row>
    <row r="581" spans="1:9" s="47" customFormat="1" ht="14.4" x14ac:dyDescent="0.3">
      <c r="A581"/>
      <c r="B581"/>
      <c r="C581"/>
      <c r="D581"/>
      <c r="E581"/>
      <c r="F581"/>
      <c r="G581"/>
      <c r="H581"/>
      <c r="I581"/>
    </row>
    <row r="582" spans="1:9" s="47" customFormat="1" ht="14.4" x14ac:dyDescent="0.3">
      <c r="A582"/>
      <c r="B582"/>
      <c r="C582"/>
      <c r="D582"/>
      <c r="E582"/>
      <c r="F582"/>
      <c r="G582"/>
      <c r="H582"/>
      <c r="I582"/>
    </row>
    <row r="583" spans="1:9" s="47" customFormat="1" ht="14.4" x14ac:dyDescent="0.3">
      <c r="A583"/>
      <c r="B583"/>
      <c r="C583"/>
      <c r="D583"/>
      <c r="E583"/>
      <c r="F583"/>
      <c r="G583"/>
      <c r="H583"/>
      <c r="I583"/>
    </row>
    <row r="584" spans="1:9" s="47" customFormat="1" ht="14.4" x14ac:dyDescent="0.3">
      <c r="A584"/>
      <c r="B584"/>
      <c r="C584"/>
      <c r="D584"/>
      <c r="E584"/>
      <c r="F584"/>
      <c r="G584"/>
      <c r="H584"/>
      <c r="I584"/>
    </row>
    <row r="585" spans="1:9" s="47" customFormat="1" ht="14.4" x14ac:dyDescent="0.3">
      <c r="A585"/>
      <c r="B585"/>
      <c r="C585"/>
      <c r="D585"/>
      <c r="E585"/>
      <c r="F585"/>
      <c r="G585"/>
      <c r="H585"/>
      <c r="I585"/>
    </row>
    <row r="586" spans="1:9" s="47" customFormat="1" ht="14.4" x14ac:dyDescent="0.3">
      <c r="A586"/>
      <c r="B586"/>
      <c r="C586"/>
      <c r="D586"/>
      <c r="E586"/>
      <c r="F586"/>
      <c r="G586"/>
      <c r="H586"/>
      <c r="I586"/>
    </row>
    <row r="587" spans="1:9" s="47" customFormat="1" ht="14.4" x14ac:dyDescent="0.3">
      <c r="A587"/>
      <c r="B587"/>
      <c r="C587"/>
      <c r="D587"/>
      <c r="E587"/>
      <c r="F587"/>
      <c r="G587"/>
      <c r="H587"/>
      <c r="I587"/>
    </row>
    <row r="588" spans="1:9" s="47" customFormat="1" ht="14.4" x14ac:dyDescent="0.3">
      <c r="A588"/>
      <c r="B588"/>
      <c r="C588"/>
      <c r="D588"/>
      <c r="E588"/>
      <c r="F588"/>
      <c r="G588"/>
      <c r="H588"/>
      <c r="I588"/>
    </row>
    <row r="589" spans="1:9" s="47" customFormat="1" ht="14.4" x14ac:dyDescent="0.3">
      <c r="A589"/>
      <c r="B589"/>
      <c r="C589"/>
      <c r="D589"/>
      <c r="E589"/>
      <c r="F589"/>
      <c r="G589"/>
      <c r="H589"/>
      <c r="I589"/>
    </row>
    <row r="590" spans="1:9" s="47" customFormat="1" ht="14.4" x14ac:dyDescent="0.3">
      <c r="A590"/>
      <c r="B590"/>
      <c r="C590"/>
      <c r="D590"/>
      <c r="E590"/>
      <c r="F590"/>
      <c r="G590"/>
      <c r="H590"/>
      <c r="I590"/>
    </row>
    <row r="591" spans="1:9" s="47" customFormat="1" ht="14.4" x14ac:dyDescent="0.3">
      <c r="A591"/>
      <c r="B591"/>
      <c r="C591"/>
      <c r="D591"/>
      <c r="E591"/>
      <c r="F591"/>
      <c r="G591"/>
      <c r="H591"/>
      <c r="I591"/>
    </row>
    <row r="592" spans="1:9" s="47" customFormat="1" ht="14.4" x14ac:dyDescent="0.3">
      <c r="A592"/>
      <c r="B592"/>
      <c r="C592"/>
      <c r="D592"/>
      <c r="E592"/>
      <c r="F592"/>
      <c r="G592"/>
      <c r="H592"/>
      <c r="I592"/>
    </row>
    <row r="593" spans="1:9" s="47" customFormat="1" ht="14.4" x14ac:dyDescent="0.3">
      <c r="A593"/>
      <c r="B593"/>
      <c r="C593"/>
      <c r="D593"/>
      <c r="E593"/>
      <c r="F593"/>
      <c r="G593"/>
      <c r="H593"/>
      <c r="I593"/>
    </row>
    <row r="594" spans="1:9" s="47" customFormat="1" ht="14.4" x14ac:dyDescent="0.3">
      <c r="A594"/>
      <c r="B594"/>
      <c r="C594"/>
      <c r="D594"/>
      <c r="E594"/>
      <c r="F594"/>
      <c r="G594"/>
      <c r="H594"/>
      <c r="I594"/>
    </row>
    <row r="595" spans="1:9" s="47" customFormat="1" ht="14.4" x14ac:dyDescent="0.3">
      <c r="A595"/>
      <c r="B595"/>
      <c r="C595"/>
      <c r="D595"/>
      <c r="E595"/>
      <c r="F595"/>
      <c r="G595"/>
      <c r="H595"/>
      <c r="I595"/>
    </row>
    <row r="596" spans="1:9" s="47" customFormat="1" ht="14.4" x14ac:dyDescent="0.3">
      <c r="A596"/>
      <c r="B596"/>
      <c r="C596"/>
      <c r="D596"/>
      <c r="E596"/>
      <c r="F596"/>
      <c r="G596"/>
      <c r="H596"/>
      <c r="I596"/>
    </row>
    <row r="597" spans="1:9" s="47" customFormat="1" ht="14.4" x14ac:dyDescent="0.3">
      <c r="A597"/>
      <c r="B597"/>
      <c r="C597"/>
      <c r="D597"/>
      <c r="E597"/>
      <c r="F597"/>
      <c r="G597"/>
      <c r="H597"/>
      <c r="I597"/>
    </row>
    <row r="598" spans="1:9" s="47" customFormat="1" ht="14.4" x14ac:dyDescent="0.3">
      <c r="A598"/>
      <c r="B598"/>
      <c r="C598"/>
      <c r="D598"/>
      <c r="E598"/>
      <c r="F598"/>
      <c r="G598"/>
      <c r="H598"/>
      <c r="I598"/>
    </row>
    <row r="599" spans="1:9" s="47" customFormat="1" ht="14.4" x14ac:dyDescent="0.3">
      <c r="A599"/>
      <c r="B599"/>
      <c r="C599"/>
      <c r="D599"/>
      <c r="E599"/>
      <c r="F599"/>
      <c r="G599"/>
      <c r="H599"/>
      <c r="I599"/>
    </row>
    <row r="600" spans="1:9" s="47" customFormat="1" ht="14.4" x14ac:dyDescent="0.3">
      <c r="A600"/>
      <c r="B600"/>
      <c r="C600"/>
      <c r="D600"/>
      <c r="E600"/>
      <c r="F600"/>
      <c r="G600"/>
      <c r="H600"/>
      <c r="I600"/>
    </row>
    <row r="601" spans="1:9" s="47" customFormat="1" ht="14.4" x14ac:dyDescent="0.3">
      <c r="A601"/>
      <c r="B601"/>
      <c r="C601"/>
      <c r="D601"/>
      <c r="E601"/>
      <c r="F601"/>
      <c r="G601"/>
      <c r="H601"/>
      <c r="I601"/>
    </row>
    <row r="602" spans="1:9" s="47" customFormat="1" ht="14.4" x14ac:dyDescent="0.3">
      <c r="A602"/>
      <c r="B602"/>
      <c r="C602"/>
      <c r="D602"/>
      <c r="E602"/>
      <c r="F602"/>
      <c r="G602"/>
      <c r="H602"/>
      <c r="I602"/>
    </row>
    <row r="603" spans="1:9" s="47" customFormat="1" ht="14.4" x14ac:dyDescent="0.3">
      <c r="A603"/>
      <c r="B603"/>
      <c r="C603"/>
      <c r="D603"/>
      <c r="E603"/>
      <c r="F603"/>
      <c r="G603"/>
      <c r="H603"/>
      <c r="I603"/>
    </row>
    <row r="604" spans="1:9" s="47" customFormat="1" ht="14.4" x14ac:dyDescent="0.3">
      <c r="A604"/>
      <c r="B604"/>
      <c r="C604"/>
      <c r="D604"/>
      <c r="E604"/>
      <c r="F604"/>
      <c r="G604"/>
      <c r="H604"/>
      <c r="I604"/>
    </row>
    <row r="605" spans="1:9" s="47" customFormat="1" ht="14.4" x14ac:dyDescent="0.3">
      <c r="A605"/>
      <c r="B605"/>
      <c r="C605"/>
      <c r="D605"/>
      <c r="E605"/>
      <c r="F605"/>
      <c r="G605"/>
      <c r="H605"/>
      <c r="I605"/>
    </row>
    <row r="606" spans="1:9" s="47" customFormat="1" ht="14.4" x14ac:dyDescent="0.3">
      <c r="A606"/>
      <c r="B606"/>
      <c r="C606"/>
      <c r="D606"/>
      <c r="E606"/>
      <c r="F606"/>
      <c r="G606"/>
      <c r="H606"/>
      <c r="I606"/>
    </row>
    <row r="607" spans="1:9" s="47" customFormat="1" ht="14.4" x14ac:dyDescent="0.3">
      <c r="A607"/>
      <c r="B607"/>
      <c r="C607"/>
      <c r="D607"/>
      <c r="E607"/>
      <c r="F607"/>
      <c r="G607"/>
      <c r="H607"/>
      <c r="I607"/>
    </row>
    <row r="608" spans="1:9" s="47" customFormat="1" ht="14.4" x14ac:dyDescent="0.3">
      <c r="A608"/>
      <c r="B608"/>
      <c r="C608"/>
      <c r="D608"/>
      <c r="E608"/>
      <c r="F608"/>
      <c r="G608"/>
      <c r="H608"/>
      <c r="I608"/>
    </row>
    <row r="609" spans="1:9" s="47" customFormat="1" ht="14.4" x14ac:dyDescent="0.3">
      <c r="A609"/>
      <c r="B609"/>
      <c r="C609"/>
      <c r="D609"/>
      <c r="E609"/>
      <c r="F609"/>
      <c r="G609"/>
      <c r="H609"/>
      <c r="I609"/>
    </row>
    <row r="610" spans="1:9" s="47" customFormat="1" ht="14.4" x14ac:dyDescent="0.3">
      <c r="A610"/>
      <c r="B610"/>
      <c r="C610"/>
      <c r="D610"/>
      <c r="E610"/>
      <c r="F610"/>
      <c r="G610"/>
      <c r="H610"/>
      <c r="I610"/>
    </row>
    <row r="611" spans="1:9" s="47" customFormat="1" ht="14.4" x14ac:dyDescent="0.3">
      <c r="A611"/>
      <c r="B611"/>
      <c r="C611"/>
      <c r="D611"/>
      <c r="E611"/>
      <c r="F611"/>
      <c r="G611"/>
      <c r="H611"/>
      <c r="I611"/>
    </row>
    <row r="612" spans="1:9" s="47" customFormat="1" ht="14.4" x14ac:dyDescent="0.3">
      <c r="A612"/>
      <c r="B612"/>
      <c r="C612"/>
      <c r="D612"/>
      <c r="E612"/>
      <c r="F612"/>
      <c r="G612"/>
      <c r="H612"/>
      <c r="I612"/>
    </row>
    <row r="613" spans="1:9" s="47" customFormat="1" ht="14.4" x14ac:dyDescent="0.3">
      <c r="A613"/>
      <c r="B613"/>
      <c r="C613"/>
      <c r="D613"/>
      <c r="E613"/>
      <c r="F613"/>
      <c r="G613"/>
      <c r="H613"/>
      <c r="I613"/>
    </row>
    <row r="614" spans="1:9" s="47" customFormat="1" ht="14.4" x14ac:dyDescent="0.3">
      <c r="A614"/>
      <c r="B614"/>
      <c r="C614"/>
      <c r="D614"/>
      <c r="E614"/>
      <c r="F614"/>
      <c r="G614"/>
      <c r="H614"/>
      <c r="I614"/>
    </row>
    <row r="615" spans="1:9" s="47" customFormat="1" ht="14.4" x14ac:dyDescent="0.3">
      <c r="A615"/>
      <c r="B615"/>
      <c r="C615"/>
      <c r="D615"/>
      <c r="E615"/>
      <c r="F615"/>
      <c r="G615"/>
      <c r="H615"/>
      <c r="I615"/>
    </row>
    <row r="616" spans="1:9" s="47" customFormat="1" ht="14.4" x14ac:dyDescent="0.3">
      <c r="A616"/>
      <c r="B616"/>
      <c r="C616"/>
      <c r="D616"/>
      <c r="E616"/>
      <c r="F616"/>
      <c r="G616"/>
      <c r="H616"/>
      <c r="I616"/>
    </row>
    <row r="617" spans="1:9" s="47" customFormat="1" ht="14.4" x14ac:dyDescent="0.3">
      <c r="A617"/>
      <c r="B617"/>
      <c r="C617"/>
      <c r="D617"/>
      <c r="E617"/>
      <c r="F617"/>
      <c r="G617"/>
      <c r="H617"/>
      <c r="I617"/>
    </row>
    <row r="618" spans="1:9" s="47" customFormat="1" ht="14.4" x14ac:dyDescent="0.3">
      <c r="A618"/>
      <c r="B618"/>
      <c r="C618"/>
      <c r="D618"/>
      <c r="E618"/>
      <c r="F618"/>
      <c r="G618"/>
      <c r="H618"/>
      <c r="I618"/>
    </row>
    <row r="619" spans="1:9" s="47" customFormat="1" ht="14.4" x14ac:dyDescent="0.3">
      <c r="A619"/>
      <c r="B619"/>
      <c r="C619"/>
      <c r="D619"/>
      <c r="E619"/>
      <c r="F619"/>
      <c r="G619"/>
      <c r="H619"/>
      <c r="I619"/>
    </row>
    <row r="620" spans="1:9" s="47" customFormat="1" ht="14.4" x14ac:dyDescent="0.3">
      <c r="A620"/>
      <c r="B620"/>
      <c r="C620"/>
      <c r="D620"/>
      <c r="E620"/>
      <c r="F620"/>
      <c r="G620"/>
      <c r="H620"/>
      <c r="I620"/>
    </row>
    <row r="621" spans="1:9" s="47" customFormat="1" ht="14.4" x14ac:dyDescent="0.3">
      <c r="A621"/>
      <c r="B621"/>
      <c r="C621"/>
      <c r="D621"/>
      <c r="E621"/>
      <c r="F621"/>
      <c r="G621"/>
      <c r="H621"/>
      <c r="I621"/>
    </row>
    <row r="622" spans="1:9" s="47" customFormat="1" ht="14.4" x14ac:dyDescent="0.3">
      <c r="A622"/>
      <c r="B622"/>
      <c r="C622"/>
      <c r="D622"/>
      <c r="E622"/>
      <c r="F622"/>
      <c r="G622"/>
      <c r="H622"/>
      <c r="I622"/>
    </row>
    <row r="623" spans="1:9" s="47" customFormat="1" ht="14.4" x14ac:dyDescent="0.3">
      <c r="A623"/>
      <c r="B623"/>
      <c r="C623"/>
      <c r="D623"/>
      <c r="E623"/>
      <c r="F623"/>
      <c r="G623"/>
      <c r="H623"/>
      <c r="I623"/>
    </row>
    <row r="624" spans="1:9" s="47" customFormat="1" ht="14.4" x14ac:dyDescent="0.3">
      <c r="A624"/>
      <c r="B624"/>
      <c r="C624"/>
      <c r="D624"/>
      <c r="E624"/>
      <c r="F624"/>
      <c r="G624"/>
      <c r="H624"/>
      <c r="I624"/>
    </row>
    <row r="625" spans="1:9" s="47" customFormat="1" ht="14.4" x14ac:dyDescent="0.3">
      <c r="A625"/>
      <c r="B625"/>
      <c r="C625"/>
      <c r="D625"/>
      <c r="E625"/>
      <c r="F625"/>
      <c r="G625"/>
      <c r="H625"/>
      <c r="I625"/>
    </row>
    <row r="626" spans="1:9" s="47" customFormat="1" ht="14.4" x14ac:dyDescent="0.3">
      <c r="A626"/>
      <c r="B626"/>
      <c r="C626"/>
      <c r="D626"/>
      <c r="E626"/>
      <c r="F626"/>
      <c r="G626"/>
      <c r="H626"/>
      <c r="I626"/>
    </row>
    <row r="627" spans="1:9" s="47" customFormat="1" ht="14.4" x14ac:dyDescent="0.3">
      <c r="A627"/>
      <c r="B627"/>
      <c r="C627"/>
      <c r="D627"/>
      <c r="E627"/>
      <c r="F627"/>
      <c r="G627"/>
      <c r="H627"/>
      <c r="I627"/>
    </row>
    <row r="628" spans="1:9" s="47" customFormat="1" ht="14.4" x14ac:dyDescent="0.3">
      <c r="A628"/>
      <c r="B628"/>
      <c r="C628"/>
      <c r="D628"/>
      <c r="E628"/>
      <c r="F628"/>
      <c r="G628"/>
      <c r="H628"/>
      <c r="I628"/>
    </row>
    <row r="629" spans="1:9" s="47" customFormat="1" ht="14.4" x14ac:dyDescent="0.3">
      <c r="A629"/>
      <c r="B629"/>
      <c r="C629"/>
      <c r="D629"/>
      <c r="E629"/>
      <c r="F629"/>
      <c r="G629"/>
      <c r="H629"/>
      <c r="I629"/>
    </row>
    <row r="630" spans="1:9" s="47" customFormat="1" ht="14.4" x14ac:dyDescent="0.3">
      <c r="A630"/>
      <c r="B630"/>
      <c r="C630"/>
      <c r="D630"/>
      <c r="E630"/>
      <c r="F630"/>
      <c r="G630"/>
      <c r="H630"/>
      <c r="I630"/>
    </row>
    <row r="631" spans="1:9" s="47" customFormat="1" ht="14.4" x14ac:dyDescent="0.3">
      <c r="A631"/>
      <c r="B631"/>
      <c r="C631"/>
      <c r="D631"/>
      <c r="E631"/>
      <c r="F631"/>
      <c r="G631"/>
      <c r="H631"/>
      <c r="I631"/>
    </row>
    <row r="632" spans="1:9" s="47" customFormat="1" ht="14.4" x14ac:dyDescent="0.3">
      <c r="A632"/>
      <c r="B632"/>
      <c r="C632"/>
      <c r="D632"/>
      <c r="E632"/>
      <c r="F632"/>
      <c r="G632"/>
      <c r="H632"/>
      <c r="I632"/>
    </row>
    <row r="633" spans="1:9" s="47" customFormat="1" ht="14.4" x14ac:dyDescent="0.3">
      <c r="A633"/>
      <c r="B633"/>
      <c r="C633"/>
      <c r="D633"/>
      <c r="E633"/>
      <c r="F633"/>
      <c r="G633"/>
      <c r="H633"/>
      <c r="I633"/>
    </row>
    <row r="634" spans="1:9" s="47" customFormat="1" ht="14.4" x14ac:dyDescent="0.3">
      <c r="A634"/>
      <c r="B634"/>
      <c r="C634"/>
      <c r="D634"/>
      <c r="E634"/>
      <c r="F634"/>
      <c r="G634"/>
      <c r="H634"/>
      <c r="I634"/>
    </row>
    <row r="635" spans="1:9" s="47" customFormat="1" ht="14.4" x14ac:dyDescent="0.3">
      <c r="A635"/>
      <c r="B635"/>
      <c r="C635"/>
      <c r="D635"/>
      <c r="E635"/>
      <c r="F635"/>
      <c r="G635"/>
      <c r="H635"/>
      <c r="I635"/>
    </row>
    <row r="636" spans="1:9" s="47" customFormat="1" ht="14.4" x14ac:dyDescent="0.3">
      <c r="A636"/>
      <c r="B636"/>
      <c r="C636"/>
      <c r="D636"/>
      <c r="E636"/>
      <c r="F636"/>
      <c r="G636"/>
      <c r="H636"/>
      <c r="I636"/>
    </row>
    <row r="637" spans="1:9" s="47" customFormat="1" ht="14.4" x14ac:dyDescent="0.3">
      <c r="A637"/>
      <c r="B637"/>
      <c r="C637"/>
      <c r="D637"/>
      <c r="E637"/>
      <c r="F637"/>
      <c r="G637"/>
      <c r="H637"/>
      <c r="I637"/>
    </row>
    <row r="638" spans="1:9" s="47" customFormat="1" ht="14.4" x14ac:dyDescent="0.3">
      <c r="A638"/>
      <c r="B638"/>
      <c r="C638"/>
      <c r="D638"/>
      <c r="E638"/>
      <c r="F638"/>
      <c r="G638"/>
      <c r="H638"/>
      <c r="I638"/>
    </row>
    <row r="639" spans="1:9" s="47" customFormat="1" ht="14.4" x14ac:dyDescent="0.3">
      <c r="A639"/>
      <c r="B639"/>
      <c r="C639"/>
      <c r="D639"/>
      <c r="E639"/>
      <c r="F639"/>
      <c r="G639"/>
      <c r="H639"/>
      <c r="I639"/>
    </row>
    <row r="640" spans="1:9" s="47" customFormat="1" ht="14.4" x14ac:dyDescent="0.3">
      <c r="A640"/>
      <c r="B640"/>
      <c r="C640"/>
      <c r="D640"/>
      <c r="E640"/>
      <c r="F640"/>
      <c r="G640"/>
      <c r="H640"/>
      <c r="I640"/>
    </row>
    <row r="641" spans="1:9" s="47" customFormat="1" ht="14.4" x14ac:dyDescent="0.3">
      <c r="A641"/>
      <c r="B641"/>
      <c r="C641"/>
      <c r="D641"/>
      <c r="E641"/>
      <c r="F641"/>
      <c r="G641"/>
      <c r="H641"/>
      <c r="I641"/>
    </row>
    <row r="642" spans="1:9" s="47" customFormat="1" ht="14.4" x14ac:dyDescent="0.3">
      <c r="A642"/>
      <c r="B642"/>
      <c r="C642"/>
      <c r="D642"/>
      <c r="E642"/>
      <c r="F642"/>
      <c r="G642"/>
      <c r="H642"/>
      <c r="I642"/>
    </row>
    <row r="643" spans="1:9" s="47" customFormat="1" ht="14.4" x14ac:dyDescent="0.3">
      <c r="A643"/>
      <c r="B643"/>
      <c r="C643"/>
      <c r="D643"/>
      <c r="E643"/>
      <c r="F643"/>
      <c r="G643"/>
      <c r="H643"/>
      <c r="I643"/>
    </row>
    <row r="644" spans="1:9" s="47" customFormat="1" ht="14.4" x14ac:dyDescent="0.3">
      <c r="A644"/>
      <c r="B644"/>
      <c r="C644"/>
      <c r="D644"/>
      <c r="E644"/>
      <c r="F644"/>
      <c r="G644"/>
      <c r="H644"/>
      <c r="I644"/>
    </row>
    <row r="645" spans="1:9" s="47" customFormat="1" ht="14.4" x14ac:dyDescent="0.3">
      <c r="A645"/>
      <c r="B645"/>
      <c r="C645"/>
      <c r="D645"/>
      <c r="E645"/>
      <c r="F645"/>
      <c r="G645"/>
      <c r="H645"/>
      <c r="I645"/>
    </row>
    <row r="646" spans="1:9" s="47" customFormat="1" ht="14.4" x14ac:dyDescent="0.3">
      <c r="A646"/>
      <c r="B646"/>
      <c r="C646"/>
      <c r="D646"/>
      <c r="E646"/>
      <c r="F646"/>
      <c r="G646"/>
      <c r="H646"/>
      <c r="I646"/>
    </row>
    <row r="647" spans="1:9" s="47" customFormat="1" ht="14.4" x14ac:dyDescent="0.3">
      <c r="A647"/>
      <c r="B647"/>
      <c r="C647"/>
      <c r="D647"/>
      <c r="E647"/>
      <c r="F647"/>
      <c r="G647"/>
      <c r="H647"/>
      <c r="I647"/>
    </row>
    <row r="648" spans="1:9" s="47" customFormat="1" ht="14.4" x14ac:dyDescent="0.3">
      <c r="A648"/>
      <c r="B648"/>
      <c r="C648"/>
      <c r="D648"/>
      <c r="E648"/>
      <c r="F648"/>
      <c r="G648"/>
      <c r="H648"/>
      <c r="I648"/>
    </row>
    <row r="649" spans="1:9" s="47" customFormat="1" ht="14.4" x14ac:dyDescent="0.3">
      <c r="A649"/>
      <c r="B649"/>
      <c r="C649"/>
      <c r="D649"/>
      <c r="E649"/>
      <c r="F649"/>
      <c r="G649"/>
      <c r="H649"/>
      <c r="I649"/>
    </row>
    <row r="650" spans="1:9" s="47" customFormat="1" ht="14.4" x14ac:dyDescent="0.3">
      <c r="A650"/>
      <c r="B650"/>
      <c r="C650"/>
      <c r="D650"/>
      <c r="E650"/>
      <c r="F650"/>
      <c r="G650"/>
      <c r="H650"/>
      <c r="I650"/>
    </row>
    <row r="651" spans="1:9" s="47" customFormat="1" ht="14.4" x14ac:dyDescent="0.3">
      <c r="A651"/>
      <c r="B651"/>
      <c r="C651"/>
      <c r="D651"/>
      <c r="E651"/>
      <c r="F651"/>
      <c r="G651"/>
      <c r="H651"/>
      <c r="I651"/>
    </row>
    <row r="652" spans="1:9" s="47" customFormat="1" ht="14.4" x14ac:dyDescent="0.3">
      <c r="A652"/>
      <c r="B652"/>
      <c r="C652"/>
      <c r="D652"/>
      <c r="E652"/>
      <c r="F652"/>
      <c r="G652"/>
      <c r="H652"/>
      <c r="I652"/>
    </row>
    <row r="653" spans="1:9" s="47" customFormat="1" ht="14.4" x14ac:dyDescent="0.3">
      <c r="A653"/>
      <c r="B653"/>
      <c r="C653"/>
      <c r="D653"/>
      <c r="E653"/>
      <c r="F653"/>
      <c r="G653"/>
      <c r="H653"/>
      <c r="I653"/>
    </row>
    <row r="654" spans="1:9" s="47" customFormat="1" ht="14.4" x14ac:dyDescent="0.3">
      <c r="A654"/>
      <c r="B654"/>
      <c r="C654"/>
      <c r="D654"/>
      <c r="E654"/>
      <c r="F654"/>
      <c r="G654"/>
      <c r="H654"/>
      <c r="I654"/>
    </row>
    <row r="655" spans="1:9" s="47" customFormat="1" ht="14.4" x14ac:dyDescent="0.3">
      <c r="A655"/>
      <c r="B655"/>
      <c r="C655"/>
      <c r="D655"/>
      <c r="E655"/>
      <c r="F655"/>
      <c r="G655"/>
      <c r="H655"/>
      <c r="I655"/>
    </row>
    <row r="656" spans="1:9" s="47" customFormat="1" ht="14.4" x14ac:dyDescent="0.3">
      <c r="A656"/>
      <c r="B656"/>
      <c r="C656"/>
      <c r="D656"/>
      <c r="E656"/>
      <c r="F656"/>
      <c r="G656"/>
      <c r="H656"/>
      <c r="I656"/>
    </row>
    <row r="657" spans="1:9" s="47" customFormat="1" ht="14.4" x14ac:dyDescent="0.3">
      <c r="A657"/>
      <c r="B657"/>
      <c r="C657"/>
      <c r="D657"/>
      <c r="E657"/>
      <c r="F657"/>
      <c r="G657"/>
      <c r="H657"/>
      <c r="I657"/>
    </row>
    <row r="658" spans="1:9" s="47" customFormat="1" ht="14.4" x14ac:dyDescent="0.3">
      <c r="A658"/>
      <c r="B658"/>
      <c r="C658"/>
      <c r="D658"/>
      <c r="E658"/>
      <c r="F658"/>
      <c r="G658"/>
      <c r="H658"/>
      <c r="I658"/>
    </row>
    <row r="659" spans="1:9" s="47" customFormat="1" ht="14.4" x14ac:dyDescent="0.3">
      <c r="A659"/>
      <c r="B659"/>
      <c r="C659"/>
      <c r="D659"/>
      <c r="E659"/>
      <c r="F659"/>
      <c r="G659"/>
      <c r="H659"/>
      <c r="I659"/>
    </row>
    <row r="660" spans="1:9" s="47" customFormat="1" ht="14.4" x14ac:dyDescent="0.3">
      <c r="A660"/>
      <c r="B660"/>
      <c r="C660"/>
      <c r="D660"/>
      <c r="E660"/>
      <c r="F660"/>
      <c r="G660"/>
      <c r="H660"/>
      <c r="I660"/>
    </row>
    <row r="661" spans="1:9" s="47" customFormat="1" ht="14.4" x14ac:dyDescent="0.3">
      <c r="A661"/>
      <c r="B661"/>
      <c r="C661"/>
      <c r="D661"/>
      <c r="E661"/>
      <c r="F661"/>
      <c r="G661"/>
      <c r="H661"/>
      <c r="I661"/>
    </row>
    <row r="662" spans="1:9" s="47" customFormat="1" ht="14.4" x14ac:dyDescent="0.3">
      <c r="A662"/>
      <c r="B662"/>
      <c r="C662"/>
      <c r="D662"/>
      <c r="E662"/>
      <c r="F662"/>
      <c r="G662"/>
      <c r="H662"/>
      <c r="I662"/>
    </row>
    <row r="663" spans="1:9" s="47" customFormat="1" ht="14.4" x14ac:dyDescent="0.3">
      <c r="A663"/>
      <c r="B663"/>
      <c r="C663"/>
      <c r="D663"/>
      <c r="E663"/>
      <c r="F663"/>
      <c r="G663"/>
      <c r="H663"/>
      <c r="I663"/>
    </row>
    <row r="664" spans="1:9" s="47" customFormat="1" ht="14.4" x14ac:dyDescent="0.3">
      <c r="A664"/>
      <c r="B664"/>
      <c r="C664"/>
      <c r="D664"/>
      <c r="E664"/>
      <c r="F664"/>
      <c r="G664"/>
      <c r="H664"/>
      <c r="I664"/>
    </row>
    <row r="665" spans="1:9" s="47" customFormat="1" ht="14.4" x14ac:dyDescent="0.3">
      <c r="A665"/>
      <c r="B665"/>
      <c r="C665"/>
      <c r="D665"/>
      <c r="E665"/>
      <c r="F665"/>
      <c r="G665"/>
      <c r="H665"/>
      <c r="I665"/>
    </row>
    <row r="666" spans="1:9" s="47" customFormat="1" ht="14.4" x14ac:dyDescent="0.3">
      <c r="A666"/>
      <c r="B666"/>
      <c r="C666"/>
      <c r="D666"/>
      <c r="E666"/>
      <c r="F666"/>
      <c r="G666"/>
      <c r="H666"/>
      <c r="I666"/>
    </row>
    <row r="667" spans="1:9" s="47" customFormat="1" ht="14.4" x14ac:dyDescent="0.3">
      <c r="A667"/>
      <c r="B667"/>
      <c r="C667"/>
      <c r="D667"/>
      <c r="E667"/>
      <c r="F667"/>
      <c r="G667"/>
      <c r="H667"/>
      <c r="I667"/>
    </row>
    <row r="668" spans="1:9" s="47" customFormat="1" ht="14.4" x14ac:dyDescent="0.3">
      <c r="A668"/>
      <c r="B668"/>
      <c r="C668"/>
      <c r="D668"/>
      <c r="E668"/>
      <c r="F668"/>
      <c r="G668"/>
      <c r="H668"/>
      <c r="I668"/>
    </row>
    <row r="669" spans="1:9" s="47" customFormat="1" ht="14.4" x14ac:dyDescent="0.3">
      <c r="A669"/>
      <c r="B669"/>
      <c r="C669"/>
      <c r="D669"/>
      <c r="E669"/>
      <c r="F669"/>
      <c r="G669"/>
      <c r="H669"/>
      <c r="I669"/>
    </row>
    <row r="670" spans="1:9" s="47" customFormat="1" ht="14.4" x14ac:dyDescent="0.3">
      <c r="A670"/>
      <c r="B670"/>
      <c r="C670"/>
      <c r="D670"/>
      <c r="E670"/>
      <c r="F670"/>
      <c r="G670"/>
      <c r="H670"/>
      <c r="I670"/>
    </row>
    <row r="671" spans="1:9" s="47" customFormat="1" ht="14.4" x14ac:dyDescent="0.3">
      <c r="A671"/>
      <c r="B671"/>
      <c r="C671"/>
      <c r="D671"/>
      <c r="E671"/>
      <c r="F671"/>
      <c r="G671"/>
      <c r="H671"/>
      <c r="I671"/>
    </row>
    <row r="672" spans="1:9" s="47" customFormat="1" ht="14.4" x14ac:dyDescent="0.3">
      <c r="A672"/>
      <c r="B672"/>
      <c r="C672"/>
      <c r="D672"/>
      <c r="E672"/>
      <c r="F672"/>
      <c r="G672"/>
      <c r="H672"/>
      <c r="I672"/>
    </row>
    <row r="673" spans="1:9" s="47" customFormat="1" ht="14.4" x14ac:dyDescent="0.3">
      <c r="A673"/>
      <c r="B673"/>
      <c r="C673"/>
      <c r="D673"/>
      <c r="E673"/>
      <c r="F673"/>
      <c r="G673"/>
      <c r="H673"/>
      <c r="I673"/>
    </row>
    <row r="674" spans="1:9" s="47" customFormat="1" ht="14.4" x14ac:dyDescent="0.3">
      <c r="A674"/>
      <c r="B674"/>
      <c r="C674"/>
      <c r="D674"/>
      <c r="E674"/>
      <c r="F674"/>
      <c r="G674"/>
      <c r="H674"/>
      <c r="I674"/>
    </row>
    <row r="675" spans="1:9" s="47" customFormat="1" ht="14.4" x14ac:dyDescent="0.3">
      <c r="A675"/>
      <c r="B675"/>
      <c r="C675"/>
      <c r="D675"/>
      <c r="E675"/>
      <c r="F675"/>
      <c r="G675"/>
      <c r="H675"/>
      <c r="I675"/>
    </row>
    <row r="676" spans="1:9" s="47" customFormat="1" ht="14.4" x14ac:dyDescent="0.3">
      <c r="A676"/>
      <c r="B676"/>
      <c r="C676"/>
      <c r="D676"/>
      <c r="E676"/>
      <c r="F676"/>
      <c r="G676"/>
      <c r="H676"/>
      <c r="I676"/>
    </row>
    <row r="677" spans="1:9" s="47" customFormat="1" ht="14.4" x14ac:dyDescent="0.3">
      <c r="A677"/>
      <c r="B677"/>
      <c r="C677"/>
      <c r="D677"/>
      <c r="E677"/>
      <c r="F677"/>
      <c r="G677"/>
      <c r="H677"/>
      <c r="I677"/>
    </row>
    <row r="678" spans="1:9" s="47" customFormat="1" ht="14.4" x14ac:dyDescent="0.3">
      <c r="A678"/>
      <c r="B678"/>
      <c r="C678"/>
      <c r="D678"/>
      <c r="E678"/>
      <c r="F678"/>
      <c r="G678"/>
      <c r="H678"/>
      <c r="I678"/>
    </row>
    <row r="679" spans="1:9" s="47" customFormat="1" ht="14.4" x14ac:dyDescent="0.3">
      <c r="A679"/>
      <c r="B679"/>
      <c r="C679"/>
      <c r="D679"/>
      <c r="E679"/>
      <c r="F679"/>
      <c r="G679"/>
      <c r="H679"/>
      <c r="I679"/>
    </row>
    <row r="680" spans="1:9" s="47" customFormat="1" ht="14.4" x14ac:dyDescent="0.3">
      <c r="A680"/>
      <c r="B680"/>
      <c r="C680"/>
      <c r="D680"/>
      <c r="E680"/>
      <c r="F680"/>
      <c r="G680"/>
      <c r="H680"/>
      <c r="I680"/>
    </row>
    <row r="681" spans="1:9" s="47" customFormat="1" ht="14.4" x14ac:dyDescent="0.3">
      <c r="A681"/>
      <c r="B681"/>
      <c r="C681"/>
      <c r="D681"/>
      <c r="E681"/>
      <c r="F681"/>
      <c r="G681"/>
      <c r="H681"/>
      <c r="I681"/>
    </row>
    <row r="682" spans="1:9" s="47" customFormat="1" ht="14.4" x14ac:dyDescent="0.3">
      <c r="A682"/>
      <c r="B682"/>
      <c r="C682"/>
      <c r="D682"/>
      <c r="E682"/>
      <c r="F682"/>
      <c r="G682"/>
      <c r="H682"/>
      <c r="I682"/>
    </row>
    <row r="683" spans="1:9" s="47" customFormat="1" ht="14.4" x14ac:dyDescent="0.3">
      <c r="A683"/>
      <c r="B683"/>
      <c r="C683"/>
      <c r="D683"/>
      <c r="E683"/>
      <c r="F683"/>
      <c r="G683"/>
      <c r="H683"/>
      <c r="I683"/>
    </row>
    <row r="684" spans="1:9" s="47" customFormat="1" ht="14.4" x14ac:dyDescent="0.3">
      <c r="A684"/>
      <c r="B684"/>
      <c r="C684"/>
      <c r="D684"/>
      <c r="E684"/>
      <c r="F684"/>
      <c r="G684"/>
      <c r="H684"/>
      <c r="I684"/>
    </row>
    <row r="685" spans="1:9" s="47" customFormat="1" ht="14.4" x14ac:dyDescent="0.3">
      <c r="A685"/>
      <c r="B685"/>
      <c r="C685"/>
      <c r="D685"/>
      <c r="E685"/>
      <c r="F685"/>
      <c r="G685"/>
      <c r="H685"/>
      <c r="I685"/>
    </row>
    <row r="686" spans="1:9" s="47" customFormat="1" ht="14.4" x14ac:dyDescent="0.3">
      <c r="A686"/>
      <c r="B686"/>
      <c r="C686"/>
      <c r="D686"/>
      <c r="E686"/>
      <c r="F686"/>
      <c r="G686"/>
      <c r="H686"/>
      <c r="I686"/>
    </row>
    <row r="687" spans="1:9" s="47" customFormat="1" ht="14.4" x14ac:dyDescent="0.3">
      <c r="A687"/>
      <c r="B687"/>
      <c r="C687"/>
      <c r="D687"/>
      <c r="E687"/>
      <c r="F687"/>
      <c r="G687"/>
      <c r="H687"/>
      <c r="I687"/>
    </row>
    <row r="688" spans="1:9" s="47" customFormat="1" ht="14.4" x14ac:dyDescent="0.3">
      <c r="A688"/>
      <c r="B688"/>
      <c r="C688"/>
      <c r="D688"/>
      <c r="E688"/>
      <c r="F688"/>
      <c r="G688"/>
      <c r="H688"/>
      <c r="I688"/>
    </row>
    <row r="689" spans="1:9" s="47" customFormat="1" ht="14.4" x14ac:dyDescent="0.3">
      <c r="A689"/>
      <c r="B689"/>
      <c r="C689"/>
      <c r="D689"/>
      <c r="E689"/>
      <c r="F689"/>
      <c r="G689"/>
      <c r="H689"/>
      <c r="I689"/>
    </row>
    <row r="690" spans="1:9" s="47" customFormat="1" ht="14.4" x14ac:dyDescent="0.3">
      <c r="A690"/>
      <c r="B690"/>
      <c r="C690"/>
      <c r="D690"/>
      <c r="E690"/>
      <c r="F690"/>
      <c r="G690"/>
      <c r="H690"/>
      <c r="I690"/>
    </row>
    <row r="691" spans="1:9" s="47" customFormat="1" ht="14.4" x14ac:dyDescent="0.3">
      <c r="A691"/>
      <c r="B691"/>
      <c r="C691"/>
      <c r="D691"/>
      <c r="E691"/>
      <c r="F691"/>
      <c r="G691"/>
      <c r="H691"/>
      <c r="I691"/>
    </row>
    <row r="692" spans="1:9" s="47" customFormat="1" ht="14.4" x14ac:dyDescent="0.3">
      <c r="A692"/>
      <c r="B692"/>
      <c r="C692"/>
      <c r="D692"/>
      <c r="E692"/>
      <c r="F692"/>
      <c r="G692"/>
      <c r="H692"/>
      <c r="I692"/>
    </row>
    <row r="693" spans="1:9" s="47" customFormat="1" ht="14.4" x14ac:dyDescent="0.3">
      <c r="A693"/>
      <c r="B693"/>
      <c r="C693"/>
      <c r="D693"/>
      <c r="E693"/>
      <c r="F693"/>
      <c r="G693"/>
      <c r="H693"/>
      <c r="I693"/>
    </row>
    <row r="694" spans="1:9" s="47" customFormat="1" ht="14.4" x14ac:dyDescent="0.3">
      <c r="A694"/>
      <c r="B694"/>
      <c r="C694"/>
      <c r="D694"/>
      <c r="E694"/>
      <c r="F694"/>
      <c r="G694"/>
      <c r="H694"/>
      <c r="I694"/>
    </row>
    <row r="695" spans="1:9" s="47" customFormat="1" ht="14.4" x14ac:dyDescent="0.3">
      <c r="A695"/>
      <c r="B695"/>
      <c r="C695"/>
      <c r="D695"/>
      <c r="E695"/>
      <c r="F695"/>
      <c r="G695"/>
      <c r="H695"/>
      <c r="I695"/>
    </row>
    <row r="696" spans="1:9" s="47" customFormat="1" ht="14.4" x14ac:dyDescent="0.3">
      <c r="A696"/>
      <c r="B696"/>
      <c r="C696"/>
      <c r="D696"/>
      <c r="E696"/>
      <c r="F696"/>
      <c r="G696"/>
      <c r="H696"/>
      <c r="I696"/>
    </row>
    <row r="697" spans="1:9" s="47" customFormat="1" ht="14.4" x14ac:dyDescent="0.3">
      <c r="A697"/>
      <c r="B697"/>
      <c r="C697"/>
      <c r="D697"/>
      <c r="E697"/>
      <c r="F697"/>
      <c r="G697"/>
      <c r="H697"/>
      <c r="I697"/>
    </row>
    <row r="698" spans="1:9" s="47" customFormat="1" ht="14.4" x14ac:dyDescent="0.3">
      <c r="A698"/>
      <c r="B698"/>
      <c r="C698"/>
      <c r="D698"/>
      <c r="E698"/>
      <c r="F698"/>
      <c r="G698"/>
      <c r="H698"/>
      <c r="I698"/>
    </row>
    <row r="699" spans="1:9" s="47" customFormat="1" ht="14.4" x14ac:dyDescent="0.3">
      <c r="A699"/>
      <c r="B699"/>
      <c r="C699"/>
      <c r="D699"/>
      <c r="E699"/>
      <c r="F699"/>
      <c r="G699"/>
      <c r="H699"/>
      <c r="I699"/>
    </row>
    <row r="700" spans="1:9" s="47" customFormat="1" ht="14.4" x14ac:dyDescent="0.3">
      <c r="A700"/>
      <c r="B700"/>
      <c r="C700"/>
      <c r="D700"/>
      <c r="E700"/>
      <c r="F700"/>
      <c r="G700"/>
      <c r="H700"/>
      <c r="I700"/>
    </row>
    <row r="701" spans="1:9" s="47" customFormat="1" ht="14.4" x14ac:dyDescent="0.3">
      <c r="A701"/>
      <c r="B701"/>
      <c r="C701"/>
      <c r="D701"/>
      <c r="E701"/>
      <c r="F701"/>
      <c r="G701"/>
      <c r="H701"/>
      <c r="I701"/>
    </row>
    <row r="702" spans="1:9" s="47" customFormat="1" ht="14.4" x14ac:dyDescent="0.3">
      <c r="A702"/>
      <c r="B702"/>
      <c r="C702"/>
      <c r="D702"/>
      <c r="E702"/>
      <c r="F702"/>
      <c r="G702"/>
      <c r="H702"/>
      <c r="I702"/>
    </row>
    <row r="703" spans="1:9" s="47" customFormat="1" ht="14.4" x14ac:dyDescent="0.3">
      <c r="A703"/>
      <c r="B703"/>
      <c r="C703"/>
      <c r="D703"/>
      <c r="E703"/>
      <c r="F703"/>
      <c r="G703"/>
      <c r="H703"/>
      <c r="I703"/>
    </row>
    <row r="704" spans="1:9" s="47" customFormat="1" ht="14.4" x14ac:dyDescent="0.3">
      <c r="A704"/>
      <c r="B704"/>
      <c r="C704"/>
      <c r="D704"/>
      <c r="E704"/>
      <c r="F704"/>
      <c r="G704"/>
      <c r="H704"/>
      <c r="I704"/>
    </row>
    <row r="705" spans="1:9" s="47" customFormat="1" ht="14.4" x14ac:dyDescent="0.3">
      <c r="A705"/>
      <c r="B705"/>
      <c r="C705"/>
      <c r="D705"/>
      <c r="E705"/>
      <c r="F705"/>
      <c r="G705"/>
      <c r="H705"/>
      <c r="I705"/>
    </row>
    <row r="706" spans="1:9" s="47" customFormat="1" ht="14.4" x14ac:dyDescent="0.3">
      <c r="A706"/>
      <c r="B706"/>
      <c r="C706"/>
      <c r="D706"/>
      <c r="E706"/>
      <c r="F706"/>
      <c r="G706"/>
      <c r="H706"/>
      <c r="I706"/>
    </row>
    <row r="707" spans="1:9" s="47" customFormat="1" ht="14.4" x14ac:dyDescent="0.3">
      <c r="A707"/>
      <c r="B707"/>
      <c r="C707"/>
      <c r="D707"/>
      <c r="E707"/>
      <c r="F707"/>
      <c r="G707"/>
      <c r="H707"/>
      <c r="I707"/>
    </row>
    <row r="708" spans="1:9" s="47" customFormat="1" ht="14.4" x14ac:dyDescent="0.3">
      <c r="A708"/>
      <c r="B708"/>
      <c r="C708"/>
      <c r="D708"/>
      <c r="E708"/>
      <c r="F708"/>
      <c r="G708"/>
      <c r="H708"/>
      <c r="I708"/>
    </row>
    <row r="709" spans="1:9" s="47" customFormat="1" ht="14.4" x14ac:dyDescent="0.3">
      <c r="A709"/>
      <c r="B709"/>
      <c r="C709"/>
      <c r="D709"/>
      <c r="E709"/>
      <c r="F709"/>
      <c r="G709"/>
      <c r="H709"/>
      <c r="I709"/>
    </row>
    <row r="710" spans="1:9" s="47" customFormat="1" ht="14.4" x14ac:dyDescent="0.3">
      <c r="A710"/>
      <c r="B710"/>
      <c r="C710"/>
      <c r="D710"/>
      <c r="E710"/>
      <c r="F710"/>
      <c r="G710"/>
      <c r="H710"/>
      <c r="I710"/>
    </row>
    <row r="711" spans="1:9" s="47" customFormat="1" ht="14.4" x14ac:dyDescent="0.3">
      <c r="A711"/>
      <c r="B711"/>
      <c r="C711"/>
      <c r="D711"/>
      <c r="E711"/>
      <c r="F711"/>
      <c r="G711"/>
      <c r="H711"/>
      <c r="I711"/>
    </row>
    <row r="712" spans="1:9" s="47" customFormat="1" ht="14.4" x14ac:dyDescent="0.3">
      <c r="A712"/>
      <c r="B712"/>
      <c r="C712"/>
      <c r="D712"/>
      <c r="E712"/>
      <c r="F712"/>
      <c r="G712"/>
      <c r="H712"/>
      <c r="I712"/>
    </row>
    <row r="713" spans="1:9" s="47" customFormat="1" ht="14.4" x14ac:dyDescent="0.3">
      <c r="A713"/>
      <c r="B713"/>
      <c r="C713"/>
      <c r="D713"/>
      <c r="E713"/>
      <c r="F713"/>
      <c r="G713"/>
      <c r="H713"/>
      <c r="I713"/>
    </row>
    <row r="714" spans="1:9" s="47" customFormat="1" ht="14.4" x14ac:dyDescent="0.3">
      <c r="A714"/>
      <c r="B714"/>
      <c r="C714"/>
      <c r="D714"/>
      <c r="E714"/>
      <c r="F714"/>
      <c r="G714"/>
      <c r="H714"/>
      <c r="I714"/>
    </row>
    <row r="715" spans="1:9" s="47" customFormat="1" ht="14.4" x14ac:dyDescent="0.3">
      <c r="A715"/>
      <c r="B715"/>
      <c r="C715"/>
      <c r="D715"/>
      <c r="E715"/>
      <c r="F715"/>
      <c r="G715"/>
      <c r="H715"/>
      <c r="I715"/>
    </row>
    <row r="716" spans="1:9" s="47" customFormat="1" ht="14.4" x14ac:dyDescent="0.3">
      <c r="A716"/>
      <c r="B716"/>
      <c r="C716"/>
      <c r="D716"/>
      <c r="E716"/>
      <c r="F716"/>
      <c r="G716"/>
      <c r="H716"/>
      <c r="I716"/>
    </row>
    <row r="717" spans="1:9" s="47" customFormat="1" ht="14.4" x14ac:dyDescent="0.3">
      <c r="A717"/>
      <c r="B717"/>
      <c r="C717"/>
      <c r="D717"/>
      <c r="E717"/>
      <c r="F717"/>
      <c r="G717"/>
      <c r="H717"/>
      <c r="I717"/>
    </row>
    <row r="718" spans="1:9" s="47" customFormat="1" ht="14.4" x14ac:dyDescent="0.3">
      <c r="A718"/>
      <c r="B718"/>
      <c r="C718"/>
      <c r="D718"/>
      <c r="E718"/>
      <c r="F718"/>
      <c r="G718"/>
      <c r="H718"/>
      <c r="I718"/>
    </row>
    <row r="719" spans="1:9" s="47" customFormat="1" ht="14.4" x14ac:dyDescent="0.3">
      <c r="A719"/>
      <c r="B719"/>
      <c r="C719"/>
      <c r="D719"/>
      <c r="E719"/>
      <c r="F719"/>
      <c r="G719"/>
      <c r="H719"/>
      <c r="I719"/>
    </row>
    <row r="720" spans="1:9" s="47" customFormat="1" ht="14.4" x14ac:dyDescent="0.3">
      <c r="A720"/>
      <c r="B720"/>
      <c r="C720"/>
      <c r="D720"/>
      <c r="E720"/>
      <c r="F720"/>
      <c r="G720"/>
      <c r="H720"/>
      <c r="I720"/>
    </row>
    <row r="721" spans="1:9" s="47" customFormat="1" ht="14.4" x14ac:dyDescent="0.3">
      <c r="A721"/>
      <c r="B721"/>
      <c r="C721"/>
      <c r="D721"/>
      <c r="E721"/>
      <c r="F721"/>
      <c r="G721"/>
      <c r="H721"/>
      <c r="I721"/>
    </row>
    <row r="722" spans="1:9" s="47" customFormat="1" ht="14.4" x14ac:dyDescent="0.3">
      <c r="A722"/>
      <c r="B722"/>
      <c r="C722"/>
      <c r="D722"/>
      <c r="E722"/>
      <c r="F722"/>
      <c r="G722"/>
      <c r="H722"/>
      <c r="I722"/>
    </row>
    <row r="723" spans="1:9" s="47" customFormat="1" ht="14.4" x14ac:dyDescent="0.3">
      <c r="A723"/>
      <c r="B723"/>
      <c r="C723"/>
      <c r="D723"/>
      <c r="E723"/>
      <c r="F723"/>
      <c r="G723"/>
      <c r="H723"/>
      <c r="I723"/>
    </row>
    <row r="724" spans="1:9" s="47" customFormat="1" ht="14.4" x14ac:dyDescent="0.3">
      <c r="A724"/>
      <c r="B724"/>
      <c r="C724"/>
      <c r="D724"/>
      <c r="E724"/>
      <c r="F724"/>
      <c r="G724"/>
      <c r="H724"/>
      <c r="I724"/>
    </row>
    <row r="725" spans="1:9" s="47" customFormat="1" ht="14.4" x14ac:dyDescent="0.3">
      <c r="A725"/>
      <c r="B725"/>
      <c r="C725"/>
      <c r="D725"/>
      <c r="E725"/>
      <c r="F725"/>
      <c r="G725"/>
      <c r="H725"/>
      <c r="I725"/>
    </row>
    <row r="726" spans="1:9" s="47" customFormat="1" ht="14.4" x14ac:dyDescent="0.3">
      <c r="A726"/>
      <c r="B726"/>
      <c r="C726"/>
      <c r="D726"/>
      <c r="E726"/>
      <c r="F726"/>
      <c r="G726"/>
      <c r="H726"/>
      <c r="I726"/>
    </row>
    <row r="727" spans="1:9" s="47" customFormat="1" ht="14.4" x14ac:dyDescent="0.3">
      <c r="A727"/>
      <c r="B727"/>
      <c r="C727"/>
      <c r="D727"/>
      <c r="E727"/>
      <c r="F727"/>
      <c r="G727"/>
      <c r="H727"/>
      <c r="I727"/>
    </row>
    <row r="728" spans="1:9" s="47" customFormat="1" ht="14.4" x14ac:dyDescent="0.3">
      <c r="A728"/>
      <c r="B728"/>
      <c r="C728"/>
      <c r="D728"/>
      <c r="E728"/>
      <c r="F728"/>
      <c r="G728"/>
      <c r="H728"/>
      <c r="I728"/>
    </row>
    <row r="729" spans="1:9" s="47" customFormat="1" ht="14.4" x14ac:dyDescent="0.3">
      <c r="A729"/>
      <c r="B729"/>
      <c r="C729"/>
      <c r="D729"/>
      <c r="E729"/>
      <c r="F729"/>
      <c r="G729"/>
      <c r="H729"/>
      <c r="I729"/>
    </row>
    <row r="730" spans="1:9" s="47" customFormat="1" ht="14.4" x14ac:dyDescent="0.3">
      <c r="A730"/>
      <c r="B730"/>
      <c r="C730"/>
      <c r="D730"/>
      <c r="E730"/>
      <c r="F730"/>
      <c r="G730"/>
      <c r="H730"/>
      <c r="I730"/>
    </row>
    <row r="731" spans="1:9" s="47" customFormat="1" ht="14.4" x14ac:dyDescent="0.3">
      <c r="A731"/>
      <c r="B731"/>
      <c r="C731"/>
      <c r="D731"/>
      <c r="E731"/>
      <c r="F731"/>
      <c r="G731"/>
      <c r="H731"/>
      <c r="I731"/>
    </row>
    <row r="732" spans="1:9" s="47" customFormat="1" ht="14.4" x14ac:dyDescent="0.3">
      <c r="A732"/>
      <c r="B732"/>
      <c r="C732"/>
      <c r="D732"/>
      <c r="E732"/>
      <c r="F732"/>
      <c r="G732"/>
      <c r="H732"/>
      <c r="I732"/>
    </row>
    <row r="733" spans="1:9" s="47" customFormat="1" ht="14.4" x14ac:dyDescent="0.3">
      <c r="A733"/>
      <c r="B733"/>
      <c r="C733"/>
      <c r="D733"/>
      <c r="E733"/>
      <c r="F733"/>
      <c r="G733"/>
      <c r="H733"/>
      <c r="I733"/>
    </row>
    <row r="734" spans="1:9" s="47" customFormat="1" ht="14.4" x14ac:dyDescent="0.3">
      <c r="A734"/>
      <c r="B734"/>
      <c r="C734"/>
      <c r="D734"/>
      <c r="E734"/>
      <c r="F734"/>
      <c r="G734"/>
      <c r="H734"/>
      <c r="I734"/>
    </row>
    <row r="735" spans="1:9" s="47" customFormat="1" ht="14.4" x14ac:dyDescent="0.3">
      <c r="A735"/>
      <c r="B735"/>
      <c r="C735"/>
      <c r="D735"/>
      <c r="E735"/>
      <c r="F735"/>
      <c r="G735"/>
      <c r="H735"/>
      <c r="I735"/>
    </row>
    <row r="736" spans="1:9" s="47" customFormat="1" ht="14.4" x14ac:dyDescent="0.3">
      <c r="A736"/>
      <c r="B736"/>
      <c r="C736"/>
      <c r="D736"/>
      <c r="E736"/>
      <c r="F736"/>
      <c r="G736"/>
      <c r="H736"/>
      <c r="I736"/>
    </row>
    <row r="737" spans="1:9" s="47" customFormat="1" ht="14.4" x14ac:dyDescent="0.3">
      <c r="A737"/>
      <c r="B737"/>
      <c r="C737"/>
      <c r="D737"/>
      <c r="E737"/>
      <c r="F737"/>
      <c r="G737"/>
      <c r="H737"/>
      <c r="I737"/>
    </row>
    <row r="738" spans="1:9" s="47" customFormat="1" ht="14.4" x14ac:dyDescent="0.3">
      <c r="A738"/>
      <c r="B738"/>
      <c r="C738"/>
      <c r="D738"/>
      <c r="E738"/>
      <c r="F738"/>
      <c r="G738"/>
      <c r="H738"/>
      <c r="I738"/>
    </row>
    <row r="739" spans="1:9" s="47" customFormat="1" ht="14.4" x14ac:dyDescent="0.3">
      <c r="A739"/>
      <c r="B739"/>
      <c r="C739"/>
      <c r="D739"/>
      <c r="E739"/>
      <c r="F739"/>
      <c r="G739"/>
      <c r="H739"/>
      <c r="I739"/>
    </row>
    <row r="740" spans="1:9" s="47" customFormat="1" ht="14.4" x14ac:dyDescent="0.3">
      <c r="A740"/>
      <c r="B740"/>
      <c r="C740"/>
      <c r="D740"/>
      <c r="E740"/>
      <c r="F740"/>
      <c r="G740"/>
      <c r="H740"/>
      <c r="I740"/>
    </row>
    <row r="741" spans="1:9" s="47" customFormat="1" ht="14.4" x14ac:dyDescent="0.3">
      <c r="A741"/>
      <c r="B741"/>
      <c r="C741"/>
      <c r="D741"/>
      <c r="E741"/>
      <c r="F741"/>
      <c r="G741"/>
      <c r="H741"/>
      <c r="I741"/>
    </row>
    <row r="742" spans="1:9" s="47" customFormat="1" ht="14.4" x14ac:dyDescent="0.3">
      <c r="A742"/>
      <c r="B742"/>
      <c r="C742"/>
      <c r="D742"/>
      <c r="E742"/>
      <c r="F742"/>
      <c r="G742"/>
      <c r="H742"/>
      <c r="I742"/>
    </row>
    <row r="743" spans="1:9" s="47" customFormat="1" ht="14.4" x14ac:dyDescent="0.3">
      <c r="A743"/>
      <c r="B743"/>
      <c r="C743"/>
      <c r="D743"/>
      <c r="E743"/>
      <c r="F743"/>
      <c r="G743"/>
      <c r="H743"/>
      <c r="I743"/>
    </row>
    <row r="744" spans="1:9" s="47" customFormat="1" ht="14.4" x14ac:dyDescent="0.3">
      <c r="A744"/>
      <c r="B744"/>
      <c r="C744"/>
      <c r="D744"/>
      <c r="E744"/>
      <c r="F744"/>
      <c r="G744"/>
      <c r="H744"/>
      <c r="I744"/>
    </row>
    <row r="745" spans="1:9" s="47" customFormat="1" ht="14.4" x14ac:dyDescent="0.3">
      <c r="A745"/>
      <c r="B745"/>
      <c r="C745"/>
      <c r="D745"/>
      <c r="E745"/>
      <c r="F745"/>
      <c r="G745"/>
      <c r="H745"/>
      <c r="I745"/>
    </row>
    <row r="746" spans="1:9" s="47" customFormat="1" ht="14.4" x14ac:dyDescent="0.3">
      <c r="A746"/>
      <c r="B746"/>
      <c r="C746"/>
      <c r="D746"/>
      <c r="E746"/>
      <c r="F746"/>
      <c r="G746"/>
      <c r="H746"/>
      <c r="I746"/>
    </row>
    <row r="747" spans="1:9" s="47" customFormat="1" ht="14.4" x14ac:dyDescent="0.3">
      <c r="A747"/>
      <c r="B747"/>
      <c r="C747"/>
      <c r="D747"/>
      <c r="E747"/>
      <c r="F747"/>
      <c r="G747"/>
      <c r="H747"/>
      <c r="I747"/>
    </row>
    <row r="748" spans="1:9" s="47" customFormat="1" ht="14.4" x14ac:dyDescent="0.3">
      <c r="A748"/>
      <c r="B748"/>
      <c r="C748"/>
      <c r="D748"/>
      <c r="E748"/>
      <c r="F748"/>
      <c r="G748"/>
      <c r="H748"/>
      <c r="I748"/>
    </row>
    <row r="749" spans="1:9" s="47" customFormat="1" ht="14.4" x14ac:dyDescent="0.3">
      <c r="A749"/>
      <c r="B749"/>
      <c r="C749"/>
      <c r="D749"/>
      <c r="E749"/>
      <c r="F749"/>
      <c r="G749"/>
      <c r="H749"/>
      <c r="I749"/>
    </row>
    <row r="750" spans="1:9" s="47" customFormat="1" ht="14.4" x14ac:dyDescent="0.3">
      <c r="A750"/>
      <c r="B750"/>
      <c r="C750"/>
      <c r="D750"/>
      <c r="E750"/>
      <c r="F750"/>
      <c r="G750"/>
      <c r="H750"/>
      <c r="I750"/>
    </row>
    <row r="751" spans="1:9" s="47" customFormat="1" ht="14.4" x14ac:dyDescent="0.3">
      <c r="A751"/>
      <c r="B751"/>
      <c r="C751"/>
      <c r="D751"/>
      <c r="E751"/>
      <c r="F751"/>
      <c r="G751"/>
      <c r="H751"/>
      <c r="I751"/>
    </row>
    <row r="752" spans="1:9" s="47" customFormat="1" ht="14.4" x14ac:dyDescent="0.3">
      <c r="A752"/>
      <c r="B752"/>
      <c r="C752"/>
      <c r="D752"/>
      <c r="E752"/>
      <c r="F752"/>
      <c r="G752"/>
      <c r="H752"/>
      <c r="I752"/>
    </row>
    <row r="753" spans="1:9" s="47" customFormat="1" ht="14.4" x14ac:dyDescent="0.3">
      <c r="A753"/>
      <c r="B753"/>
      <c r="C753"/>
      <c r="D753"/>
      <c r="E753"/>
      <c r="F753"/>
      <c r="G753"/>
      <c r="H753"/>
      <c r="I753"/>
    </row>
    <row r="754" spans="1:9" s="47" customFormat="1" ht="14.4" x14ac:dyDescent="0.3">
      <c r="A754"/>
      <c r="B754"/>
      <c r="C754"/>
      <c r="D754"/>
      <c r="E754"/>
      <c r="F754"/>
      <c r="G754"/>
      <c r="H754"/>
      <c r="I754"/>
    </row>
    <row r="755" spans="1:9" s="47" customFormat="1" ht="14.4" x14ac:dyDescent="0.3">
      <c r="A755"/>
      <c r="B755"/>
      <c r="C755"/>
      <c r="D755"/>
      <c r="E755"/>
      <c r="F755"/>
      <c r="G755"/>
      <c r="H755"/>
      <c r="I755"/>
    </row>
    <row r="756" spans="1:9" s="47" customFormat="1" ht="14.4" x14ac:dyDescent="0.3">
      <c r="A756"/>
      <c r="B756"/>
      <c r="C756"/>
      <c r="D756"/>
      <c r="E756"/>
      <c r="F756"/>
      <c r="G756"/>
      <c r="H756"/>
      <c r="I756"/>
    </row>
    <row r="757" spans="1:9" s="47" customFormat="1" ht="14.4" x14ac:dyDescent="0.3">
      <c r="A757"/>
      <c r="B757"/>
      <c r="C757"/>
      <c r="D757"/>
      <c r="E757"/>
      <c r="F757"/>
      <c r="G757"/>
      <c r="H757"/>
      <c r="I757"/>
    </row>
    <row r="758" spans="1:9" s="47" customFormat="1" ht="14.4" x14ac:dyDescent="0.3">
      <c r="A758"/>
      <c r="B758"/>
      <c r="C758"/>
      <c r="D758"/>
      <c r="E758"/>
      <c r="F758"/>
      <c r="G758"/>
      <c r="H758"/>
      <c r="I758"/>
    </row>
    <row r="759" spans="1:9" s="47" customFormat="1" ht="14.4" x14ac:dyDescent="0.3">
      <c r="A759"/>
      <c r="B759"/>
      <c r="C759"/>
      <c r="D759"/>
      <c r="E759"/>
      <c r="F759"/>
      <c r="G759"/>
      <c r="H759"/>
      <c r="I759"/>
    </row>
    <row r="760" spans="1:9" s="47" customFormat="1" ht="14.4" x14ac:dyDescent="0.3">
      <c r="A760"/>
      <c r="B760"/>
      <c r="C760"/>
      <c r="D760"/>
      <c r="E760"/>
      <c r="F760"/>
      <c r="G760"/>
      <c r="H760"/>
      <c r="I760"/>
    </row>
    <row r="761" spans="1:9" s="47" customFormat="1" ht="14.4" x14ac:dyDescent="0.3">
      <c r="A761"/>
      <c r="B761"/>
      <c r="C761"/>
      <c r="D761"/>
      <c r="E761"/>
      <c r="F761"/>
      <c r="G761"/>
      <c r="H761"/>
      <c r="I761"/>
    </row>
    <row r="762" spans="1:9" s="47" customFormat="1" ht="14.4" x14ac:dyDescent="0.3">
      <c r="A762"/>
      <c r="B762"/>
      <c r="C762"/>
      <c r="D762"/>
      <c r="E762"/>
      <c r="F762"/>
      <c r="G762"/>
      <c r="H762"/>
      <c r="I762"/>
    </row>
    <row r="763" spans="1:9" s="47" customFormat="1" ht="14.4" x14ac:dyDescent="0.3">
      <c r="A763"/>
      <c r="B763"/>
      <c r="C763"/>
      <c r="D763"/>
      <c r="E763"/>
      <c r="F763"/>
      <c r="G763"/>
      <c r="H763"/>
      <c r="I763"/>
    </row>
    <row r="764" spans="1:9" s="47" customFormat="1" ht="14.4" x14ac:dyDescent="0.3">
      <c r="A764"/>
      <c r="B764"/>
      <c r="C764"/>
      <c r="D764"/>
      <c r="E764"/>
      <c r="F764"/>
      <c r="G764"/>
      <c r="H764"/>
      <c r="I764"/>
    </row>
    <row r="765" spans="1:9" s="47" customFormat="1" ht="14.4" x14ac:dyDescent="0.3">
      <c r="A765"/>
      <c r="B765"/>
      <c r="C765"/>
      <c r="D765"/>
      <c r="E765"/>
      <c r="F765"/>
      <c r="G765"/>
      <c r="H765"/>
      <c r="I765"/>
    </row>
    <row r="766" spans="1:9" s="47" customFormat="1" ht="14.4" x14ac:dyDescent="0.3">
      <c r="A766"/>
      <c r="B766"/>
      <c r="C766"/>
      <c r="D766"/>
      <c r="E766"/>
      <c r="F766"/>
      <c r="G766"/>
      <c r="H766"/>
      <c r="I766"/>
    </row>
    <row r="767" spans="1:9" s="47" customFormat="1" ht="14.4" x14ac:dyDescent="0.3">
      <c r="A767"/>
      <c r="B767"/>
      <c r="C767"/>
      <c r="D767"/>
      <c r="E767"/>
      <c r="F767"/>
      <c r="G767"/>
      <c r="H767"/>
      <c r="I767"/>
    </row>
    <row r="768" spans="1:9" s="47" customFormat="1" ht="14.4" x14ac:dyDescent="0.3">
      <c r="A768"/>
      <c r="B768"/>
      <c r="C768"/>
      <c r="D768"/>
      <c r="E768"/>
      <c r="F768"/>
      <c r="G768"/>
      <c r="H768"/>
      <c r="I768"/>
    </row>
    <row r="769" spans="1:9" s="47" customFormat="1" ht="14.4" x14ac:dyDescent="0.3">
      <c r="A769"/>
      <c r="B769"/>
      <c r="C769"/>
      <c r="D769"/>
      <c r="E769"/>
      <c r="F769"/>
      <c r="G769"/>
      <c r="H769"/>
      <c r="I769"/>
    </row>
    <row r="770" spans="1:9" s="47" customFormat="1" ht="14.4" x14ac:dyDescent="0.3">
      <c r="A770"/>
      <c r="B770"/>
      <c r="C770"/>
      <c r="D770"/>
      <c r="E770"/>
      <c r="F770"/>
      <c r="G770"/>
      <c r="H770"/>
      <c r="I770"/>
    </row>
    <row r="771" spans="1:9" s="47" customFormat="1" ht="14.4" x14ac:dyDescent="0.3">
      <c r="A771"/>
      <c r="B771"/>
      <c r="C771"/>
      <c r="D771"/>
      <c r="E771"/>
      <c r="F771"/>
      <c r="G771"/>
      <c r="H771"/>
      <c r="I771"/>
    </row>
    <row r="772" spans="1:9" s="47" customFormat="1" ht="14.4" x14ac:dyDescent="0.3">
      <c r="A772"/>
      <c r="B772"/>
      <c r="C772"/>
      <c r="D772"/>
      <c r="E772"/>
      <c r="F772"/>
      <c r="G772"/>
      <c r="H772"/>
      <c r="I772"/>
    </row>
    <row r="773" spans="1:9" s="47" customFormat="1" ht="14.4" x14ac:dyDescent="0.3">
      <c r="A773"/>
      <c r="B773"/>
      <c r="C773"/>
      <c r="D773"/>
      <c r="E773"/>
      <c r="F773"/>
      <c r="G773"/>
      <c r="H773"/>
      <c r="I773"/>
    </row>
    <row r="774" spans="1:9" s="47" customFormat="1" ht="14.4" x14ac:dyDescent="0.3">
      <c r="A774"/>
      <c r="B774"/>
      <c r="C774"/>
      <c r="D774"/>
      <c r="E774"/>
      <c r="F774"/>
      <c r="G774"/>
      <c r="H774"/>
      <c r="I774"/>
    </row>
    <row r="775" spans="1:9" s="47" customFormat="1" ht="14.4" x14ac:dyDescent="0.3">
      <c r="A775"/>
      <c r="B775"/>
      <c r="C775"/>
      <c r="D775"/>
      <c r="E775"/>
      <c r="F775"/>
      <c r="G775"/>
      <c r="H775"/>
      <c r="I775"/>
    </row>
    <row r="776" spans="1:9" s="47" customFormat="1" ht="14.4" x14ac:dyDescent="0.3">
      <c r="A776"/>
      <c r="B776"/>
      <c r="C776"/>
      <c r="D776"/>
      <c r="E776"/>
      <c r="F776"/>
      <c r="G776"/>
      <c r="H776"/>
      <c r="I776"/>
    </row>
    <row r="777" spans="1:9" s="47" customFormat="1" ht="14.4" x14ac:dyDescent="0.3">
      <c r="A777"/>
      <c r="B777"/>
      <c r="C777"/>
      <c r="D777"/>
      <c r="E777"/>
      <c r="F777"/>
      <c r="G777"/>
      <c r="H777"/>
      <c r="I777"/>
    </row>
    <row r="778" spans="1:9" s="47" customFormat="1" ht="14.4" x14ac:dyDescent="0.3">
      <c r="A778"/>
      <c r="B778"/>
      <c r="C778"/>
      <c r="D778"/>
      <c r="E778"/>
      <c r="F778"/>
      <c r="G778"/>
      <c r="H778"/>
      <c r="I778"/>
    </row>
    <row r="779" spans="1:9" s="47" customFormat="1" ht="14.4" x14ac:dyDescent="0.3">
      <c r="A779"/>
      <c r="B779"/>
      <c r="C779"/>
      <c r="D779"/>
      <c r="E779"/>
      <c r="F779"/>
      <c r="G779"/>
      <c r="H779"/>
      <c r="I779"/>
    </row>
    <row r="780" spans="1:9" s="47" customFormat="1" ht="14.4" x14ac:dyDescent="0.3">
      <c r="A780"/>
      <c r="B780"/>
      <c r="C780"/>
      <c r="D780"/>
      <c r="E780"/>
      <c r="F780"/>
      <c r="G780"/>
      <c r="H780"/>
      <c r="I780"/>
    </row>
    <row r="781" spans="1:9" s="47" customFormat="1" ht="14.4" x14ac:dyDescent="0.3">
      <c r="A781"/>
      <c r="B781"/>
      <c r="C781"/>
      <c r="D781"/>
      <c r="E781"/>
      <c r="F781"/>
      <c r="G781"/>
      <c r="H781"/>
      <c r="I781"/>
    </row>
    <row r="782" spans="1:9" s="47" customFormat="1" ht="14.4" x14ac:dyDescent="0.3">
      <c r="A782"/>
      <c r="B782"/>
      <c r="C782"/>
      <c r="D782"/>
      <c r="E782"/>
      <c r="F782"/>
      <c r="G782"/>
      <c r="H782"/>
      <c r="I782"/>
    </row>
    <row r="783" spans="1:9" s="47" customFormat="1" ht="14.4" x14ac:dyDescent="0.3">
      <c r="A783"/>
      <c r="B783"/>
      <c r="C783"/>
      <c r="D783"/>
      <c r="E783"/>
      <c r="F783"/>
      <c r="G783"/>
      <c r="H783"/>
      <c r="I783"/>
    </row>
    <row r="784" spans="1:9" s="47" customFormat="1" ht="14.4" x14ac:dyDescent="0.3">
      <c r="A784"/>
      <c r="B784"/>
      <c r="C784"/>
      <c r="D784"/>
      <c r="E784"/>
      <c r="F784"/>
      <c r="G784"/>
      <c r="H784"/>
      <c r="I784"/>
    </row>
    <row r="785" spans="1:9" s="47" customFormat="1" ht="14.4" x14ac:dyDescent="0.3">
      <c r="A785"/>
      <c r="B785"/>
      <c r="C785"/>
      <c r="D785"/>
      <c r="E785"/>
      <c r="F785"/>
      <c r="G785"/>
      <c r="H785"/>
      <c r="I785"/>
    </row>
    <row r="786" spans="1:9" s="47" customFormat="1" ht="14.4" x14ac:dyDescent="0.3">
      <c r="A786"/>
      <c r="B786"/>
      <c r="C786"/>
      <c r="D786"/>
      <c r="E786"/>
      <c r="F786"/>
      <c r="G786"/>
      <c r="H786"/>
      <c r="I786"/>
    </row>
    <row r="787" spans="1:9" s="47" customFormat="1" ht="14.4" x14ac:dyDescent="0.3">
      <c r="A787"/>
      <c r="B787"/>
      <c r="C787"/>
      <c r="D787"/>
      <c r="E787"/>
      <c r="F787"/>
      <c r="G787"/>
      <c r="H787"/>
      <c r="I787"/>
    </row>
    <row r="788" spans="1:9" s="47" customFormat="1" ht="14.4" x14ac:dyDescent="0.3">
      <c r="A788"/>
      <c r="B788"/>
      <c r="C788"/>
      <c r="D788"/>
      <c r="E788"/>
      <c r="F788"/>
      <c r="G788"/>
      <c r="H788"/>
      <c r="I788"/>
    </row>
    <row r="789" spans="1:9" s="47" customFormat="1" ht="14.4" x14ac:dyDescent="0.3">
      <c r="A789"/>
      <c r="B789"/>
      <c r="C789"/>
      <c r="D789"/>
      <c r="E789"/>
      <c r="F789"/>
      <c r="G789"/>
      <c r="H789"/>
      <c r="I789"/>
    </row>
    <row r="790" spans="1:9" s="47" customFormat="1" ht="14.4" x14ac:dyDescent="0.3">
      <c r="A790"/>
      <c r="B790"/>
      <c r="C790"/>
      <c r="D790"/>
      <c r="E790"/>
      <c r="F790"/>
      <c r="G790"/>
      <c r="H790"/>
      <c r="I790"/>
    </row>
    <row r="791" spans="1:9" s="47" customFormat="1" ht="14.4" x14ac:dyDescent="0.3">
      <c r="A791"/>
      <c r="B791"/>
      <c r="C791"/>
      <c r="D791"/>
      <c r="E791"/>
      <c r="F791"/>
      <c r="G791"/>
      <c r="H791"/>
      <c r="I791"/>
    </row>
    <row r="792" spans="1:9" s="47" customFormat="1" ht="14.4" x14ac:dyDescent="0.3">
      <c r="A792"/>
      <c r="B792"/>
      <c r="C792"/>
      <c r="D792"/>
      <c r="E792"/>
      <c r="F792"/>
      <c r="G792"/>
      <c r="H792"/>
      <c r="I792"/>
    </row>
    <row r="793" spans="1:9" s="47" customFormat="1" ht="14.4" x14ac:dyDescent="0.3">
      <c r="A793"/>
      <c r="B793"/>
      <c r="C793"/>
      <c r="D793"/>
      <c r="E793"/>
      <c r="F793"/>
      <c r="G793"/>
      <c r="H793"/>
      <c r="I793"/>
    </row>
    <row r="794" spans="1:9" s="47" customFormat="1" ht="14.4" x14ac:dyDescent="0.3">
      <c r="A794"/>
      <c r="B794"/>
      <c r="C794"/>
      <c r="D794"/>
      <c r="E794"/>
      <c r="F794"/>
      <c r="G794"/>
      <c r="H794"/>
      <c r="I794"/>
    </row>
    <row r="795" spans="1:9" s="47" customFormat="1" ht="14.4" x14ac:dyDescent="0.3">
      <c r="A795"/>
      <c r="B795"/>
      <c r="C795"/>
      <c r="D795"/>
      <c r="E795"/>
      <c r="F795"/>
      <c r="G795"/>
      <c r="H795"/>
      <c r="I795"/>
    </row>
    <row r="796" spans="1:9" s="47" customFormat="1" ht="14.4" x14ac:dyDescent="0.3">
      <c r="A796"/>
      <c r="B796"/>
      <c r="C796"/>
      <c r="D796"/>
      <c r="E796"/>
      <c r="F796"/>
      <c r="G796"/>
      <c r="H796"/>
      <c r="I796"/>
    </row>
    <row r="797" spans="1:9" s="47" customFormat="1" ht="14.4" x14ac:dyDescent="0.3">
      <c r="A797"/>
      <c r="B797"/>
      <c r="C797"/>
      <c r="D797"/>
      <c r="E797"/>
      <c r="F797"/>
      <c r="G797"/>
      <c r="H797"/>
      <c r="I797"/>
    </row>
    <row r="798" spans="1:9" s="47" customFormat="1" ht="14.4" x14ac:dyDescent="0.3">
      <c r="A798"/>
      <c r="B798"/>
      <c r="C798"/>
      <c r="D798"/>
      <c r="E798"/>
      <c r="F798"/>
      <c r="G798"/>
      <c r="H798"/>
      <c r="I798"/>
    </row>
    <row r="799" spans="1:9" s="47" customFormat="1" ht="14.4" x14ac:dyDescent="0.3">
      <c r="A799"/>
      <c r="B799"/>
      <c r="C799"/>
      <c r="D799"/>
      <c r="E799"/>
      <c r="F799"/>
      <c r="G799"/>
      <c r="H799"/>
      <c r="I799"/>
    </row>
    <row r="800" spans="1:9" s="47" customFormat="1" ht="14.4" x14ac:dyDescent="0.3">
      <c r="A800"/>
      <c r="B800"/>
      <c r="C800"/>
      <c r="D800"/>
      <c r="E800"/>
      <c r="F800"/>
      <c r="G800"/>
      <c r="H800"/>
      <c r="I800"/>
    </row>
    <row r="801" spans="1:9" s="47" customFormat="1" ht="14.4" x14ac:dyDescent="0.3">
      <c r="A801"/>
      <c r="B801"/>
      <c r="C801"/>
      <c r="D801"/>
      <c r="E801"/>
      <c r="F801"/>
      <c r="G801"/>
      <c r="H801"/>
      <c r="I801"/>
    </row>
    <row r="802" spans="1:9" s="47" customFormat="1" ht="14.4" x14ac:dyDescent="0.3">
      <c r="A802"/>
      <c r="B802"/>
      <c r="C802"/>
      <c r="D802"/>
      <c r="E802"/>
      <c r="F802"/>
      <c r="G802"/>
      <c r="H802"/>
      <c r="I802"/>
    </row>
    <row r="803" spans="1:9" s="47" customFormat="1" ht="14.4" x14ac:dyDescent="0.3">
      <c r="A803"/>
      <c r="B803"/>
      <c r="C803"/>
      <c r="D803"/>
      <c r="E803"/>
      <c r="F803"/>
      <c r="G803"/>
      <c r="H803"/>
      <c r="I803"/>
    </row>
    <row r="804" spans="1:9" s="47" customFormat="1" ht="14.4" x14ac:dyDescent="0.3">
      <c r="A804"/>
      <c r="B804"/>
      <c r="C804"/>
      <c r="D804"/>
      <c r="E804"/>
      <c r="F804"/>
      <c r="G804"/>
      <c r="H804"/>
      <c r="I804"/>
    </row>
    <row r="805" spans="1:9" s="47" customFormat="1" ht="14.4" x14ac:dyDescent="0.3">
      <c r="A805"/>
      <c r="B805"/>
      <c r="C805"/>
      <c r="D805"/>
      <c r="E805"/>
      <c r="F805"/>
      <c r="G805"/>
      <c r="H805"/>
      <c r="I805"/>
    </row>
    <row r="806" spans="1:9" s="47" customFormat="1" ht="14.4" x14ac:dyDescent="0.3">
      <c r="A806"/>
      <c r="B806"/>
      <c r="C806"/>
      <c r="D806"/>
      <c r="E806"/>
      <c r="F806"/>
      <c r="G806"/>
      <c r="H806"/>
      <c r="I806"/>
    </row>
    <row r="807" spans="1:9" s="47" customFormat="1" ht="14.4" x14ac:dyDescent="0.3">
      <c r="A807"/>
      <c r="B807"/>
      <c r="C807"/>
      <c r="D807"/>
      <c r="E807"/>
      <c r="F807"/>
      <c r="G807"/>
      <c r="H807"/>
      <c r="I807"/>
    </row>
    <row r="808" spans="1:9" s="47" customFormat="1" ht="14.4" x14ac:dyDescent="0.3">
      <c r="A808"/>
      <c r="B808"/>
      <c r="C808"/>
      <c r="D808"/>
      <c r="E808"/>
      <c r="F808"/>
      <c r="G808"/>
      <c r="H808"/>
      <c r="I808"/>
    </row>
    <row r="809" spans="1:9" s="47" customFormat="1" ht="14.4" x14ac:dyDescent="0.3">
      <c r="A809"/>
      <c r="B809"/>
      <c r="C809"/>
      <c r="D809"/>
      <c r="E809"/>
      <c r="F809"/>
      <c r="G809"/>
      <c r="H809"/>
      <c r="I809"/>
    </row>
    <row r="810" spans="1:9" s="47" customFormat="1" ht="14.4" x14ac:dyDescent="0.3">
      <c r="A810"/>
      <c r="B810"/>
      <c r="C810"/>
      <c r="D810"/>
      <c r="E810"/>
      <c r="F810"/>
      <c r="G810"/>
      <c r="H810"/>
      <c r="I810"/>
    </row>
    <row r="811" spans="1:9" s="47" customFormat="1" ht="14.4" x14ac:dyDescent="0.3">
      <c r="A811"/>
      <c r="B811"/>
      <c r="C811"/>
      <c r="D811"/>
      <c r="E811"/>
      <c r="F811"/>
      <c r="G811"/>
      <c r="H811"/>
      <c r="I811"/>
    </row>
    <row r="812" spans="1:9" s="47" customFormat="1" ht="14.4" x14ac:dyDescent="0.3">
      <c r="A812"/>
      <c r="B812"/>
      <c r="C812"/>
      <c r="D812"/>
      <c r="E812"/>
      <c r="F812"/>
      <c r="G812"/>
      <c r="H812"/>
      <c r="I812"/>
    </row>
    <row r="813" spans="1:9" s="47" customFormat="1" ht="14.4" x14ac:dyDescent="0.3">
      <c r="A813"/>
      <c r="B813"/>
      <c r="C813"/>
      <c r="D813"/>
      <c r="E813"/>
      <c r="F813"/>
      <c r="G813"/>
      <c r="H813"/>
      <c r="I813"/>
    </row>
    <row r="814" spans="1:9" s="47" customFormat="1" ht="14.4" x14ac:dyDescent="0.3">
      <c r="A814"/>
      <c r="B814"/>
      <c r="C814"/>
      <c r="D814"/>
      <c r="E814"/>
      <c r="F814"/>
      <c r="G814"/>
      <c r="H814"/>
      <c r="I814"/>
    </row>
    <row r="815" spans="1:9" s="47" customFormat="1" ht="14.4" x14ac:dyDescent="0.3">
      <c r="A815"/>
      <c r="B815"/>
      <c r="C815"/>
      <c r="D815"/>
      <c r="E815"/>
      <c r="F815"/>
      <c r="G815"/>
      <c r="H815"/>
      <c r="I815"/>
    </row>
    <row r="816" spans="1:9" s="47" customFormat="1" ht="14.4" x14ac:dyDescent="0.3">
      <c r="A816"/>
      <c r="B816"/>
      <c r="C816"/>
      <c r="D816"/>
      <c r="E816"/>
      <c r="F816"/>
      <c r="G816"/>
      <c r="H816"/>
      <c r="I816"/>
    </row>
    <row r="817" spans="1:9" s="47" customFormat="1" ht="14.4" x14ac:dyDescent="0.3">
      <c r="A817"/>
      <c r="B817"/>
      <c r="C817"/>
      <c r="D817"/>
      <c r="E817"/>
      <c r="F817"/>
      <c r="G817"/>
      <c r="H817"/>
      <c r="I817"/>
    </row>
    <row r="818" spans="1:9" s="47" customFormat="1" ht="14.4" x14ac:dyDescent="0.3">
      <c r="A818"/>
      <c r="B818"/>
      <c r="C818"/>
      <c r="D818"/>
      <c r="E818"/>
      <c r="F818"/>
      <c r="G818"/>
      <c r="H818"/>
      <c r="I818"/>
    </row>
    <row r="819" spans="1:9" s="47" customFormat="1" ht="14.4" x14ac:dyDescent="0.3">
      <c r="A819"/>
      <c r="B819"/>
      <c r="C819"/>
      <c r="D819"/>
      <c r="E819"/>
      <c r="F819"/>
      <c r="G819"/>
      <c r="H819"/>
      <c r="I819"/>
    </row>
    <row r="820" spans="1:9" s="47" customFormat="1" ht="14.4" x14ac:dyDescent="0.3">
      <c r="A820"/>
      <c r="B820"/>
      <c r="C820"/>
      <c r="D820"/>
      <c r="E820"/>
      <c r="F820"/>
      <c r="G820"/>
      <c r="H820"/>
      <c r="I820"/>
    </row>
    <row r="821" spans="1:9" s="47" customFormat="1" ht="14.4" x14ac:dyDescent="0.3">
      <c r="A821"/>
      <c r="B821"/>
      <c r="C821"/>
      <c r="D821"/>
      <c r="E821"/>
      <c r="F821"/>
      <c r="G821"/>
      <c r="H821"/>
      <c r="I821"/>
    </row>
    <row r="822" spans="1:9" s="47" customFormat="1" ht="14.4" x14ac:dyDescent="0.3">
      <c r="A822"/>
      <c r="B822"/>
      <c r="C822"/>
      <c r="D822"/>
      <c r="E822"/>
      <c r="F822"/>
      <c r="G822"/>
      <c r="H822"/>
      <c r="I822"/>
    </row>
    <row r="823" spans="1:9" s="47" customFormat="1" ht="14.4" x14ac:dyDescent="0.3">
      <c r="A823"/>
      <c r="B823"/>
      <c r="C823"/>
      <c r="D823"/>
      <c r="E823"/>
      <c r="F823"/>
      <c r="G823"/>
      <c r="H823"/>
      <c r="I823"/>
    </row>
    <row r="824" spans="1:9" s="47" customFormat="1" ht="14.4" x14ac:dyDescent="0.3">
      <c r="A824"/>
      <c r="B824"/>
      <c r="C824"/>
      <c r="D824"/>
      <c r="E824"/>
      <c r="F824"/>
      <c r="G824"/>
      <c r="H824"/>
      <c r="I824"/>
    </row>
    <row r="825" spans="1:9" s="47" customFormat="1" ht="14.4" x14ac:dyDescent="0.3">
      <c r="A825"/>
      <c r="B825"/>
      <c r="C825"/>
      <c r="D825"/>
      <c r="E825"/>
      <c r="F825"/>
      <c r="G825"/>
      <c r="H825"/>
      <c r="I825"/>
    </row>
    <row r="826" spans="1:9" s="47" customFormat="1" ht="14.4" x14ac:dyDescent="0.3">
      <c r="A826"/>
      <c r="B826"/>
      <c r="C826"/>
      <c r="D826"/>
      <c r="E826"/>
      <c r="F826"/>
      <c r="G826"/>
      <c r="H826"/>
      <c r="I826"/>
    </row>
    <row r="827" spans="1:9" s="47" customFormat="1" ht="14.4" x14ac:dyDescent="0.3">
      <c r="A827"/>
      <c r="B827"/>
      <c r="C827"/>
      <c r="D827"/>
      <c r="E827"/>
      <c r="F827"/>
      <c r="G827"/>
      <c r="H827"/>
      <c r="I827"/>
    </row>
    <row r="828" spans="1:9" s="47" customFormat="1" ht="14.4" x14ac:dyDescent="0.3">
      <c r="A828"/>
      <c r="B828"/>
      <c r="C828"/>
      <c r="D828"/>
      <c r="E828"/>
      <c r="F828"/>
      <c r="G828"/>
      <c r="H828"/>
      <c r="I828"/>
    </row>
    <row r="829" spans="1:9" s="47" customFormat="1" ht="14.4" x14ac:dyDescent="0.3">
      <c r="A829"/>
      <c r="B829"/>
      <c r="C829"/>
      <c r="D829"/>
      <c r="E829"/>
      <c r="F829"/>
      <c r="G829"/>
      <c r="H829"/>
      <c r="I829"/>
    </row>
    <row r="830" spans="1:9" s="47" customFormat="1" ht="14.4" x14ac:dyDescent="0.3">
      <c r="A830"/>
      <c r="B830"/>
      <c r="C830"/>
      <c r="D830"/>
      <c r="E830"/>
      <c r="F830"/>
      <c r="G830"/>
      <c r="H830"/>
      <c r="I830"/>
    </row>
    <row r="831" spans="1:9" s="47" customFormat="1" ht="14.4" x14ac:dyDescent="0.3">
      <c r="A831"/>
      <c r="B831"/>
      <c r="C831"/>
      <c r="D831"/>
      <c r="E831"/>
      <c r="F831"/>
      <c r="G831"/>
      <c r="H831"/>
      <c r="I831"/>
    </row>
    <row r="832" spans="1:9" s="47" customFormat="1" ht="14.4" x14ac:dyDescent="0.3">
      <c r="A832"/>
      <c r="B832"/>
      <c r="C832"/>
      <c r="D832"/>
      <c r="E832"/>
      <c r="F832"/>
      <c r="G832"/>
      <c r="H832"/>
      <c r="I832"/>
    </row>
    <row r="833" spans="1:9" s="47" customFormat="1" ht="14.4" x14ac:dyDescent="0.3">
      <c r="A833"/>
      <c r="B833"/>
      <c r="C833"/>
      <c r="D833"/>
      <c r="E833"/>
      <c r="F833"/>
      <c r="G833"/>
      <c r="H833"/>
      <c r="I833"/>
    </row>
    <row r="834" spans="1:9" s="47" customFormat="1" ht="14.4" x14ac:dyDescent="0.3">
      <c r="A834"/>
      <c r="B834"/>
      <c r="C834"/>
      <c r="D834"/>
      <c r="E834"/>
      <c r="F834"/>
      <c r="G834"/>
      <c r="H834"/>
      <c r="I834"/>
    </row>
    <row r="835" spans="1:9" s="47" customFormat="1" ht="14.4" x14ac:dyDescent="0.3">
      <c r="A835"/>
      <c r="B835"/>
      <c r="C835"/>
      <c r="D835"/>
      <c r="E835"/>
      <c r="F835"/>
      <c r="G835"/>
      <c r="H835"/>
      <c r="I835"/>
    </row>
    <row r="836" spans="1:9" s="47" customFormat="1" ht="14.4" x14ac:dyDescent="0.3">
      <c r="A836"/>
      <c r="B836"/>
      <c r="C836"/>
      <c r="D836"/>
      <c r="E836"/>
      <c r="F836"/>
      <c r="G836"/>
      <c r="H836"/>
      <c r="I836"/>
    </row>
    <row r="837" spans="1:9" s="47" customFormat="1" ht="14.4" x14ac:dyDescent="0.3">
      <c r="A837"/>
      <c r="B837"/>
      <c r="C837"/>
      <c r="D837"/>
      <c r="E837"/>
      <c r="F837"/>
      <c r="G837"/>
      <c r="H837"/>
      <c r="I837"/>
    </row>
    <row r="838" spans="1:9" s="47" customFormat="1" ht="14.4" x14ac:dyDescent="0.3">
      <c r="A838"/>
      <c r="B838"/>
      <c r="C838"/>
      <c r="D838"/>
      <c r="E838"/>
      <c r="F838"/>
      <c r="G838"/>
      <c r="H838"/>
      <c r="I838"/>
    </row>
    <row r="839" spans="1:9" s="47" customFormat="1" ht="14.4" x14ac:dyDescent="0.3">
      <c r="A839"/>
      <c r="B839"/>
      <c r="C839"/>
      <c r="D839"/>
      <c r="E839"/>
      <c r="F839"/>
      <c r="G839"/>
      <c r="H839"/>
      <c r="I839"/>
    </row>
    <row r="840" spans="1:9" s="47" customFormat="1" ht="14.4" x14ac:dyDescent="0.3">
      <c r="A840"/>
      <c r="B840"/>
      <c r="C840"/>
      <c r="D840"/>
      <c r="E840"/>
      <c r="F840"/>
      <c r="G840"/>
      <c r="H840"/>
      <c r="I840"/>
    </row>
    <row r="841" spans="1:9" s="47" customFormat="1" ht="14.4" x14ac:dyDescent="0.3">
      <c r="A841"/>
      <c r="B841"/>
      <c r="C841"/>
      <c r="D841"/>
      <c r="E841"/>
      <c r="F841"/>
      <c r="G841"/>
      <c r="H841"/>
      <c r="I841"/>
    </row>
    <row r="842" spans="1:9" s="47" customFormat="1" ht="14.4" x14ac:dyDescent="0.3">
      <c r="A842"/>
      <c r="B842"/>
      <c r="C842"/>
      <c r="D842"/>
      <c r="E842"/>
      <c r="F842"/>
      <c r="G842"/>
      <c r="H842"/>
      <c r="I842"/>
    </row>
    <row r="843" spans="1:9" s="47" customFormat="1" ht="14.4" x14ac:dyDescent="0.3">
      <c r="A843"/>
      <c r="B843"/>
      <c r="C843"/>
      <c r="D843"/>
      <c r="E843"/>
      <c r="F843"/>
      <c r="G843"/>
      <c r="H843"/>
      <c r="I843"/>
    </row>
    <row r="844" spans="1:9" s="47" customFormat="1" ht="14.4" x14ac:dyDescent="0.3">
      <c r="A844"/>
      <c r="B844"/>
      <c r="C844"/>
      <c r="D844"/>
      <c r="E844"/>
      <c r="F844"/>
      <c r="G844"/>
      <c r="H844"/>
      <c r="I844"/>
    </row>
    <row r="845" spans="1:9" s="47" customFormat="1" ht="14.4" x14ac:dyDescent="0.3">
      <c r="A845"/>
      <c r="B845"/>
      <c r="C845"/>
      <c r="D845"/>
      <c r="E845"/>
      <c r="F845"/>
      <c r="G845"/>
      <c r="H845"/>
      <c r="I845"/>
    </row>
    <row r="846" spans="1:9" s="47" customFormat="1" ht="14.4" x14ac:dyDescent="0.3">
      <c r="A846"/>
      <c r="B846"/>
      <c r="C846"/>
      <c r="D846"/>
      <c r="E846"/>
      <c r="F846"/>
      <c r="G846"/>
      <c r="H846"/>
      <c r="I846"/>
    </row>
    <row r="847" spans="1:9" s="47" customFormat="1" ht="14.4" x14ac:dyDescent="0.3">
      <c r="A847"/>
      <c r="B847"/>
      <c r="C847"/>
      <c r="D847"/>
      <c r="E847"/>
      <c r="F847"/>
      <c r="G847"/>
      <c r="H847"/>
      <c r="I847"/>
    </row>
    <row r="848" spans="1:9" s="47" customFormat="1" ht="14.4" x14ac:dyDescent="0.3">
      <c r="A848"/>
      <c r="B848"/>
      <c r="C848"/>
      <c r="D848"/>
      <c r="E848"/>
      <c r="F848"/>
      <c r="G848"/>
      <c r="H848"/>
      <c r="I848"/>
    </row>
    <row r="849" spans="1:9" s="47" customFormat="1" ht="14.4" x14ac:dyDescent="0.3">
      <c r="A849"/>
      <c r="B849"/>
      <c r="C849"/>
      <c r="D849"/>
      <c r="E849"/>
      <c r="F849"/>
      <c r="G849"/>
      <c r="H849"/>
      <c r="I849"/>
    </row>
    <row r="850" spans="1:9" s="47" customFormat="1" ht="14.4" x14ac:dyDescent="0.3">
      <c r="A850"/>
      <c r="B850"/>
      <c r="C850"/>
      <c r="D850"/>
      <c r="E850"/>
      <c r="F850"/>
      <c r="G850"/>
      <c r="H850"/>
      <c r="I850"/>
    </row>
    <row r="851" spans="1:9" s="47" customFormat="1" ht="14.4" x14ac:dyDescent="0.3">
      <c r="A851"/>
      <c r="B851"/>
      <c r="C851"/>
      <c r="D851"/>
      <c r="E851"/>
      <c r="F851"/>
      <c r="G851"/>
      <c r="H851"/>
      <c r="I851"/>
    </row>
    <row r="852" spans="1:9" s="47" customFormat="1" ht="14.4" x14ac:dyDescent="0.3">
      <c r="A852"/>
      <c r="B852"/>
      <c r="C852"/>
      <c r="D852"/>
      <c r="E852"/>
      <c r="F852"/>
      <c r="G852"/>
      <c r="H852"/>
      <c r="I852"/>
    </row>
    <row r="853" spans="1:9" s="47" customFormat="1" ht="14.4" x14ac:dyDescent="0.3">
      <c r="A853"/>
      <c r="B853"/>
      <c r="C853"/>
      <c r="D853"/>
      <c r="E853"/>
      <c r="F853"/>
      <c r="G853"/>
      <c r="H853"/>
      <c r="I853"/>
    </row>
    <row r="854" spans="1:9" s="47" customFormat="1" ht="14.4" x14ac:dyDescent="0.3">
      <c r="A854"/>
      <c r="B854"/>
      <c r="C854"/>
      <c r="D854"/>
      <c r="E854"/>
      <c r="F854"/>
      <c r="G854"/>
      <c r="H854"/>
      <c r="I854"/>
    </row>
    <row r="855" spans="1:9" s="47" customFormat="1" ht="14.4" x14ac:dyDescent="0.3">
      <c r="A855"/>
      <c r="B855"/>
      <c r="C855"/>
      <c r="D855"/>
      <c r="E855"/>
      <c r="F855"/>
      <c r="G855"/>
      <c r="H855"/>
      <c r="I855"/>
    </row>
    <row r="856" spans="1:9" s="47" customFormat="1" ht="14.4" x14ac:dyDescent="0.3">
      <c r="A856"/>
      <c r="B856"/>
      <c r="C856"/>
      <c r="D856"/>
      <c r="E856"/>
      <c r="F856"/>
      <c r="G856"/>
      <c r="H856"/>
      <c r="I856"/>
    </row>
    <row r="857" spans="1:9" s="47" customFormat="1" ht="14.4" x14ac:dyDescent="0.3">
      <c r="A857"/>
      <c r="B857"/>
      <c r="C857"/>
      <c r="D857"/>
      <c r="E857"/>
      <c r="F857"/>
      <c r="G857"/>
      <c r="H857"/>
      <c r="I857"/>
    </row>
    <row r="858" spans="1:9" s="47" customFormat="1" ht="14.4" x14ac:dyDescent="0.3">
      <c r="A858"/>
      <c r="B858"/>
      <c r="C858"/>
      <c r="D858"/>
      <c r="E858"/>
      <c r="F858"/>
      <c r="G858"/>
      <c r="H858"/>
      <c r="I858"/>
    </row>
    <row r="859" spans="1:9" s="47" customFormat="1" ht="14.4" x14ac:dyDescent="0.3">
      <c r="A859"/>
      <c r="B859"/>
      <c r="C859"/>
      <c r="D859"/>
      <c r="E859"/>
      <c r="F859"/>
      <c r="G859"/>
      <c r="H859"/>
      <c r="I859"/>
    </row>
    <row r="860" spans="1:9" s="47" customFormat="1" ht="14.4" x14ac:dyDescent="0.3">
      <c r="A860"/>
      <c r="B860"/>
      <c r="C860"/>
      <c r="D860"/>
      <c r="E860"/>
      <c r="F860"/>
      <c r="G860"/>
      <c r="H860"/>
      <c r="I860"/>
    </row>
    <row r="861" spans="1:9" s="47" customFormat="1" ht="14.4" x14ac:dyDescent="0.3">
      <c r="A861"/>
      <c r="B861"/>
      <c r="C861"/>
      <c r="D861"/>
      <c r="E861"/>
      <c r="F861"/>
      <c r="G861"/>
      <c r="H861"/>
      <c r="I861"/>
    </row>
    <row r="862" spans="1:9" s="47" customFormat="1" ht="14.4" x14ac:dyDescent="0.3">
      <c r="A862"/>
      <c r="B862"/>
      <c r="C862"/>
      <c r="D862"/>
      <c r="E862"/>
      <c r="F862"/>
      <c r="G862"/>
      <c r="H862"/>
      <c r="I862"/>
    </row>
    <row r="863" spans="1:9" s="47" customFormat="1" ht="14.4" x14ac:dyDescent="0.3">
      <c r="A863"/>
      <c r="B863"/>
      <c r="C863"/>
      <c r="D863"/>
      <c r="E863"/>
      <c r="F863"/>
      <c r="G863"/>
      <c r="H863"/>
      <c r="I863"/>
    </row>
    <row r="864" spans="1:9" s="47" customFormat="1" ht="14.4" x14ac:dyDescent="0.3">
      <c r="A864"/>
      <c r="B864"/>
      <c r="C864"/>
      <c r="D864"/>
      <c r="E864"/>
      <c r="F864"/>
      <c r="G864"/>
      <c r="H864"/>
      <c r="I864"/>
    </row>
    <row r="865" spans="1:9" s="47" customFormat="1" ht="14.4" x14ac:dyDescent="0.3">
      <c r="A865"/>
      <c r="B865"/>
      <c r="C865"/>
      <c r="D865"/>
      <c r="E865"/>
      <c r="F865"/>
      <c r="G865"/>
      <c r="H865"/>
      <c r="I865"/>
    </row>
    <row r="866" spans="1:9" s="47" customFormat="1" ht="14.4" x14ac:dyDescent="0.3">
      <c r="A866"/>
      <c r="B866"/>
      <c r="C866"/>
      <c r="D866"/>
      <c r="E866"/>
      <c r="F866"/>
      <c r="G866"/>
      <c r="H866"/>
      <c r="I866"/>
    </row>
    <row r="867" spans="1:9" s="47" customFormat="1" ht="14.4" x14ac:dyDescent="0.3">
      <c r="A867"/>
      <c r="B867"/>
      <c r="C867"/>
      <c r="D867"/>
      <c r="E867"/>
      <c r="F867"/>
      <c r="G867"/>
      <c r="H867"/>
      <c r="I867"/>
    </row>
    <row r="868" spans="1:9" s="47" customFormat="1" ht="14.4" x14ac:dyDescent="0.3">
      <c r="A868"/>
      <c r="B868"/>
      <c r="C868"/>
      <c r="D868"/>
      <c r="E868"/>
      <c r="F868"/>
      <c r="G868"/>
      <c r="H868"/>
      <c r="I868"/>
    </row>
    <row r="869" spans="1:9" s="47" customFormat="1" ht="14.4" x14ac:dyDescent="0.3">
      <c r="A869"/>
      <c r="B869"/>
      <c r="C869"/>
      <c r="D869"/>
      <c r="E869"/>
      <c r="F869"/>
      <c r="G869"/>
      <c r="H869"/>
      <c r="I869"/>
    </row>
    <row r="870" spans="1:9" s="47" customFormat="1" ht="14.4" x14ac:dyDescent="0.3">
      <c r="A870"/>
      <c r="B870"/>
      <c r="C870"/>
      <c r="D870"/>
      <c r="E870"/>
      <c r="F870"/>
      <c r="G870"/>
      <c r="H870"/>
      <c r="I870"/>
    </row>
    <row r="871" spans="1:9" s="47" customFormat="1" ht="14.4" x14ac:dyDescent="0.3">
      <c r="A871"/>
      <c r="B871"/>
      <c r="C871"/>
      <c r="D871"/>
      <c r="E871"/>
      <c r="F871"/>
      <c r="G871"/>
      <c r="H871"/>
      <c r="I871"/>
    </row>
    <row r="872" spans="1:9" s="47" customFormat="1" ht="14.4" x14ac:dyDescent="0.3">
      <c r="A872"/>
      <c r="B872"/>
      <c r="C872"/>
      <c r="D872"/>
      <c r="E872"/>
      <c r="F872"/>
      <c r="G872"/>
      <c r="H872"/>
      <c r="I872"/>
    </row>
    <row r="873" spans="1:9" s="47" customFormat="1" ht="14.4" x14ac:dyDescent="0.3">
      <c r="A873"/>
      <c r="B873"/>
      <c r="C873"/>
      <c r="D873"/>
      <c r="E873"/>
      <c r="F873"/>
      <c r="G873"/>
      <c r="H873"/>
      <c r="I873"/>
    </row>
    <row r="874" spans="1:9" s="47" customFormat="1" ht="14.4" x14ac:dyDescent="0.3">
      <c r="A874"/>
      <c r="B874"/>
      <c r="C874"/>
      <c r="D874"/>
      <c r="E874"/>
      <c r="F874"/>
      <c r="G874"/>
      <c r="H874"/>
      <c r="I874"/>
    </row>
    <row r="875" spans="1:9" s="47" customFormat="1" ht="14.4" x14ac:dyDescent="0.3">
      <c r="A875"/>
      <c r="B875"/>
      <c r="C875"/>
      <c r="D875"/>
      <c r="E875"/>
      <c r="F875"/>
      <c r="G875"/>
      <c r="H875"/>
      <c r="I875"/>
    </row>
    <row r="876" spans="1:9" s="47" customFormat="1" ht="14.4" x14ac:dyDescent="0.3">
      <c r="A876"/>
      <c r="B876"/>
      <c r="C876"/>
      <c r="D876"/>
      <c r="E876"/>
      <c r="F876"/>
      <c r="G876"/>
      <c r="H876"/>
      <c r="I876"/>
    </row>
    <row r="877" spans="1:9" s="47" customFormat="1" ht="14.4" x14ac:dyDescent="0.3">
      <c r="A877"/>
      <c r="B877"/>
      <c r="C877"/>
      <c r="D877"/>
      <c r="E877"/>
      <c r="F877"/>
      <c r="G877"/>
      <c r="H877"/>
      <c r="I877"/>
    </row>
    <row r="878" spans="1:9" s="47" customFormat="1" ht="14.4" x14ac:dyDescent="0.3">
      <c r="A878"/>
      <c r="B878"/>
      <c r="C878"/>
      <c r="D878"/>
      <c r="E878"/>
      <c r="F878"/>
      <c r="G878"/>
      <c r="H878"/>
      <c r="I878"/>
    </row>
    <row r="879" spans="1:9" s="47" customFormat="1" ht="14.4" x14ac:dyDescent="0.3">
      <c r="A879"/>
      <c r="B879"/>
      <c r="C879"/>
      <c r="D879"/>
      <c r="E879"/>
      <c r="F879"/>
      <c r="G879"/>
      <c r="H879"/>
      <c r="I879"/>
    </row>
    <row r="880" spans="1:9" s="47" customFormat="1" ht="14.4" x14ac:dyDescent="0.3">
      <c r="A880"/>
      <c r="B880"/>
      <c r="C880"/>
      <c r="D880"/>
      <c r="E880"/>
      <c r="F880"/>
      <c r="G880"/>
      <c r="H880"/>
      <c r="I880"/>
    </row>
    <row r="881" spans="1:9" s="47" customFormat="1" ht="14.4" x14ac:dyDescent="0.3">
      <c r="A881"/>
      <c r="B881"/>
      <c r="C881"/>
      <c r="D881"/>
      <c r="E881"/>
      <c r="F881"/>
      <c r="G881"/>
      <c r="H881"/>
      <c r="I881"/>
    </row>
    <row r="882" spans="1:9" s="47" customFormat="1" ht="14.4" x14ac:dyDescent="0.3">
      <c r="A882"/>
      <c r="B882"/>
      <c r="C882"/>
      <c r="D882"/>
      <c r="E882"/>
      <c r="F882"/>
      <c r="G882"/>
      <c r="H882"/>
      <c r="I882"/>
    </row>
    <row r="883" spans="1:9" s="47" customFormat="1" ht="14.4" x14ac:dyDescent="0.3">
      <c r="A883"/>
      <c r="B883"/>
      <c r="C883"/>
      <c r="D883"/>
      <c r="E883"/>
      <c r="F883"/>
      <c r="G883"/>
      <c r="H883"/>
      <c r="I883"/>
    </row>
    <row r="884" spans="1:9" s="47" customFormat="1" ht="14.4" x14ac:dyDescent="0.3">
      <c r="A884"/>
      <c r="B884"/>
      <c r="C884"/>
      <c r="D884"/>
      <c r="E884"/>
      <c r="F884"/>
      <c r="G884"/>
      <c r="H884"/>
      <c r="I884"/>
    </row>
    <row r="885" spans="1:9" s="47" customFormat="1" ht="14.4" x14ac:dyDescent="0.3">
      <c r="A885"/>
      <c r="B885"/>
      <c r="C885"/>
      <c r="D885"/>
      <c r="E885"/>
      <c r="F885"/>
      <c r="G885"/>
      <c r="H885"/>
      <c r="I885"/>
    </row>
    <row r="886" spans="1:9" s="47" customFormat="1" ht="14.4" x14ac:dyDescent="0.3">
      <c r="A886"/>
      <c r="B886"/>
      <c r="C886"/>
      <c r="D886"/>
      <c r="E886"/>
      <c r="F886"/>
      <c r="G886"/>
      <c r="H886"/>
      <c r="I886"/>
    </row>
    <row r="887" spans="1:9" s="47" customFormat="1" ht="14.4" x14ac:dyDescent="0.3">
      <c r="A887"/>
      <c r="B887"/>
      <c r="C887"/>
      <c r="D887"/>
      <c r="E887"/>
      <c r="F887"/>
      <c r="G887"/>
      <c r="H887"/>
      <c r="I887"/>
    </row>
    <row r="888" spans="1:9" s="47" customFormat="1" ht="14.4" x14ac:dyDescent="0.3">
      <c r="A888"/>
      <c r="B888"/>
      <c r="C888"/>
      <c r="D888"/>
      <c r="E888"/>
      <c r="F888"/>
      <c r="G888"/>
      <c r="H888"/>
      <c r="I888"/>
    </row>
    <row r="889" spans="1:9" s="47" customFormat="1" ht="14.4" x14ac:dyDescent="0.3">
      <c r="A889"/>
      <c r="B889"/>
      <c r="C889"/>
      <c r="D889"/>
      <c r="E889"/>
      <c r="F889"/>
      <c r="G889"/>
      <c r="H889"/>
      <c r="I889"/>
    </row>
    <row r="890" spans="1:9" s="47" customFormat="1" ht="14.4" x14ac:dyDescent="0.3">
      <c r="A890"/>
      <c r="B890"/>
      <c r="C890"/>
      <c r="D890"/>
      <c r="E890"/>
      <c r="F890"/>
      <c r="G890"/>
      <c r="H890"/>
      <c r="I890"/>
    </row>
    <row r="891" spans="1:9" s="47" customFormat="1" ht="14.4" x14ac:dyDescent="0.3">
      <c r="A891"/>
      <c r="B891"/>
      <c r="C891"/>
      <c r="D891"/>
      <c r="E891"/>
      <c r="F891"/>
      <c r="G891"/>
      <c r="H891"/>
      <c r="I891"/>
    </row>
    <row r="892" spans="1:9" s="47" customFormat="1" ht="14.4" x14ac:dyDescent="0.3">
      <c r="A892"/>
      <c r="B892"/>
      <c r="C892"/>
      <c r="D892"/>
      <c r="E892"/>
      <c r="F892"/>
      <c r="G892"/>
      <c r="H892"/>
      <c r="I892"/>
    </row>
    <row r="893" spans="1:9" s="47" customFormat="1" ht="14.4" x14ac:dyDescent="0.3">
      <c r="A893"/>
      <c r="B893"/>
      <c r="C893"/>
      <c r="D893"/>
      <c r="E893"/>
      <c r="F893"/>
      <c r="G893"/>
      <c r="H893"/>
      <c r="I893"/>
    </row>
    <row r="894" spans="1:9" s="47" customFormat="1" ht="14.4" x14ac:dyDescent="0.3">
      <c r="A894"/>
      <c r="B894"/>
      <c r="C894"/>
      <c r="D894"/>
      <c r="E894"/>
      <c r="F894"/>
      <c r="G894"/>
      <c r="H894"/>
      <c r="I894"/>
    </row>
    <row r="895" spans="1:9" s="47" customFormat="1" ht="14.4" x14ac:dyDescent="0.3">
      <c r="A895"/>
      <c r="B895"/>
      <c r="C895"/>
      <c r="D895"/>
      <c r="E895"/>
      <c r="F895"/>
      <c r="G895"/>
      <c r="H895"/>
      <c r="I895"/>
    </row>
    <row r="896" spans="1:9" s="47" customFormat="1" ht="14.4" x14ac:dyDescent="0.3">
      <c r="A896"/>
      <c r="B896"/>
      <c r="C896"/>
      <c r="D896"/>
      <c r="E896"/>
      <c r="F896"/>
      <c r="G896"/>
      <c r="H896"/>
      <c r="I896"/>
    </row>
    <row r="897" spans="1:9" s="47" customFormat="1" ht="14.4" x14ac:dyDescent="0.3">
      <c r="A897"/>
      <c r="B897"/>
      <c r="C897"/>
      <c r="D897"/>
      <c r="E897"/>
      <c r="F897"/>
      <c r="G897"/>
      <c r="H897"/>
      <c r="I897"/>
    </row>
    <row r="898" spans="1:9" s="47" customFormat="1" ht="14.4" x14ac:dyDescent="0.3">
      <c r="A898"/>
      <c r="B898"/>
      <c r="C898"/>
      <c r="D898"/>
      <c r="E898"/>
      <c r="F898"/>
      <c r="G898"/>
      <c r="H898"/>
      <c r="I898"/>
    </row>
    <row r="899" spans="1:9" s="47" customFormat="1" ht="14.4" x14ac:dyDescent="0.3">
      <c r="A899"/>
      <c r="B899"/>
      <c r="C899"/>
      <c r="D899"/>
      <c r="E899"/>
      <c r="F899"/>
      <c r="G899"/>
      <c r="H899"/>
      <c r="I899"/>
    </row>
    <row r="900" spans="1:9" s="47" customFormat="1" ht="14.4" x14ac:dyDescent="0.3">
      <c r="A900"/>
      <c r="B900"/>
      <c r="C900"/>
      <c r="D900"/>
      <c r="E900"/>
      <c r="F900"/>
      <c r="G900"/>
      <c r="H900"/>
      <c r="I900"/>
    </row>
    <row r="901" spans="1:9" s="47" customFormat="1" ht="14.4" x14ac:dyDescent="0.3">
      <c r="A901"/>
      <c r="B901"/>
      <c r="C901"/>
      <c r="D901"/>
      <c r="E901"/>
      <c r="F901"/>
      <c r="G901"/>
      <c r="H901"/>
      <c r="I901"/>
    </row>
    <row r="902" spans="1:9" s="47" customFormat="1" ht="14.4" x14ac:dyDescent="0.3">
      <c r="A902"/>
      <c r="B902"/>
      <c r="C902"/>
      <c r="D902"/>
      <c r="E902"/>
      <c r="F902"/>
      <c r="G902"/>
      <c r="H902"/>
      <c r="I902"/>
    </row>
    <row r="903" spans="1:9" s="47" customFormat="1" ht="14.4" x14ac:dyDescent="0.3">
      <c r="A903"/>
      <c r="B903"/>
      <c r="C903"/>
      <c r="D903"/>
      <c r="E903"/>
      <c r="F903"/>
      <c r="G903"/>
      <c r="H903"/>
      <c r="I903"/>
    </row>
    <row r="904" spans="1:9" s="47" customFormat="1" ht="14.4" x14ac:dyDescent="0.3">
      <c r="A904"/>
      <c r="B904"/>
      <c r="C904"/>
      <c r="D904"/>
      <c r="E904"/>
      <c r="F904"/>
      <c r="G904"/>
      <c r="H904"/>
      <c r="I904"/>
    </row>
    <row r="905" spans="1:9" s="47" customFormat="1" ht="14.4" x14ac:dyDescent="0.3">
      <c r="A905"/>
      <c r="B905"/>
      <c r="C905"/>
      <c r="D905"/>
      <c r="E905"/>
      <c r="F905"/>
      <c r="G905"/>
      <c r="H905"/>
      <c r="I905"/>
    </row>
    <row r="906" spans="1:9" s="47" customFormat="1" ht="14.4" x14ac:dyDescent="0.3">
      <c r="A906"/>
      <c r="B906"/>
      <c r="C906"/>
      <c r="D906"/>
      <c r="E906"/>
      <c r="F906"/>
      <c r="G906"/>
      <c r="H906"/>
      <c r="I906"/>
    </row>
    <row r="907" spans="1:9" s="47" customFormat="1" ht="14.4" x14ac:dyDescent="0.3">
      <c r="A907"/>
      <c r="B907"/>
      <c r="C907"/>
      <c r="D907"/>
      <c r="E907"/>
      <c r="F907"/>
      <c r="G907"/>
      <c r="H907"/>
      <c r="I907"/>
    </row>
    <row r="908" spans="1:9" s="47" customFormat="1" ht="14.4" x14ac:dyDescent="0.3">
      <c r="A908"/>
      <c r="B908"/>
      <c r="C908"/>
      <c r="D908"/>
      <c r="E908"/>
      <c r="F908"/>
      <c r="G908"/>
      <c r="H908"/>
      <c r="I908"/>
    </row>
    <row r="909" spans="1:9" s="47" customFormat="1" ht="14.4" x14ac:dyDescent="0.3">
      <c r="A909"/>
      <c r="B909"/>
      <c r="C909"/>
      <c r="D909"/>
      <c r="E909"/>
      <c r="F909"/>
      <c r="G909"/>
      <c r="H909"/>
      <c r="I909"/>
    </row>
    <row r="910" spans="1:9" s="47" customFormat="1" ht="14.4" x14ac:dyDescent="0.3">
      <c r="A910"/>
      <c r="B910"/>
      <c r="C910"/>
      <c r="D910"/>
      <c r="E910"/>
      <c r="F910"/>
      <c r="G910"/>
      <c r="H910"/>
      <c r="I910"/>
    </row>
    <row r="911" spans="1:9" s="47" customFormat="1" ht="14.4" x14ac:dyDescent="0.3">
      <c r="A911"/>
      <c r="B911"/>
      <c r="C911"/>
      <c r="D911"/>
      <c r="E911"/>
      <c r="F911"/>
      <c r="G911"/>
      <c r="H911"/>
      <c r="I911"/>
    </row>
    <row r="912" spans="1:9" s="47" customFormat="1" ht="14.4" x14ac:dyDescent="0.3">
      <c r="A912"/>
      <c r="B912"/>
      <c r="C912"/>
      <c r="D912"/>
      <c r="E912"/>
      <c r="F912"/>
      <c r="G912"/>
      <c r="H912"/>
      <c r="I912"/>
    </row>
    <row r="913" spans="1:9" s="47" customFormat="1" ht="14.4" x14ac:dyDescent="0.3">
      <c r="A913"/>
      <c r="B913"/>
      <c r="C913"/>
      <c r="D913"/>
      <c r="E913"/>
      <c r="F913"/>
      <c r="G913"/>
      <c r="H913"/>
      <c r="I913"/>
    </row>
    <row r="914" spans="1:9" s="47" customFormat="1" ht="14.4" x14ac:dyDescent="0.3">
      <c r="A914"/>
      <c r="B914"/>
      <c r="C914"/>
      <c r="D914"/>
      <c r="E914"/>
      <c r="F914"/>
      <c r="G914"/>
      <c r="H914"/>
      <c r="I914"/>
    </row>
    <row r="915" spans="1:9" s="47" customFormat="1" ht="14.4" x14ac:dyDescent="0.3">
      <c r="A915"/>
      <c r="B915"/>
      <c r="C915"/>
      <c r="D915"/>
      <c r="E915"/>
      <c r="F915"/>
      <c r="G915"/>
      <c r="H915"/>
      <c r="I915"/>
    </row>
    <row r="916" spans="1:9" s="47" customFormat="1" ht="14.4" x14ac:dyDescent="0.3">
      <c r="A916"/>
      <c r="B916"/>
      <c r="C916"/>
      <c r="D916"/>
      <c r="E916"/>
      <c r="F916"/>
      <c r="G916"/>
      <c r="H916"/>
      <c r="I916"/>
    </row>
    <row r="917" spans="1:9" s="47" customFormat="1" ht="14.4" x14ac:dyDescent="0.3">
      <c r="A917"/>
      <c r="B917"/>
      <c r="C917"/>
      <c r="D917"/>
      <c r="E917"/>
      <c r="F917"/>
      <c r="G917"/>
      <c r="H917"/>
      <c r="I917"/>
    </row>
    <row r="918" spans="1:9" s="47" customFormat="1" ht="14.4" x14ac:dyDescent="0.3">
      <c r="A918"/>
      <c r="B918"/>
      <c r="C918"/>
      <c r="D918"/>
      <c r="E918"/>
      <c r="F918"/>
      <c r="G918"/>
      <c r="H918"/>
      <c r="I918"/>
    </row>
    <row r="919" spans="1:9" s="47" customFormat="1" ht="14.4" x14ac:dyDescent="0.3">
      <c r="A919"/>
      <c r="B919"/>
      <c r="C919"/>
      <c r="D919"/>
      <c r="E919"/>
      <c r="F919"/>
      <c r="G919"/>
      <c r="H919"/>
      <c r="I919"/>
    </row>
    <row r="920" spans="1:9" s="47" customFormat="1" ht="14.4" x14ac:dyDescent="0.3">
      <c r="A920"/>
      <c r="B920"/>
      <c r="C920"/>
      <c r="D920"/>
      <c r="E920"/>
      <c r="F920"/>
      <c r="G920"/>
      <c r="H920"/>
      <c r="I920"/>
    </row>
    <row r="921" spans="1:9" s="47" customFormat="1" ht="14.4" x14ac:dyDescent="0.3">
      <c r="A921"/>
      <c r="B921"/>
      <c r="C921"/>
      <c r="D921"/>
      <c r="E921"/>
      <c r="F921"/>
      <c r="G921"/>
      <c r="H921"/>
      <c r="I921"/>
    </row>
    <row r="922" spans="1:9" s="47" customFormat="1" ht="14.4" x14ac:dyDescent="0.3">
      <c r="A922"/>
      <c r="B922"/>
      <c r="C922"/>
      <c r="D922"/>
      <c r="E922"/>
      <c r="F922"/>
      <c r="G922"/>
      <c r="H922"/>
      <c r="I922"/>
    </row>
    <row r="923" spans="1:9" s="47" customFormat="1" ht="14.4" x14ac:dyDescent="0.3">
      <c r="A923"/>
      <c r="B923"/>
      <c r="C923"/>
      <c r="D923"/>
      <c r="E923"/>
      <c r="F923"/>
      <c r="G923"/>
      <c r="H923"/>
      <c r="I923"/>
    </row>
    <row r="924" spans="1:9" s="47" customFormat="1" ht="14.4" x14ac:dyDescent="0.3">
      <c r="A924"/>
      <c r="B924"/>
      <c r="C924"/>
      <c r="D924"/>
      <c r="E924"/>
      <c r="F924"/>
      <c r="G924"/>
      <c r="H924"/>
      <c r="I924"/>
    </row>
    <row r="925" spans="1:9" s="47" customFormat="1" ht="14.4" x14ac:dyDescent="0.3">
      <c r="A925"/>
      <c r="B925"/>
      <c r="C925"/>
      <c r="D925"/>
      <c r="E925"/>
      <c r="F925"/>
      <c r="G925"/>
      <c r="H925"/>
      <c r="I925"/>
    </row>
    <row r="926" spans="1:9" s="47" customFormat="1" ht="14.4" x14ac:dyDescent="0.3">
      <c r="A926"/>
      <c r="B926"/>
      <c r="C926"/>
      <c r="D926"/>
      <c r="E926"/>
      <c r="F926"/>
      <c r="G926"/>
      <c r="H926"/>
      <c r="I926"/>
    </row>
    <row r="927" spans="1:9" s="47" customFormat="1" ht="14.4" x14ac:dyDescent="0.3">
      <c r="A927"/>
      <c r="B927"/>
      <c r="C927"/>
      <c r="D927"/>
      <c r="E927"/>
      <c r="F927"/>
      <c r="G927"/>
      <c r="H927"/>
      <c r="I927"/>
    </row>
    <row r="928" spans="1:9" s="47" customFormat="1" ht="14.4" x14ac:dyDescent="0.3">
      <c r="A928"/>
      <c r="B928"/>
      <c r="C928"/>
      <c r="D928"/>
      <c r="E928"/>
      <c r="F928"/>
      <c r="G928"/>
      <c r="H928"/>
      <c r="I928"/>
    </row>
    <row r="929" spans="1:9" s="47" customFormat="1" ht="14.4" x14ac:dyDescent="0.3">
      <c r="A929"/>
      <c r="B929"/>
      <c r="C929"/>
      <c r="D929"/>
      <c r="E929"/>
      <c r="F929"/>
      <c r="G929"/>
      <c r="H929"/>
      <c r="I929"/>
    </row>
    <row r="930" spans="1:9" s="47" customFormat="1" ht="14.4" x14ac:dyDescent="0.3">
      <c r="A930"/>
      <c r="B930"/>
      <c r="C930"/>
      <c r="D930"/>
      <c r="E930"/>
      <c r="F930"/>
      <c r="G930"/>
      <c r="H930"/>
      <c r="I930"/>
    </row>
    <row r="931" spans="1:9" s="47" customFormat="1" ht="14.4" x14ac:dyDescent="0.3">
      <c r="A931"/>
      <c r="B931"/>
      <c r="C931"/>
      <c r="D931"/>
      <c r="E931"/>
      <c r="F931"/>
      <c r="G931"/>
      <c r="H931"/>
      <c r="I931"/>
    </row>
    <row r="932" spans="1:9" s="47" customFormat="1" ht="14.4" x14ac:dyDescent="0.3">
      <c r="A932"/>
      <c r="B932"/>
      <c r="C932"/>
      <c r="D932"/>
      <c r="E932"/>
      <c r="F932"/>
      <c r="G932"/>
      <c r="H932"/>
      <c r="I932"/>
    </row>
    <row r="933" spans="1:9" s="47" customFormat="1" ht="14.4" x14ac:dyDescent="0.3">
      <c r="A933"/>
      <c r="B933"/>
      <c r="C933"/>
      <c r="D933"/>
      <c r="E933"/>
      <c r="F933"/>
      <c r="G933"/>
      <c r="H933"/>
      <c r="I933"/>
    </row>
    <row r="934" spans="1:9" s="47" customFormat="1" ht="14.4" x14ac:dyDescent="0.3">
      <c r="A934"/>
      <c r="B934"/>
      <c r="C934"/>
      <c r="D934"/>
      <c r="E934"/>
      <c r="F934"/>
      <c r="G934"/>
      <c r="H934"/>
      <c r="I934"/>
    </row>
    <row r="935" spans="1:9" s="47" customFormat="1" ht="14.4" x14ac:dyDescent="0.3">
      <c r="A935"/>
      <c r="B935"/>
      <c r="C935"/>
      <c r="D935"/>
      <c r="E935"/>
      <c r="F935"/>
      <c r="G935"/>
      <c r="H935"/>
      <c r="I935"/>
    </row>
    <row r="936" spans="1:9" s="47" customFormat="1" ht="14.4" x14ac:dyDescent="0.3">
      <c r="A936"/>
      <c r="B936"/>
      <c r="C936"/>
      <c r="D936"/>
      <c r="E936"/>
      <c r="F936"/>
      <c r="G936"/>
      <c r="H936"/>
      <c r="I936"/>
    </row>
    <row r="937" spans="1:9" s="47" customFormat="1" ht="14.4" x14ac:dyDescent="0.3">
      <c r="A937"/>
      <c r="B937"/>
      <c r="C937"/>
      <c r="D937"/>
      <c r="E937"/>
      <c r="F937"/>
      <c r="G937"/>
      <c r="H937"/>
      <c r="I937"/>
    </row>
    <row r="938" spans="1:9" s="47" customFormat="1" ht="14.4" x14ac:dyDescent="0.3">
      <c r="A938"/>
      <c r="B938"/>
      <c r="C938"/>
      <c r="D938"/>
      <c r="E938"/>
      <c r="F938"/>
      <c r="G938"/>
      <c r="H938"/>
      <c r="I938"/>
    </row>
    <row r="939" spans="1:9" s="47" customFormat="1" ht="14.4" x14ac:dyDescent="0.3">
      <c r="A939"/>
      <c r="B939"/>
      <c r="C939"/>
      <c r="D939"/>
      <c r="E939"/>
      <c r="F939"/>
      <c r="G939"/>
      <c r="H939"/>
      <c r="I939"/>
    </row>
    <row r="940" spans="1:9" s="47" customFormat="1" ht="14.4" x14ac:dyDescent="0.3">
      <c r="A940"/>
      <c r="B940"/>
      <c r="C940"/>
      <c r="D940"/>
      <c r="E940"/>
      <c r="F940"/>
      <c r="G940"/>
      <c r="H940"/>
      <c r="I940"/>
    </row>
    <row r="941" spans="1:9" s="47" customFormat="1" ht="14.4" x14ac:dyDescent="0.3">
      <c r="A941"/>
      <c r="B941"/>
      <c r="C941"/>
      <c r="D941"/>
      <c r="E941"/>
      <c r="F941"/>
      <c r="G941"/>
      <c r="H941"/>
      <c r="I941"/>
    </row>
    <row r="942" spans="1:9" s="47" customFormat="1" ht="14.4" x14ac:dyDescent="0.3">
      <c r="A942"/>
      <c r="B942"/>
      <c r="C942"/>
      <c r="D942"/>
      <c r="E942"/>
      <c r="F942"/>
      <c r="G942"/>
      <c r="H942"/>
      <c r="I942"/>
    </row>
    <row r="943" spans="1:9" s="47" customFormat="1" ht="14.4" x14ac:dyDescent="0.3">
      <c r="A943"/>
      <c r="B943"/>
      <c r="C943"/>
      <c r="D943"/>
      <c r="E943"/>
      <c r="F943"/>
      <c r="G943"/>
      <c r="H943"/>
      <c r="I943"/>
    </row>
    <row r="944" spans="1:9" s="47" customFormat="1" ht="14.4" x14ac:dyDescent="0.3">
      <c r="A944"/>
      <c r="B944"/>
      <c r="C944"/>
      <c r="D944"/>
      <c r="E944"/>
      <c r="F944"/>
      <c r="G944"/>
      <c r="H944"/>
      <c r="I944"/>
    </row>
    <row r="945" spans="1:9" s="47" customFormat="1" ht="14.4" x14ac:dyDescent="0.3">
      <c r="A945"/>
      <c r="B945"/>
      <c r="C945"/>
      <c r="D945"/>
      <c r="E945"/>
      <c r="F945"/>
      <c r="G945"/>
      <c r="H945"/>
      <c r="I945"/>
    </row>
    <row r="946" spans="1:9" s="47" customFormat="1" ht="14.4" x14ac:dyDescent="0.3">
      <c r="A946"/>
      <c r="B946"/>
      <c r="C946"/>
      <c r="D946"/>
      <c r="E946"/>
      <c r="F946"/>
      <c r="G946"/>
      <c r="H946"/>
      <c r="I946"/>
    </row>
    <row r="947" spans="1:9" s="47" customFormat="1" ht="14.4" x14ac:dyDescent="0.3">
      <c r="A947"/>
      <c r="B947"/>
      <c r="C947"/>
      <c r="D947"/>
      <c r="E947"/>
      <c r="F947"/>
      <c r="G947"/>
      <c r="H947"/>
      <c r="I947"/>
    </row>
    <row r="948" spans="1:9" s="47" customFormat="1" ht="14.4" x14ac:dyDescent="0.3">
      <c r="A948"/>
      <c r="B948"/>
      <c r="C948"/>
      <c r="D948"/>
      <c r="E948"/>
      <c r="F948"/>
      <c r="G948"/>
      <c r="H948"/>
      <c r="I948"/>
    </row>
    <row r="949" spans="1:9" s="47" customFormat="1" ht="14.4" x14ac:dyDescent="0.3">
      <c r="A949"/>
      <c r="B949"/>
      <c r="C949"/>
      <c r="D949"/>
      <c r="E949"/>
      <c r="F949"/>
      <c r="G949"/>
      <c r="H949"/>
      <c r="I949"/>
    </row>
    <row r="950" spans="1:9" s="47" customFormat="1" ht="14.4" x14ac:dyDescent="0.3">
      <c r="A950"/>
      <c r="B950"/>
      <c r="C950"/>
      <c r="D950"/>
      <c r="E950"/>
      <c r="F950"/>
      <c r="G950"/>
      <c r="H950"/>
      <c r="I950"/>
    </row>
    <row r="951" spans="1:9" s="47" customFormat="1" ht="14.4" x14ac:dyDescent="0.3">
      <c r="A951"/>
      <c r="B951"/>
      <c r="C951"/>
      <c r="D951"/>
      <c r="E951"/>
      <c r="F951"/>
      <c r="G951"/>
      <c r="H951"/>
      <c r="I951"/>
    </row>
    <row r="952" spans="1:9" s="47" customFormat="1" ht="14.4" x14ac:dyDescent="0.3">
      <c r="A952"/>
      <c r="B952"/>
      <c r="C952"/>
      <c r="D952"/>
      <c r="E952"/>
      <c r="F952"/>
      <c r="G952"/>
      <c r="H952"/>
      <c r="I952"/>
    </row>
    <row r="953" spans="1:9" s="47" customFormat="1" ht="14.4" x14ac:dyDescent="0.3">
      <c r="A953"/>
      <c r="B953"/>
      <c r="C953"/>
      <c r="D953"/>
      <c r="E953"/>
      <c r="F953"/>
      <c r="G953"/>
      <c r="H953"/>
      <c r="I953"/>
    </row>
    <row r="954" spans="1:9" s="47" customFormat="1" ht="14.4" x14ac:dyDescent="0.3">
      <c r="A954"/>
      <c r="B954"/>
      <c r="C954"/>
      <c r="D954"/>
      <c r="E954"/>
      <c r="F954"/>
      <c r="G954"/>
      <c r="H954"/>
      <c r="I954"/>
    </row>
    <row r="955" spans="1:9" s="47" customFormat="1" ht="14.4" x14ac:dyDescent="0.3">
      <c r="A955"/>
      <c r="B955"/>
      <c r="C955"/>
      <c r="D955"/>
      <c r="E955"/>
      <c r="F955"/>
      <c r="G955"/>
      <c r="H955"/>
      <c r="I955"/>
    </row>
    <row r="956" spans="1:9" s="47" customFormat="1" ht="14.4" x14ac:dyDescent="0.3">
      <c r="A956"/>
      <c r="B956"/>
      <c r="C956"/>
      <c r="D956"/>
      <c r="E956"/>
      <c r="F956"/>
      <c r="G956"/>
      <c r="H956"/>
      <c r="I956"/>
    </row>
    <row r="957" spans="1:9" s="47" customFormat="1" ht="14.4" x14ac:dyDescent="0.3">
      <c r="A957"/>
      <c r="B957"/>
      <c r="C957"/>
      <c r="D957"/>
      <c r="E957"/>
      <c r="F957"/>
      <c r="G957"/>
      <c r="H957"/>
      <c r="I957"/>
    </row>
    <row r="958" spans="1:9" s="47" customFormat="1" ht="14.4" x14ac:dyDescent="0.3">
      <c r="A958"/>
      <c r="B958"/>
      <c r="C958"/>
      <c r="D958"/>
      <c r="E958"/>
      <c r="F958"/>
      <c r="G958"/>
      <c r="H958"/>
      <c r="I958"/>
    </row>
    <row r="959" spans="1:9" s="47" customFormat="1" ht="14.4" x14ac:dyDescent="0.3">
      <c r="A959"/>
      <c r="B959"/>
      <c r="C959"/>
      <c r="D959"/>
      <c r="E959"/>
      <c r="F959"/>
      <c r="G959"/>
      <c r="H959"/>
      <c r="I959"/>
    </row>
    <row r="960" spans="1:9" s="47" customFormat="1" ht="14.4" x14ac:dyDescent="0.3">
      <c r="A960"/>
      <c r="B960"/>
      <c r="C960"/>
      <c r="D960"/>
      <c r="E960"/>
      <c r="F960"/>
      <c r="G960"/>
      <c r="H960"/>
      <c r="I960"/>
    </row>
    <row r="961" spans="1:9" s="47" customFormat="1" ht="14.4" x14ac:dyDescent="0.3">
      <c r="A961"/>
      <c r="B961"/>
      <c r="C961"/>
      <c r="D961"/>
      <c r="E961"/>
      <c r="F961"/>
      <c r="G961"/>
      <c r="H961"/>
      <c r="I961"/>
    </row>
    <row r="962" spans="1:9" s="47" customFormat="1" ht="14.4" x14ac:dyDescent="0.3">
      <c r="A962"/>
      <c r="B962"/>
      <c r="C962"/>
      <c r="D962"/>
      <c r="E962"/>
      <c r="F962"/>
      <c r="G962"/>
      <c r="H962"/>
      <c r="I962"/>
    </row>
    <row r="963" spans="1:9" s="47" customFormat="1" ht="14.4" x14ac:dyDescent="0.3">
      <c r="A963"/>
      <c r="B963"/>
      <c r="C963"/>
      <c r="D963"/>
      <c r="E963"/>
      <c r="F963"/>
      <c r="G963"/>
      <c r="H963"/>
      <c r="I963"/>
    </row>
    <row r="964" spans="1:9" s="47" customFormat="1" ht="14.4" x14ac:dyDescent="0.3">
      <c r="A964"/>
      <c r="B964"/>
      <c r="C964"/>
      <c r="D964"/>
      <c r="E964"/>
      <c r="F964"/>
      <c r="G964"/>
      <c r="H964"/>
      <c r="I964"/>
    </row>
    <row r="965" spans="1:9" s="47" customFormat="1" ht="14.4" x14ac:dyDescent="0.3">
      <c r="A965"/>
      <c r="B965"/>
      <c r="C965"/>
      <c r="D965"/>
      <c r="E965"/>
      <c r="F965"/>
      <c r="G965"/>
      <c r="H965"/>
      <c r="I965"/>
    </row>
    <row r="966" spans="1:9" s="47" customFormat="1" ht="14.4" x14ac:dyDescent="0.3">
      <c r="A966"/>
      <c r="B966"/>
      <c r="C966"/>
      <c r="D966"/>
      <c r="E966"/>
      <c r="F966"/>
      <c r="G966"/>
      <c r="H966"/>
      <c r="I966"/>
    </row>
    <row r="967" spans="1:9" s="47" customFormat="1" ht="14.4" x14ac:dyDescent="0.3">
      <c r="A967"/>
      <c r="B967"/>
      <c r="C967"/>
      <c r="D967"/>
      <c r="E967"/>
      <c r="F967"/>
      <c r="G967"/>
      <c r="H967"/>
      <c r="I967"/>
    </row>
    <row r="968" spans="1:9" s="47" customFormat="1" ht="14.4" x14ac:dyDescent="0.3">
      <c r="A968"/>
      <c r="B968"/>
      <c r="C968"/>
      <c r="D968"/>
      <c r="E968"/>
      <c r="F968"/>
      <c r="G968"/>
      <c r="H968"/>
      <c r="I968"/>
    </row>
    <row r="969" spans="1:9" s="47" customFormat="1" ht="14.4" x14ac:dyDescent="0.3">
      <c r="A969"/>
      <c r="B969"/>
      <c r="C969"/>
      <c r="D969"/>
      <c r="E969"/>
      <c r="F969"/>
      <c r="G969"/>
      <c r="H969"/>
      <c r="I969"/>
    </row>
    <row r="970" spans="1:9" s="47" customFormat="1" ht="14.4" x14ac:dyDescent="0.3">
      <c r="A970"/>
      <c r="B970"/>
      <c r="C970"/>
      <c r="D970"/>
      <c r="E970"/>
      <c r="F970"/>
      <c r="G970"/>
      <c r="H970"/>
      <c r="I970"/>
    </row>
    <row r="971" spans="1:9" s="47" customFormat="1" ht="14.4" x14ac:dyDescent="0.3">
      <c r="A971"/>
      <c r="B971"/>
      <c r="C971"/>
      <c r="D971"/>
      <c r="E971"/>
      <c r="F971"/>
      <c r="G971"/>
      <c r="H971"/>
      <c r="I971"/>
    </row>
    <row r="972" spans="1:9" s="47" customFormat="1" ht="14.4" x14ac:dyDescent="0.3">
      <c r="A972"/>
      <c r="B972"/>
      <c r="C972"/>
      <c r="D972"/>
      <c r="E972"/>
      <c r="F972"/>
      <c r="G972"/>
      <c r="H972"/>
      <c r="I972"/>
    </row>
    <row r="973" spans="1:9" s="47" customFormat="1" ht="14.4" x14ac:dyDescent="0.3">
      <c r="A973"/>
      <c r="B973"/>
      <c r="C973"/>
      <c r="D973"/>
      <c r="E973"/>
      <c r="F973"/>
      <c r="G973"/>
      <c r="H973"/>
      <c r="I973"/>
    </row>
    <row r="974" spans="1:9" s="47" customFormat="1" ht="14.4" x14ac:dyDescent="0.3">
      <c r="A974"/>
      <c r="B974"/>
      <c r="C974"/>
      <c r="D974"/>
      <c r="E974"/>
      <c r="F974"/>
      <c r="G974"/>
      <c r="H974"/>
      <c r="I974"/>
    </row>
    <row r="975" spans="1:9" s="47" customFormat="1" ht="14.4" x14ac:dyDescent="0.3">
      <c r="A975"/>
      <c r="B975"/>
      <c r="C975"/>
      <c r="D975"/>
      <c r="E975"/>
      <c r="F975"/>
      <c r="G975"/>
      <c r="H975"/>
      <c r="I975"/>
    </row>
    <row r="976" spans="1:9" s="47" customFormat="1" ht="14.4" x14ac:dyDescent="0.3">
      <c r="A976"/>
      <c r="B976"/>
      <c r="C976"/>
      <c r="D976"/>
      <c r="E976"/>
      <c r="F976"/>
      <c r="G976"/>
      <c r="H976"/>
      <c r="I976"/>
    </row>
    <row r="977" spans="1:9" s="47" customFormat="1" ht="14.4" x14ac:dyDescent="0.3">
      <c r="A977"/>
      <c r="B977"/>
      <c r="C977"/>
      <c r="D977"/>
      <c r="E977"/>
      <c r="F977"/>
      <c r="G977"/>
      <c r="H977"/>
      <c r="I977"/>
    </row>
    <row r="978" spans="1:9" s="47" customFormat="1" ht="14.4" x14ac:dyDescent="0.3">
      <c r="A978"/>
      <c r="B978"/>
      <c r="C978"/>
      <c r="D978"/>
      <c r="E978"/>
      <c r="F978"/>
      <c r="G978"/>
      <c r="H978"/>
      <c r="I978"/>
    </row>
    <row r="979" spans="1:9" s="47" customFormat="1" ht="14.4" x14ac:dyDescent="0.3">
      <c r="A979"/>
      <c r="B979"/>
      <c r="C979"/>
      <c r="D979"/>
      <c r="E979"/>
      <c r="F979"/>
      <c r="G979"/>
      <c r="H979"/>
      <c r="I979"/>
    </row>
    <row r="980" spans="1:9" s="47" customFormat="1" ht="14.4" x14ac:dyDescent="0.3">
      <c r="A980"/>
      <c r="B980"/>
      <c r="C980"/>
      <c r="D980"/>
      <c r="E980"/>
      <c r="F980"/>
      <c r="G980"/>
      <c r="H980"/>
      <c r="I980"/>
    </row>
    <row r="981" spans="1:9" s="47" customFormat="1" ht="14.4" x14ac:dyDescent="0.3">
      <c r="A981"/>
      <c r="B981"/>
      <c r="C981"/>
      <c r="D981"/>
      <c r="E981"/>
      <c r="F981"/>
      <c r="G981"/>
      <c r="H981"/>
      <c r="I981"/>
    </row>
    <row r="982" spans="1:9" s="47" customFormat="1" ht="14.4" x14ac:dyDescent="0.3">
      <c r="A982"/>
      <c r="B982"/>
      <c r="C982"/>
      <c r="D982"/>
      <c r="E982"/>
      <c r="F982"/>
      <c r="G982"/>
      <c r="H982"/>
      <c r="I982"/>
    </row>
    <row r="983" spans="1:9" s="47" customFormat="1" ht="14.4" x14ac:dyDescent="0.3">
      <c r="A983"/>
      <c r="B983"/>
      <c r="C983"/>
      <c r="D983"/>
      <c r="E983"/>
      <c r="F983"/>
      <c r="G983"/>
      <c r="H983"/>
      <c r="I983"/>
    </row>
    <row r="984" spans="1:9" s="47" customFormat="1" ht="14.4" x14ac:dyDescent="0.3">
      <c r="A984"/>
      <c r="B984"/>
      <c r="C984"/>
      <c r="D984"/>
      <c r="E984"/>
      <c r="F984"/>
      <c r="G984"/>
      <c r="H984"/>
      <c r="I984"/>
    </row>
    <row r="985" spans="1:9" s="47" customFormat="1" ht="14.4" x14ac:dyDescent="0.3">
      <c r="A985"/>
      <c r="B985"/>
      <c r="C985"/>
      <c r="D985"/>
      <c r="E985"/>
      <c r="F985"/>
      <c r="G985"/>
      <c r="H985"/>
      <c r="I985"/>
    </row>
    <row r="986" spans="1:9" s="47" customFormat="1" ht="14.4" x14ac:dyDescent="0.3">
      <c r="A986"/>
      <c r="B986"/>
      <c r="C986"/>
      <c r="D986"/>
      <c r="E986"/>
      <c r="F986"/>
      <c r="G986"/>
      <c r="H986"/>
      <c r="I986"/>
    </row>
    <row r="987" spans="1:9" s="47" customFormat="1" ht="14.4" x14ac:dyDescent="0.3">
      <c r="A987"/>
      <c r="B987"/>
      <c r="C987"/>
      <c r="D987"/>
      <c r="E987"/>
      <c r="F987"/>
      <c r="G987"/>
      <c r="H987"/>
      <c r="I987"/>
    </row>
    <row r="988" spans="1:9" s="47" customFormat="1" ht="14.4" x14ac:dyDescent="0.3">
      <c r="A988"/>
      <c r="B988"/>
      <c r="C988"/>
      <c r="D988"/>
      <c r="E988"/>
      <c r="F988"/>
      <c r="G988"/>
      <c r="H988"/>
      <c r="I988"/>
    </row>
    <row r="989" spans="1:9" s="47" customFormat="1" ht="14.4" x14ac:dyDescent="0.3">
      <c r="A989"/>
      <c r="B989"/>
      <c r="C989"/>
      <c r="D989"/>
      <c r="E989"/>
      <c r="F989"/>
      <c r="G989"/>
      <c r="H989"/>
      <c r="I989"/>
    </row>
    <row r="990" spans="1:9" s="47" customFormat="1" ht="14.4" x14ac:dyDescent="0.3">
      <c r="A990"/>
      <c r="B990"/>
      <c r="C990"/>
      <c r="D990"/>
      <c r="E990"/>
      <c r="F990"/>
      <c r="G990"/>
      <c r="H990"/>
      <c r="I990"/>
    </row>
    <row r="991" spans="1:9" s="47" customFormat="1" ht="14.4" x14ac:dyDescent="0.3">
      <c r="A991"/>
      <c r="B991"/>
      <c r="C991"/>
      <c r="D991"/>
      <c r="E991"/>
      <c r="F991"/>
      <c r="G991"/>
      <c r="H991"/>
      <c r="I991"/>
    </row>
    <row r="992" spans="1:9" s="47" customFormat="1" ht="14.4" x14ac:dyDescent="0.3">
      <c r="A992"/>
      <c r="B992"/>
      <c r="C992"/>
      <c r="D992"/>
      <c r="E992"/>
      <c r="F992"/>
      <c r="G992"/>
      <c r="H992"/>
      <c r="I992"/>
    </row>
    <row r="993" spans="1:9" s="47" customFormat="1" ht="14.4" x14ac:dyDescent="0.3">
      <c r="A993"/>
      <c r="B993"/>
      <c r="C993"/>
      <c r="D993"/>
      <c r="E993"/>
      <c r="F993"/>
      <c r="G993"/>
      <c r="H993"/>
      <c r="I993"/>
    </row>
    <row r="994" spans="1:9" s="47" customFormat="1" ht="14.4" x14ac:dyDescent="0.3">
      <c r="A994"/>
      <c r="B994"/>
      <c r="C994"/>
      <c r="D994"/>
      <c r="E994"/>
      <c r="F994"/>
      <c r="G994"/>
      <c r="H994"/>
      <c r="I994"/>
    </row>
    <row r="995" spans="1:9" s="47" customFormat="1" ht="14.4" x14ac:dyDescent="0.3">
      <c r="A995"/>
      <c r="B995"/>
      <c r="C995"/>
      <c r="D995"/>
      <c r="E995"/>
      <c r="F995"/>
      <c r="G995"/>
      <c r="H995"/>
      <c r="I995"/>
    </row>
    <row r="996" spans="1:9" s="47" customFormat="1" ht="14.4" x14ac:dyDescent="0.3">
      <c r="A996"/>
      <c r="B996"/>
      <c r="C996"/>
      <c r="D996"/>
      <c r="E996"/>
      <c r="F996"/>
      <c r="G996"/>
      <c r="H996"/>
      <c r="I996"/>
    </row>
    <row r="997" spans="1:9" s="47" customFormat="1" ht="14.4" x14ac:dyDescent="0.3">
      <c r="A997"/>
      <c r="B997"/>
      <c r="C997"/>
      <c r="D997"/>
      <c r="E997"/>
      <c r="F997"/>
      <c r="G997"/>
      <c r="H997"/>
      <c r="I997"/>
    </row>
    <row r="998" spans="1:9" s="47" customFormat="1" ht="14.4" x14ac:dyDescent="0.3">
      <c r="A998"/>
      <c r="B998"/>
      <c r="C998"/>
      <c r="D998"/>
      <c r="E998"/>
      <c r="F998"/>
      <c r="G998"/>
      <c r="H998"/>
      <c r="I998"/>
    </row>
    <row r="999" spans="1:9" s="47" customFormat="1" ht="14.4" x14ac:dyDescent="0.3">
      <c r="A999"/>
      <c r="B999"/>
      <c r="C999"/>
      <c r="D999"/>
      <c r="E999"/>
      <c r="F999"/>
      <c r="G999"/>
      <c r="H999"/>
      <c r="I999"/>
    </row>
    <row r="1000" spans="1:9" s="47" customFormat="1" ht="14.4" x14ac:dyDescent="0.3">
      <c r="A1000"/>
      <c r="B1000"/>
      <c r="C1000"/>
      <c r="D1000"/>
      <c r="E1000"/>
      <c r="F1000"/>
      <c r="G1000"/>
      <c r="H1000"/>
      <c r="I1000"/>
    </row>
    <row r="1001" spans="1:9" s="47" customFormat="1" ht="14.4" x14ac:dyDescent="0.3">
      <c r="A1001"/>
      <c r="B1001"/>
      <c r="C1001"/>
      <c r="D1001"/>
      <c r="E1001"/>
      <c r="F1001"/>
      <c r="G1001"/>
      <c r="H1001"/>
      <c r="I1001"/>
    </row>
    <row r="1002" spans="1:9" s="47" customFormat="1" ht="14.4" x14ac:dyDescent="0.3">
      <c r="A1002"/>
      <c r="B1002"/>
      <c r="C1002"/>
      <c r="D1002"/>
      <c r="E1002"/>
      <c r="F1002"/>
      <c r="G1002"/>
      <c r="H1002"/>
      <c r="I1002"/>
    </row>
    <row r="1003" spans="1:9" s="47" customFormat="1" ht="14.4" x14ac:dyDescent="0.3">
      <c r="A1003"/>
      <c r="B1003"/>
      <c r="C1003"/>
      <c r="D1003"/>
      <c r="E1003"/>
      <c r="F1003"/>
      <c r="G1003"/>
      <c r="H1003"/>
      <c r="I1003"/>
    </row>
    <row r="1004" spans="1:9" s="47" customFormat="1" ht="14.4" x14ac:dyDescent="0.3">
      <c r="A1004"/>
      <c r="B1004"/>
      <c r="C1004"/>
      <c r="D1004"/>
      <c r="E1004"/>
      <c r="F1004"/>
      <c r="G1004"/>
      <c r="H1004"/>
      <c r="I1004"/>
    </row>
    <row r="1005" spans="1:9" s="47" customFormat="1" ht="14.4" x14ac:dyDescent="0.3">
      <c r="A1005"/>
      <c r="B1005"/>
      <c r="C1005"/>
      <c r="D1005"/>
      <c r="E1005"/>
      <c r="F1005"/>
      <c r="G1005"/>
      <c r="H1005"/>
      <c r="I1005"/>
    </row>
    <row r="1006" spans="1:9" s="47" customFormat="1" ht="14.4" x14ac:dyDescent="0.3">
      <c r="A1006"/>
      <c r="B1006"/>
      <c r="C1006"/>
      <c r="D1006"/>
      <c r="E1006"/>
      <c r="F1006"/>
      <c r="G1006"/>
      <c r="H1006"/>
      <c r="I1006"/>
    </row>
    <row r="1007" spans="1:9" s="47" customFormat="1" ht="14.4" x14ac:dyDescent="0.3">
      <c r="A1007"/>
      <c r="B1007"/>
      <c r="C1007"/>
      <c r="D1007"/>
      <c r="E1007"/>
      <c r="F1007"/>
      <c r="G1007"/>
      <c r="H1007"/>
      <c r="I1007"/>
    </row>
    <row r="1008" spans="1:9" s="47" customFormat="1" ht="14.4" x14ac:dyDescent="0.3">
      <c r="A1008"/>
      <c r="B1008"/>
      <c r="C1008"/>
      <c r="D1008"/>
      <c r="E1008"/>
      <c r="F1008"/>
      <c r="G1008"/>
      <c r="H1008"/>
      <c r="I1008"/>
    </row>
    <row r="1009" spans="1:9" s="47" customFormat="1" ht="14.4" x14ac:dyDescent="0.3">
      <c r="A1009"/>
      <c r="B1009"/>
      <c r="C1009"/>
      <c r="D1009"/>
      <c r="E1009"/>
      <c r="F1009"/>
      <c r="G1009"/>
      <c r="H1009"/>
      <c r="I1009"/>
    </row>
    <row r="1010" spans="1:9" s="47" customFormat="1" ht="14.4" x14ac:dyDescent="0.3">
      <c r="A1010"/>
      <c r="B1010"/>
      <c r="C1010"/>
      <c r="D1010"/>
      <c r="E1010"/>
      <c r="F1010"/>
      <c r="G1010"/>
      <c r="H1010"/>
      <c r="I1010"/>
    </row>
    <row r="1011" spans="1:9" s="47" customFormat="1" ht="14.4" x14ac:dyDescent="0.3">
      <c r="A1011"/>
      <c r="B1011"/>
      <c r="C1011"/>
      <c r="D1011"/>
      <c r="E1011"/>
      <c r="F1011"/>
      <c r="G1011"/>
      <c r="H1011"/>
      <c r="I1011"/>
    </row>
    <row r="1012" spans="1:9" s="47" customFormat="1" ht="14.4" x14ac:dyDescent="0.3">
      <c r="A1012"/>
      <c r="B1012"/>
      <c r="C1012"/>
      <c r="D1012"/>
      <c r="E1012"/>
      <c r="F1012"/>
      <c r="G1012"/>
      <c r="H1012"/>
      <c r="I1012"/>
    </row>
    <row r="1013" spans="1:9" s="47" customFormat="1" ht="14.4" x14ac:dyDescent="0.3">
      <c r="A1013"/>
      <c r="B1013"/>
      <c r="C1013"/>
      <c r="D1013"/>
      <c r="E1013"/>
      <c r="F1013"/>
      <c r="G1013"/>
      <c r="H1013"/>
      <c r="I1013"/>
    </row>
    <row r="1014" spans="1:9" s="47" customFormat="1" ht="14.4" x14ac:dyDescent="0.3">
      <c r="A1014"/>
      <c r="B1014"/>
      <c r="C1014"/>
      <c r="D1014"/>
      <c r="E1014"/>
      <c r="F1014"/>
      <c r="G1014"/>
      <c r="H1014"/>
      <c r="I1014"/>
    </row>
    <row r="1015" spans="1:9" s="47" customFormat="1" ht="14.4" x14ac:dyDescent="0.3">
      <c r="A1015"/>
      <c r="B1015"/>
      <c r="C1015"/>
      <c r="D1015"/>
      <c r="E1015"/>
      <c r="F1015"/>
      <c r="G1015"/>
      <c r="H1015"/>
      <c r="I1015"/>
    </row>
    <row r="1016" spans="1:9" s="47" customFormat="1" ht="14.4" x14ac:dyDescent="0.3">
      <c r="A1016"/>
      <c r="B1016"/>
      <c r="C1016"/>
      <c r="D1016"/>
      <c r="E1016"/>
      <c r="F1016"/>
      <c r="G1016"/>
      <c r="H1016"/>
      <c r="I1016"/>
    </row>
    <row r="1017" spans="1:9" s="47" customFormat="1" ht="14.4" x14ac:dyDescent="0.3">
      <c r="A1017"/>
      <c r="B1017"/>
      <c r="C1017"/>
      <c r="D1017"/>
      <c r="E1017"/>
      <c r="F1017"/>
      <c r="G1017"/>
      <c r="H1017"/>
      <c r="I1017"/>
    </row>
    <row r="1018" spans="1:9" s="47" customFormat="1" ht="14.4" x14ac:dyDescent="0.3">
      <c r="A1018"/>
      <c r="B1018"/>
      <c r="C1018"/>
      <c r="D1018"/>
      <c r="E1018"/>
      <c r="F1018"/>
      <c r="G1018"/>
      <c r="H1018"/>
      <c r="I1018"/>
    </row>
    <row r="1019" spans="1:9" s="47" customFormat="1" ht="14.4" x14ac:dyDescent="0.3">
      <c r="A1019"/>
      <c r="B1019"/>
      <c r="C1019"/>
      <c r="D1019"/>
      <c r="E1019"/>
      <c r="F1019"/>
      <c r="G1019"/>
      <c r="H1019"/>
      <c r="I1019"/>
    </row>
    <row r="1020" spans="1:9" s="47" customFormat="1" ht="14.4" x14ac:dyDescent="0.3">
      <c r="A1020"/>
      <c r="B1020"/>
      <c r="C1020"/>
      <c r="D1020"/>
      <c r="E1020"/>
      <c r="F1020"/>
      <c r="G1020"/>
      <c r="H1020"/>
      <c r="I1020"/>
    </row>
    <row r="1021" spans="1:9" s="47" customFormat="1" ht="14.4" x14ac:dyDescent="0.3">
      <c r="A1021"/>
      <c r="B1021"/>
      <c r="C1021"/>
      <c r="D1021"/>
      <c r="E1021"/>
      <c r="F1021"/>
      <c r="G1021"/>
      <c r="H1021"/>
      <c r="I1021"/>
    </row>
    <row r="1022" spans="1:9" s="47" customFormat="1" ht="14.4" x14ac:dyDescent="0.3">
      <c r="A1022"/>
      <c r="B1022"/>
      <c r="C1022"/>
      <c r="D1022"/>
      <c r="E1022"/>
      <c r="F1022"/>
      <c r="G1022"/>
      <c r="H1022"/>
      <c r="I1022"/>
    </row>
    <row r="1023" spans="1:9" s="47" customFormat="1" ht="14.4" x14ac:dyDescent="0.3">
      <c r="A1023"/>
      <c r="B1023"/>
      <c r="C1023"/>
      <c r="D1023"/>
      <c r="E1023"/>
      <c r="F1023"/>
      <c r="G1023"/>
      <c r="H1023"/>
      <c r="I1023"/>
    </row>
    <row r="1024" spans="1:9" s="47" customFormat="1" ht="14.4" x14ac:dyDescent="0.3">
      <c r="A1024"/>
      <c r="B1024"/>
      <c r="C1024"/>
      <c r="D1024"/>
      <c r="E1024"/>
      <c r="F1024"/>
      <c r="G1024"/>
      <c r="H1024"/>
      <c r="I1024"/>
    </row>
    <row r="1025" spans="1:9" s="47" customFormat="1" ht="14.4" x14ac:dyDescent="0.3">
      <c r="A1025"/>
      <c r="B1025"/>
      <c r="C1025"/>
      <c r="D1025"/>
      <c r="E1025"/>
      <c r="F1025"/>
      <c r="G1025"/>
      <c r="H1025"/>
      <c r="I1025"/>
    </row>
    <row r="1026" spans="1:9" s="47" customFormat="1" ht="14.4" x14ac:dyDescent="0.3">
      <c r="A1026"/>
      <c r="B1026"/>
      <c r="C1026"/>
      <c r="D1026"/>
      <c r="E1026"/>
      <c r="F1026"/>
      <c r="G1026"/>
      <c r="H1026"/>
      <c r="I1026"/>
    </row>
    <row r="1027" spans="1:9" s="47" customFormat="1" ht="14.4" x14ac:dyDescent="0.3">
      <c r="A1027"/>
      <c r="B1027"/>
      <c r="C1027"/>
      <c r="D1027"/>
      <c r="E1027"/>
      <c r="F1027"/>
      <c r="G1027"/>
      <c r="H1027"/>
      <c r="I1027"/>
    </row>
    <row r="1028" spans="1:9" s="47" customFormat="1" ht="14.4" x14ac:dyDescent="0.3">
      <c r="A1028"/>
      <c r="B1028"/>
      <c r="C1028"/>
      <c r="D1028"/>
      <c r="E1028"/>
      <c r="F1028"/>
      <c r="G1028"/>
      <c r="H1028"/>
      <c r="I1028"/>
    </row>
    <row r="1029" spans="1:9" s="47" customFormat="1" ht="14.4" x14ac:dyDescent="0.3">
      <c r="A1029"/>
      <c r="B1029"/>
      <c r="C1029"/>
      <c r="D1029"/>
      <c r="E1029"/>
      <c r="F1029"/>
      <c r="G1029"/>
      <c r="H1029"/>
      <c r="I1029"/>
    </row>
    <row r="1030" spans="1:9" s="47" customFormat="1" ht="14.4" x14ac:dyDescent="0.3">
      <c r="A1030"/>
      <c r="B1030"/>
      <c r="C1030"/>
      <c r="D1030"/>
      <c r="E1030"/>
      <c r="F1030"/>
      <c r="G1030"/>
      <c r="H1030"/>
      <c r="I1030"/>
    </row>
    <row r="1031" spans="1:9" s="47" customFormat="1" ht="14.4" x14ac:dyDescent="0.3">
      <c r="A1031"/>
      <c r="B1031"/>
      <c r="C1031"/>
      <c r="D1031"/>
      <c r="E1031"/>
      <c r="F1031"/>
      <c r="G1031"/>
      <c r="H1031"/>
      <c r="I1031"/>
    </row>
    <row r="1032" spans="1:9" s="47" customFormat="1" ht="14.4" x14ac:dyDescent="0.3">
      <c r="A1032"/>
      <c r="B1032"/>
      <c r="C1032"/>
      <c r="D1032"/>
      <c r="E1032"/>
      <c r="F1032"/>
      <c r="G1032"/>
      <c r="H1032"/>
      <c r="I1032"/>
    </row>
    <row r="1033" spans="1:9" s="47" customFormat="1" ht="14.4" x14ac:dyDescent="0.3">
      <c r="A1033"/>
      <c r="B1033"/>
      <c r="C1033"/>
      <c r="D1033"/>
      <c r="E1033"/>
      <c r="F1033"/>
      <c r="G1033"/>
      <c r="H1033"/>
      <c r="I1033"/>
    </row>
    <row r="1034" spans="1:9" s="47" customFormat="1" ht="14.4" x14ac:dyDescent="0.3">
      <c r="A1034"/>
      <c r="B1034"/>
      <c r="C1034"/>
      <c r="D1034"/>
      <c r="E1034"/>
      <c r="F1034"/>
      <c r="G1034"/>
      <c r="H1034"/>
      <c r="I1034"/>
    </row>
    <row r="1035" spans="1:9" s="47" customFormat="1" ht="14.4" x14ac:dyDescent="0.3">
      <c r="A1035"/>
      <c r="B1035"/>
      <c r="C1035"/>
      <c r="D1035"/>
      <c r="E1035"/>
      <c r="F1035"/>
      <c r="G1035"/>
      <c r="H1035"/>
      <c r="I1035"/>
    </row>
    <row r="1036" spans="1:9" s="47" customFormat="1" ht="14.4" x14ac:dyDescent="0.3">
      <c r="A1036"/>
      <c r="B1036"/>
      <c r="C1036"/>
      <c r="D1036"/>
      <c r="E1036"/>
      <c r="F1036"/>
      <c r="G1036"/>
      <c r="H1036"/>
      <c r="I1036"/>
    </row>
    <row r="1037" spans="1:9" s="47" customFormat="1" ht="14.4" x14ac:dyDescent="0.3">
      <c r="A1037"/>
      <c r="B1037"/>
      <c r="C1037"/>
      <c r="D1037"/>
      <c r="E1037"/>
      <c r="F1037"/>
      <c r="G1037"/>
      <c r="H1037"/>
      <c r="I1037"/>
    </row>
    <row r="1038" spans="1:9" s="47" customFormat="1" ht="14.4" x14ac:dyDescent="0.3">
      <c r="A1038"/>
      <c r="B1038"/>
      <c r="C1038"/>
      <c r="D1038"/>
      <c r="E1038"/>
      <c r="F1038"/>
      <c r="G1038"/>
      <c r="H1038"/>
      <c r="I1038"/>
    </row>
    <row r="1039" spans="1:9" s="47" customFormat="1" ht="14.4" x14ac:dyDescent="0.3">
      <c r="A1039"/>
      <c r="B1039"/>
      <c r="C1039"/>
      <c r="D1039"/>
      <c r="E1039"/>
      <c r="F1039"/>
      <c r="G1039"/>
      <c r="H1039"/>
      <c r="I1039"/>
    </row>
    <row r="1040" spans="1:9" s="47" customFormat="1" ht="14.4" x14ac:dyDescent="0.3">
      <c r="A1040"/>
      <c r="B1040"/>
      <c r="C1040"/>
      <c r="D1040"/>
      <c r="E1040"/>
      <c r="F1040"/>
      <c r="G1040"/>
      <c r="H1040"/>
      <c r="I1040"/>
    </row>
    <row r="1041" spans="1:9" s="47" customFormat="1" ht="14.4" x14ac:dyDescent="0.3">
      <c r="A1041"/>
      <c r="B1041"/>
      <c r="C1041"/>
      <c r="D1041"/>
      <c r="E1041"/>
      <c r="F1041"/>
      <c r="G1041"/>
      <c r="H1041"/>
      <c r="I1041"/>
    </row>
    <row r="1042" spans="1:9" s="47" customFormat="1" ht="14.4" x14ac:dyDescent="0.3">
      <c r="A1042"/>
      <c r="B1042"/>
      <c r="C1042"/>
      <c r="D1042"/>
      <c r="E1042"/>
      <c r="F1042"/>
      <c r="G1042"/>
      <c r="H1042"/>
      <c r="I1042"/>
    </row>
    <row r="1043" spans="1:9" s="47" customFormat="1" ht="14.4" x14ac:dyDescent="0.3">
      <c r="A1043"/>
      <c r="B1043"/>
      <c r="C1043"/>
      <c r="D1043"/>
      <c r="E1043"/>
      <c r="F1043"/>
      <c r="G1043"/>
      <c r="H1043"/>
      <c r="I1043"/>
    </row>
    <row r="1044" spans="1:9" s="47" customFormat="1" ht="14.4" x14ac:dyDescent="0.3">
      <c r="A1044"/>
      <c r="B1044"/>
      <c r="C1044"/>
      <c r="D1044"/>
      <c r="E1044"/>
      <c r="F1044"/>
      <c r="G1044"/>
      <c r="H1044"/>
      <c r="I1044"/>
    </row>
    <row r="1045" spans="1:9" s="47" customFormat="1" ht="14.4" x14ac:dyDescent="0.3">
      <c r="A1045"/>
      <c r="B1045"/>
      <c r="C1045"/>
      <c r="D1045"/>
      <c r="E1045"/>
      <c r="F1045"/>
      <c r="G1045"/>
      <c r="H1045"/>
      <c r="I1045"/>
    </row>
    <row r="1046" spans="1:9" s="47" customFormat="1" ht="14.4" x14ac:dyDescent="0.3">
      <c r="A1046"/>
      <c r="B1046"/>
      <c r="C1046"/>
      <c r="D1046"/>
      <c r="E1046"/>
      <c r="F1046"/>
      <c r="G1046"/>
      <c r="H1046"/>
      <c r="I1046"/>
    </row>
    <row r="1047" spans="1:9" s="47" customFormat="1" ht="14.4" x14ac:dyDescent="0.3">
      <c r="A1047"/>
      <c r="B1047"/>
      <c r="C1047"/>
      <c r="D1047"/>
      <c r="E1047"/>
      <c r="F1047"/>
      <c r="G1047"/>
      <c r="H1047"/>
      <c r="I1047"/>
    </row>
    <row r="1048" spans="1:9" s="47" customFormat="1" ht="14.4" x14ac:dyDescent="0.3">
      <c r="A1048"/>
      <c r="B1048"/>
      <c r="C1048"/>
      <c r="D1048"/>
      <c r="E1048"/>
      <c r="F1048"/>
      <c r="G1048"/>
      <c r="H1048"/>
      <c r="I1048"/>
    </row>
    <row r="1049" spans="1:9" s="47" customFormat="1" ht="14.4" x14ac:dyDescent="0.3">
      <c r="A1049"/>
      <c r="B1049"/>
      <c r="C1049"/>
      <c r="D1049"/>
      <c r="E1049"/>
      <c r="F1049"/>
      <c r="G1049"/>
      <c r="H1049"/>
      <c r="I1049"/>
    </row>
    <row r="1050" spans="1:9" s="47" customFormat="1" ht="14.4" x14ac:dyDescent="0.3">
      <c r="A1050"/>
      <c r="B1050"/>
      <c r="C1050"/>
      <c r="D1050"/>
      <c r="E1050"/>
      <c r="F1050"/>
      <c r="G1050"/>
      <c r="H1050"/>
      <c r="I1050"/>
    </row>
    <row r="1051" spans="1:9" s="47" customFormat="1" ht="14.4" x14ac:dyDescent="0.3">
      <c r="A1051"/>
      <c r="B1051"/>
      <c r="C1051"/>
      <c r="D1051"/>
      <c r="E1051"/>
      <c r="F1051"/>
      <c r="G1051"/>
      <c r="H1051"/>
      <c r="I1051"/>
    </row>
    <row r="1052" spans="1:9" s="47" customFormat="1" ht="14.4" x14ac:dyDescent="0.3">
      <c r="A1052"/>
      <c r="B1052"/>
      <c r="C1052"/>
      <c r="D1052"/>
      <c r="E1052"/>
      <c r="F1052"/>
      <c r="G1052"/>
      <c r="H1052"/>
      <c r="I1052"/>
    </row>
    <row r="1053" spans="1:9" s="47" customFormat="1" ht="14.4" x14ac:dyDescent="0.3">
      <c r="A1053"/>
      <c r="B1053"/>
      <c r="C1053"/>
      <c r="D1053"/>
      <c r="E1053"/>
      <c r="F1053"/>
      <c r="G1053"/>
      <c r="H1053"/>
      <c r="I1053"/>
    </row>
    <row r="1054" spans="1:9" s="47" customFormat="1" ht="14.4" x14ac:dyDescent="0.3">
      <c r="A1054"/>
      <c r="B1054"/>
      <c r="C1054"/>
      <c r="D1054"/>
      <c r="E1054"/>
      <c r="F1054"/>
      <c r="G1054"/>
      <c r="H1054"/>
      <c r="I1054"/>
    </row>
    <row r="1055" spans="1:9" s="47" customFormat="1" ht="14.4" x14ac:dyDescent="0.3">
      <c r="A1055"/>
      <c r="B1055"/>
      <c r="C1055"/>
      <c r="D1055"/>
      <c r="E1055"/>
      <c r="F1055"/>
      <c r="G1055"/>
      <c r="H1055"/>
      <c r="I1055"/>
    </row>
    <row r="1056" spans="1:9" s="47" customFormat="1" ht="14.4" x14ac:dyDescent="0.3">
      <c r="A1056"/>
      <c r="B1056"/>
      <c r="C1056"/>
      <c r="D1056"/>
      <c r="E1056"/>
      <c r="F1056"/>
      <c r="G1056"/>
      <c r="H1056"/>
      <c r="I1056"/>
    </row>
    <row r="1057" spans="1:9" s="47" customFormat="1" ht="14.4" x14ac:dyDescent="0.3">
      <c r="A1057"/>
      <c r="B1057"/>
      <c r="C1057"/>
      <c r="D1057"/>
      <c r="E1057"/>
      <c r="F1057"/>
      <c r="G1057"/>
      <c r="H1057"/>
      <c r="I1057"/>
    </row>
    <row r="1058" spans="1:9" s="47" customFormat="1" ht="14.4" x14ac:dyDescent="0.3">
      <c r="A1058"/>
      <c r="B1058"/>
      <c r="C1058"/>
      <c r="D1058"/>
      <c r="E1058"/>
      <c r="F1058"/>
      <c r="G1058"/>
      <c r="H1058"/>
      <c r="I1058"/>
    </row>
    <row r="1059" spans="1:9" s="47" customFormat="1" ht="14.4" x14ac:dyDescent="0.3">
      <c r="A1059"/>
      <c r="B1059"/>
      <c r="C1059"/>
      <c r="D1059"/>
      <c r="E1059"/>
      <c r="F1059"/>
      <c r="G1059"/>
      <c r="H1059"/>
      <c r="I1059"/>
    </row>
    <row r="1060" spans="1:9" s="47" customFormat="1" ht="14.4" x14ac:dyDescent="0.3">
      <c r="A1060"/>
      <c r="B1060"/>
      <c r="C1060"/>
      <c r="D1060"/>
      <c r="E1060"/>
      <c r="F1060"/>
      <c r="G1060"/>
      <c r="H1060"/>
      <c r="I1060"/>
    </row>
    <row r="1061" spans="1:9" s="47" customFormat="1" ht="14.4" x14ac:dyDescent="0.3">
      <c r="A1061"/>
      <c r="B1061"/>
      <c r="C1061"/>
      <c r="D1061"/>
      <c r="E1061"/>
      <c r="F1061"/>
      <c r="G1061"/>
      <c r="H1061"/>
      <c r="I1061"/>
    </row>
    <row r="1062" spans="1:9" s="47" customFormat="1" ht="14.4" x14ac:dyDescent="0.3">
      <c r="A1062"/>
      <c r="B1062"/>
      <c r="C1062"/>
      <c r="D1062"/>
      <c r="E1062"/>
      <c r="F1062"/>
      <c r="G1062"/>
      <c r="H1062"/>
      <c r="I1062"/>
    </row>
    <row r="1063" spans="1:9" s="47" customFormat="1" ht="14.4" x14ac:dyDescent="0.3">
      <c r="A1063"/>
      <c r="B1063"/>
      <c r="C1063"/>
      <c r="D1063"/>
      <c r="E1063"/>
      <c r="F1063"/>
      <c r="G1063"/>
      <c r="H1063"/>
      <c r="I1063"/>
    </row>
    <row r="1064" spans="1:9" s="47" customFormat="1" ht="14.4" x14ac:dyDescent="0.3">
      <c r="A1064"/>
      <c r="B1064"/>
      <c r="C1064"/>
      <c r="D1064"/>
      <c r="E1064"/>
      <c r="F1064"/>
      <c r="G1064"/>
      <c r="H1064"/>
      <c r="I1064"/>
    </row>
    <row r="1065" spans="1:9" s="47" customFormat="1" ht="14.4" x14ac:dyDescent="0.3">
      <c r="A1065"/>
      <c r="B1065"/>
      <c r="C1065"/>
      <c r="D1065"/>
      <c r="E1065"/>
      <c r="F1065"/>
      <c r="G1065"/>
      <c r="H1065"/>
      <c r="I1065"/>
    </row>
    <row r="1066" spans="1:9" s="47" customFormat="1" ht="14.4" x14ac:dyDescent="0.3">
      <c r="A1066"/>
      <c r="B1066"/>
      <c r="C1066"/>
      <c r="D1066"/>
      <c r="E1066"/>
      <c r="F1066"/>
      <c r="G1066"/>
      <c r="H1066"/>
      <c r="I1066"/>
    </row>
    <row r="1067" spans="1:9" s="47" customFormat="1" ht="14.4" x14ac:dyDescent="0.3">
      <c r="A1067"/>
      <c r="B1067"/>
      <c r="C1067"/>
      <c r="D1067"/>
      <c r="E1067"/>
      <c r="F1067"/>
      <c r="G1067"/>
      <c r="H1067"/>
      <c r="I1067"/>
    </row>
    <row r="1068" spans="1:9" s="47" customFormat="1" ht="14.4" x14ac:dyDescent="0.3">
      <c r="A1068"/>
      <c r="B1068"/>
      <c r="C1068"/>
      <c r="D1068"/>
      <c r="E1068"/>
      <c r="F1068"/>
      <c r="G1068"/>
      <c r="H1068"/>
      <c r="I1068"/>
    </row>
    <row r="1069" spans="1:9" s="47" customFormat="1" ht="14.4" x14ac:dyDescent="0.3">
      <c r="A1069"/>
      <c r="B1069"/>
      <c r="C1069"/>
      <c r="D1069"/>
      <c r="E1069"/>
      <c r="F1069"/>
      <c r="G1069"/>
      <c r="H1069"/>
      <c r="I1069"/>
    </row>
    <row r="1070" spans="1:9" s="47" customFormat="1" ht="14.4" x14ac:dyDescent="0.3">
      <c r="A1070"/>
      <c r="B1070"/>
      <c r="C1070"/>
      <c r="D1070"/>
      <c r="E1070"/>
      <c r="F1070"/>
      <c r="G1070"/>
      <c r="H1070"/>
      <c r="I1070"/>
    </row>
    <row r="1071" spans="1:9" s="47" customFormat="1" ht="14.4" x14ac:dyDescent="0.3">
      <c r="A1071"/>
      <c r="B1071"/>
      <c r="C1071"/>
      <c r="D1071"/>
      <c r="E1071"/>
      <c r="F1071"/>
      <c r="G1071"/>
      <c r="H1071"/>
      <c r="I1071"/>
    </row>
    <row r="1072" spans="1:9" s="47" customFormat="1" ht="14.4" x14ac:dyDescent="0.3">
      <c r="A1072"/>
      <c r="B1072"/>
      <c r="C1072"/>
      <c r="D1072"/>
      <c r="E1072"/>
      <c r="F1072"/>
      <c r="G1072"/>
      <c r="H1072"/>
      <c r="I1072"/>
    </row>
    <row r="1073" spans="1:9" s="47" customFormat="1" ht="14.4" x14ac:dyDescent="0.3">
      <c r="A1073"/>
      <c r="B1073"/>
      <c r="C1073"/>
      <c r="D1073"/>
      <c r="E1073"/>
      <c r="F1073"/>
      <c r="G1073"/>
      <c r="H1073"/>
      <c r="I1073"/>
    </row>
    <row r="1074" spans="1:9" s="47" customFormat="1" ht="14.4" x14ac:dyDescent="0.3">
      <c r="A1074"/>
      <c r="B1074"/>
      <c r="C1074"/>
      <c r="D1074"/>
      <c r="E1074"/>
      <c r="F1074"/>
      <c r="G1074"/>
      <c r="H1074"/>
      <c r="I1074"/>
    </row>
    <row r="1075" spans="1:9" s="47" customFormat="1" ht="14.4" x14ac:dyDescent="0.3">
      <c r="A1075"/>
      <c r="B1075"/>
      <c r="C1075"/>
      <c r="D1075"/>
      <c r="E1075"/>
      <c r="F1075"/>
      <c r="G1075"/>
      <c r="H1075"/>
      <c r="I1075"/>
    </row>
    <row r="1076" spans="1:9" s="47" customFormat="1" ht="14.4" x14ac:dyDescent="0.3">
      <c r="A1076"/>
      <c r="B1076"/>
      <c r="C1076"/>
      <c r="D1076"/>
      <c r="E1076"/>
      <c r="F1076"/>
      <c r="G1076"/>
      <c r="H1076"/>
      <c r="I1076"/>
    </row>
    <row r="1077" spans="1:9" s="47" customFormat="1" ht="14.4" x14ac:dyDescent="0.3">
      <c r="A1077"/>
      <c r="B1077"/>
      <c r="C1077"/>
      <c r="D1077"/>
      <c r="E1077"/>
      <c r="F1077"/>
      <c r="G1077"/>
      <c r="H1077"/>
      <c r="I1077"/>
    </row>
    <row r="1078" spans="1:9" s="47" customFormat="1" ht="14.4" x14ac:dyDescent="0.3">
      <c r="A1078"/>
      <c r="B1078"/>
      <c r="C1078"/>
      <c r="D1078"/>
      <c r="E1078"/>
      <c r="F1078"/>
      <c r="G1078"/>
      <c r="H1078"/>
      <c r="I1078"/>
    </row>
    <row r="1079" spans="1:9" s="47" customFormat="1" ht="14.4" x14ac:dyDescent="0.3">
      <c r="A1079"/>
      <c r="B1079"/>
      <c r="C1079"/>
      <c r="D1079"/>
      <c r="E1079"/>
      <c r="F1079"/>
      <c r="G1079"/>
      <c r="H1079"/>
      <c r="I1079"/>
    </row>
    <row r="1080" spans="1:9" s="47" customFormat="1" ht="14.4" x14ac:dyDescent="0.3">
      <c r="A1080"/>
      <c r="B1080"/>
      <c r="C1080"/>
      <c r="D1080"/>
      <c r="E1080"/>
      <c r="F1080"/>
      <c r="G1080"/>
      <c r="H1080"/>
      <c r="I1080"/>
    </row>
    <row r="1081" spans="1:9" s="47" customFormat="1" ht="14.4" x14ac:dyDescent="0.3">
      <c r="A1081"/>
      <c r="B1081"/>
      <c r="C1081"/>
      <c r="D1081"/>
      <c r="E1081"/>
      <c r="F1081"/>
      <c r="G1081"/>
      <c r="H1081"/>
      <c r="I1081"/>
    </row>
    <row r="1082" spans="1:9" s="47" customFormat="1" ht="14.4" x14ac:dyDescent="0.3">
      <c r="A1082"/>
      <c r="B1082"/>
      <c r="C1082"/>
      <c r="D1082"/>
      <c r="E1082"/>
      <c r="F1082"/>
      <c r="G1082"/>
      <c r="H1082"/>
      <c r="I1082"/>
    </row>
    <row r="1083" spans="1:9" s="47" customFormat="1" ht="14.4" x14ac:dyDescent="0.3">
      <c r="A1083"/>
      <c r="B1083"/>
      <c r="C1083"/>
      <c r="D1083"/>
      <c r="E1083"/>
      <c r="F1083"/>
      <c r="G1083"/>
      <c r="H1083"/>
      <c r="I1083"/>
    </row>
    <row r="1084" spans="1:9" s="47" customFormat="1" ht="14.4" x14ac:dyDescent="0.3">
      <c r="A1084"/>
      <c r="B1084"/>
      <c r="C1084"/>
      <c r="D1084"/>
      <c r="E1084"/>
      <c r="F1084"/>
      <c r="G1084"/>
      <c r="H1084"/>
      <c r="I1084"/>
    </row>
    <row r="1085" spans="1:9" s="47" customFormat="1" ht="14.4" x14ac:dyDescent="0.3">
      <c r="A1085"/>
      <c r="B1085"/>
      <c r="C1085"/>
      <c r="D1085"/>
      <c r="E1085"/>
      <c r="F1085"/>
      <c r="G1085"/>
      <c r="H1085"/>
      <c r="I1085"/>
    </row>
    <row r="1086" spans="1:9" s="47" customFormat="1" ht="14.4" x14ac:dyDescent="0.3">
      <c r="A1086"/>
      <c r="B1086"/>
      <c r="C1086"/>
      <c r="D1086"/>
      <c r="E1086"/>
      <c r="F1086"/>
      <c r="G1086"/>
      <c r="H1086"/>
      <c r="I1086"/>
    </row>
    <row r="1087" spans="1:9" s="47" customFormat="1" ht="14.4" x14ac:dyDescent="0.3">
      <c r="A1087"/>
      <c r="B1087"/>
      <c r="C1087"/>
      <c r="D1087"/>
      <c r="E1087"/>
      <c r="F1087"/>
      <c r="G1087"/>
      <c r="H1087"/>
      <c r="I1087"/>
    </row>
    <row r="1088" spans="1:9" s="47" customFormat="1" ht="14.4" x14ac:dyDescent="0.3">
      <c r="A1088"/>
      <c r="B1088"/>
      <c r="C1088"/>
      <c r="D1088"/>
      <c r="E1088"/>
      <c r="F1088"/>
      <c r="G1088"/>
      <c r="H1088"/>
      <c r="I1088"/>
    </row>
    <row r="1089" spans="1:9" s="47" customFormat="1" ht="14.4" x14ac:dyDescent="0.3">
      <c r="A1089"/>
      <c r="B1089"/>
      <c r="C1089"/>
      <c r="D1089"/>
      <c r="E1089"/>
      <c r="F1089"/>
      <c r="G1089"/>
      <c r="H1089"/>
      <c r="I1089"/>
    </row>
    <row r="1090" spans="1:9" s="47" customFormat="1" ht="14.4" x14ac:dyDescent="0.3">
      <c r="A1090"/>
      <c r="B1090"/>
      <c r="C1090"/>
      <c r="D1090"/>
      <c r="E1090"/>
      <c r="F1090"/>
      <c r="G1090"/>
      <c r="H1090"/>
      <c r="I1090"/>
    </row>
    <row r="1091" spans="1:9" s="47" customFormat="1" ht="14.4" x14ac:dyDescent="0.3">
      <c r="A1091"/>
      <c r="B1091"/>
      <c r="C1091"/>
      <c r="D1091"/>
      <c r="E1091"/>
      <c r="F1091"/>
      <c r="G1091"/>
      <c r="H1091"/>
      <c r="I1091"/>
    </row>
    <row r="1092" spans="1:9" s="47" customFormat="1" ht="14.4" x14ac:dyDescent="0.3">
      <c r="A1092"/>
      <c r="B1092"/>
      <c r="C1092"/>
      <c r="D1092"/>
      <c r="E1092"/>
      <c r="F1092"/>
      <c r="G1092"/>
      <c r="H1092"/>
      <c r="I1092"/>
    </row>
    <row r="1093" spans="1:9" s="47" customFormat="1" ht="14.4" x14ac:dyDescent="0.3">
      <c r="A1093"/>
      <c r="B1093"/>
      <c r="C1093"/>
      <c r="D1093"/>
      <c r="E1093"/>
      <c r="F1093"/>
      <c r="G1093"/>
      <c r="H1093"/>
      <c r="I1093"/>
    </row>
    <row r="1094" spans="1:9" s="47" customFormat="1" ht="14.4" x14ac:dyDescent="0.3">
      <c r="A1094"/>
      <c r="B1094"/>
      <c r="C1094"/>
      <c r="D1094"/>
      <c r="E1094"/>
      <c r="F1094"/>
      <c r="G1094"/>
      <c r="H1094"/>
      <c r="I1094"/>
    </row>
    <row r="1095" spans="1:9" s="47" customFormat="1" ht="14.4" x14ac:dyDescent="0.3">
      <c r="A1095"/>
      <c r="B1095"/>
      <c r="C1095"/>
      <c r="D1095"/>
      <c r="E1095"/>
      <c r="F1095"/>
      <c r="G1095"/>
      <c r="H1095"/>
      <c r="I1095"/>
    </row>
    <row r="1096" spans="1:9" s="47" customFormat="1" ht="14.4" x14ac:dyDescent="0.3">
      <c r="A1096"/>
      <c r="B1096"/>
      <c r="C1096"/>
      <c r="D1096"/>
      <c r="E1096"/>
      <c r="F1096"/>
      <c r="G1096"/>
      <c r="H1096"/>
      <c r="I1096"/>
    </row>
    <row r="1097" spans="1:9" s="47" customFormat="1" ht="14.4" x14ac:dyDescent="0.3">
      <c r="A1097"/>
      <c r="B1097"/>
      <c r="C1097"/>
      <c r="D1097"/>
      <c r="E1097"/>
      <c r="F1097"/>
      <c r="G1097"/>
      <c r="H1097"/>
      <c r="I1097"/>
    </row>
    <row r="1098" spans="1:9" s="47" customFormat="1" ht="14.4" x14ac:dyDescent="0.3">
      <c r="A1098"/>
      <c r="B1098"/>
      <c r="C1098"/>
      <c r="D1098"/>
      <c r="E1098"/>
      <c r="F1098"/>
      <c r="G1098"/>
      <c r="H1098"/>
      <c r="I1098"/>
    </row>
    <row r="1099" spans="1:9" s="47" customFormat="1" ht="14.4" x14ac:dyDescent="0.3">
      <c r="A1099"/>
      <c r="B1099"/>
      <c r="C1099"/>
      <c r="D1099"/>
      <c r="E1099"/>
      <c r="F1099"/>
      <c r="G1099"/>
      <c r="H1099"/>
      <c r="I1099"/>
    </row>
    <row r="1100" spans="1:9" s="47" customFormat="1" ht="14.4" x14ac:dyDescent="0.3">
      <c r="A1100"/>
      <c r="B1100"/>
      <c r="C1100"/>
      <c r="D1100"/>
      <c r="E1100"/>
      <c r="F1100"/>
      <c r="G1100"/>
      <c r="H1100"/>
      <c r="I1100"/>
    </row>
    <row r="1101" spans="1:9" s="47" customFormat="1" ht="14.4" x14ac:dyDescent="0.3">
      <c r="A1101"/>
      <c r="B1101"/>
      <c r="C1101"/>
      <c r="D1101"/>
      <c r="E1101"/>
      <c r="F1101"/>
      <c r="G1101"/>
      <c r="H1101"/>
      <c r="I1101"/>
    </row>
    <row r="1102" spans="1:9" s="47" customFormat="1" ht="14.4" x14ac:dyDescent="0.3">
      <c r="A1102"/>
      <c r="B1102"/>
      <c r="C1102"/>
      <c r="D1102"/>
      <c r="E1102"/>
      <c r="F1102"/>
      <c r="G1102"/>
      <c r="H1102"/>
      <c r="I1102"/>
    </row>
    <row r="1103" spans="1:9" s="47" customFormat="1" ht="14.4" x14ac:dyDescent="0.3">
      <c r="A1103"/>
      <c r="B1103"/>
      <c r="C1103"/>
      <c r="D1103"/>
      <c r="E1103"/>
      <c r="F1103"/>
      <c r="G1103"/>
      <c r="H1103"/>
      <c r="I1103"/>
    </row>
    <row r="1104" spans="1:9" s="47" customFormat="1" ht="14.4" x14ac:dyDescent="0.3">
      <c r="A1104"/>
      <c r="B1104"/>
      <c r="C1104"/>
      <c r="D1104"/>
      <c r="E1104"/>
      <c r="F1104"/>
      <c r="G1104"/>
      <c r="H1104"/>
      <c r="I1104"/>
    </row>
    <row r="1105" spans="1:9" s="47" customFormat="1" ht="14.4" x14ac:dyDescent="0.3">
      <c r="A1105"/>
      <c r="B1105"/>
      <c r="C1105"/>
      <c r="D1105"/>
      <c r="E1105"/>
      <c r="F1105"/>
      <c r="G1105"/>
      <c r="H1105"/>
      <c r="I1105"/>
    </row>
    <row r="1106" spans="1:9" s="47" customFormat="1" ht="14.4" x14ac:dyDescent="0.3">
      <c r="A1106"/>
      <c r="B1106"/>
      <c r="C1106"/>
      <c r="D1106"/>
      <c r="E1106"/>
      <c r="F1106"/>
      <c r="G1106"/>
      <c r="H1106"/>
      <c r="I1106"/>
    </row>
    <row r="1107" spans="1:9" s="47" customFormat="1" ht="14.4" x14ac:dyDescent="0.3">
      <c r="A1107"/>
      <c r="B1107"/>
      <c r="C1107"/>
      <c r="D1107"/>
      <c r="E1107"/>
      <c r="F1107"/>
      <c r="G1107"/>
      <c r="H1107"/>
      <c r="I1107"/>
    </row>
    <row r="1108" spans="1:9" s="47" customFormat="1" ht="14.4" x14ac:dyDescent="0.3">
      <c r="A1108"/>
      <c r="B1108"/>
      <c r="C1108"/>
      <c r="D1108"/>
      <c r="E1108"/>
      <c r="F1108"/>
      <c r="G1108"/>
      <c r="H1108"/>
      <c r="I1108"/>
    </row>
    <row r="1109" spans="1:9" s="47" customFormat="1" ht="14.4" x14ac:dyDescent="0.3">
      <c r="A1109"/>
      <c r="B1109"/>
      <c r="C1109"/>
      <c r="D1109"/>
      <c r="E1109"/>
      <c r="F1109"/>
      <c r="G1109"/>
      <c r="H1109"/>
      <c r="I1109"/>
    </row>
    <row r="1110" spans="1:9" s="47" customFormat="1" ht="14.4" x14ac:dyDescent="0.3">
      <c r="A1110"/>
      <c r="B1110"/>
      <c r="C1110"/>
      <c r="D1110"/>
      <c r="E1110"/>
      <c r="F1110"/>
      <c r="G1110"/>
      <c r="H1110"/>
      <c r="I1110"/>
    </row>
    <row r="1111" spans="1:9" s="47" customFormat="1" ht="14.4" x14ac:dyDescent="0.3">
      <c r="A1111"/>
      <c r="B1111"/>
      <c r="C1111"/>
      <c r="D1111"/>
      <c r="E1111"/>
      <c r="F1111"/>
      <c r="G1111"/>
      <c r="H1111"/>
      <c r="I1111"/>
    </row>
    <row r="1112" spans="1:9" s="47" customFormat="1" ht="14.4" x14ac:dyDescent="0.3">
      <c r="A1112"/>
      <c r="B1112"/>
      <c r="C1112"/>
      <c r="D1112"/>
      <c r="E1112"/>
      <c r="F1112"/>
      <c r="G1112"/>
      <c r="H1112"/>
      <c r="I1112"/>
    </row>
    <row r="1113" spans="1:9" s="47" customFormat="1" ht="14.4" x14ac:dyDescent="0.3">
      <c r="A1113"/>
      <c r="B1113"/>
      <c r="C1113"/>
      <c r="D1113"/>
      <c r="E1113"/>
      <c r="F1113"/>
      <c r="G1113"/>
      <c r="H1113"/>
      <c r="I1113"/>
    </row>
    <row r="1114" spans="1:9" s="47" customFormat="1" ht="14.4" x14ac:dyDescent="0.3">
      <c r="A1114"/>
      <c r="B1114"/>
      <c r="C1114"/>
      <c r="D1114"/>
      <c r="E1114"/>
      <c r="F1114"/>
      <c r="G1114"/>
      <c r="H1114"/>
      <c r="I1114"/>
    </row>
    <row r="1115" spans="1:9" s="47" customFormat="1" ht="14.4" x14ac:dyDescent="0.3">
      <c r="A1115"/>
      <c r="B1115"/>
      <c r="C1115"/>
      <c r="D1115"/>
      <c r="E1115"/>
      <c r="F1115"/>
      <c r="G1115"/>
      <c r="H1115"/>
      <c r="I1115"/>
    </row>
    <row r="1116" spans="1:9" s="47" customFormat="1" ht="14.4" x14ac:dyDescent="0.3">
      <c r="A1116"/>
      <c r="B1116"/>
      <c r="C1116"/>
      <c r="D1116"/>
      <c r="E1116"/>
      <c r="F1116"/>
      <c r="G1116"/>
      <c r="H1116"/>
      <c r="I1116"/>
    </row>
    <row r="1117" spans="1:9" s="47" customFormat="1" ht="14.4" x14ac:dyDescent="0.3">
      <c r="A1117"/>
      <c r="B1117"/>
      <c r="C1117"/>
      <c r="D1117"/>
      <c r="E1117"/>
      <c r="F1117"/>
      <c r="G1117"/>
      <c r="H1117"/>
      <c r="I1117"/>
    </row>
    <row r="1118" spans="1:9" s="47" customFormat="1" ht="14.4" x14ac:dyDescent="0.3">
      <c r="A1118"/>
      <c r="B1118"/>
      <c r="C1118"/>
      <c r="D1118"/>
      <c r="E1118"/>
      <c r="F1118"/>
      <c r="G1118"/>
      <c r="H1118"/>
      <c r="I1118"/>
    </row>
    <row r="1119" spans="1:9" s="47" customFormat="1" ht="14.4" x14ac:dyDescent="0.3">
      <c r="A1119"/>
      <c r="B1119"/>
      <c r="C1119"/>
      <c r="D1119"/>
      <c r="E1119"/>
      <c r="F1119"/>
      <c r="G1119"/>
      <c r="H1119"/>
      <c r="I1119"/>
    </row>
    <row r="1120" spans="1:9" s="47" customFormat="1" ht="14.4" x14ac:dyDescent="0.3">
      <c r="A1120"/>
      <c r="B1120"/>
      <c r="C1120"/>
      <c r="D1120"/>
      <c r="E1120"/>
      <c r="F1120"/>
      <c r="G1120"/>
      <c r="H1120"/>
      <c r="I1120"/>
    </row>
    <row r="1121" spans="1:9" s="47" customFormat="1" ht="14.4" x14ac:dyDescent="0.3">
      <c r="A1121"/>
      <c r="B1121"/>
      <c r="C1121"/>
      <c r="D1121"/>
      <c r="E1121"/>
      <c r="F1121"/>
      <c r="G1121"/>
      <c r="H1121"/>
      <c r="I1121"/>
    </row>
    <row r="1122" spans="1:9" s="47" customFormat="1" ht="14.4" x14ac:dyDescent="0.3">
      <c r="A1122"/>
      <c r="B1122"/>
      <c r="C1122"/>
      <c r="D1122"/>
      <c r="E1122"/>
      <c r="F1122"/>
      <c r="G1122"/>
      <c r="H1122"/>
      <c r="I1122"/>
    </row>
    <row r="1123" spans="1:9" s="47" customFormat="1" ht="14.4" x14ac:dyDescent="0.3">
      <c r="A1123"/>
      <c r="B1123"/>
      <c r="C1123"/>
      <c r="D1123"/>
      <c r="E1123"/>
      <c r="F1123"/>
      <c r="G1123"/>
      <c r="H1123"/>
      <c r="I1123"/>
    </row>
    <row r="1124" spans="1:9" s="47" customFormat="1" ht="14.4" x14ac:dyDescent="0.3">
      <c r="A1124"/>
      <c r="B1124"/>
      <c r="C1124"/>
      <c r="D1124"/>
      <c r="E1124"/>
      <c r="F1124"/>
      <c r="G1124"/>
      <c r="H1124"/>
      <c r="I1124"/>
    </row>
    <row r="1125" spans="1:9" s="47" customFormat="1" ht="14.4" x14ac:dyDescent="0.3">
      <c r="A1125"/>
      <c r="B1125"/>
      <c r="C1125"/>
      <c r="D1125"/>
      <c r="E1125"/>
      <c r="F1125"/>
      <c r="G1125"/>
      <c r="H1125"/>
      <c r="I1125"/>
    </row>
    <row r="1126" spans="1:9" s="47" customFormat="1" ht="14.4" x14ac:dyDescent="0.3">
      <c r="A1126"/>
      <c r="B1126"/>
      <c r="C1126"/>
      <c r="D1126"/>
      <c r="E1126"/>
      <c r="F1126"/>
      <c r="G1126"/>
      <c r="H1126"/>
      <c r="I1126"/>
    </row>
    <row r="1127" spans="1:9" s="47" customFormat="1" ht="14.4" x14ac:dyDescent="0.3">
      <c r="A1127"/>
      <c r="B1127"/>
      <c r="C1127"/>
      <c r="D1127"/>
      <c r="E1127"/>
      <c r="F1127"/>
      <c r="G1127"/>
      <c r="H1127"/>
      <c r="I1127"/>
    </row>
    <row r="1128" spans="1:9" s="47" customFormat="1" ht="14.4" x14ac:dyDescent="0.3">
      <c r="A1128"/>
      <c r="B1128"/>
      <c r="C1128"/>
      <c r="D1128"/>
      <c r="E1128"/>
      <c r="F1128"/>
      <c r="G1128"/>
      <c r="H1128"/>
      <c r="I1128"/>
    </row>
    <row r="1129" spans="1:9" s="47" customFormat="1" ht="14.4" x14ac:dyDescent="0.3">
      <c r="A1129"/>
      <c r="B1129"/>
      <c r="C1129"/>
      <c r="D1129"/>
      <c r="E1129"/>
      <c r="F1129"/>
      <c r="G1129"/>
      <c r="H1129"/>
      <c r="I1129"/>
    </row>
    <row r="1130" spans="1:9" s="47" customFormat="1" ht="14.4" x14ac:dyDescent="0.3">
      <c r="A1130"/>
      <c r="B1130"/>
      <c r="C1130"/>
      <c r="D1130"/>
      <c r="E1130"/>
      <c r="F1130"/>
      <c r="G1130"/>
      <c r="H1130"/>
      <c r="I1130"/>
    </row>
    <row r="1131" spans="1:9" s="47" customFormat="1" ht="14.4" x14ac:dyDescent="0.3">
      <c r="A1131"/>
      <c r="B1131"/>
      <c r="C1131"/>
      <c r="D1131"/>
      <c r="E1131"/>
      <c r="F1131"/>
      <c r="G1131"/>
      <c r="H1131"/>
      <c r="I1131"/>
    </row>
    <row r="1132" spans="1:9" s="47" customFormat="1" ht="14.4" x14ac:dyDescent="0.3">
      <c r="A1132"/>
      <c r="B1132"/>
      <c r="C1132"/>
      <c r="D1132"/>
      <c r="E1132"/>
      <c r="F1132"/>
      <c r="G1132"/>
      <c r="H1132"/>
      <c r="I1132"/>
    </row>
    <row r="1133" spans="1:9" s="47" customFormat="1" ht="14.4" x14ac:dyDescent="0.3">
      <c r="A1133"/>
      <c r="B1133"/>
      <c r="C1133"/>
      <c r="D1133"/>
      <c r="E1133"/>
      <c r="F1133"/>
      <c r="G1133"/>
      <c r="H1133"/>
      <c r="I1133"/>
    </row>
    <row r="1134" spans="1:9" s="47" customFormat="1" ht="14.4" x14ac:dyDescent="0.3">
      <c r="A1134"/>
      <c r="B1134"/>
      <c r="C1134"/>
      <c r="D1134"/>
      <c r="E1134"/>
      <c r="F1134"/>
      <c r="G1134"/>
      <c r="H1134"/>
      <c r="I1134"/>
    </row>
    <row r="1135" spans="1:9" s="47" customFormat="1" ht="14.4" x14ac:dyDescent="0.3">
      <c r="A1135"/>
      <c r="B1135"/>
      <c r="C1135"/>
      <c r="D1135"/>
      <c r="E1135"/>
      <c r="F1135"/>
      <c r="G1135"/>
      <c r="H1135"/>
      <c r="I1135"/>
    </row>
    <row r="1136" spans="1:9" s="47" customFormat="1" ht="14.4" x14ac:dyDescent="0.3">
      <c r="A1136"/>
      <c r="B1136"/>
      <c r="C1136"/>
      <c r="D1136"/>
      <c r="E1136"/>
      <c r="F1136"/>
      <c r="G1136"/>
      <c r="H1136"/>
      <c r="I1136"/>
    </row>
    <row r="1137" spans="1:9" s="47" customFormat="1" ht="14.4" x14ac:dyDescent="0.3">
      <c r="A1137"/>
      <c r="B1137"/>
      <c r="C1137"/>
      <c r="D1137"/>
      <c r="E1137"/>
      <c r="F1137"/>
      <c r="G1137"/>
      <c r="H1137"/>
      <c r="I1137"/>
    </row>
    <row r="1138" spans="1:9" s="47" customFormat="1" ht="14.4" x14ac:dyDescent="0.3">
      <c r="A1138"/>
      <c r="B1138"/>
      <c r="C1138"/>
      <c r="D1138"/>
      <c r="E1138"/>
      <c r="F1138"/>
      <c r="G1138"/>
      <c r="H1138"/>
      <c r="I1138"/>
    </row>
    <row r="1139" spans="1:9" s="47" customFormat="1" ht="14.4" x14ac:dyDescent="0.3">
      <c r="A1139"/>
      <c r="B1139"/>
      <c r="C1139"/>
      <c r="D1139"/>
      <c r="E1139"/>
      <c r="F1139"/>
      <c r="G1139"/>
      <c r="H1139"/>
      <c r="I1139"/>
    </row>
    <row r="1140" spans="1:9" s="47" customFormat="1" ht="14.4" x14ac:dyDescent="0.3">
      <c r="A1140"/>
      <c r="B1140"/>
      <c r="C1140"/>
      <c r="D1140"/>
      <c r="E1140"/>
      <c r="F1140"/>
      <c r="G1140"/>
      <c r="H1140"/>
      <c r="I1140"/>
    </row>
    <row r="1141" spans="1:9" s="47" customFormat="1" ht="14.4" x14ac:dyDescent="0.3">
      <c r="A1141"/>
      <c r="B1141"/>
      <c r="C1141"/>
      <c r="D1141"/>
      <c r="E1141"/>
      <c r="F1141"/>
      <c r="G1141"/>
      <c r="H1141"/>
      <c r="I1141"/>
    </row>
    <row r="1142" spans="1:9" s="47" customFormat="1" ht="14.4" x14ac:dyDescent="0.3">
      <c r="A1142"/>
      <c r="B1142"/>
      <c r="C1142"/>
      <c r="D1142"/>
      <c r="E1142"/>
      <c r="F1142"/>
      <c r="G1142"/>
      <c r="H1142"/>
      <c r="I1142"/>
    </row>
    <row r="1143" spans="1:9" s="47" customFormat="1" ht="14.4" x14ac:dyDescent="0.3">
      <c r="A1143"/>
      <c r="B1143"/>
      <c r="C1143"/>
      <c r="D1143"/>
      <c r="E1143"/>
      <c r="F1143"/>
      <c r="G1143"/>
      <c r="H1143"/>
      <c r="I1143"/>
    </row>
    <row r="1144" spans="1:9" s="47" customFormat="1" ht="14.4" x14ac:dyDescent="0.3">
      <c r="A1144"/>
      <c r="B1144"/>
      <c r="C1144"/>
      <c r="D1144"/>
      <c r="E1144"/>
      <c r="F1144"/>
      <c r="G1144"/>
      <c r="H1144"/>
      <c r="I1144"/>
    </row>
    <row r="1145" spans="1:9" s="47" customFormat="1" ht="14.4" x14ac:dyDescent="0.3">
      <c r="A1145"/>
      <c r="B1145"/>
      <c r="C1145"/>
      <c r="D1145"/>
      <c r="E1145"/>
      <c r="F1145"/>
      <c r="G1145"/>
      <c r="H1145"/>
      <c r="I1145"/>
    </row>
    <row r="1146" spans="1:9" s="47" customFormat="1" ht="14.4" x14ac:dyDescent="0.3">
      <c r="A1146"/>
      <c r="B1146"/>
      <c r="C1146"/>
      <c r="D1146"/>
      <c r="E1146"/>
      <c r="F1146"/>
      <c r="G1146"/>
      <c r="H1146"/>
      <c r="I1146"/>
    </row>
    <row r="1147" spans="1:9" s="47" customFormat="1" ht="14.4" x14ac:dyDescent="0.3">
      <c r="A1147"/>
      <c r="B1147"/>
      <c r="C1147"/>
      <c r="D1147"/>
      <c r="E1147"/>
      <c r="F1147"/>
      <c r="G1147"/>
      <c r="H1147"/>
      <c r="I1147"/>
    </row>
    <row r="1148" spans="1:9" s="47" customFormat="1" ht="14.4" x14ac:dyDescent="0.3">
      <c r="A1148"/>
      <c r="B1148"/>
      <c r="C1148"/>
      <c r="D1148"/>
      <c r="E1148"/>
      <c r="F1148"/>
      <c r="G1148"/>
      <c r="H1148"/>
      <c r="I1148"/>
    </row>
    <row r="1149" spans="1:9" s="47" customFormat="1" ht="14.4" x14ac:dyDescent="0.3">
      <c r="A1149"/>
      <c r="B1149"/>
      <c r="C1149"/>
      <c r="D1149"/>
      <c r="E1149"/>
      <c r="F1149"/>
      <c r="G1149"/>
      <c r="H1149"/>
      <c r="I1149"/>
    </row>
    <row r="1150" spans="1:9" s="47" customFormat="1" ht="14.4" x14ac:dyDescent="0.3">
      <c r="A1150"/>
      <c r="B1150"/>
      <c r="C1150"/>
      <c r="D1150"/>
      <c r="E1150"/>
      <c r="F1150"/>
      <c r="G1150"/>
      <c r="H1150"/>
      <c r="I1150"/>
    </row>
    <row r="1151" spans="1:9" s="47" customFormat="1" ht="14.4" x14ac:dyDescent="0.3">
      <c r="A1151"/>
      <c r="B1151"/>
      <c r="C1151"/>
      <c r="D1151"/>
      <c r="E1151"/>
      <c r="F1151"/>
      <c r="G1151"/>
      <c r="H1151"/>
      <c r="I1151"/>
    </row>
    <row r="1152" spans="1:9" s="47" customFormat="1" ht="14.4" x14ac:dyDescent="0.3">
      <c r="A1152"/>
      <c r="B1152"/>
      <c r="C1152"/>
      <c r="D1152"/>
      <c r="E1152"/>
      <c r="F1152"/>
      <c r="G1152"/>
      <c r="H1152"/>
      <c r="I1152"/>
    </row>
    <row r="1153" spans="1:9" s="47" customFormat="1" ht="14.4" x14ac:dyDescent="0.3">
      <c r="A1153"/>
      <c r="B1153"/>
      <c r="C1153"/>
      <c r="D1153"/>
      <c r="E1153"/>
      <c r="F1153"/>
      <c r="G1153"/>
      <c r="H1153"/>
      <c r="I1153"/>
    </row>
    <row r="1154" spans="1:9" s="47" customFormat="1" ht="14.4" x14ac:dyDescent="0.3">
      <c r="A1154"/>
      <c r="B1154"/>
      <c r="C1154"/>
      <c r="D1154"/>
      <c r="E1154"/>
      <c r="F1154"/>
      <c r="G1154"/>
      <c r="H1154"/>
      <c r="I1154"/>
    </row>
    <row r="1155" spans="1:9" s="47" customFormat="1" ht="14.4" x14ac:dyDescent="0.3">
      <c r="A1155"/>
      <c r="B1155"/>
      <c r="C1155"/>
      <c r="D1155"/>
      <c r="E1155"/>
      <c r="F1155"/>
      <c r="G1155"/>
      <c r="H1155"/>
      <c r="I1155"/>
    </row>
    <row r="1156" spans="1:9" s="47" customFormat="1" ht="14.4" x14ac:dyDescent="0.3">
      <c r="A1156"/>
      <c r="B1156"/>
      <c r="C1156"/>
      <c r="D1156"/>
      <c r="E1156"/>
      <c r="F1156"/>
      <c r="G1156"/>
      <c r="H1156"/>
      <c r="I1156"/>
    </row>
    <row r="1157" spans="1:9" s="47" customFormat="1" ht="14.4" x14ac:dyDescent="0.3">
      <c r="A1157"/>
      <c r="B1157"/>
      <c r="C1157"/>
      <c r="D1157"/>
      <c r="E1157"/>
      <c r="F1157"/>
      <c r="G1157"/>
      <c r="H1157"/>
      <c r="I1157"/>
    </row>
    <row r="1158" spans="1:9" s="47" customFormat="1" ht="14.4" x14ac:dyDescent="0.3">
      <c r="A1158"/>
      <c r="B1158"/>
      <c r="C1158"/>
      <c r="D1158"/>
      <c r="E1158"/>
      <c r="F1158"/>
      <c r="G1158"/>
      <c r="H1158"/>
      <c r="I1158"/>
    </row>
    <row r="1159" spans="1:9" s="47" customFormat="1" ht="14.4" x14ac:dyDescent="0.3">
      <c r="A1159"/>
      <c r="B1159"/>
      <c r="C1159"/>
      <c r="D1159"/>
      <c r="E1159"/>
      <c r="F1159"/>
      <c r="G1159"/>
      <c r="H1159"/>
      <c r="I1159"/>
    </row>
    <row r="1160" spans="1:9" s="47" customFormat="1" ht="14.4" x14ac:dyDescent="0.3">
      <c r="A1160"/>
      <c r="B1160"/>
      <c r="C1160"/>
      <c r="D1160"/>
      <c r="E1160"/>
      <c r="F1160"/>
      <c r="G1160"/>
      <c r="H1160"/>
      <c r="I1160"/>
    </row>
    <row r="1161" spans="1:9" s="47" customFormat="1" ht="14.4" x14ac:dyDescent="0.3">
      <c r="A1161"/>
      <c r="B1161"/>
      <c r="C1161"/>
      <c r="D1161"/>
      <c r="E1161"/>
      <c r="F1161"/>
      <c r="G1161"/>
      <c r="H1161"/>
      <c r="I1161"/>
    </row>
    <row r="1162" spans="1:9" s="47" customFormat="1" ht="14.4" x14ac:dyDescent="0.3">
      <c r="A1162"/>
      <c r="B1162"/>
      <c r="C1162"/>
      <c r="D1162"/>
      <c r="E1162"/>
      <c r="F1162"/>
      <c r="G1162"/>
      <c r="H1162"/>
      <c r="I1162"/>
    </row>
    <row r="1163" spans="1:9" s="47" customFormat="1" ht="14.4" x14ac:dyDescent="0.3">
      <c r="A1163"/>
      <c r="B1163"/>
      <c r="C1163"/>
      <c r="D1163"/>
      <c r="E1163"/>
      <c r="F1163"/>
      <c r="G1163"/>
      <c r="H1163"/>
      <c r="I1163"/>
    </row>
    <row r="1164" spans="1:9" s="47" customFormat="1" ht="14.4" x14ac:dyDescent="0.3">
      <c r="A1164"/>
      <c r="B1164"/>
      <c r="C1164"/>
      <c r="D1164"/>
      <c r="E1164"/>
      <c r="F1164"/>
      <c r="G1164"/>
      <c r="H1164"/>
      <c r="I1164"/>
    </row>
    <row r="1165" spans="1:9" s="47" customFormat="1" ht="14.4" x14ac:dyDescent="0.3">
      <c r="A1165"/>
      <c r="B1165"/>
      <c r="C1165"/>
      <c r="D1165"/>
      <c r="E1165"/>
      <c r="F1165"/>
      <c r="G1165"/>
      <c r="H1165"/>
      <c r="I1165"/>
    </row>
    <row r="1166" spans="1:9" s="47" customFormat="1" ht="14.4" x14ac:dyDescent="0.3">
      <c r="A1166"/>
      <c r="B1166"/>
      <c r="C1166"/>
      <c r="D1166"/>
      <c r="E1166"/>
      <c r="F1166"/>
      <c r="G1166"/>
      <c r="H1166"/>
      <c r="I1166"/>
    </row>
    <row r="1167" spans="1:9" s="47" customFormat="1" ht="14.4" x14ac:dyDescent="0.3">
      <c r="A1167"/>
      <c r="B1167"/>
      <c r="C1167"/>
      <c r="D1167"/>
      <c r="E1167"/>
      <c r="F1167"/>
      <c r="G1167"/>
      <c r="H1167"/>
      <c r="I1167"/>
    </row>
    <row r="1168" spans="1:9" s="47" customFormat="1" ht="14.4" x14ac:dyDescent="0.3">
      <c r="A1168"/>
      <c r="B1168"/>
      <c r="C1168"/>
      <c r="D1168"/>
      <c r="E1168"/>
      <c r="F1168"/>
      <c r="G1168"/>
      <c r="H1168"/>
      <c r="I1168"/>
    </row>
    <row r="1169" spans="1:9" s="47" customFormat="1" ht="14.4" x14ac:dyDescent="0.3">
      <c r="A1169"/>
      <c r="B1169"/>
      <c r="C1169"/>
      <c r="D1169"/>
      <c r="E1169"/>
      <c r="F1169"/>
      <c r="G1169"/>
      <c r="H1169"/>
      <c r="I1169"/>
    </row>
    <row r="1170" spans="1:9" s="47" customFormat="1" ht="14.4" x14ac:dyDescent="0.3">
      <c r="A1170"/>
      <c r="B1170"/>
      <c r="C1170"/>
      <c r="D1170"/>
      <c r="E1170"/>
      <c r="F1170"/>
      <c r="G1170"/>
      <c r="H1170"/>
      <c r="I1170"/>
    </row>
    <row r="1171" spans="1:9" s="47" customFormat="1" ht="14.4" x14ac:dyDescent="0.3">
      <c r="A1171"/>
      <c r="B1171"/>
      <c r="C1171"/>
      <c r="D1171"/>
      <c r="E1171"/>
      <c r="F1171"/>
      <c r="G1171"/>
      <c r="H1171"/>
      <c r="I1171"/>
    </row>
    <row r="1172" spans="1:9" s="47" customFormat="1" ht="14.4" x14ac:dyDescent="0.3">
      <c r="A1172"/>
      <c r="B1172"/>
      <c r="C1172"/>
      <c r="D1172"/>
      <c r="E1172"/>
      <c r="F1172"/>
      <c r="G1172"/>
      <c r="H1172"/>
      <c r="I1172"/>
    </row>
    <row r="1173" spans="1:9" s="47" customFormat="1" ht="14.4" x14ac:dyDescent="0.3">
      <c r="A1173"/>
      <c r="B1173"/>
      <c r="C1173"/>
      <c r="D1173"/>
      <c r="E1173"/>
      <c r="F1173"/>
      <c r="G1173"/>
      <c r="H1173"/>
      <c r="I1173"/>
    </row>
    <row r="1174" spans="1:9" s="47" customFormat="1" ht="14.4" x14ac:dyDescent="0.3">
      <c r="A1174"/>
      <c r="B1174"/>
      <c r="C1174"/>
      <c r="D1174"/>
      <c r="E1174"/>
      <c r="F1174"/>
      <c r="G1174"/>
      <c r="H1174"/>
      <c r="I1174"/>
    </row>
    <row r="1175" spans="1:9" s="47" customFormat="1" ht="14.4" x14ac:dyDescent="0.3">
      <c r="A1175"/>
      <c r="B1175"/>
      <c r="C1175"/>
      <c r="D1175"/>
      <c r="E1175"/>
      <c r="F1175"/>
      <c r="G1175"/>
      <c r="H1175"/>
      <c r="I1175"/>
    </row>
    <row r="1176" spans="1:9" s="47" customFormat="1" ht="14.4" x14ac:dyDescent="0.3">
      <c r="A1176"/>
      <c r="B1176"/>
      <c r="C1176"/>
      <c r="D1176"/>
      <c r="E1176"/>
      <c r="F1176"/>
      <c r="G1176"/>
      <c r="H1176"/>
      <c r="I1176"/>
    </row>
    <row r="1177" spans="1:9" s="47" customFormat="1" ht="14.4" x14ac:dyDescent="0.3">
      <c r="A1177"/>
      <c r="B1177"/>
      <c r="C1177"/>
      <c r="D1177"/>
      <c r="E1177"/>
      <c r="F1177"/>
      <c r="G1177"/>
      <c r="H1177"/>
      <c r="I1177"/>
    </row>
    <row r="1178" spans="1:9" s="47" customFormat="1" ht="14.4" x14ac:dyDescent="0.3">
      <c r="A1178"/>
      <c r="B1178"/>
      <c r="C1178"/>
      <c r="D1178"/>
      <c r="E1178"/>
      <c r="F1178"/>
      <c r="G1178"/>
      <c r="H1178"/>
      <c r="I1178"/>
    </row>
    <row r="1179" spans="1:9" s="47" customFormat="1" ht="14.4" x14ac:dyDescent="0.3">
      <c r="A1179"/>
      <c r="B1179"/>
      <c r="C1179"/>
      <c r="D1179"/>
      <c r="E1179"/>
      <c r="F1179"/>
      <c r="G1179"/>
      <c r="H1179"/>
      <c r="I1179"/>
    </row>
    <row r="1180" spans="1:9" s="47" customFormat="1" ht="14.4" x14ac:dyDescent="0.3">
      <c r="A1180"/>
      <c r="B1180"/>
      <c r="C1180"/>
      <c r="D1180"/>
      <c r="E1180"/>
      <c r="F1180"/>
      <c r="G1180"/>
      <c r="H1180"/>
      <c r="I1180"/>
    </row>
    <row r="1181" spans="1:9" s="47" customFormat="1" ht="14.4" x14ac:dyDescent="0.3">
      <c r="A1181"/>
      <c r="B1181"/>
      <c r="C1181"/>
      <c r="D1181"/>
      <c r="E1181"/>
      <c r="F1181"/>
      <c r="G1181"/>
      <c r="H1181"/>
      <c r="I1181"/>
    </row>
    <row r="1182" spans="1:9" s="47" customFormat="1" ht="14.4" x14ac:dyDescent="0.3">
      <c r="A1182"/>
      <c r="B1182"/>
      <c r="C1182"/>
      <c r="D1182"/>
      <c r="E1182"/>
      <c r="F1182"/>
      <c r="G1182"/>
      <c r="H1182"/>
      <c r="I1182"/>
    </row>
    <row r="1183" spans="1:9" s="47" customFormat="1" ht="14.4" x14ac:dyDescent="0.3">
      <c r="A1183"/>
      <c r="B1183"/>
      <c r="C1183"/>
      <c r="D1183"/>
      <c r="E1183"/>
      <c r="F1183"/>
      <c r="G1183"/>
      <c r="H1183"/>
      <c r="I1183"/>
    </row>
    <row r="1184" spans="1:9" s="47" customFormat="1" ht="14.4" x14ac:dyDescent="0.3">
      <c r="A1184"/>
      <c r="B1184"/>
      <c r="C1184"/>
      <c r="D1184"/>
      <c r="E1184"/>
      <c r="F1184"/>
      <c r="G1184"/>
      <c r="H1184"/>
      <c r="I1184"/>
    </row>
    <row r="1185" spans="1:9" s="47" customFormat="1" ht="14.4" x14ac:dyDescent="0.3">
      <c r="A1185"/>
      <c r="B1185"/>
      <c r="C1185"/>
      <c r="D1185"/>
      <c r="E1185"/>
      <c r="F1185"/>
      <c r="G1185"/>
      <c r="H1185"/>
      <c r="I1185"/>
    </row>
    <row r="1186" spans="1:9" s="47" customFormat="1" ht="14.4" x14ac:dyDescent="0.3">
      <c r="A1186"/>
      <c r="B1186"/>
      <c r="C1186"/>
      <c r="D1186"/>
      <c r="E1186"/>
      <c r="F1186"/>
      <c r="G1186"/>
      <c r="H1186"/>
      <c r="I1186"/>
    </row>
    <row r="1187" spans="1:9" s="47" customFormat="1" ht="14.4" x14ac:dyDescent="0.3">
      <c r="A1187"/>
      <c r="B1187"/>
      <c r="C1187"/>
      <c r="D1187"/>
      <c r="E1187"/>
      <c r="F1187"/>
      <c r="G1187"/>
      <c r="H1187"/>
      <c r="I1187"/>
    </row>
    <row r="1188" spans="1:9" s="47" customFormat="1" ht="14.4" x14ac:dyDescent="0.3">
      <c r="A1188"/>
      <c r="B1188"/>
      <c r="C1188"/>
      <c r="D1188"/>
      <c r="E1188"/>
      <c r="F1188"/>
      <c r="G1188"/>
      <c r="H1188"/>
      <c r="I1188"/>
    </row>
    <row r="1189" spans="1:9" s="47" customFormat="1" ht="14.4" x14ac:dyDescent="0.3">
      <c r="A1189"/>
      <c r="B1189"/>
      <c r="C1189"/>
      <c r="D1189"/>
      <c r="E1189"/>
      <c r="F1189"/>
      <c r="G1189"/>
      <c r="H1189"/>
      <c r="I1189"/>
    </row>
    <row r="1190" spans="1:9" s="47" customFormat="1" ht="14.4" x14ac:dyDescent="0.3">
      <c r="A1190"/>
      <c r="B1190"/>
      <c r="C1190"/>
      <c r="D1190"/>
      <c r="E1190"/>
      <c r="F1190"/>
      <c r="G1190"/>
      <c r="H1190"/>
      <c r="I1190"/>
    </row>
    <row r="1191" spans="1:9" s="47" customFormat="1" ht="14.4" x14ac:dyDescent="0.3">
      <c r="A1191"/>
      <c r="B1191"/>
      <c r="C1191"/>
      <c r="D1191"/>
      <c r="E1191"/>
      <c r="F1191"/>
      <c r="G1191"/>
      <c r="H1191"/>
      <c r="I1191"/>
    </row>
    <row r="1192" spans="1:9" s="47" customFormat="1" ht="14.4" x14ac:dyDescent="0.3">
      <c r="A1192"/>
      <c r="B1192"/>
      <c r="C1192"/>
      <c r="D1192"/>
      <c r="E1192"/>
      <c r="F1192"/>
      <c r="G1192"/>
      <c r="H1192"/>
      <c r="I1192"/>
    </row>
    <row r="1193" spans="1:9" s="47" customFormat="1" ht="14.4" x14ac:dyDescent="0.3">
      <c r="A1193"/>
      <c r="B1193"/>
      <c r="C1193"/>
      <c r="D1193"/>
      <c r="E1193"/>
      <c r="F1193"/>
      <c r="G1193"/>
      <c r="H1193"/>
      <c r="I1193"/>
    </row>
    <row r="1194" spans="1:9" s="47" customFormat="1" ht="14.4" x14ac:dyDescent="0.3">
      <c r="A1194"/>
      <c r="B1194"/>
      <c r="C1194"/>
      <c r="D1194"/>
      <c r="E1194"/>
      <c r="F1194"/>
      <c r="G1194"/>
      <c r="H1194"/>
      <c r="I1194"/>
    </row>
    <row r="1195" spans="1:9" s="47" customFormat="1" ht="14.4" x14ac:dyDescent="0.3">
      <c r="A1195"/>
      <c r="B1195"/>
      <c r="C1195"/>
      <c r="D1195"/>
      <c r="E1195"/>
      <c r="F1195"/>
      <c r="G1195"/>
      <c r="H1195"/>
      <c r="I1195"/>
    </row>
    <row r="1196" spans="1:9" s="47" customFormat="1" ht="14.4" x14ac:dyDescent="0.3">
      <c r="A1196"/>
      <c r="B1196"/>
      <c r="C1196"/>
      <c r="D1196"/>
      <c r="E1196"/>
      <c r="F1196"/>
      <c r="G1196"/>
      <c r="H1196"/>
      <c r="I1196"/>
    </row>
    <row r="1197" spans="1:9" s="47" customFormat="1" ht="14.4" x14ac:dyDescent="0.3">
      <c r="A1197"/>
      <c r="B1197"/>
      <c r="C1197"/>
      <c r="D1197"/>
      <c r="E1197"/>
      <c r="F1197"/>
      <c r="G1197"/>
      <c r="H1197"/>
      <c r="I1197"/>
    </row>
    <row r="1198" spans="1:9" s="47" customFormat="1" ht="14.4" x14ac:dyDescent="0.3">
      <c r="A1198"/>
      <c r="B1198"/>
      <c r="C1198"/>
      <c r="D1198"/>
      <c r="E1198"/>
      <c r="F1198"/>
      <c r="G1198"/>
      <c r="H1198"/>
      <c r="I1198"/>
    </row>
    <row r="1199" spans="1:9" s="47" customFormat="1" ht="14.4" x14ac:dyDescent="0.3">
      <c r="A1199"/>
      <c r="B1199"/>
      <c r="C1199"/>
      <c r="D1199"/>
      <c r="E1199"/>
      <c r="F1199"/>
      <c r="G1199"/>
      <c r="H1199"/>
      <c r="I1199"/>
    </row>
    <row r="1200" spans="1:9" s="47" customFormat="1" ht="14.4" x14ac:dyDescent="0.3">
      <c r="A1200"/>
      <c r="B1200"/>
      <c r="C1200"/>
      <c r="D1200"/>
      <c r="E1200"/>
      <c r="F1200"/>
      <c r="G1200"/>
      <c r="H1200"/>
      <c r="I1200"/>
    </row>
    <row r="1201" spans="1:9" s="47" customFormat="1" ht="14.4" x14ac:dyDescent="0.3">
      <c r="A1201"/>
      <c r="B1201"/>
      <c r="C1201"/>
      <c r="D1201"/>
      <c r="E1201"/>
      <c r="F1201"/>
      <c r="G1201"/>
      <c r="H1201"/>
      <c r="I1201"/>
    </row>
    <row r="1202" spans="1:9" s="47" customFormat="1" ht="14.4" x14ac:dyDescent="0.3">
      <c r="A1202"/>
      <c r="B1202"/>
      <c r="C1202"/>
      <c r="D1202"/>
      <c r="E1202"/>
      <c r="F1202"/>
      <c r="G1202"/>
      <c r="H1202"/>
      <c r="I1202"/>
    </row>
    <row r="1203" spans="1:9" s="47" customFormat="1" ht="14.4" x14ac:dyDescent="0.3">
      <c r="A1203"/>
      <c r="B1203"/>
      <c r="C1203"/>
      <c r="D1203"/>
      <c r="E1203"/>
      <c r="F1203"/>
      <c r="G1203"/>
      <c r="H1203"/>
      <c r="I1203"/>
    </row>
    <row r="1204" spans="1:9" s="47" customFormat="1" ht="14.4" x14ac:dyDescent="0.3">
      <c r="A1204"/>
      <c r="B1204"/>
      <c r="C1204"/>
      <c r="D1204"/>
      <c r="E1204"/>
      <c r="F1204"/>
      <c r="G1204"/>
      <c r="H1204"/>
      <c r="I1204"/>
    </row>
    <row r="1205" spans="1:9" s="47" customFormat="1" ht="14.4" x14ac:dyDescent="0.3">
      <c r="A1205"/>
      <c r="B1205"/>
      <c r="C1205"/>
      <c r="D1205"/>
      <c r="E1205"/>
      <c r="F1205"/>
      <c r="G1205"/>
      <c r="H1205"/>
      <c r="I1205"/>
    </row>
    <row r="1206" spans="1:9" s="47" customFormat="1" ht="14.4" x14ac:dyDescent="0.3">
      <c r="A1206"/>
      <c r="B1206"/>
      <c r="C1206"/>
      <c r="D1206"/>
      <c r="E1206"/>
      <c r="F1206"/>
      <c r="G1206"/>
      <c r="H1206"/>
      <c r="I1206"/>
    </row>
    <row r="1207" spans="1:9" s="47" customFormat="1" ht="14.4" x14ac:dyDescent="0.3">
      <c r="A1207"/>
      <c r="B1207"/>
      <c r="C1207"/>
      <c r="D1207"/>
      <c r="E1207"/>
      <c r="F1207"/>
      <c r="G1207"/>
      <c r="H1207"/>
      <c r="I1207"/>
    </row>
    <row r="1208" spans="1:9" s="47" customFormat="1" ht="14.4" x14ac:dyDescent="0.3">
      <c r="A1208"/>
      <c r="B1208"/>
      <c r="C1208"/>
      <c r="D1208"/>
      <c r="E1208"/>
      <c r="F1208"/>
      <c r="G1208"/>
      <c r="H1208"/>
      <c r="I1208"/>
    </row>
    <row r="1209" spans="1:9" s="47" customFormat="1" ht="14.4" x14ac:dyDescent="0.3">
      <c r="A1209"/>
      <c r="B1209"/>
      <c r="C1209"/>
      <c r="D1209"/>
      <c r="E1209"/>
      <c r="F1209"/>
      <c r="G1209"/>
      <c r="H1209"/>
      <c r="I1209"/>
    </row>
    <row r="1210" spans="1:9" s="47" customFormat="1" ht="14.4" x14ac:dyDescent="0.3">
      <c r="A1210"/>
      <c r="B1210"/>
      <c r="C1210"/>
      <c r="D1210"/>
      <c r="E1210"/>
      <c r="F1210"/>
      <c r="G1210"/>
      <c r="H1210"/>
      <c r="I1210"/>
    </row>
    <row r="1211" spans="1:9" s="47" customFormat="1" ht="14.4" x14ac:dyDescent="0.3">
      <c r="A1211"/>
      <c r="B1211"/>
      <c r="C1211"/>
      <c r="D1211"/>
      <c r="E1211"/>
      <c r="F1211"/>
      <c r="G1211"/>
      <c r="H1211"/>
      <c r="I1211"/>
    </row>
    <row r="1212" spans="1:9" s="47" customFormat="1" ht="14.4" x14ac:dyDescent="0.3">
      <c r="A1212"/>
      <c r="B1212"/>
      <c r="C1212"/>
      <c r="D1212"/>
      <c r="E1212"/>
      <c r="F1212"/>
      <c r="G1212"/>
      <c r="H1212"/>
      <c r="I1212"/>
    </row>
    <row r="1213" spans="1:9" s="47" customFormat="1" ht="14.4" x14ac:dyDescent="0.3">
      <c r="A1213"/>
      <c r="B1213"/>
      <c r="C1213"/>
      <c r="D1213"/>
      <c r="E1213"/>
      <c r="F1213"/>
      <c r="G1213"/>
      <c r="H1213"/>
      <c r="I1213"/>
    </row>
    <row r="1214" spans="1:9" s="47" customFormat="1" ht="14.4" x14ac:dyDescent="0.3">
      <c r="A1214"/>
      <c r="B1214"/>
      <c r="C1214"/>
      <c r="D1214"/>
      <c r="E1214"/>
      <c r="F1214"/>
      <c r="G1214"/>
      <c r="H1214"/>
      <c r="I1214"/>
    </row>
    <row r="1215" spans="1:9" s="47" customFormat="1" ht="14.4" x14ac:dyDescent="0.3">
      <c r="A1215"/>
      <c r="B1215"/>
      <c r="C1215"/>
      <c r="D1215"/>
      <c r="E1215"/>
      <c r="F1215"/>
      <c r="G1215"/>
      <c r="H1215"/>
      <c r="I1215"/>
    </row>
    <row r="1216" spans="1:9" s="47" customFormat="1" ht="14.4" x14ac:dyDescent="0.3">
      <c r="A1216"/>
      <c r="B1216"/>
      <c r="C1216"/>
      <c r="D1216"/>
      <c r="E1216"/>
      <c r="F1216"/>
      <c r="G1216"/>
      <c r="H1216"/>
      <c r="I1216"/>
    </row>
    <row r="1217" spans="1:9" s="47" customFormat="1" ht="14.4" x14ac:dyDescent="0.3">
      <c r="A1217"/>
      <c r="B1217"/>
      <c r="C1217"/>
      <c r="D1217"/>
      <c r="E1217"/>
      <c r="F1217"/>
      <c r="G1217"/>
      <c r="H1217"/>
      <c r="I1217"/>
    </row>
    <row r="1218" spans="1:9" s="47" customFormat="1" ht="14.4" x14ac:dyDescent="0.3">
      <c r="A1218"/>
      <c r="B1218"/>
      <c r="C1218"/>
      <c r="D1218"/>
      <c r="E1218"/>
      <c r="F1218"/>
      <c r="G1218"/>
      <c r="H1218"/>
      <c r="I1218"/>
    </row>
    <row r="1219" spans="1:9" s="47" customFormat="1" ht="14.4" x14ac:dyDescent="0.3">
      <c r="A1219"/>
      <c r="B1219"/>
      <c r="C1219"/>
      <c r="D1219"/>
      <c r="E1219"/>
      <c r="F1219"/>
      <c r="G1219"/>
      <c r="H1219"/>
      <c r="I1219"/>
    </row>
    <row r="1220" spans="1:9" s="47" customFormat="1" ht="14.4" x14ac:dyDescent="0.3">
      <c r="A1220"/>
      <c r="B1220"/>
      <c r="C1220"/>
      <c r="D1220"/>
      <c r="E1220"/>
      <c r="F1220"/>
      <c r="G1220"/>
      <c r="H1220"/>
      <c r="I1220"/>
    </row>
    <row r="1221" spans="1:9" s="47" customFormat="1" ht="14.4" x14ac:dyDescent="0.3">
      <c r="A1221"/>
      <c r="B1221"/>
      <c r="C1221"/>
      <c r="D1221"/>
      <c r="E1221"/>
      <c r="F1221"/>
      <c r="G1221"/>
      <c r="H1221"/>
      <c r="I1221"/>
    </row>
    <row r="1222" spans="1:9" s="47" customFormat="1" ht="14.4" x14ac:dyDescent="0.3">
      <c r="A1222"/>
      <c r="B1222"/>
      <c r="C1222"/>
      <c r="D1222"/>
      <c r="E1222"/>
      <c r="F1222"/>
      <c r="G1222"/>
      <c r="H1222"/>
      <c r="I1222"/>
    </row>
    <row r="1223" spans="1:9" s="47" customFormat="1" ht="14.4" x14ac:dyDescent="0.3">
      <c r="A1223"/>
      <c r="B1223"/>
      <c r="C1223"/>
      <c r="D1223"/>
      <c r="E1223"/>
      <c r="F1223"/>
      <c r="G1223"/>
      <c r="H1223"/>
      <c r="I1223"/>
    </row>
    <row r="1224" spans="1:9" s="47" customFormat="1" ht="14.4" x14ac:dyDescent="0.3">
      <c r="A1224"/>
      <c r="B1224"/>
      <c r="C1224"/>
      <c r="D1224"/>
      <c r="E1224"/>
      <c r="F1224"/>
      <c r="G1224"/>
      <c r="H1224"/>
      <c r="I1224"/>
    </row>
    <row r="1225" spans="1:9" s="47" customFormat="1" ht="14.4" x14ac:dyDescent="0.3">
      <c r="A1225"/>
      <c r="B1225"/>
      <c r="C1225"/>
      <c r="D1225"/>
      <c r="E1225"/>
      <c r="F1225"/>
      <c r="G1225"/>
      <c r="H1225"/>
      <c r="I1225"/>
    </row>
    <row r="1226" spans="1:9" s="47" customFormat="1" ht="14.4" x14ac:dyDescent="0.3">
      <c r="A1226"/>
      <c r="B1226"/>
      <c r="C1226"/>
      <c r="D1226"/>
      <c r="E1226"/>
      <c r="F1226"/>
      <c r="G1226"/>
      <c r="H1226"/>
      <c r="I1226"/>
    </row>
    <row r="1227" spans="1:9" s="47" customFormat="1" ht="14.4" x14ac:dyDescent="0.3">
      <c r="A1227"/>
      <c r="B1227"/>
      <c r="C1227"/>
      <c r="D1227"/>
      <c r="E1227"/>
      <c r="F1227"/>
      <c r="G1227"/>
      <c r="H1227"/>
      <c r="I1227"/>
    </row>
    <row r="1228" spans="1:9" s="47" customFormat="1" ht="14.4" x14ac:dyDescent="0.3">
      <c r="A1228"/>
      <c r="B1228"/>
      <c r="C1228"/>
      <c r="D1228"/>
      <c r="E1228"/>
      <c r="F1228"/>
      <c r="G1228"/>
      <c r="H1228"/>
      <c r="I1228"/>
    </row>
    <row r="1229" spans="1:9" s="47" customFormat="1" ht="14.4" x14ac:dyDescent="0.3">
      <c r="A1229"/>
      <c r="B1229"/>
      <c r="C1229"/>
      <c r="D1229"/>
      <c r="E1229"/>
      <c r="F1229"/>
      <c r="G1229"/>
      <c r="H1229"/>
      <c r="I1229"/>
    </row>
    <row r="1230" spans="1:9" s="47" customFormat="1" ht="14.4" x14ac:dyDescent="0.3">
      <c r="A1230"/>
      <c r="B1230"/>
      <c r="C1230"/>
      <c r="D1230"/>
      <c r="E1230"/>
      <c r="F1230"/>
      <c r="G1230"/>
      <c r="H1230"/>
      <c r="I1230"/>
    </row>
    <row r="1231" spans="1:9" s="47" customFormat="1" ht="14.4" x14ac:dyDescent="0.3">
      <c r="A1231"/>
      <c r="B1231"/>
      <c r="C1231"/>
      <c r="D1231"/>
      <c r="E1231"/>
      <c r="F1231"/>
      <c r="G1231"/>
      <c r="H1231"/>
      <c r="I1231"/>
    </row>
    <row r="1232" spans="1:9" s="47" customFormat="1" ht="14.4" x14ac:dyDescent="0.3">
      <c r="A1232"/>
      <c r="B1232"/>
      <c r="C1232"/>
      <c r="D1232"/>
      <c r="E1232"/>
      <c r="F1232"/>
      <c r="G1232"/>
      <c r="H1232"/>
      <c r="I1232"/>
    </row>
    <row r="1233" spans="1:9" s="47" customFormat="1" ht="14.4" x14ac:dyDescent="0.3">
      <c r="A1233"/>
      <c r="B1233"/>
      <c r="C1233"/>
      <c r="D1233"/>
      <c r="E1233"/>
      <c r="F1233"/>
      <c r="G1233"/>
      <c r="H1233"/>
      <c r="I1233"/>
    </row>
    <row r="1234" spans="1:9" s="47" customFormat="1" ht="14.4" x14ac:dyDescent="0.3">
      <c r="A1234"/>
      <c r="B1234"/>
      <c r="C1234"/>
      <c r="D1234"/>
      <c r="E1234"/>
      <c r="F1234"/>
      <c r="G1234"/>
      <c r="H1234"/>
      <c r="I1234"/>
    </row>
    <row r="1235" spans="1:9" s="47" customFormat="1" ht="14.4" x14ac:dyDescent="0.3">
      <c r="A1235"/>
      <c r="B1235"/>
      <c r="C1235"/>
      <c r="D1235"/>
      <c r="E1235"/>
      <c r="F1235"/>
      <c r="G1235"/>
      <c r="H1235"/>
      <c r="I1235"/>
    </row>
    <row r="1236" spans="1:9" s="47" customFormat="1" ht="14.4" x14ac:dyDescent="0.3">
      <c r="A1236"/>
      <c r="B1236"/>
      <c r="C1236"/>
      <c r="D1236"/>
      <c r="E1236"/>
      <c r="F1236"/>
      <c r="G1236"/>
      <c r="H1236"/>
      <c r="I1236"/>
    </row>
    <row r="1237" spans="1:9" s="47" customFormat="1" ht="14.4" x14ac:dyDescent="0.3">
      <c r="A1237"/>
      <c r="B1237"/>
      <c r="C1237"/>
      <c r="D1237"/>
      <c r="E1237"/>
      <c r="F1237"/>
      <c r="G1237"/>
      <c r="H1237"/>
      <c r="I1237"/>
    </row>
    <row r="1238" spans="1:9" s="47" customFormat="1" ht="14.4" x14ac:dyDescent="0.3">
      <c r="A1238"/>
      <c r="B1238"/>
      <c r="C1238"/>
      <c r="D1238"/>
      <c r="E1238"/>
      <c r="F1238"/>
      <c r="G1238"/>
      <c r="H1238"/>
      <c r="I1238"/>
    </row>
    <row r="1239" spans="1:9" s="47" customFormat="1" ht="14.4" x14ac:dyDescent="0.3">
      <c r="A1239"/>
      <c r="B1239"/>
      <c r="C1239"/>
      <c r="D1239"/>
      <c r="E1239"/>
      <c r="F1239"/>
      <c r="G1239"/>
      <c r="H1239"/>
      <c r="I1239"/>
    </row>
    <row r="1240" spans="1:9" s="47" customFormat="1" ht="14.4" x14ac:dyDescent="0.3">
      <c r="A1240"/>
      <c r="B1240"/>
      <c r="C1240"/>
      <c r="D1240"/>
      <c r="E1240"/>
      <c r="F1240"/>
      <c r="G1240"/>
      <c r="H1240"/>
      <c r="I1240"/>
    </row>
    <row r="1241" spans="1:9" s="47" customFormat="1" ht="14.4" x14ac:dyDescent="0.3">
      <c r="A1241"/>
      <c r="B1241"/>
      <c r="C1241"/>
      <c r="D1241"/>
      <c r="E1241"/>
      <c r="F1241"/>
      <c r="G1241"/>
      <c r="H1241"/>
      <c r="I1241"/>
    </row>
    <row r="1242" spans="1:9" s="47" customFormat="1" ht="14.4" x14ac:dyDescent="0.3">
      <c r="A1242"/>
      <c r="B1242"/>
      <c r="C1242"/>
      <c r="D1242"/>
      <c r="E1242"/>
      <c r="F1242"/>
      <c r="G1242"/>
      <c r="H1242"/>
      <c r="I1242"/>
    </row>
    <row r="1243" spans="1:9" s="47" customFormat="1" ht="14.4" x14ac:dyDescent="0.3">
      <c r="A1243"/>
      <c r="B1243"/>
      <c r="C1243"/>
      <c r="D1243"/>
      <c r="E1243"/>
      <c r="F1243"/>
      <c r="G1243"/>
      <c r="H1243"/>
      <c r="I1243"/>
    </row>
    <row r="1244" spans="1:9" s="47" customFormat="1" ht="14.4" x14ac:dyDescent="0.3">
      <c r="A1244"/>
      <c r="B1244"/>
      <c r="C1244"/>
      <c r="D1244"/>
      <c r="E1244"/>
      <c r="F1244"/>
      <c r="G1244"/>
      <c r="H1244"/>
      <c r="I1244"/>
    </row>
    <row r="1245" spans="1:9" s="47" customFormat="1" ht="14.4" x14ac:dyDescent="0.3">
      <c r="A1245"/>
      <c r="B1245"/>
      <c r="C1245"/>
      <c r="D1245"/>
      <c r="E1245"/>
      <c r="F1245"/>
      <c r="G1245"/>
      <c r="H1245"/>
      <c r="I1245"/>
    </row>
    <row r="1246" spans="1:9" s="47" customFormat="1" ht="14.4" x14ac:dyDescent="0.3">
      <c r="A1246"/>
      <c r="B1246"/>
      <c r="C1246"/>
      <c r="D1246"/>
      <c r="E1246"/>
      <c r="F1246"/>
      <c r="G1246"/>
      <c r="H1246"/>
      <c r="I1246"/>
    </row>
    <row r="1247" spans="1:9" s="47" customFormat="1" ht="14.4" x14ac:dyDescent="0.3">
      <c r="A1247"/>
      <c r="B1247"/>
      <c r="C1247"/>
      <c r="D1247"/>
      <c r="E1247"/>
      <c r="F1247"/>
      <c r="G1247"/>
      <c r="H1247"/>
      <c r="I1247"/>
    </row>
    <row r="1248" spans="1:9" s="47" customFormat="1" ht="14.4" x14ac:dyDescent="0.3">
      <c r="A1248"/>
      <c r="B1248"/>
      <c r="C1248"/>
      <c r="D1248"/>
      <c r="E1248"/>
      <c r="F1248"/>
      <c r="G1248"/>
      <c r="H1248"/>
      <c r="I1248"/>
    </row>
    <row r="1249" spans="1:9" s="47" customFormat="1" ht="14.4" x14ac:dyDescent="0.3">
      <c r="A1249"/>
      <c r="B1249"/>
      <c r="C1249"/>
      <c r="D1249"/>
      <c r="E1249"/>
      <c r="F1249"/>
      <c r="G1249"/>
      <c r="H1249"/>
      <c r="I1249"/>
    </row>
    <row r="1250" spans="1:9" s="47" customFormat="1" ht="14.4" x14ac:dyDescent="0.3">
      <c r="A1250"/>
      <c r="B1250"/>
      <c r="C1250"/>
      <c r="D1250"/>
      <c r="E1250"/>
      <c r="F1250"/>
      <c r="G1250"/>
      <c r="H1250"/>
      <c r="I1250"/>
    </row>
    <row r="1251" spans="1:9" s="47" customFormat="1" ht="14.4" x14ac:dyDescent="0.3">
      <c r="A1251"/>
      <c r="B1251"/>
      <c r="C1251"/>
      <c r="D1251"/>
      <c r="E1251"/>
      <c r="F1251"/>
      <c r="G1251"/>
      <c r="H1251"/>
      <c r="I1251"/>
    </row>
    <row r="1252" spans="1:9" s="47" customFormat="1" ht="14.4" x14ac:dyDescent="0.3">
      <c r="A1252"/>
      <c r="B1252"/>
      <c r="C1252"/>
      <c r="D1252"/>
      <c r="E1252"/>
      <c r="F1252"/>
      <c r="G1252"/>
      <c r="H1252"/>
      <c r="I1252"/>
    </row>
    <row r="1253" spans="1:9" s="47" customFormat="1" ht="14.4" x14ac:dyDescent="0.3">
      <c r="A1253"/>
      <c r="B1253"/>
      <c r="C1253"/>
      <c r="D1253"/>
      <c r="E1253"/>
      <c r="F1253"/>
      <c r="G1253"/>
      <c r="H1253"/>
      <c r="I1253"/>
    </row>
    <row r="1254" spans="1:9" s="47" customFormat="1" ht="14.4" x14ac:dyDescent="0.3">
      <c r="A1254"/>
      <c r="B1254"/>
      <c r="C1254"/>
      <c r="D1254"/>
      <c r="E1254"/>
      <c r="F1254"/>
      <c r="G1254"/>
      <c r="H1254"/>
      <c r="I1254"/>
    </row>
    <row r="1255" spans="1:9" s="47" customFormat="1" ht="14.4" x14ac:dyDescent="0.3">
      <c r="A1255"/>
      <c r="B1255"/>
      <c r="C1255"/>
      <c r="D1255"/>
      <c r="E1255"/>
      <c r="F1255"/>
      <c r="G1255"/>
      <c r="H1255"/>
      <c r="I1255"/>
    </row>
    <row r="1256" spans="1:9" s="47" customFormat="1" ht="14.4" x14ac:dyDescent="0.3">
      <c r="A1256"/>
      <c r="B1256"/>
      <c r="C1256"/>
      <c r="D1256"/>
      <c r="E1256"/>
      <c r="F1256"/>
      <c r="G1256"/>
      <c r="H1256"/>
      <c r="I1256"/>
    </row>
    <row r="1257" spans="1:9" s="47" customFormat="1" ht="14.4" x14ac:dyDescent="0.3">
      <c r="A1257"/>
      <c r="B1257"/>
      <c r="C1257"/>
      <c r="D1257"/>
      <c r="E1257"/>
      <c r="F1257"/>
      <c r="G1257"/>
      <c r="H1257"/>
      <c r="I1257"/>
    </row>
    <row r="1258" spans="1:9" s="47" customFormat="1" ht="14.4" x14ac:dyDescent="0.3">
      <c r="A1258"/>
      <c r="B1258"/>
      <c r="C1258"/>
      <c r="D1258"/>
      <c r="E1258"/>
      <c r="F1258"/>
      <c r="G1258"/>
      <c r="H1258"/>
      <c r="I1258"/>
    </row>
    <row r="1259" spans="1:9" s="47" customFormat="1" ht="14.4" x14ac:dyDescent="0.3">
      <c r="A1259"/>
      <c r="B1259"/>
      <c r="C1259"/>
      <c r="D1259"/>
      <c r="E1259"/>
      <c r="F1259"/>
      <c r="G1259"/>
      <c r="H1259"/>
      <c r="I1259"/>
    </row>
    <row r="1260" spans="1:9" s="47" customFormat="1" ht="14.4" x14ac:dyDescent="0.3">
      <c r="A1260"/>
      <c r="B1260"/>
      <c r="C1260"/>
      <c r="D1260"/>
      <c r="E1260"/>
      <c r="F1260"/>
      <c r="G1260"/>
      <c r="H1260"/>
      <c r="I1260"/>
    </row>
    <row r="1261" spans="1:9" s="47" customFormat="1" ht="14.4" x14ac:dyDescent="0.3">
      <c r="A1261"/>
      <c r="B1261"/>
      <c r="C1261"/>
      <c r="D1261"/>
      <c r="E1261"/>
      <c r="F1261"/>
      <c r="G1261"/>
      <c r="H1261"/>
      <c r="I1261"/>
    </row>
    <row r="1262" spans="1:9" s="47" customFormat="1" ht="14.4" x14ac:dyDescent="0.3">
      <c r="A1262"/>
      <c r="B1262"/>
      <c r="C1262"/>
      <c r="D1262"/>
      <c r="E1262"/>
      <c r="F1262"/>
      <c r="G1262"/>
      <c r="H1262"/>
      <c r="I1262"/>
    </row>
    <row r="1263" spans="1:9" s="47" customFormat="1" ht="14.4" x14ac:dyDescent="0.3">
      <c r="A1263"/>
      <c r="B1263"/>
      <c r="C1263"/>
      <c r="D1263"/>
      <c r="E1263"/>
      <c r="F1263"/>
      <c r="G1263"/>
      <c r="H1263"/>
      <c r="I1263"/>
    </row>
    <row r="1264" spans="1:9" s="47" customFormat="1" ht="14.4" x14ac:dyDescent="0.3">
      <c r="A1264"/>
      <c r="B1264"/>
      <c r="C1264"/>
      <c r="D1264"/>
      <c r="E1264"/>
      <c r="F1264"/>
      <c r="G1264"/>
      <c r="H1264"/>
      <c r="I1264"/>
    </row>
    <row r="1265" spans="1:9" s="47" customFormat="1" ht="14.4" x14ac:dyDescent="0.3">
      <c r="A1265"/>
      <c r="B1265"/>
      <c r="C1265"/>
      <c r="D1265"/>
      <c r="E1265"/>
      <c r="F1265"/>
      <c r="G1265"/>
      <c r="H1265"/>
      <c r="I1265"/>
    </row>
    <row r="1266" spans="1:9" s="47" customFormat="1" ht="14.4" x14ac:dyDescent="0.3">
      <c r="A1266"/>
      <c r="B1266"/>
      <c r="C1266"/>
      <c r="D1266"/>
      <c r="E1266"/>
      <c r="F1266"/>
      <c r="G1266"/>
      <c r="H1266"/>
      <c r="I1266"/>
    </row>
    <row r="1267" spans="1:9" s="47" customFormat="1" ht="14.4" x14ac:dyDescent="0.3">
      <c r="A1267"/>
      <c r="B1267"/>
      <c r="C1267"/>
      <c r="D1267"/>
      <c r="E1267"/>
      <c r="F1267"/>
      <c r="G1267"/>
      <c r="H1267"/>
      <c r="I1267"/>
    </row>
    <row r="1268" spans="1:9" s="47" customFormat="1" ht="14.4" x14ac:dyDescent="0.3">
      <c r="A1268"/>
      <c r="B1268"/>
      <c r="C1268"/>
      <c r="D1268"/>
      <c r="E1268"/>
      <c r="F1268"/>
      <c r="G1268"/>
      <c r="H1268"/>
      <c r="I1268"/>
    </row>
    <row r="1269" spans="1:9" s="47" customFormat="1" ht="14.4" x14ac:dyDescent="0.3">
      <c r="A1269"/>
      <c r="B1269"/>
      <c r="C1269"/>
      <c r="D1269"/>
      <c r="E1269"/>
      <c r="F1269"/>
      <c r="G1269"/>
      <c r="H1269"/>
      <c r="I1269"/>
    </row>
    <row r="1270" spans="1:9" s="47" customFormat="1" ht="14.4" x14ac:dyDescent="0.3">
      <c r="A1270"/>
      <c r="B1270"/>
      <c r="C1270"/>
      <c r="D1270"/>
      <c r="E1270"/>
      <c r="F1270"/>
      <c r="G1270"/>
      <c r="H1270"/>
      <c r="I1270"/>
    </row>
    <row r="1271" spans="1:9" s="47" customFormat="1" ht="14.4" x14ac:dyDescent="0.3">
      <c r="A1271"/>
      <c r="B1271"/>
      <c r="C1271"/>
      <c r="D1271"/>
      <c r="E1271"/>
      <c r="F1271"/>
      <c r="G1271"/>
      <c r="H1271"/>
      <c r="I1271"/>
    </row>
    <row r="1272" spans="1:9" s="47" customFormat="1" ht="14.4" x14ac:dyDescent="0.3">
      <c r="A1272"/>
      <c r="B1272"/>
      <c r="C1272"/>
      <c r="D1272"/>
      <c r="E1272"/>
      <c r="F1272"/>
      <c r="G1272"/>
      <c r="H1272"/>
      <c r="I1272"/>
    </row>
    <row r="1273" spans="1:9" s="47" customFormat="1" ht="14.4" x14ac:dyDescent="0.3">
      <c r="A1273"/>
      <c r="B1273"/>
      <c r="C1273"/>
      <c r="D1273"/>
      <c r="E1273"/>
      <c r="F1273"/>
      <c r="G1273"/>
      <c r="H1273"/>
      <c r="I1273"/>
    </row>
    <row r="1274" spans="1:9" s="47" customFormat="1" ht="14.4" x14ac:dyDescent="0.3">
      <c r="A1274"/>
      <c r="B1274"/>
      <c r="C1274"/>
      <c r="D1274"/>
      <c r="E1274"/>
      <c r="F1274"/>
      <c r="G1274"/>
      <c r="H1274"/>
      <c r="I1274"/>
    </row>
    <row r="1275" spans="1:9" s="47" customFormat="1" ht="14.4" x14ac:dyDescent="0.3">
      <c r="A1275"/>
      <c r="B1275"/>
      <c r="C1275"/>
      <c r="D1275"/>
      <c r="E1275"/>
      <c r="F1275"/>
      <c r="G1275"/>
      <c r="H1275"/>
      <c r="I1275"/>
    </row>
    <row r="1276" spans="1:9" s="47" customFormat="1" ht="14.4" x14ac:dyDescent="0.3">
      <c r="A1276"/>
      <c r="B1276"/>
      <c r="C1276"/>
      <c r="D1276"/>
      <c r="E1276"/>
      <c r="F1276"/>
      <c r="G1276"/>
      <c r="H1276"/>
      <c r="I1276"/>
    </row>
    <row r="1277" spans="1:9" s="47" customFormat="1" ht="14.4" x14ac:dyDescent="0.3">
      <c r="A1277"/>
      <c r="B1277"/>
      <c r="C1277"/>
      <c r="D1277"/>
      <c r="E1277"/>
      <c r="F1277"/>
      <c r="G1277"/>
      <c r="H1277"/>
      <c r="I1277"/>
    </row>
    <row r="1278" spans="1:9" s="47" customFormat="1" ht="14.4" x14ac:dyDescent="0.3">
      <c r="A1278"/>
      <c r="B1278"/>
      <c r="C1278"/>
      <c r="D1278"/>
      <c r="E1278"/>
      <c r="F1278"/>
      <c r="G1278"/>
      <c r="H1278"/>
      <c r="I1278"/>
    </row>
    <row r="1279" spans="1:9" s="47" customFormat="1" ht="14.4" x14ac:dyDescent="0.3">
      <c r="A1279"/>
      <c r="B1279"/>
      <c r="C1279"/>
      <c r="D1279"/>
      <c r="E1279"/>
      <c r="F1279"/>
      <c r="G1279"/>
      <c r="H1279"/>
      <c r="I1279"/>
    </row>
    <row r="1280" spans="1:9" s="47" customFormat="1" ht="14.4" x14ac:dyDescent="0.3">
      <c r="A1280"/>
      <c r="B1280"/>
      <c r="C1280"/>
      <c r="D1280"/>
      <c r="E1280"/>
      <c r="F1280"/>
      <c r="G1280"/>
      <c r="H1280"/>
      <c r="I1280"/>
    </row>
    <row r="1281" spans="1:9" s="47" customFormat="1" ht="14.4" x14ac:dyDescent="0.3">
      <c r="A1281"/>
      <c r="B1281"/>
      <c r="C1281"/>
      <c r="D1281"/>
      <c r="E1281"/>
      <c r="F1281"/>
      <c r="G1281"/>
      <c r="H1281"/>
      <c r="I1281"/>
    </row>
    <row r="1282" spans="1:9" s="47" customFormat="1" ht="14.4" x14ac:dyDescent="0.3">
      <c r="A1282"/>
      <c r="B1282"/>
      <c r="C1282"/>
      <c r="D1282"/>
      <c r="E1282"/>
      <c r="F1282"/>
      <c r="G1282"/>
      <c r="H1282"/>
      <c r="I1282"/>
    </row>
    <row r="1283" spans="1:9" s="47" customFormat="1" ht="14.4" x14ac:dyDescent="0.3">
      <c r="A1283"/>
      <c r="B1283"/>
      <c r="C1283"/>
      <c r="D1283"/>
      <c r="E1283"/>
      <c r="F1283"/>
      <c r="G1283"/>
      <c r="H1283"/>
      <c r="I1283"/>
    </row>
    <row r="1284" spans="1:9" s="47" customFormat="1" ht="14.4" x14ac:dyDescent="0.3">
      <c r="A1284"/>
      <c r="B1284"/>
      <c r="C1284"/>
      <c r="D1284"/>
      <c r="E1284"/>
      <c r="F1284"/>
      <c r="G1284"/>
      <c r="H1284"/>
      <c r="I1284"/>
    </row>
    <row r="1285" spans="1:9" s="47" customFormat="1" ht="14.4" x14ac:dyDescent="0.3">
      <c r="A1285"/>
      <c r="B1285"/>
      <c r="C1285"/>
      <c r="D1285"/>
      <c r="E1285"/>
      <c r="F1285"/>
      <c r="G1285"/>
      <c r="H1285"/>
      <c r="I1285"/>
    </row>
    <row r="1286" spans="1:9" s="47" customFormat="1" ht="14.4" x14ac:dyDescent="0.3">
      <c r="A1286"/>
      <c r="B1286"/>
      <c r="C1286"/>
      <c r="D1286"/>
      <c r="E1286"/>
      <c r="F1286"/>
      <c r="G1286"/>
      <c r="H1286"/>
      <c r="I1286"/>
    </row>
    <row r="1287" spans="1:9" s="47" customFormat="1" ht="14.4" x14ac:dyDescent="0.3">
      <c r="A1287"/>
      <c r="B1287"/>
      <c r="C1287"/>
      <c r="D1287"/>
      <c r="E1287"/>
      <c r="F1287"/>
      <c r="G1287"/>
      <c r="H1287"/>
      <c r="I1287"/>
    </row>
    <row r="1288" spans="1:9" s="47" customFormat="1" ht="14.4" x14ac:dyDescent="0.3">
      <c r="A1288"/>
      <c r="B1288"/>
      <c r="C1288"/>
      <c r="D1288"/>
      <c r="E1288"/>
      <c r="F1288"/>
      <c r="G1288"/>
      <c r="H1288"/>
      <c r="I1288"/>
    </row>
    <row r="1289" spans="1:9" s="47" customFormat="1" ht="14.4" x14ac:dyDescent="0.3">
      <c r="A1289"/>
      <c r="B1289"/>
      <c r="C1289"/>
      <c r="D1289"/>
      <c r="E1289"/>
      <c r="F1289"/>
      <c r="G1289"/>
      <c r="H1289"/>
      <c r="I1289"/>
    </row>
    <row r="1290" spans="1:9" s="47" customFormat="1" ht="14.4" x14ac:dyDescent="0.3">
      <c r="A1290"/>
      <c r="B1290"/>
      <c r="C1290"/>
      <c r="D1290"/>
      <c r="E1290"/>
      <c r="F1290"/>
      <c r="G1290"/>
      <c r="H1290"/>
      <c r="I1290"/>
    </row>
    <row r="1291" spans="1:9" s="47" customFormat="1" ht="14.4" x14ac:dyDescent="0.3">
      <c r="A1291"/>
      <c r="B1291"/>
      <c r="C1291"/>
      <c r="D1291"/>
      <c r="E1291"/>
      <c r="F1291"/>
      <c r="G1291"/>
      <c r="H1291"/>
      <c r="I1291"/>
    </row>
    <row r="1292" spans="1:9" s="47" customFormat="1" ht="14.4" x14ac:dyDescent="0.3">
      <c r="A1292"/>
      <c r="B1292"/>
      <c r="C1292"/>
      <c r="D1292"/>
      <c r="E1292"/>
      <c r="F1292"/>
      <c r="G1292"/>
      <c r="H1292"/>
      <c r="I1292"/>
    </row>
    <row r="1293" spans="1:9" s="47" customFormat="1" ht="14.4" x14ac:dyDescent="0.3">
      <c r="A1293"/>
      <c r="B1293"/>
      <c r="C1293"/>
      <c r="D1293"/>
      <c r="E1293"/>
      <c r="F1293"/>
      <c r="G1293"/>
      <c r="H1293"/>
      <c r="I1293"/>
    </row>
    <row r="1294" spans="1:9" s="47" customFormat="1" ht="14.4" x14ac:dyDescent="0.3">
      <c r="A1294"/>
      <c r="B1294"/>
      <c r="C1294"/>
      <c r="D1294"/>
      <c r="E1294"/>
      <c r="F1294"/>
      <c r="G1294"/>
      <c r="H1294"/>
      <c r="I1294"/>
    </row>
    <row r="1295" spans="1:9" s="47" customFormat="1" ht="14.4" x14ac:dyDescent="0.3">
      <c r="A1295"/>
      <c r="B1295"/>
      <c r="C1295"/>
      <c r="D1295"/>
      <c r="E1295"/>
      <c r="F1295"/>
      <c r="G1295"/>
      <c r="H1295"/>
      <c r="I1295"/>
    </row>
    <row r="1296" spans="1:9" s="47" customFormat="1" ht="14.4" x14ac:dyDescent="0.3">
      <c r="A1296"/>
      <c r="B1296"/>
      <c r="C1296"/>
      <c r="D1296"/>
      <c r="E1296"/>
      <c r="F1296"/>
      <c r="G1296"/>
      <c r="H1296"/>
      <c r="I1296"/>
    </row>
    <row r="1297" spans="1:9" s="47" customFormat="1" ht="14.4" x14ac:dyDescent="0.3">
      <c r="A1297"/>
      <c r="B1297"/>
      <c r="C1297"/>
      <c r="D1297"/>
      <c r="E1297"/>
      <c r="F1297"/>
      <c r="G1297"/>
      <c r="H1297"/>
      <c r="I1297"/>
    </row>
    <row r="1298" spans="1:9" s="47" customFormat="1" ht="14.4" x14ac:dyDescent="0.3">
      <c r="A1298"/>
      <c r="B1298"/>
      <c r="C1298"/>
      <c r="D1298"/>
      <c r="E1298"/>
      <c r="F1298"/>
      <c r="G1298"/>
      <c r="H1298"/>
      <c r="I1298"/>
    </row>
    <row r="1299" spans="1:9" s="47" customFormat="1" ht="14.4" x14ac:dyDescent="0.3">
      <c r="A1299"/>
      <c r="B1299"/>
      <c r="C1299"/>
      <c r="D1299"/>
      <c r="E1299"/>
      <c r="F1299"/>
      <c r="G1299"/>
      <c r="H1299"/>
      <c r="I1299"/>
    </row>
    <row r="1300" spans="1:9" s="47" customFormat="1" ht="14.4" x14ac:dyDescent="0.3">
      <c r="A1300"/>
      <c r="B1300"/>
      <c r="C1300"/>
      <c r="D1300"/>
      <c r="E1300"/>
      <c r="F1300"/>
      <c r="G1300"/>
      <c r="H1300"/>
      <c r="I1300"/>
    </row>
    <row r="1301" spans="1:9" s="47" customFormat="1" ht="14.4" x14ac:dyDescent="0.3">
      <c r="A1301"/>
      <c r="B1301"/>
      <c r="C1301"/>
      <c r="D1301"/>
      <c r="E1301"/>
      <c r="F1301"/>
      <c r="G1301"/>
      <c r="H1301"/>
      <c r="I1301"/>
    </row>
    <row r="1302" spans="1:9" s="47" customFormat="1" ht="14.4" x14ac:dyDescent="0.3">
      <c r="A1302"/>
      <c r="B1302"/>
      <c r="C1302"/>
      <c r="D1302"/>
      <c r="E1302"/>
      <c r="F1302"/>
      <c r="G1302"/>
      <c r="H1302"/>
      <c r="I1302"/>
    </row>
    <row r="1303" spans="1:9" s="47" customFormat="1" ht="14.4" x14ac:dyDescent="0.3">
      <c r="A1303"/>
      <c r="B1303"/>
      <c r="C1303"/>
      <c r="D1303"/>
      <c r="E1303"/>
      <c r="F1303"/>
      <c r="G1303"/>
      <c r="H1303"/>
      <c r="I1303"/>
    </row>
    <row r="1304" spans="1:9" s="47" customFormat="1" ht="14.4" x14ac:dyDescent="0.3">
      <c r="A1304"/>
      <c r="B1304"/>
      <c r="C1304"/>
      <c r="D1304"/>
      <c r="E1304"/>
      <c r="F1304"/>
      <c r="G1304"/>
      <c r="H1304"/>
      <c r="I1304"/>
    </row>
    <row r="1305" spans="1:9" s="47" customFormat="1" ht="14.4" x14ac:dyDescent="0.3">
      <c r="A1305"/>
      <c r="B1305"/>
      <c r="C1305"/>
      <c r="D1305"/>
      <c r="E1305"/>
      <c r="F1305"/>
      <c r="G1305"/>
      <c r="H1305"/>
      <c r="I1305"/>
    </row>
    <row r="1306" spans="1:9" s="47" customFormat="1" ht="14.4" x14ac:dyDescent="0.3">
      <c r="A1306"/>
      <c r="B1306"/>
      <c r="C1306"/>
      <c r="D1306"/>
      <c r="E1306"/>
      <c r="F1306"/>
      <c r="G1306"/>
      <c r="H1306"/>
      <c r="I1306"/>
    </row>
    <row r="1307" spans="1:9" s="47" customFormat="1" ht="14.4" x14ac:dyDescent="0.3">
      <c r="A1307"/>
      <c r="B1307"/>
      <c r="C1307"/>
      <c r="D1307"/>
      <c r="E1307"/>
      <c r="F1307"/>
      <c r="G1307"/>
      <c r="H1307"/>
      <c r="I1307"/>
    </row>
    <row r="1308" spans="1:9" s="47" customFormat="1" ht="14.4" x14ac:dyDescent="0.3">
      <c r="A1308"/>
      <c r="B1308"/>
      <c r="C1308"/>
      <c r="D1308"/>
      <c r="E1308"/>
      <c r="F1308"/>
      <c r="G1308"/>
      <c r="H1308"/>
      <c r="I1308"/>
    </row>
    <row r="1309" spans="1:9" s="47" customFormat="1" ht="14.4" x14ac:dyDescent="0.3">
      <c r="A1309"/>
      <c r="B1309"/>
      <c r="C1309"/>
      <c r="D1309"/>
      <c r="E1309"/>
      <c r="F1309"/>
      <c r="G1309"/>
      <c r="H1309"/>
      <c r="I1309"/>
    </row>
    <row r="1310" spans="1:9" s="47" customFormat="1" ht="14.4" x14ac:dyDescent="0.3">
      <c r="A1310"/>
      <c r="B1310"/>
      <c r="C1310"/>
      <c r="D1310"/>
      <c r="E1310"/>
      <c r="F1310"/>
      <c r="G1310"/>
      <c r="H1310"/>
      <c r="I1310"/>
    </row>
    <row r="1311" spans="1:9" s="47" customFormat="1" ht="14.4" x14ac:dyDescent="0.3">
      <c r="A1311"/>
      <c r="B1311"/>
      <c r="C1311"/>
      <c r="D1311"/>
      <c r="E1311"/>
      <c r="F1311"/>
      <c r="G1311"/>
      <c r="H1311"/>
      <c r="I1311"/>
    </row>
    <row r="1312" spans="1:9" s="47" customFormat="1" ht="14.4" x14ac:dyDescent="0.3">
      <c r="A1312"/>
      <c r="B1312"/>
      <c r="C1312"/>
      <c r="D1312"/>
      <c r="E1312"/>
      <c r="F1312"/>
      <c r="G1312"/>
      <c r="H1312"/>
      <c r="I1312"/>
    </row>
    <row r="1313" spans="1:9" s="47" customFormat="1" ht="14.4" x14ac:dyDescent="0.3">
      <c r="A1313"/>
      <c r="B1313"/>
      <c r="C1313"/>
      <c r="D1313"/>
      <c r="E1313"/>
      <c r="F1313"/>
      <c r="G1313"/>
      <c r="H1313"/>
      <c r="I1313"/>
    </row>
    <row r="1314" spans="1:9" s="47" customFormat="1" ht="14.4" x14ac:dyDescent="0.3">
      <c r="A1314"/>
      <c r="B1314"/>
      <c r="C1314"/>
      <c r="D1314"/>
      <c r="E1314"/>
      <c r="F1314"/>
      <c r="G1314"/>
      <c r="H1314"/>
      <c r="I1314"/>
    </row>
    <row r="1315" spans="1:9" s="47" customFormat="1" ht="14.4" x14ac:dyDescent="0.3">
      <c r="A1315"/>
      <c r="B1315"/>
      <c r="C1315"/>
      <c r="D1315"/>
      <c r="E1315"/>
      <c r="F1315"/>
      <c r="G1315"/>
      <c r="H1315"/>
      <c r="I1315"/>
    </row>
    <row r="1316" spans="1:9" s="47" customFormat="1" ht="14.4" x14ac:dyDescent="0.3">
      <c r="A1316"/>
      <c r="B1316"/>
      <c r="C1316"/>
      <c r="D1316"/>
      <c r="E1316"/>
      <c r="F1316"/>
      <c r="G1316"/>
      <c r="H1316"/>
      <c r="I1316"/>
    </row>
    <row r="1317" spans="1:9" s="47" customFormat="1" ht="14.4" x14ac:dyDescent="0.3">
      <c r="A1317"/>
      <c r="B1317"/>
      <c r="C1317"/>
      <c r="D1317"/>
      <c r="E1317"/>
      <c r="F1317"/>
      <c r="G1317"/>
      <c r="H1317"/>
      <c r="I1317"/>
    </row>
    <row r="1318" spans="1:9" s="47" customFormat="1" ht="14.4" x14ac:dyDescent="0.3">
      <c r="A1318"/>
      <c r="B1318"/>
      <c r="C1318"/>
      <c r="D1318"/>
      <c r="E1318"/>
      <c r="F1318"/>
      <c r="G1318"/>
      <c r="H1318"/>
      <c r="I1318"/>
    </row>
    <row r="1319" spans="1:9" s="47" customFormat="1" ht="14.4" x14ac:dyDescent="0.3">
      <c r="A1319"/>
      <c r="B1319"/>
      <c r="C1319"/>
      <c r="D1319"/>
      <c r="E1319"/>
      <c r="F1319"/>
      <c r="G1319"/>
      <c r="H1319"/>
      <c r="I1319"/>
    </row>
    <row r="1320" spans="1:9" s="47" customFormat="1" ht="14.4" x14ac:dyDescent="0.3">
      <c r="A1320"/>
      <c r="B1320"/>
      <c r="C1320"/>
      <c r="D1320"/>
      <c r="E1320"/>
      <c r="F1320"/>
      <c r="G1320"/>
      <c r="H1320"/>
      <c r="I1320"/>
    </row>
    <row r="1321" spans="1:9" s="47" customFormat="1" ht="14.4" x14ac:dyDescent="0.3">
      <c r="A1321"/>
      <c r="B1321"/>
      <c r="C1321"/>
      <c r="D1321"/>
      <c r="E1321"/>
      <c r="F1321"/>
      <c r="G1321"/>
      <c r="H1321"/>
      <c r="I1321"/>
    </row>
    <row r="1322" spans="1:9" s="47" customFormat="1" ht="14.4" x14ac:dyDescent="0.3">
      <c r="A1322"/>
      <c r="B1322"/>
      <c r="C1322"/>
      <c r="D1322"/>
      <c r="E1322"/>
      <c r="F1322"/>
      <c r="G1322"/>
      <c r="H1322"/>
      <c r="I1322"/>
    </row>
    <row r="1323" spans="1:9" s="47" customFormat="1" ht="14.4" x14ac:dyDescent="0.3">
      <c r="A1323"/>
      <c r="B1323"/>
      <c r="C1323"/>
      <c r="D1323"/>
      <c r="E1323"/>
      <c r="F1323"/>
      <c r="G1323"/>
      <c r="H1323"/>
      <c r="I1323"/>
    </row>
    <row r="1324" spans="1:9" s="47" customFormat="1" ht="14.4" x14ac:dyDescent="0.3">
      <c r="A1324"/>
      <c r="B1324"/>
      <c r="C1324"/>
      <c r="D1324"/>
      <c r="E1324"/>
      <c r="F1324"/>
      <c r="G1324"/>
      <c r="H1324"/>
      <c r="I1324"/>
    </row>
    <row r="1325" spans="1:9" s="47" customFormat="1" ht="14.4" x14ac:dyDescent="0.3">
      <c r="A1325"/>
      <c r="B1325"/>
      <c r="C1325"/>
      <c r="D1325"/>
      <c r="E1325"/>
      <c r="F1325"/>
      <c r="G1325"/>
      <c r="H1325"/>
      <c r="I1325"/>
    </row>
    <row r="1326" spans="1:9" s="47" customFormat="1" ht="14.4" x14ac:dyDescent="0.3">
      <c r="A1326"/>
      <c r="B1326"/>
      <c r="C1326"/>
      <c r="D1326"/>
      <c r="E1326"/>
      <c r="F1326"/>
      <c r="G1326"/>
      <c r="H1326"/>
      <c r="I1326"/>
    </row>
    <row r="1327" spans="1:9" s="47" customFormat="1" ht="14.4" x14ac:dyDescent="0.3">
      <c r="A1327"/>
      <c r="B1327"/>
      <c r="C1327"/>
      <c r="D1327"/>
      <c r="E1327"/>
      <c r="F1327"/>
      <c r="G1327"/>
      <c r="H1327"/>
      <c r="I1327"/>
    </row>
    <row r="1328" spans="1:9" s="47" customFormat="1" ht="14.4" x14ac:dyDescent="0.3">
      <c r="A1328"/>
      <c r="B1328"/>
      <c r="C1328"/>
      <c r="D1328"/>
      <c r="E1328"/>
      <c r="F1328"/>
      <c r="G1328"/>
      <c r="H1328"/>
      <c r="I1328"/>
    </row>
    <row r="1329" spans="1:9" s="47" customFormat="1" ht="14.4" x14ac:dyDescent="0.3">
      <c r="A1329"/>
      <c r="B1329"/>
      <c r="C1329"/>
      <c r="D1329"/>
      <c r="E1329"/>
      <c r="F1329"/>
      <c r="G1329"/>
      <c r="H1329"/>
      <c r="I1329"/>
    </row>
    <row r="1330" spans="1:9" s="47" customFormat="1" ht="14.4" x14ac:dyDescent="0.3">
      <c r="A1330"/>
      <c r="B1330"/>
      <c r="C1330"/>
      <c r="D1330"/>
      <c r="E1330"/>
      <c r="F1330"/>
      <c r="G1330"/>
      <c r="H1330"/>
      <c r="I1330"/>
    </row>
    <row r="1331" spans="1:9" s="47" customFormat="1" ht="14.4" x14ac:dyDescent="0.3">
      <c r="A1331"/>
      <c r="B1331"/>
      <c r="C1331"/>
      <c r="D1331"/>
      <c r="E1331"/>
      <c r="F1331"/>
      <c r="G1331"/>
      <c r="H1331"/>
      <c r="I1331"/>
    </row>
    <row r="1332" spans="1:9" s="47" customFormat="1" ht="14.4" x14ac:dyDescent="0.3">
      <c r="A1332"/>
      <c r="B1332"/>
      <c r="C1332"/>
      <c r="D1332"/>
      <c r="E1332"/>
      <c r="F1332"/>
      <c r="G1332"/>
      <c r="H1332"/>
      <c r="I1332"/>
    </row>
    <row r="1333" spans="1:9" s="47" customFormat="1" ht="14.4" x14ac:dyDescent="0.3">
      <c r="A1333"/>
      <c r="B1333"/>
      <c r="C1333"/>
      <c r="D1333"/>
      <c r="E1333"/>
      <c r="F1333"/>
      <c r="G1333"/>
      <c r="H1333"/>
      <c r="I1333"/>
    </row>
    <row r="1334" spans="1:9" s="47" customFormat="1" ht="14.4" x14ac:dyDescent="0.3">
      <c r="A1334"/>
      <c r="B1334"/>
      <c r="C1334"/>
      <c r="D1334"/>
      <c r="E1334"/>
      <c r="F1334"/>
      <c r="G1334"/>
      <c r="H1334"/>
      <c r="I1334"/>
    </row>
    <row r="1335" spans="1:9" s="47" customFormat="1" ht="14.4" x14ac:dyDescent="0.3">
      <c r="A1335"/>
      <c r="B1335"/>
      <c r="C1335"/>
      <c r="D1335"/>
      <c r="E1335"/>
      <c r="F1335"/>
      <c r="G1335"/>
      <c r="H1335"/>
      <c r="I1335"/>
    </row>
    <row r="1336" spans="1:9" s="47" customFormat="1" ht="14.4" x14ac:dyDescent="0.3">
      <c r="A1336"/>
      <c r="B1336"/>
      <c r="C1336"/>
      <c r="D1336"/>
      <c r="E1336"/>
      <c r="F1336"/>
      <c r="G1336"/>
      <c r="H1336"/>
      <c r="I1336"/>
    </row>
    <row r="1337" spans="1:9" s="47" customFormat="1" ht="14.4" x14ac:dyDescent="0.3">
      <c r="A1337"/>
      <c r="B1337"/>
      <c r="C1337"/>
      <c r="D1337"/>
      <c r="E1337"/>
      <c r="F1337"/>
      <c r="G1337"/>
      <c r="H1337"/>
      <c r="I1337"/>
    </row>
    <row r="1338" spans="1:9" s="47" customFormat="1" ht="14.4" x14ac:dyDescent="0.3">
      <c r="A1338"/>
      <c r="B1338"/>
      <c r="C1338"/>
      <c r="D1338"/>
      <c r="E1338"/>
      <c r="F1338"/>
      <c r="G1338"/>
      <c r="H1338"/>
      <c r="I1338"/>
    </row>
    <row r="1339" spans="1:9" s="47" customFormat="1" ht="14.4" x14ac:dyDescent="0.3">
      <c r="A1339"/>
      <c r="B1339"/>
      <c r="C1339"/>
      <c r="D1339"/>
      <c r="E1339"/>
      <c r="F1339"/>
      <c r="G1339"/>
      <c r="H1339"/>
      <c r="I1339"/>
    </row>
    <row r="1340" spans="1:9" s="47" customFormat="1" ht="14.4" x14ac:dyDescent="0.3">
      <c r="A1340"/>
      <c r="B1340"/>
      <c r="C1340"/>
      <c r="D1340"/>
      <c r="E1340"/>
      <c r="F1340"/>
      <c r="G1340"/>
      <c r="H1340"/>
      <c r="I1340"/>
    </row>
    <row r="1341" spans="1:9" s="47" customFormat="1" ht="14.4" x14ac:dyDescent="0.3">
      <c r="A1341"/>
      <c r="B1341"/>
      <c r="C1341"/>
      <c r="D1341"/>
      <c r="E1341"/>
      <c r="F1341"/>
      <c r="G1341"/>
      <c r="H1341"/>
      <c r="I1341"/>
    </row>
    <row r="1342" spans="1:9" s="47" customFormat="1" ht="14.4" x14ac:dyDescent="0.3">
      <c r="A1342"/>
      <c r="B1342"/>
      <c r="C1342"/>
      <c r="D1342"/>
      <c r="E1342"/>
      <c r="F1342"/>
      <c r="G1342"/>
      <c r="H1342"/>
      <c r="I1342"/>
    </row>
    <row r="1343" spans="1:9" s="47" customFormat="1" ht="14.4" x14ac:dyDescent="0.3">
      <c r="A1343"/>
      <c r="B1343"/>
      <c r="C1343"/>
      <c r="D1343"/>
      <c r="E1343"/>
      <c r="F1343"/>
      <c r="G1343"/>
      <c r="H1343"/>
      <c r="I1343"/>
    </row>
    <row r="1344" spans="1:9" s="47" customFormat="1" ht="14.4" x14ac:dyDescent="0.3">
      <c r="A1344"/>
      <c r="B1344"/>
      <c r="C1344"/>
      <c r="D1344"/>
      <c r="E1344"/>
      <c r="F1344"/>
      <c r="G1344"/>
      <c r="H1344"/>
      <c r="I1344"/>
    </row>
    <row r="1345" spans="1:9" s="47" customFormat="1" ht="14.4" x14ac:dyDescent="0.3">
      <c r="A1345"/>
      <c r="B1345"/>
      <c r="C1345"/>
      <c r="D1345"/>
      <c r="E1345"/>
      <c r="F1345"/>
      <c r="G1345"/>
      <c r="H1345"/>
      <c r="I1345"/>
    </row>
    <row r="1346" spans="1:9" s="47" customFormat="1" ht="14.4" x14ac:dyDescent="0.3">
      <c r="A1346"/>
      <c r="B1346"/>
      <c r="C1346"/>
      <c r="D1346"/>
      <c r="E1346"/>
      <c r="F1346"/>
      <c r="G1346"/>
      <c r="H1346"/>
      <c r="I1346"/>
    </row>
    <row r="1347" spans="1:9" s="47" customFormat="1" ht="14.4" x14ac:dyDescent="0.3">
      <c r="A1347"/>
      <c r="B1347"/>
      <c r="C1347"/>
      <c r="D1347"/>
      <c r="E1347"/>
      <c r="F1347"/>
      <c r="G1347"/>
      <c r="H1347"/>
      <c r="I1347"/>
    </row>
    <row r="1348" spans="1:9" s="47" customFormat="1" ht="14.4" x14ac:dyDescent="0.3">
      <c r="A1348"/>
      <c r="B1348"/>
      <c r="C1348"/>
      <c r="D1348"/>
      <c r="E1348"/>
      <c r="F1348"/>
      <c r="G1348"/>
      <c r="H1348"/>
      <c r="I1348"/>
    </row>
    <row r="1349" spans="1:9" s="47" customFormat="1" ht="14.4" x14ac:dyDescent="0.3">
      <c r="A1349"/>
      <c r="B1349"/>
      <c r="C1349"/>
      <c r="D1349"/>
      <c r="E1349"/>
      <c r="F1349"/>
      <c r="G1349"/>
      <c r="H1349"/>
      <c r="I1349"/>
    </row>
    <row r="1350" spans="1:9" s="47" customFormat="1" ht="14.4" x14ac:dyDescent="0.3">
      <c r="A1350"/>
      <c r="B1350"/>
      <c r="C1350"/>
      <c r="D1350"/>
      <c r="E1350"/>
      <c r="F1350"/>
      <c r="G1350"/>
      <c r="H1350"/>
      <c r="I1350"/>
    </row>
    <row r="1351" spans="1:9" s="47" customFormat="1" ht="14.4" x14ac:dyDescent="0.3">
      <c r="A1351"/>
      <c r="B1351"/>
      <c r="C1351"/>
      <c r="D1351"/>
      <c r="E1351"/>
      <c r="F1351"/>
      <c r="G1351"/>
      <c r="H1351"/>
      <c r="I1351"/>
    </row>
    <row r="1352" spans="1:9" s="47" customFormat="1" ht="14.4" x14ac:dyDescent="0.3">
      <c r="A1352"/>
      <c r="B1352"/>
      <c r="C1352"/>
      <c r="D1352"/>
      <c r="E1352"/>
      <c r="F1352"/>
      <c r="G1352"/>
      <c r="H1352"/>
      <c r="I1352"/>
    </row>
    <row r="1353" spans="1:9" s="47" customFormat="1" ht="14.4" x14ac:dyDescent="0.3">
      <c r="A1353"/>
      <c r="B1353"/>
      <c r="C1353"/>
      <c r="D1353"/>
      <c r="E1353"/>
      <c r="F1353"/>
      <c r="G1353"/>
      <c r="H1353"/>
      <c r="I1353"/>
    </row>
    <row r="1354" spans="1:9" s="47" customFormat="1" ht="14.4" x14ac:dyDescent="0.3">
      <c r="A1354"/>
      <c r="B1354"/>
      <c r="C1354"/>
      <c r="D1354"/>
      <c r="E1354"/>
      <c r="F1354"/>
      <c r="G1354"/>
      <c r="H1354"/>
      <c r="I1354"/>
    </row>
    <row r="1355" spans="1:9" s="47" customFormat="1" ht="14.4" x14ac:dyDescent="0.3">
      <c r="A1355"/>
      <c r="B1355"/>
      <c r="C1355"/>
      <c r="D1355"/>
      <c r="E1355"/>
      <c r="F1355"/>
      <c r="G1355"/>
      <c r="H1355"/>
      <c r="I1355"/>
    </row>
    <row r="1356" spans="1:9" s="47" customFormat="1" ht="14.4" x14ac:dyDescent="0.3">
      <c r="A1356"/>
      <c r="B1356"/>
      <c r="C1356"/>
      <c r="D1356"/>
      <c r="E1356"/>
      <c r="F1356"/>
      <c r="G1356"/>
      <c r="H1356"/>
      <c r="I1356"/>
    </row>
    <row r="1357" spans="1:9" s="47" customFormat="1" ht="14.4" x14ac:dyDescent="0.3">
      <c r="A1357"/>
      <c r="B1357"/>
      <c r="C1357"/>
      <c r="D1357"/>
      <c r="E1357"/>
      <c r="F1357"/>
      <c r="G1357"/>
      <c r="H1357"/>
      <c r="I1357"/>
    </row>
    <row r="1358" spans="1:9" s="47" customFormat="1" ht="14.4" x14ac:dyDescent="0.3">
      <c r="A1358"/>
      <c r="B1358"/>
      <c r="C1358"/>
      <c r="D1358"/>
      <c r="E1358"/>
      <c r="F1358"/>
      <c r="G1358"/>
      <c r="H1358"/>
      <c r="I1358"/>
    </row>
    <row r="1359" spans="1:9" s="47" customFormat="1" ht="14.4" x14ac:dyDescent="0.3">
      <c r="A1359"/>
      <c r="B1359"/>
      <c r="C1359"/>
      <c r="D1359"/>
      <c r="E1359"/>
      <c r="F1359"/>
      <c r="G1359"/>
      <c r="H1359"/>
      <c r="I1359"/>
    </row>
    <row r="1360" spans="1:9" s="47" customFormat="1" ht="14.4" x14ac:dyDescent="0.3">
      <c r="A1360"/>
      <c r="B1360"/>
      <c r="C1360"/>
      <c r="D1360"/>
      <c r="E1360"/>
      <c r="F1360"/>
      <c r="G1360"/>
      <c r="H1360"/>
      <c r="I1360"/>
    </row>
    <row r="1361" spans="1:9" s="47" customFormat="1" ht="14.4" x14ac:dyDescent="0.3">
      <c r="A1361"/>
      <c r="B1361"/>
      <c r="C1361"/>
      <c r="D1361"/>
      <c r="E1361"/>
      <c r="F1361"/>
      <c r="G1361"/>
      <c r="H1361"/>
      <c r="I1361"/>
    </row>
    <row r="1362" spans="1:9" s="47" customFormat="1" ht="14.4" x14ac:dyDescent="0.3">
      <c r="A1362"/>
      <c r="B1362"/>
      <c r="C1362"/>
      <c r="D1362"/>
      <c r="E1362"/>
      <c r="F1362"/>
      <c r="G1362"/>
      <c r="H1362"/>
      <c r="I1362"/>
    </row>
    <row r="1363" spans="1:9" s="47" customFormat="1" ht="14.4" x14ac:dyDescent="0.3">
      <c r="A1363"/>
      <c r="B1363"/>
      <c r="C1363"/>
      <c r="D1363"/>
      <c r="E1363"/>
      <c r="F1363"/>
      <c r="G1363"/>
      <c r="H1363"/>
      <c r="I1363"/>
    </row>
    <row r="1364" spans="1:9" s="47" customFormat="1" ht="14.4" x14ac:dyDescent="0.3">
      <c r="A1364"/>
      <c r="B1364"/>
      <c r="C1364"/>
      <c r="D1364"/>
      <c r="E1364"/>
      <c r="F1364"/>
      <c r="G1364"/>
      <c r="H1364"/>
      <c r="I1364"/>
    </row>
    <row r="1365" spans="1:9" s="47" customFormat="1" ht="14.4" x14ac:dyDescent="0.3">
      <c r="A1365"/>
      <c r="B1365"/>
      <c r="C1365"/>
      <c r="D1365"/>
      <c r="E1365"/>
      <c r="F1365"/>
      <c r="G1365"/>
      <c r="H1365"/>
      <c r="I1365"/>
    </row>
    <row r="1366" spans="1:9" s="47" customFormat="1" ht="14.4" x14ac:dyDescent="0.3">
      <c r="A1366"/>
      <c r="B1366"/>
      <c r="C1366"/>
      <c r="D1366"/>
      <c r="E1366"/>
      <c r="F1366"/>
      <c r="G1366"/>
      <c r="H1366"/>
      <c r="I1366"/>
    </row>
    <row r="1367" spans="1:9" s="47" customFormat="1" ht="14.4" x14ac:dyDescent="0.3">
      <c r="A1367"/>
      <c r="B1367"/>
      <c r="C1367"/>
      <c r="D1367"/>
      <c r="E1367"/>
      <c r="F1367"/>
      <c r="G1367"/>
      <c r="H1367"/>
      <c r="I1367"/>
    </row>
    <row r="1368" spans="1:9" s="47" customFormat="1" ht="14.4" x14ac:dyDescent="0.3">
      <c r="A1368"/>
      <c r="B1368"/>
      <c r="C1368"/>
      <c r="D1368"/>
      <c r="E1368"/>
      <c r="F1368"/>
      <c r="G1368"/>
      <c r="H1368"/>
      <c r="I1368"/>
    </row>
    <row r="1369" spans="1:9" s="47" customFormat="1" ht="14.4" x14ac:dyDescent="0.3">
      <c r="A1369"/>
      <c r="B1369"/>
      <c r="C1369"/>
      <c r="D1369"/>
      <c r="E1369"/>
      <c r="F1369"/>
      <c r="G1369"/>
      <c r="H1369"/>
      <c r="I1369"/>
    </row>
    <row r="1370" spans="1:9" s="47" customFormat="1" ht="14.4" x14ac:dyDescent="0.3">
      <c r="A1370"/>
      <c r="B1370"/>
      <c r="C1370"/>
      <c r="D1370"/>
      <c r="E1370"/>
      <c r="F1370"/>
      <c r="G1370"/>
      <c r="H1370"/>
      <c r="I1370"/>
    </row>
    <row r="1371" spans="1:9" s="47" customFormat="1" ht="14.4" x14ac:dyDescent="0.3">
      <c r="A1371"/>
      <c r="B1371"/>
      <c r="C1371"/>
      <c r="D1371"/>
      <c r="E1371"/>
      <c r="F1371"/>
      <c r="G1371"/>
      <c r="H1371"/>
      <c r="I1371"/>
    </row>
    <row r="1372" spans="1:9" s="47" customFormat="1" ht="14.4" x14ac:dyDescent="0.3">
      <c r="A1372"/>
      <c r="B1372"/>
      <c r="C1372"/>
      <c r="D1372"/>
      <c r="E1372"/>
      <c r="F1372"/>
      <c r="G1372"/>
      <c r="H1372"/>
      <c r="I1372"/>
    </row>
    <row r="1373" spans="1:9" s="47" customFormat="1" ht="14.4" x14ac:dyDescent="0.3">
      <c r="A1373"/>
      <c r="B1373"/>
      <c r="C1373"/>
      <c r="D1373"/>
      <c r="E1373"/>
      <c r="F1373"/>
      <c r="G1373"/>
      <c r="H1373"/>
      <c r="I1373"/>
    </row>
    <row r="1374" spans="1:9" s="47" customFormat="1" ht="14.4" x14ac:dyDescent="0.3">
      <c r="A1374"/>
      <c r="B1374"/>
      <c r="C1374"/>
      <c r="D1374"/>
      <c r="E1374"/>
      <c r="F1374"/>
      <c r="G1374"/>
      <c r="H1374"/>
      <c r="I1374"/>
    </row>
    <row r="1375" spans="1:9" s="47" customFormat="1" ht="14.4" x14ac:dyDescent="0.3">
      <c r="A1375"/>
      <c r="B1375"/>
      <c r="C1375"/>
      <c r="D1375"/>
      <c r="E1375"/>
      <c r="F1375"/>
      <c r="G1375"/>
      <c r="H1375"/>
      <c r="I1375"/>
    </row>
    <row r="1376" spans="1:9" s="47" customFormat="1" ht="14.4" x14ac:dyDescent="0.3">
      <c r="A1376"/>
      <c r="B1376"/>
      <c r="C1376"/>
      <c r="D1376"/>
      <c r="E1376"/>
      <c r="F1376"/>
      <c r="G1376"/>
      <c r="H1376"/>
      <c r="I1376"/>
    </row>
    <row r="1377" spans="1:9" s="47" customFormat="1" ht="14.4" x14ac:dyDescent="0.3">
      <c r="A1377"/>
      <c r="B1377"/>
      <c r="C1377"/>
      <c r="D1377"/>
      <c r="E1377"/>
      <c r="F1377"/>
      <c r="G1377"/>
      <c r="H1377"/>
      <c r="I1377"/>
    </row>
    <row r="1378" spans="1:9" s="47" customFormat="1" ht="14.4" x14ac:dyDescent="0.3">
      <c r="A1378"/>
      <c r="B1378"/>
      <c r="C1378"/>
      <c r="D1378"/>
      <c r="E1378"/>
      <c r="F1378"/>
      <c r="G1378"/>
      <c r="H1378"/>
      <c r="I1378"/>
    </row>
    <row r="1379" spans="1:9" s="47" customFormat="1" ht="14.4" x14ac:dyDescent="0.3">
      <c r="A1379"/>
      <c r="B1379"/>
      <c r="C1379"/>
      <c r="D1379"/>
      <c r="E1379"/>
      <c r="F1379"/>
      <c r="G1379"/>
      <c r="H1379"/>
      <c r="I1379"/>
    </row>
    <row r="1380" spans="1:9" s="47" customFormat="1" ht="14.4" x14ac:dyDescent="0.3">
      <c r="A1380"/>
      <c r="B1380"/>
      <c r="C1380"/>
      <c r="D1380"/>
      <c r="E1380"/>
      <c r="F1380"/>
      <c r="G1380"/>
      <c r="H1380"/>
      <c r="I1380"/>
    </row>
    <row r="1381" spans="1:9" s="47" customFormat="1" ht="14.4" x14ac:dyDescent="0.3">
      <c r="A1381"/>
      <c r="B1381"/>
      <c r="C1381"/>
      <c r="D1381"/>
      <c r="E1381"/>
      <c r="F1381"/>
      <c r="G1381"/>
      <c r="H1381"/>
      <c r="I1381"/>
    </row>
    <row r="1382" spans="1:9" s="47" customFormat="1" ht="14.4" x14ac:dyDescent="0.3">
      <c r="A1382"/>
      <c r="B1382"/>
      <c r="C1382"/>
      <c r="D1382"/>
      <c r="E1382"/>
      <c r="F1382"/>
      <c r="G1382"/>
      <c r="H1382"/>
      <c r="I1382"/>
    </row>
    <row r="1383" spans="1:9" s="47" customFormat="1" ht="14.4" x14ac:dyDescent="0.3">
      <c r="A1383"/>
      <c r="B1383"/>
      <c r="C1383"/>
      <c r="D1383"/>
      <c r="E1383"/>
      <c r="F1383"/>
      <c r="G1383"/>
      <c r="H1383"/>
      <c r="I1383"/>
    </row>
    <row r="1384" spans="1:9" s="47" customFormat="1" ht="14.4" x14ac:dyDescent="0.3">
      <c r="A1384"/>
      <c r="B1384"/>
      <c r="C1384"/>
      <c r="D1384"/>
      <c r="E1384"/>
      <c r="F1384"/>
      <c r="G1384"/>
      <c r="H1384"/>
      <c r="I1384"/>
    </row>
    <row r="1385" spans="1:9" s="47" customFormat="1" ht="14.4" x14ac:dyDescent="0.3">
      <c r="A1385"/>
      <c r="B1385"/>
      <c r="C1385"/>
      <c r="D1385"/>
      <c r="E1385"/>
      <c r="F1385"/>
      <c r="G1385"/>
      <c r="H1385"/>
      <c r="I1385"/>
    </row>
    <row r="1386" spans="1:9" s="47" customFormat="1" ht="14.4" x14ac:dyDescent="0.3">
      <c r="A1386"/>
      <c r="B1386"/>
      <c r="C1386"/>
      <c r="D1386"/>
      <c r="E1386"/>
      <c r="F1386"/>
      <c r="G1386"/>
      <c r="H1386"/>
      <c r="I1386"/>
    </row>
    <row r="1387" spans="1:9" s="47" customFormat="1" ht="14.4" x14ac:dyDescent="0.3">
      <c r="A1387"/>
      <c r="B1387"/>
      <c r="C1387"/>
      <c r="D1387"/>
      <c r="E1387"/>
      <c r="F1387"/>
      <c r="G1387"/>
      <c r="H1387"/>
      <c r="I1387"/>
    </row>
    <row r="1388" spans="1:9" s="47" customFormat="1" ht="14.4" x14ac:dyDescent="0.3">
      <c r="A1388"/>
      <c r="B1388"/>
      <c r="C1388"/>
      <c r="D1388"/>
      <c r="E1388"/>
      <c r="F1388"/>
      <c r="G1388"/>
      <c r="H1388"/>
      <c r="I1388"/>
    </row>
    <row r="1389" spans="1:9" s="47" customFormat="1" ht="14.4" x14ac:dyDescent="0.3">
      <c r="A1389"/>
      <c r="B1389"/>
      <c r="C1389"/>
      <c r="D1389"/>
      <c r="E1389"/>
      <c r="F1389"/>
      <c r="G1389"/>
      <c r="H1389"/>
      <c r="I1389"/>
    </row>
    <row r="1390" spans="1:9" s="47" customFormat="1" ht="14.4" x14ac:dyDescent="0.3">
      <c r="A1390"/>
      <c r="B1390"/>
      <c r="C1390"/>
      <c r="D1390"/>
      <c r="E1390"/>
      <c r="F1390"/>
      <c r="G1390"/>
      <c r="H1390"/>
      <c r="I1390"/>
    </row>
    <row r="1391" spans="1:9" s="47" customFormat="1" ht="14.4" x14ac:dyDescent="0.3">
      <c r="A1391"/>
      <c r="B1391"/>
      <c r="C1391"/>
      <c r="D1391"/>
      <c r="E1391"/>
      <c r="F1391"/>
      <c r="G1391"/>
      <c r="H1391"/>
      <c r="I1391"/>
    </row>
    <row r="1392" spans="1:9" s="47" customFormat="1" ht="14.4" x14ac:dyDescent="0.3">
      <c r="A1392"/>
      <c r="B1392"/>
      <c r="C1392"/>
      <c r="D1392"/>
      <c r="E1392"/>
      <c r="F1392"/>
      <c r="G1392"/>
      <c r="H1392"/>
      <c r="I1392"/>
    </row>
    <row r="1393" spans="1:9" s="47" customFormat="1" ht="14.4" x14ac:dyDescent="0.3">
      <c r="A1393"/>
      <c r="B1393"/>
      <c r="C1393"/>
      <c r="D1393"/>
      <c r="E1393"/>
      <c r="F1393"/>
      <c r="G1393"/>
      <c r="H1393"/>
      <c r="I1393"/>
    </row>
    <row r="1394" spans="1:9" s="47" customFormat="1" ht="14.4" x14ac:dyDescent="0.3">
      <c r="A1394"/>
      <c r="B1394"/>
      <c r="C1394"/>
      <c r="D1394"/>
      <c r="E1394"/>
      <c r="F1394"/>
      <c r="G1394"/>
      <c r="H1394"/>
      <c r="I1394"/>
    </row>
    <row r="1395" spans="1:9" s="47" customFormat="1" ht="14.4" x14ac:dyDescent="0.3">
      <c r="A1395"/>
      <c r="B1395"/>
      <c r="C1395"/>
      <c r="D1395"/>
      <c r="E1395"/>
      <c r="F1395"/>
      <c r="G1395"/>
      <c r="H1395"/>
      <c r="I1395"/>
    </row>
    <row r="1396" spans="1:9" s="47" customFormat="1" ht="14.4" x14ac:dyDescent="0.3">
      <c r="A1396"/>
      <c r="B1396"/>
      <c r="C1396"/>
      <c r="D1396"/>
      <c r="E1396"/>
      <c r="F1396"/>
      <c r="G1396"/>
      <c r="H1396"/>
      <c r="I1396"/>
    </row>
    <row r="1397" spans="1:9" s="47" customFormat="1" ht="14.4" x14ac:dyDescent="0.3">
      <c r="A1397"/>
      <c r="B1397"/>
      <c r="C1397"/>
      <c r="D1397"/>
      <c r="E1397"/>
      <c r="F1397"/>
      <c r="G1397"/>
      <c r="H1397"/>
      <c r="I1397"/>
    </row>
    <row r="1398" spans="1:9" s="47" customFormat="1" ht="14.4" x14ac:dyDescent="0.3">
      <c r="A1398"/>
      <c r="B1398"/>
      <c r="C1398"/>
      <c r="D1398"/>
      <c r="E1398"/>
      <c r="F1398"/>
      <c r="G1398"/>
      <c r="H1398"/>
      <c r="I1398"/>
    </row>
    <row r="1399" spans="1:9" s="47" customFormat="1" ht="14.4" x14ac:dyDescent="0.3">
      <c r="A1399"/>
      <c r="B1399"/>
      <c r="C1399"/>
      <c r="D1399"/>
      <c r="E1399"/>
      <c r="F1399"/>
      <c r="G1399"/>
      <c r="H1399"/>
      <c r="I1399"/>
    </row>
    <row r="1400" spans="1:9" s="47" customFormat="1" ht="14.4" x14ac:dyDescent="0.3">
      <c r="A1400"/>
      <c r="B1400"/>
      <c r="C1400"/>
      <c r="D1400"/>
      <c r="E1400"/>
      <c r="F1400"/>
      <c r="G1400"/>
      <c r="H1400"/>
      <c r="I1400"/>
    </row>
    <row r="1401" spans="1:9" s="47" customFormat="1" ht="14.4" x14ac:dyDescent="0.3">
      <c r="A1401"/>
      <c r="B1401"/>
      <c r="C1401"/>
      <c r="D1401"/>
      <c r="E1401"/>
      <c r="F1401"/>
      <c r="G1401"/>
      <c r="H1401"/>
      <c r="I1401"/>
    </row>
    <row r="1402" spans="1:9" s="47" customFormat="1" ht="14.4" x14ac:dyDescent="0.3">
      <c r="A1402"/>
      <c r="B1402"/>
      <c r="C1402"/>
      <c r="D1402"/>
      <c r="E1402"/>
      <c r="F1402"/>
      <c r="G1402"/>
      <c r="H1402"/>
      <c r="I1402"/>
    </row>
    <row r="1403" spans="1:9" s="47" customFormat="1" ht="14.4" x14ac:dyDescent="0.3">
      <c r="A1403"/>
      <c r="B1403"/>
      <c r="C1403"/>
      <c r="D1403"/>
      <c r="E1403"/>
      <c r="F1403"/>
      <c r="G1403"/>
      <c r="H1403"/>
      <c r="I1403"/>
    </row>
    <row r="1404" spans="1:9" s="47" customFormat="1" ht="14.4" x14ac:dyDescent="0.3">
      <c r="A1404"/>
      <c r="B1404"/>
      <c r="C1404"/>
      <c r="D1404"/>
      <c r="E1404"/>
      <c r="F1404"/>
      <c r="G1404"/>
      <c r="H1404"/>
      <c r="I1404"/>
    </row>
    <row r="1405" spans="1:9" s="47" customFormat="1" ht="14.4" x14ac:dyDescent="0.3">
      <c r="A1405"/>
      <c r="B1405"/>
      <c r="C1405"/>
      <c r="D1405"/>
      <c r="E1405"/>
      <c r="F1405"/>
      <c r="G1405"/>
      <c r="H1405"/>
      <c r="I1405"/>
    </row>
    <row r="1406" spans="1:9" s="47" customFormat="1" ht="14.4" x14ac:dyDescent="0.3">
      <c r="A1406"/>
      <c r="B1406"/>
      <c r="C1406"/>
      <c r="D1406"/>
      <c r="E1406"/>
      <c r="F1406"/>
      <c r="G1406"/>
      <c r="H1406"/>
      <c r="I1406"/>
    </row>
    <row r="1407" spans="1:9" s="47" customFormat="1" ht="14.4" x14ac:dyDescent="0.3">
      <c r="A1407"/>
      <c r="B1407"/>
      <c r="C1407"/>
      <c r="D1407"/>
      <c r="E1407"/>
      <c r="F1407"/>
      <c r="G1407"/>
      <c r="H1407"/>
      <c r="I1407"/>
    </row>
    <row r="1408" spans="1:9" s="47" customFormat="1" ht="14.4" x14ac:dyDescent="0.3">
      <c r="A1408"/>
      <c r="B1408"/>
      <c r="C1408"/>
      <c r="D1408"/>
      <c r="E1408"/>
      <c r="F1408"/>
      <c r="G1408"/>
      <c r="H1408"/>
      <c r="I1408"/>
    </row>
    <row r="1409" spans="1:9" s="47" customFormat="1" ht="14.4" x14ac:dyDescent="0.3">
      <c r="A1409"/>
      <c r="B1409"/>
      <c r="C1409"/>
      <c r="D1409"/>
      <c r="E1409"/>
      <c r="F1409"/>
      <c r="G1409"/>
      <c r="H1409"/>
      <c r="I1409"/>
    </row>
    <row r="1410" spans="1:9" s="47" customFormat="1" ht="14.4" x14ac:dyDescent="0.3">
      <c r="A1410"/>
      <c r="B1410"/>
      <c r="C1410"/>
      <c r="D1410"/>
      <c r="E1410"/>
      <c r="F1410"/>
      <c r="G1410"/>
      <c r="H1410"/>
      <c r="I1410"/>
    </row>
    <row r="1411" spans="1:9" s="47" customFormat="1" ht="14.4" x14ac:dyDescent="0.3">
      <c r="A1411"/>
      <c r="B1411"/>
      <c r="C1411"/>
      <c r="D1411"/>
      <c r="E1411"/>
      <c r="F1411"/>
      <c r="G1411"/>
      <c r="H1411"/>
      <c r="I1411"/>
    </row>
    <row r="1412" spans="1:9" s="47" customFormat="1" ht="14.4" x14ac:dyDescent="0.3">
      <c r="A1412"/>
      <c r="B1412"/>
      <c r="C1412"/>
      <c r="D1412"/>
      <c r="E1412"/>
      <c r="F1412"/>
      <c r="G1412"/>
      <c r="H1412"/>
      <c r="I1412"/>
    </row>
    <row r="1413" spans="1:9" s="47" customFormat="1" ht="14.4" x14ac:dyDescent="0.3">
      <c r="A1413"/>
      <c r="B1413"/>
      <c r="C1413"/>
      <c r="D1413"/>
      <c r="E1413"/>
      <c r="F1413"/>
      <c r="G1413"/>
      <c r="H1413"/>
      <c r="I1413"/>
    </row>
    <row r="1414" spans="1:9" s="47" customFormat="1" ht="14.4" x14ac:dyDescent="0.3">
      <c r="A1414"/>
      <c r="B1414"/>
      <c r="C1414"/>
      <c r="D1414"/>
      <c r="E1414"/>
      <c r="F1414"/>
      <c r="G1414"/>
      <c r="H1414"/>
      <c r="I1414"/>
    </row>
    <row r="1415" spans="1:9" s="47" customFormat="1" ht="14.4" x14ac:dyDescent="0.3">
      <c r="A1415"/>
      <c r="B1415"/>
      <c r="C1415"/>
      <c r="D1415"/>
      <c r="E1415"/>
      <c r="F1415"/>
      <c r="G1415"/>
      <c r="H1415"/>
      <c r="I1415"/>
    </row>
    <row r="1416" spans="1:9" s="47" customFormat="1" ht="14.4" x14ac:dyDescent="0.3">
      <c r="A1416"/>
      <c r="B1416"/>
      <c r="C1416"/>
      <c r="D1416"/>
      <c r="E1416"/>
      <c r="F1416"/>
      <c r="G1416"/>
      <c r="H1416"/>
      <c r="I1416"/>
    </row>
    <row r="1417" spans="1:9" s="47" customFormat="1" ht="14.4" x14ac:dyDescent="0.3">
      <c r="A1417"/>
      <c r="B1417"/>
      <c r="C1417"/>
      <c r="D1417"/>
      <c r="E1417"/>
      <c r="F1417"/>
      <c r="G1417"/>
      <c r="H1417"/>
      <c r="I1417"/>
    </row>
    <row r="1418" spans="1:9" s="47" customFormat="1" ht="14.4" x14ac:dyDescent="0.3">
      <c r="A1418"/>
      <c r="B1418"/>
      <c r="C1418"/>
      <c r="D1418"/>
      <c r="E1418"/>
      <c r="F1418"/>
      <c r="G1418"/>
      <c r="H1418"/>
      <c r="I1418"/>
    </row>
    <row r="1419" spans="1:9" s="47" customFormat="1" ht="14.4" x14ac:dyDescent="0.3">
      <c r="A1419"/>
      <c r="B1419"/>
      <c r="C1419"/>
      <c r="D1419"/>
      <c r="E1419"/>
      <c r="F1419"/>
      <c r="G1419"/>
      <c r="H1419"/>
      <c r="I1419"/>
    </row>
    <row r="1420" spans="1:9" s="47" customFormat="1" ht="14.4" x14ac:dyDescent="0.3">
      <c r="A1420"/>
      <c r="B1420"/>
      <c r="C1420"/>
      <c r="D1420"/>
      <c r="E1420"/>
      <c r="F1420"/>
      <c r="G1420"/>
      <c r="H1420"/>
      <c r="I1420"/>
    </row>
    <row r="1421" spans="1:9" s="47" customFormat="1" ht="14.4" x14ac:dyDescent="0.3">
      <c r="A1421"/>
      <c r="B1421"/>
      <c r="C1421"/>
      <c r="D1421"/>
      <c r="E1421"/>
      <c r="F1421"/>
      <c r="G1421"/>
      <c r="H1421"/>
      <c r="I1421"/>
    </row>
    <row r="1422" spans="1:9" s="47" customFormat="1" ht="14.4" x14ac:dyDescent="0.3">
      <c r="A1422"/>
      <c r="B1422"/>
      <c r="C1422"/>
      <c r="D1422"/>
      <c r="E1422"/>
      <c r="F1422"/>
      <c r="G1422"/>
      <c r="H1422"/>
      <c r="I1422"/>
    </row>
    <row r="1423" spans="1:9" s="47" customFormat="1" ht="14.4" x14ac:dyDescent="0.3">
      <c r="A1423"/>
      <c r="B1423"/>
      <c r="C1423"/>
      <c r="D1423"/>
      <c r="E1423"/>
      <c r="F1423"/>
      <c r="G1423"/>
      <c r="H1423"/>
      <c r="I1423"/>
    </row>
    <row r="1424" spans="1:9" s="47" customFormat="1" ht="14.4" x14ac:dyDescent="0.3">
      <c r="A1424"/>
      <c r="B1424"/>
      <c r="C1424"/>
      <c r="D1424"/>
      <c r="E1424"/>
      <c r="F1424"/>
      <c r="G1424"/>
      <c r="H1424"/>
      <c r="I1424"/>
    </row>
    <row r="1425" spans="1:9" s="47" customFormat="1" ht="14.4" x14ac:dyDescent="0.3">
      <c r="A1425"/>
      <c r="B1425"/>
      <c r="C1425"/>
      <c r="D1425"/>
      <c r="E1425"/>
      <c r="F1425"/>
      <c r="G1425"/>
      <c r="H1425"/>
      <c r="I1425"/>
    </row>
    <row r="1426" spans="1:9" s="47" customFormat="1" ht="14.4" x14ac:dyDescent="0.3">
      <c r="A1426"/>
      <c r="B1426"/>
      <c r="C1426"/>
      <c r="D1426"/>
      <c r="E1426"/>
      <c r="F1426"/>
      <c r="G1426"/>
      <c r="H1426"/>
      <c r="I1426"/>
    </row>
    <row r="1427" spans="1:9" s="47" customFormat="1" ht="14.4" x14ac:dyDescent="0.3">
      <c r="A1427"/>
      <c r="B1427"/>
      <c r="C1427"/>
      <c r="D1427"/>
      <c r="E1427"/>
      <c r="F1427"/>
      <c r="G1427"/>
      <c r="H1427"/>
      <c r="I1427"/>
    </row>
    <row r="1428" spans="1:9" s="47" customFormat="1" ht="14.4" x14ac:dyDescent="0.3">
      <c r="A1428"/>
      <c r="B1428"/>
      <c r="C1428"/>
      <c r="D1428"/>
      <c r="E1428"/>
      <c r="F1428"/>
      <c r="G1428"/>
      <c r="H1428"/>
      <c r="I1428"/>
    </row>
    <row r="1429" spans="1:9" s="47" customFormat="1" ht="14.4" x14ac:dyDescent="0.3">
      <c r="A1429"/>
      <c r="B1429"/>
      <c r="C1429"/>
      <c r="D1429"/>
      <c r="E1429"/>
      <c r="F1429"/>
      <c r="G1429"/>
      <c r="H1429"/>
      <c r="I1429"/>
    </row>
    <row r="1430" spans="1:9" s="47" customFormat="1" ht="14.4" x14ac:dyDescent="0.3">
      <c r="A1430"/>
      <c r="B1430"/>
      <c r="C1430"/>
      <c r="D1430"/>
      <c r="E1430"/>
      <c r="F1430"/>
      <c r="G1430"/>
      <c r="H1430"/>
      <c r="I1430"/>
    </row>
    <row r="1431" spans="1:9" s="47" customFormat="1" ht="14.4" x14ac:dyDescent="0.3">
      <c r="A1431"/>
      <c r="B1431"/>
      <c r="C1431"/>
      <c r="D1431"/>
      <c r="E1431"/>
      <c r="F1431"/>
      <c r="G1431"/>
      <c r="H1431"/>
      <c r="I1431"/>
    </row>
    <row r="1432" spans="1:9" s="47" customFormat="1" ht="14.4" x14ac:dyDescent="0.3">
      <c r="A1432"/>
      <c r="B1432"/>
      <c r="C1432"/>
      <c r="D1432"/>
      <c r="E1432"/>
      <c r="F1432"/>
      <c r="G1432"/>
      <c r="H1432"/>
      <c r="I1432"/>
    </row>
    <row r="1433" spans="1:9" s="47" customFormat="1" ht="14.4" x14ac:dyDescent="0.3">
      <c r="A1433"/>
      <c r="B1433"/>
      <c r="C1433"/>
      <c r="D1433"/>
      <c r="E1433"/>
      <c r="F1433"/>
      <c r="G1433"/>
      <c r="H1433"/>
      <c r="I1433"/>
    </row>
    <row r="1434" spans="1:9" s="47" customFormat="1" ht="14.4" x14ac:dyDescent="0.3">
      <c r="A1434"/>
      <c r="B1434"/>
      <c r="C1434"/>
      <c r="D1434"/>
      <c r="E1434"/>
      <c r="F1434"/>
      <c r="G1434"/>
      <c r="H1434"/>
      <c r="I1434"/>
    </row>
    <row r="1435" spans="1:9" s="47" customFormat="1" ht="14.4" x14ac:dyDescent="0.3">
      <c r="A1435"/>
      <c r="B1435"/>
      <c r="C1435"/>
      <c r="D1435"/>
      <c r="E1435"/>
      <c r="F1435"/>
      <c r="G1435"/>
      <c r="H1435"/>
      <c r="I1435"/>
    </row>
    <row r="1436" spans="1:9" s="47" customFormat="1" ht="14.4" x14ac:dyDescent="0.3">
      <c r="A1436"/>
      <c r="B1436"/>
      <c r="C1436"/>
      <c r="D1436"/>
      <c r="E1436"/>
      <c r="F1436"/>
      <c r="G1436"/>
      <c r="H1436"/>
      <c r="I1436"/>
    </row>
    <row r="1437" spans="1:9" s="47" customFormat="1" ht="14.4" x14ac:dyDescent="0.3">
      <c r="A1437"/>
      <c r="B1437"/>
      <c r="C1437"/>
      <c r="D1437"/>
      <c r="E1437"/>
      <c r="F1437"/>
      <c r="G1437"/>
      <c r="H1437"/>
      <c r="I1437"/>
    </row>
    <row r="1438" spans="1:9" s="47" customFormat="1" ht="14.4" x14ac:dyDescent="0.3">
      <c r="A1438"/>
      <c r="B1438"/>
      <c r="C1438"/>
      <c r="D1438"/>
      <c r="E1438"/>
      <c r="F1438"/>
      <c r="G1438"/>
      <c r="H1438"/>
      <c r="I1438"/>
    </row>
    <row r="1439" spans="1:9" s="47" customFormat="1" ht="14.4" x14ac:dyDescent="0.3">
      <c r="A1439"/>
      <c r="B1439"/>
      <c r="C1439"/>
      <c r="D1439"/>
      <c r="E1439"/>
      <c r="F1439"/>
      <c r="G1439"/>
      <c r="H1439"/>
      <c r="I1439"/>
    </row>
    <row r="1440" spans="1:9" s="47" customFormat="1" ht="14.4" x14ac:dyDescent="0.3">
      <c r="A1440"/>
      <c r="B1440"/>
      <c r="C1440"/>
      <c r="D1440"/>
      <c r="E1440"/>
      <c r="F1440"/>
      <c r="G1440"/>
      <c r="H1440"/>
      <c r="I1440"/>
    </row>
    <row r="1441" spans="1:9" s="47" customFormat="1" ht="14.4" x14ac:dyDescent="0.3">
      <c r="A1441"/>
      <c r="B1441"/>
      <c r="C1441"/>
      <c r="D1441"/>
      <c r="E1441"/>
      <c r="F1441"/>
      <c r="G1441"/>
      <c r="H1441"/>
      <c r="I1441"/>
    </row>
    <row r="1442" spans="1:9" s="47" customFormat="1" ht="14.4" x14ac:dyDescent="0.3">
      <c r="A1442"/>
      <c r="B1442"/>
      <c r="C1442"/>
      <c r="D1442"/>
      <c r="E1442"/>
      <c r="F1442"/>
      <c r="G1442"/>
      <c r="H1442"/>
      <c r="I1442"/>
    </row>
    <row r="1443" spans="1:9" s="47" customFormat="1" ht="14.4" x14ac:dyDescent="0.3">
      <c r="A1443"/>
      <c r="B1443"/>
      <c r="C1443"/>
      <c r="D1443"/>
      <c r="E1443"/>
      <c r="F1443"/>
      <c r="G1443"/>
      <c r="H1443"/>
      <c r="I1443"/>
    </row>
    <row r="1444" spans="1:9" s="47" customFormat="1" ht="14.4" x14ac:dyDescent="0.3">
      <c r="A1444"/>
      <c r="B1444"/>
      <c r="C1444"/>
      <c r="D1444"/>
      <c r="E1444"/>
      <c r="F1444"/>
      <c r="G1444"/>
      <c r="H1444"/>
      <c r="I1444"/>
    </row>
    <row r="1445" spans="1:9" s="47" customFormat="1" ht="14.4" x14ac:dyDescent="0.3">
      <c r="A1445"/>
      <c r="B1445"/>
      <c r="C1445"/>
      <c r="D1445"/>
      <c r="E1445"/>
      <c r="F1445"/>
      <c r="G1445"/>
      <c r="H1445"/>
      <c r="I1445"/>
    </row>
    <row r="1446" spans="1:9" s="47" customFormat="1" ht="14.4" x14ac:dyDescent="0.3">
      <c r="A1446"/>
      <c r="B1446"/>
      <c r="C1446"/>
      <c r="D1446"/>
      <c r="E1446"/>
      <c r="F1446"/>
      <c r="G1446"/>
      <c r="H1446"/>
      <c r="I1446"/>
    </row>
    <row r="1447" spans="1:9" s="47" customFormat="1" ht="14.4" x14ac:dyDescent="0.3">
      <c r="A1447"/>
      <c r="B1447"/>
      <c r="C1447"/>
      <c r="D1447"/>
      <c r="E1447"/>
      <c r="F1447"/>
      <c r="G1447"/>
      <c r="H1447"/>
      <c r="I1447"/>
    </row>
    <row r="1448" spans="1:9" s="47" customFormat="1" ht="14.4" x14ac:dyDescent="0.3">
      <c r="A1448"/>
      <c r="B1448"/>
      <c r="C1448"/>
      <c r="D1448"/>
      <c r="E1448"/>
      <c r="F1448"/>
      <c r="G1448"/>
      <c r="H1448"/>
      <c r="I1448"/>
    </row>
    <row r="1449" spans="1:9" s="47" customFormat="1" ht="14.4" x14ac:dyDescent="0.3">
      <c r="A1449"/>
      <c r="B1449"/>
      <c r="C1449"/>
      <c r="D1449"/>
      <c r="E1449"/>
      <c r="F1449"/>
      <c r="G1449"/>
      <c r="H1449"/>
      <c r="I1449"/>
    </row>
    <row r="1450" spans="1:9" s="47" customFormat="1" ht="14.4" x14ac:dyDescent="0.3">
      <c r="A1450"/>
      <c r="B1450"/>
      <c r="C1450"/>
      <c r="D1450"/>
      <c r="E1450"/>
      <c r="F1450"/>
      <c r="G1450"/>
      <c r="H1450"/>
      <c r="I1450"/>
    </row>
    <row r="1451" spans="1:9" s="47" customFormat="1" ht="14.4" x14ac:dyDescent="0.3">
      <c r="A1451"/>
      <c r="B1451"/>
      <c r="C1451"/>
      <c r="D1451"/>
      <c r="E1451"/>
      <c r="F1451"/>
      <c r="G1451"/>
      <c r="H1451"/>
      <c r="I1451"/>
    </row>
    <row r="1452" spans="1:9" s="47" customFormat="1" ht="14.4" x14ac:dyDescent="0.3">
      <c r="A1452"/>
      <c r="B1452"/>
      <c r="C1452"/>
      <c r="D1452"/>
      <c r="E1452"/>
      <c r="F1452"/>
      <c r="G1452"/>
      <c r="H1452"/>
      <c r="I1452"/>
    </row>
    <row r="1453" spans="1:9" s="47" customFormat="1" ht="14.4" x14ac:dyDescent="0.3">
      <c r="A1453"/>
      <c r="B1453"/>
      <c r="C1453"/>
      <c r="D1453"/>
      <c r="E1453"/>
      <c r="F1453"/>
      <c r="G1453"/>
      <c r="H1453"/>
      <c r="I1453"/>
    </row>
    <row r="1454" spans="1:9" s="47" customFormat="1" ht="14.4" x14ac:dyDescent="0.3">
      <c r="A1454"/>
      <c r="B1454"/>
      <c r="C1454"/>
      <c r="D1454"/>
      <c r="E1454"/>
      <c r="F1454"/>
      <c r="G1454"/>
      <c r="H1454"/>
      <c r="I1454"/>
    </row>
    <row r="1455" spans="1:9" s="47" customFormat="1" ht="14.4" x14ac:dyDescent="0.3">
      <c r="A1455"/>
      <c r="B1455"/>
      <c r="C1455"/>
      <c r="D1455"/>
      <c r="E1455"/>
      <c r="F1455"/>
      <c r="G1455"/>
      <c r="H1455"/>
      <c r="I1455"/>
    </row>
    <row r="1456" spans="1:9" s="47" customFormat="1" ht="14.4" x14ac:dyDescent="0.3">
      <c r="A1456"/>
      <c r="B1456"/>
      <c r="C1456"/>
      <c r="D1456"/>
      <c r="E1456"/>
      <c r="F1456"/>
      <c r="G1456"/>
      <c r="H1456"/>
      <c r="I1456"/>
    </row>
    <row r="1457" spans="1:9" s="47" customFormat="1" ht="14.4" x14ac:dyDescent="0.3">
      <c r="A1457"/>
      <c r="B1457"/>
      <c r="C1457"/>
      <c r="D1457"/>
      <c r="E1457"/>
      <c r="F1457"/>
      <c r="G1457"/>
      <c r="H1457"/>
      <c r="I1457"/>
    </row>
    <row r="1458" spans="1:9" s="47" customFormat="1" ht="14.4" x14ac:dyDescent="0.3">
      <c r="A1458"/>
      <c r="B1458"/>
      <c r="C1458"/>
      <c r="D1458"/>
      <c r="E1458"/>
      <c r="F1458"/>
      <c r="G1458"/>
      <c r="H1458"/>
      <c r="I1458"/>
    </row>
    <row r="1459" spans="1:9" s="47" customFormat="1" ht="14.4" x14ac:dyDescent="0.3">
      <c r="A1459"/>
      <c r="B1459"/>
      <c r="C1459"/>
      <c r="D1459"/>
      <c r="E1459"/>
      <c r="F1459"/>
      <c r="G1459"/>
      <c r="H1459"/>
      <c r="I1459"/>
    </row>
    <row r="1460" spans="1:9" s="47" customFormat="1" ht="14.4" x14ac:dyDescent="0.3">
      <c r="A1460"/>
      <c r="B1460"/>
      <c r="C1460"/>
      <c r="D1460"/>
      <c r="E1460"/>
      <c r="F1460"/>
      <c r="G1460"/>
      <c r="H1460"/>
      <c r="I1460"/>
    </row>
    <row r="1461" spans="1:9" s="47" customFormat="1" ht="14.4" x14ac:dyDescent="0.3">
      <c r="A1461"/>
      <c r="B1461"/>
      <c r="C1461"/>
      <c r="D1461"/>
      <c r="E1461"/>
      <c r="F1461"/>
      <c r="G1461"/>
      <c r="H1461"/>
      <c r="I1461"/>
    </row>
    <row r="1462" spans="1:9" s="47" customFormat="1" ht="14.4" x14ac:dyDescent="0.3">
      <c r="A1462"/>
      <c r="B1462"/>
      <c r="C1462"/>
      <c r="D1462"/>
      <c r="E1462"/>
      <c r="F1462"/>
      <c r="G1462"/>
      <c r="H1462"/>
      <c r="I1462"/>
    </row>
    <row r="1463" spans="1:9" s="47" customFormat="1" ht="14.4" x14ac:dyDescent="0.3">
      <c r="A1463"/>
      <c r="B1463"/>
      <c r="C1463"/>
      <c r="D1463"/>
      <c r="E1463"/>
      <c r="F1463"/>
      <c r="G1463"/>
      <c r="H1463"/>
      <c r="I1463"/>
    </row>
    <row r="1464" spans="1:9" s="47" customFormat="1" ht="14.4" x14ac:dyDescent="0.3">
      <c r="A1464"/>
      <c r="B1464"/>
      <c r="C1464"/>
      <c r="D1464"/>
      <c r="E1464"/>
      <c r="F1464"/>
      <c r="G1464"/>
      <c r="H1464"/>
      <c r="I1464"/>
    </row>
    <row r="1465" spans="1:9" s="47" customFormat="1" ht="14.4" x14ac:dyDescent="0.3">
      <c r="A1465"/>
      <c r="B1465"/>
      <c r="C1465"/>
      <c r="D1465"/>
      <c r="E1465"/>
      <c r="F1465"/>
      <c r="G1465"/>
      <c r="H1465"/>
      <c r="I1465"/>
    </row>
    <row r="1466" spans="1:9" s="47" customFormat="1" ht="14.4" x14ac:dyDescent="0.3">
      <c r="A1466"/>
      <c r="B1466"/>
      <c r="C1466"/>
      <c r="D1466"/>
      <c r="E1466"/>
      <c r="F1466"/>
      <c r="G1466"/>
      <c r="H1466"/>
      <c r="I1466"/>
    </row>
    <row r="1467" spans="1:9" s="47" customFormat="1" ht="14.4" x14ac:dyDescent="0.3">
      <c r="A1467"/>
      <c r="B1467"/>
      <c r="C1467"/>
      <c r="D1467"/>
      <c r="E1467"/>
      <c r="F1467"/>
      <c r="G1467"/>
      <c r="H1467"/>
      <c r="I1467"/>
    </row>
    <row r="1468" spans="1:9" s="47" customFormat="1" ht="14.4" x14ac:dyDescent="0.3">
      <c r="A1468"/>
      <c r="B1468"/>
      <c r="C1468"/>
      <c r="D1468"/>
      <c r="E1468"/>
      <c r="F1468"/>
      <c r="G1468"/>
      <c r="H1468"/>
      <c r="I1468"/>
    </row>
    <row r="1469" spans="1:9" s="47" customFormat="1" ht="14.4" x14ac:dyDescent="0.3">
      <c r="A1469"/>
      <c r="B1469"/>
      <c r="C1469"/>
      <c r="D1469"/>
      <c r="E1469"/>
      <c r="F1469"/>
      <c r="G1469"/>
      <c r="H1469"/>
      <c r="I1469"/>
    </row>
    <row r="1470" spans="1:9" s="47" customFormat="1" ht="14.4" x14ac:dyDescent="0.3">
      <c r="A1470"/>
      <c r="B1470"/>
      <c r="C1470"/>
      <c r="D1470"/>
      <c r="E1470"/>
      <c r="F1470"/>
      <c r="G1470"/>
      <c r="H1470"/>
      <c r="I1470"/>
    </row>
    <row r="1471" spans="1:9" s="47" customFormat="1" ht="14.4" x14ac:dyDescent="0.3">
      <c r="A1471"/>
      <c r="B1471"/>
      <c r="C1471"/>
      <c r="D1471"/>
      <c r="E1471"/>
      <c r="F1471"/>
      <c r="G1471"/>
      <c r="H1471"/>
      <c r="I1471"/>
    </row>
    <row r="1472" spans="1:9" s="47" customFormat="1" ht="14.4" x14ac:dyDescent="0.3">
      <c r="A1472"/>
      <c r="B1472"/>
      <c r="C1472"/>
      <c r="D1472"/>
      <c r="E1472"/>
      <c r="F1472"/>
      <c r="G1472"/>
      <c r="H1472"/>
      <c r="I1472"/>
    </row>
    <row r="1473" spans="1:9" s="47" customFormat="1" ht="14.4" x14ac:dyDescent="0.3">
      <c r="A1473"/>
      <c r="B1473"/>
      <c r="C1473"/>
      <c r="D1473"/>
      <c r="E1473"/>
      <c r="F1473"/>
      <c r="G1473"/>
      <c r="H1473"/>
      <c r="I1473"/>
    </row>
    <row r="1474" spans="1:9" s="47" customFormat="1" ht="14.4" x14ac:dyDescent="0.3">
      <c r="A1474"/>
      <c r="B1474"/>
      <c r="C1474"/>
      <c r="D1474"/>
      <c r="E1474"/>
      <c r="F1474"/>
      <c r="G1474"/>
      <c r="H1474"/>
      <c r="I1474"/>
    </row>
    <row r="1475" spans="1:9" s="47" customFormat="1" ht="14.4" x14ac:dyDescent="0.3">
      <c r="A1475"/>
      <c r="B1475"/>
      <c r="C1475"/>
      <c r="D1475"/>
      <c r="E1475"/>
      <c r="F1475"/>
      <c r="G1475"/>
      <c r="H1475"/>
      <c r="I1475"/>
    </row>
    <row r="1476" spans="1:9" s="47" customFormat="1" ht="14.4" x14ac:dyDescent="0.3">
      <c r="A1476"/>
      <c r="B1476"/>
      <c r="C1476"/>
      <c r="D1476"/>
      <c r="E1476"/>
      <c r="F1476"/>
      <c r="G1476"/>
      <c r="H1476"/>
      <c r="I1476"/>
    </row>
    <row r="1477" spans="1:9" s="47" customFormat="1" ht="14.4" x14ac:dyDescent="0.3">
      <c r="A1477"/>
      <c r="B1477"/>
      <c r="C1477"/>
      <c r="D1477"/>
      <c r="E1477"/>
      <c r="F1477"/>
      <c r="G1477"/>
      <c r="H1477"/>
      <c r="I1477"/>
    </row>
    <row r="1478" spans="1:9" s="47" customFormat="1" ht="14.4" x14ac:dyDescent="0.3">
      <c r="A1478"/>
      <c r="B1478"/>
      <c r="C1478"/>
      <c r="D1478"/>
      <c r="E1478"/>
      <c r="F1478"/>
      <c r="G1478"/>
      <c r="H1478"/>
      <c r="I1478"/>
    </row>
    <row r="1479" spans="1:9" s="47" customFormat="1" ht="14.4" x14ac:dyDescent="0.3">
      <c r="A1479"/>
      <c r="B1479"/>
      <c r="C1479"/>
      <c r="D1479"/>
      <c r="E1479"/>
      <c r="F1479"/>
      <c r="G1479"/>
      <c r="H1479"/>
      <c r="I1479"/>
    </row>
    <row r="1480" spans="1:9" s="47" customFormat="1" ht="14.4" x14ac:dyDescent="0.3">
      <c r="A1480"/>
      <c r="B1480"/>
      <c r="C1480"/>
      <c r="D1480"/>
      <c r="E1480"/>
      <c r="F1480"/>
      <c r="G1480"/>
      <c r="H1480"/>
      <c r="I1480"/>
    </row>
    <row r="1481" spans="1:9" s="47" customFormat="1" ht="14.4" x14ac:dyDescent="0.3">
      <c r="A1481"/>
      <c r="B1481"/>
      <c r="C1481"/>
      <c r="D1481"/>
      <c r="E1481"/>
      <c r="F1481"/>
      <c r="G1481"/>
      <c r="H1481"/>
      <c r="I1481"/>
    </row>
    <row r="1482" spans="1:9" s="47" customFormat="1" ht="14.4" x14ac:dyDescent="0.3">
      <c r="A1482"/>
      <c r="B1482"/>
      <c r="C1482"/>
      <c r="D1482"/>
      <c r="E1482"/>
      <c r="F1482"/>
      <c r="G1482"/>
      <c r="H1482"/>
      <c r="I1482"/>
    </row>
    <row r="1483" spans="1:9" s="47" customFormat="1" ht="14.4" x14ac:dyDescent="0.3">
      <c r="A1483"/>
      <c r="B1483"/>
      <c r="C1483"/>
      <c r="D1483"/>
      <c r="E1483"/>
      <c r="F1483"/>
      <c r="G1483"/>
      <c r="H1483"/>
      <c r="I1483"/>
    </row>
    <row r="1484" spans="1:9" s="47" customFormat="1" ht="14.4" x14ac:dyDescent="0.3">
      <c r="A1484"/>
      <c r="B1484"/>
      <c r="C1484"/>
      <c r="D1484"/>
      <c r="E1484"/>
      <c r="F1484"/>
      <c r="G1484"/>
      <c r="H1484"/>
      <c r="I1484"/>
    </row>
    <row r="1485" spans="1:9" s="47" customFormat="1" ht="14.4" x14ac:dyDescent="0.3">
      <c r="A1485"/>
      <c r="B1485"/>
      <c r="C1485"/>
      <c r="D1485"/>
      <c r="E1485"/>
      <c r="F1485"/>
      <c r="G1485"/>
      <c r="H1485"/>
      <c r="I1485"/>
    </row>
    <row r="1486" spans="1:9" s="47" customFormat="1" ht="14.4" x14ac:dyDescent="0.3">
      <c r="A1486"/>
      <c r="B1486"/>
      <c r="C1486"/>
      <c r="D1486"/>
      <c r="E1486"/>
      <c r="F1486"/>
      <c r="G1486"/>
      <c r="H1486"/>
      <c r="I1486"/>
    </row>
    <row r="1487" spans="1:9" s="47" customFormat="1" ht="14.4" x14ac:dyDescent="0.3">
      <c r="A1487"/>
      <c r="B1487"/>
      <c r="C1487"/>
      <c r="D1487"/>
      <c r="E1487"/>
      <c r="F1487"/>
      <c r="G1487"/>
      <c r="H1487"/>
      <c r="I1487"/>
    </row>
    <row r="1488" spans="1:9" s="47" customFormat="1" ht="14.4" x14ac:dyDescent="0.3">
      <c r="A1488"/>
      <c r="B1488"/>
      <c r="C1488"/>
      <c r="D1488"/>
      <c r="E1488"/>
      <c r="F1488"/>
      <c r="G1488"/>
      <c r="H1488"/>
      <c r="I1488"/>
    </row>
    <row r="1489" spans="1:9" s="47" customFormat="1" ht="14.4" x14ac:dyDescent="0.3">
      <c r="A1489"/>
      <c r="B1489"/>
      <c r="C1489"/>
      <c r="D1489"/>
      <c r="E1489"/>
      <c r="F1489"/>
      <c r="G1489"/>
      <c r="H1489"/>
      <c r="I1489"/>
    </row>
    <row r="1490" spans="1:9" s="47" customFormat="1" ht="14.4" x14ac:dyDescent="0.3">
      <c r="A1490"/>
      <c r="B1490"/>
      <c r="C1490"/>
      <c r="D1490"/>
      <c r="E1490"/>
      <c r="F1490"/>
      <c r="G1490"/>
      <c r="H1490"/>
      <c r="I1490"/>
    </row>
    <row r="1491" spans="1:9" s="47" customFormat="1" ht="14.4" x14ac:dyDescent="0.3">
      <c r="A1491"/>
      <c r="B1491"/>
      <c r="C1491"/>
      <c r="D1491"/>
      <c r="E1491"/>
      <c r="F1491"/>
      <c r="G1491"/>
      <c r="H1491"/>
      <c r="I1491"/>
    </row>
    <row r="1492" spans="1:9" s="47" customFormat="1" ht="14.4" x14ac:dyDescent="0.3">
      <c r="A1492"/>
      <c r="B1492"/>
      <c r="C1492"/>
      <c r="D1492"/>
      <c r="E1492"/>
      <c r="F1492"/>
      <c r="G1492"/>
      <c r="H1492"/>
      <c r="I1492"/>
    </row>
    <row r="1493" spans="1:9" s="47" customFormat="1" ht="14.4" x14ac:dyDescent="0.3">
      <c r="A1493"/>
      <c r="B1493"/>
      <c r="C1493"/>
      <c r="D1493"/>
      <c r="E1493"/>
      <c r="F1493"/>
      <c r="G1493"/>
      <c r="H1493"/>
      <c r="I1493"/>
    </row>
    <row r="1494" spans="1:9" s="47" customFormat="1" ht="14.4" x14ac:dyDescent="0.3">
      <c r="A1494"/>
      <c r="B1494"/>
      <c r="C1494"/>
      <c r="D1494"/>
      <c r="E1494"/>
      <c r="F1494"/>
      <c r="G1494"/>
      <c r="H1494"/>
      <c r="I1494"/>
    </row>
    <row r="1495" spans="1:9" s="47" customFormat="1" ht="14.4" x14ac:dyDescent="0.3">
      <c r="A1495"/>
      <c r="B1495"/>
      <c r="C1495"/>
      <c r="D1495"/>
      <c r="E1495"/>
      <c r="F1495"/>
      <c r="G1495"/>
      <c r="H1495"/>
      <c r="I1495"/>
    </row>
    <row r="1496" spans="1:9" s="47" customFormat="1" ht="14.4" x14ac:dyDescent="0.3">
      <c r="A1496"/>
      <c r="B1496"/>
      <c r="C1496"/>
      <c r="D1496"/>
      <c r="E1496"/>
      <c r="F1496"/>
      <c r="G1496"/>
      <c r="H1496"/>
      <c r="I1496"/>
    </row>
    <row r="1497" spans="1:9" s="47" customFormat="1" ht="14.4" x14ac:dyDescent="0.3">
      <c r="A1497"/>
      <c r="B1497"/>
      <c r="C1497"/>
      <c r="D1497"/>
      <c r="E1497"/>
      <c r="F1497"/>
      <c r="G1497"/>
      <c r="H1497"/>
      <c r="I1497"/>
    </row>
    <row r="1498" spans="1:9" s="47" customFormat="1" ht="14.4" x14ac:dyDescent="0.3">
      <c r="A1498"/>
      <c r="B1498"/>
      <c r="C1498"/>
      <c r="D1498"/>
      <c r="E1498"/>
      <c r="F1498"/>
      <c r="G1498"/>
      <c r="H1498"/>
      <c r="I1498"/>
    </row>
    <row r="1499" spans="1:9" s="47" customFormat="1" ht="14.4" x14ac:dyDescent="0.3">
      <c r="A1499"/>
      <c r="B1499"/>
      <c r="C1499"/>
      <c r="D1499"/>
      <c r="E1499"/>
      <c r="F1499"/>
      <c r="G1499"/>
      <c r="H1499"/>
      <c r="I1499"/>
    </row>
    <row r="1500" spans="1:9" s="47" customFormat="1" ht="14.4" x14ac:dyDescent="0.3">
      <c r="A1500"/>
      <c r="B1500"/>
      <c r="C1500"/>
      <c r="D1500"/>
      <c r="E1500"/>
      <c r="F1500"/>
      <c r="G1500"/>
      <c r="H1500"/>
      <c r="I1500"/>
    </row>
    <row r="1501" spans="1:9" s="47" customFormat="1" ht="14.4" x14ac:dyDescent="0.3">
      <c r="A1501"/>
      <c r="B1501"/>
      <c r="C1501"/>
      <c r="D1501"/>
      <c r="E1501"/>
      <c r="F1501"/>
      <c r="G1501"/>
      <c r="H1501"/>
      <c r="I1501"/>
    </row>
    <row r="1502" spans="1:9" s="47" customFormat="1" ht="14.4" x14ac:dyDescent="0.3">
      <c r="A1502"/>
      <c r="B1502"/>
      <c r="C1502"/>
      <c r="D1502"/>
      <c r="E1502"/>
      <c r="F1502"/>
      <c r="G1502"/>
      <c r="H1502"/>
      <c r="I1502"/>
    </row>
    <row r="1503" spans="1:9" s="47" customFormat="1" ht="14.4" x14ac:dyDescent="0.3">
      <c r="A1503"/>
      <c r="B1503"/>
      <c r="C1503"/>
      <c r="D1503"/>
      <c r="E1503"/>
      <c r="F1503"/>
      <c r="G1503"/>
      <c r="H1503"/>
      <c r="I1503"/>
    </row>
    <row r="1504" spans="1:9" s="47" customFormat="1" ht="14.4" x14ac:dyDescent="0.3">
      <c r="A1504"/>
      <c r="B1504"/>
      <c r="C1504"/>
      <c r="D1504"/>
      <c r="E1504"/>
      <c r="F1504"/>
      <c r="G1504"/>
      <c r="H1504"/>
      <c r="I1504"/>
    </row>
    <row r="1505" spans="1:9" s="47" customFormat="1" ht="14.4" x14ac:dyDescent="0.3">
      <c r="A1505"/>
      <c r="B1505"/>
      <c r="C1505"/>
      <c r="D1505"/>
      <c r="E1505"/>
      <c r="F1505"/>
      <c r="G1505"/>
      <c r="H1505"/>
      <c r="I1505"/>
    </row>
    <row r="1506" spans="1:9" s="47" customFormat="1" ht="14.4" x14ac:dyDescent="0.3">
      <c r="A1506"/>
      <c r="B1506"/>
      <c r="C1506"/>
      <c r="D1506"/>
      <c r="E1506"/>
      <c r="F1506"/>
      <c r="G1506"/>
      <c r="H1506"/>
      <c r="I1506"/>
    </row>
    <row r="1507" spans="1:9" s="47" customFormat="1" ht="14.4" x14ac:dyDescent="0.3">
      <c r="A1507"/>
      <c r="B1507"/>
      <c r="C1507"/>
      <c r="D1507"/>
      <c r="E1507"/>
      <c r="F1507"/>
      <c r="G1507"/>
      <c r="H1507"/>
      <c r="I1507"/>
    </row>
    <row r="1508" spans="1:9" s="47" customFormat="1" ht="14.4" x14ac:dyDescent="0.3">
      <c r="A1508"/>
      <c r="B1508"/>
      <c r="C1508"/>
      <c r="D1508"/>
      <c r="E1508"/>
      <c r="F1508"/>
      <c r="G1508"/>
      <c r="H1508"/>
      <c r="I1508"/>
    </row>
    <row r="1509" spans="1:9" s="47" customFormat="1" ht="14.4" x14ac:dyDescent="0.3">
      <c r="A1509"/>
      <c r="B1509"/>
      <c r="C1509"/>
      <c r="D1509"/>
      <c r="E1509"/>
      <c r="F1509"/>
      <c r="G1509"/>
      <c r="H1509"/>
      <c r="I1509"/>
    </row>
    <row r="1510" spans="1:9" s="47" customFormat="1" ht="14.4" x14ac:dyDescent="0.3">
      <c r="A1510"/>
      <c r="B1510"/>
      <c r="C1510"/>
      <c r="D1510"/>
      <c r="E1510"/>
      <c r="F1510"/>
      <c r="G1510"/>
      <c r="H1510"/>
      <c r="I1510"/>
    </row>
    <row r="1511" spans="1:9" s="47" customFormat="1" ht="14.4" x14ac:dyDescent="0.3">
      <c r="A1511"/>
      <c r="B1511"/>
      <c r="C1511"/>
      <c r="D1511"/>
      <c r="E1511"/>
      <c r="F1511"/>
      <c r="G1511"/>
      <c r="H1511"/>
      <c r="I1511"/>
    </row>
    <row r="1512" spans="1:9" s="47" customFormat="1" ht="14.4" x14ac:dyDescent="0.3">
      <c r="A1512"/>
      <c r="B1512"/>
      <c r="C1512"/>
      <c r="D1512"/>
      <c r="E1512"/>
      <c r="F1512"/>
      <c r="G1512"/>
      <c r="H1512"/>
      <c r="I1512"/>
    </row>
    <row r="1513" spans="1:9" s="47" customFormat="1" ht="14.4" x14ac:dyDescent="0.3">
      <c r="A1513"/>
      <c r="B1513"/>
      <c r="C1513"/>
      <c r="D1513"/>
      <c r="E1513"/>
      <c r="F1513"/>
      <c r="G1513"/>
      <c r="H1513"/>
      <c r="I1513"/>
    </row>
    <row r="1514" spans="1:9" s="47" customFormat="1" ht="14.4" x14ac:dyDescent="0.3">
      <c r="A1514"/>
      <c r="B1514"/>
      <c r="C1514"/>
      <c r="D1514"/>
      <c r="E1514"/>
      <c r="F1514"/>
      <c r="G1514"/>
      <c r="H1514"/>
      <c r="I1514"/>
    </row>
    <row r="1515" spans="1:9" s="47" customFormat="1" ht="14.4" x14ac:dyDescent="0.3">
      <c r="A1515"/>
      <c r="B1515"/>
      <c r="C1515"/>
      <c r="D1515"/>
      <c r="E1515"/>
      <c r="F1515"/>
      <c r="G1515"/>
      <c r="H1515"/>
      <c r="I1515"/>
    </row>
    <row r="1516" spans="1:9" s="47" customFormat="1" ht="14.4" x14ac:dyDescent="0.3">
      <c r="A1516"/>
      <c r="B1516"/>
      <c r="C1516"/>
      <c r="D1516"/>
      <c r="E1516"/>
      <c r="F1516"/>
      <c r="G1516"/>
      <c r="H1516"/>
      <c r="I1516"/>
    </row>
    <row r="1517" spans="1:9" s="47" customFormat="1" ht="14.4" x14ac:dyDescent="0.3">
      <c r="A1517"/>
      <c r="B1517"/>
      <c r="C1517"/>
      <c r="D1517"/>
      <c r="E1517"/>
      <c r="F1517"/>
      <c r="G1517"/>
      <c r="H1517"/>
      <c r="I1517"/>
    </row>
    <row r="1518" spans="1:9" s="47" customFormat="1" ht="14.4" x14ac:dyDescent="0.3">
      <c r="A1518"/>
      <c r="B1518"/>
      <c r="C1518"/>
      <c r="D1518"/>
      <c r="E1518"/>
      <c r="F1518"/>
      <c r="G1518"/>
      <c r="H1518"/>
      <c r="I1518"/>
    </row>
    <row r="1519" spans="1:9" s="47" customFormat="1" ht="14.4" x14ac:dyDescent="0.3">
      <c r="A1519"/>
      <c r="B1519"/>
      <c r="C1519"/>
      <c r="D1519"/>
      <c r="E1519"/>
      <c r="F1519"/>
      <c r="G1519"/>
      <c r="H1519"/>
      <c r="I1519"/>
    </row>
    <row r="1520" spans="1:9" s="47" customFormat="1" ht="14.4" x14ac:dyDescent="0.3">
      <c r="A1520"/>
      <c r="B1520"/>
      <c r="C1520"/>
      <c r="D1520"/>
      <c r="E1520"/>
      <c r="F1520"/>
      <c r="G1520"/>
      <c r="H1520"/>
      <c r="I1520"/>
    </row>
    <row r="1521" spans="1:9" s="47" customFormat="1" ht="14.4" x14ac:dyDescent="0.3">
      <c r="A1521"/>
      <c r="B1521"/>
      <c r="C1521"/>
      <c r="D1521"/>
      <c r="E1521"/>
      <c r="F1521"/>
      <c r="G1521"/>
      <c r="H1521"/>
      <c r="I1521"/>
    </row>
    <row r="1522" spans="1:9" s="47" customFormat="1" ht="14.4" x14ac:dyDescent="0.3">
      <c r="A1522"/>
      <c r="B1522"/>
      <c r="C1522"/>
      <c r="D1522"/>
      <c r="E1522"/>
      <c r="F1522"/>
      <c r="G1522"/>
      <c r="H1522"/>
      <c r="I1522"/>
    </row>
    <row r="1523" spans="1:9" s="47" customFormat="1" ht="14.4" x14ac:dyDescent="0.3">
      <c r="A1523"/>
      <c r="B1523"/>
      <c r="C1523"/>
      <c r="D1523"/>
      <c r="E1523"/>
      <c r="F1523"/>
      <c r="G1523"/>
      <c r="H1523"/>
      <c r="I1523"/>
    </row>
    <row r="1524" spans="1:9" s="47" customFormat="1" ht="14.4" x14ac:dyDescent="0.3">
      <c r="A1524"/>
      <c r="B1524"/>
      <c r="C1524"/>
      <c r="D1524"/>
      <c r="E1524"/>
      <c r="F1524"/>
      <c r="G1524"/>
      <c r="H1524"/>
      <c r="I1524"/>
    </row>
    <row r="1525" spans="1:9" s="47" customFormat="1" ht="14.4" x14ac:dyDescent="0.3">
      <c r="A1525"/>
      <c r="B1525"/>
      <c r="C1525"/>
      <c r="D1525"/>
      <c r="E1525"/>
      <c r="F1525"/>
      <c r="G1525"/>
      <c r="H1525"/>
      <c r="I1525"/>
    </row>
    <row r="1526" spans="1:9" s="47" customFormat="1" ht="14.4" x14ac:dyDescent="0.3">
      <c r="A1526"/>
      <c r="B1526"/>
      <c r="C1526"/>
      <c r="D1526"/>
      <c r="E1526"/>
      <c r="F1526"/>
      <c r="G1526"/>
      <c r="H1526"/>
      <c r="I1526"/>
    </row>
    <row r="1527" spans="1:9" s="47" customFormat="1" ht="14.4" x14ac:dyDescent="0.3">
      <c r="A1527"/>
      <c r="B1527"/>
      <c r="C1527"/>
      <c r="D1527"/>
      <c r="E1527"/>
      <c r="F1527"/>
      <c r="G1527"/>
      <c r="H1527"/>
      <c r="I1527"/>
    </row>
    <row r="1528" spans="1:9" s="47" customFormat="1" ht="14.4" x14ac:dyDescent="0.3">
      <c r="A1528"/>
      <c r="B1528"/>
      <c r="C1528"/>
      <c r="D1528"/>
      <c r="E1528"/>
      <c r="F1528"/>
      <c r="G1528"/>
      <c r="H1528"/>
      <c r="I1528"/>
    </row>
    <row r="1529" spans="1:9" s="47" customFormat="1" ht="14.4" x14ac:dyDescent="0.3">
      <c r="A1529"/>
      <c r="B1529"/>
      <c r="C1529"/>
      <c r="D1529"/>
      <c r="E1529"/>
      <c r="F1529"/>
      <c r="G1529"/>
      <c r="H1529"/>
      <c r="I1529"/>
    </row>
    <row r="1530" spans="1:9" s="47" customFormat="1" ht="14.4" x14ac:dyDescent="0.3">
      <c r="A1530"/>
      <c r="B1530"/>
      <c r="C1530"/>
      <c r="D1530"/>
      <c r="E1530"/>
      <c r="F1530"/>
      <c r="G1530"/>
      <c r="H1530"/>
      <c r="I1530"/>
    </row>
    <row r="1531" spans="1:9" s="47" customFormat="1" ht="14.4" x14ac:dyDescent="0.3">
      <c r="A1531"/>
      <c r="B1531"/>
      <c r="C1531"/>
      <c r="D1531"/>
      <c r="E1531"/>
      <c r="F1531"/>
      <c r="G1531"/>
      <c r="H1531"/>
      <c r="I1531"/>
    </row>
    <row r="1532" spans="1:9" s="47" customFormat="1" ht="14.4" x14ac:dyDescent="0.3">
      <c r="A1532"/>
      <c r="B1532"/>
      <c r="C1532"/>
      <c r="D1532"/>
      <c r="E1532"/>
      <c r="F1532"/>
      <c r="G1532"/>
      <c r="H1532"/>
      <c r="I1532"/>
    </row>
    <row r="1533" spans="1:9" s="47" customFormat="1" ht="14.4" x14ac:dyDescent="0.3">
      <c r="A1533"/>
      <c r="B1533"/>
      <c r="C1533"/>
      <c r="D1533"/>
      <c r="E1533"/>
      <c r="F1533"/>
      <c r="G1533"/>
      <c r="H1533"/>
      <c r="I1533"/>
    </row>
    <row r="1534" spans="1:9" s="47" customFormat="1" ht="14.4" x14ac:dyDescent="0.3">
      <c r="A1534"/>
      <c r="B1534"/>
      <c r="C1534"/>
      <c r="D1534"/>
      <c r="E1534"/>
      <c r="F1534"/>
      <c r="G1534"/>
      <c r="H1534"/>
      <c r="I1534"/>
    </row>
    <row r="1535" spans="1:9" s="47" customFormat="1" ht="14.4" x14ac:dyDescent="0.3">
      <c r="A1535"/>
      <c r="B1535"/>
      <c r="C1535"/>
      <c r="D1535"/>
      <c r="E1535"/>
      <c r="F1535"/>
      <c r="G1535"/>
      <c r="H1535"/>
      <c r="I1535"/>
    </row>
    <row r="1536" spans="1:9" s="47" customFormat="1" ht="14.4" x14ac:dyDescent="0.3">
      <c r="A1536"/>
      <c r="B1536"/>
      <c r="C1536"/>
      <c r="D1536"/>
      <c r="E1536"/>
      <c r="F1536"/>
      <c r="G1536"/>
      <c r="H1536"/>
      <c r="I1536"/>
    </row>
    <row r="1537" spans="1:9" s="47" customFormat="1" ht="14.4" x14ac:dyDescent="0.3">
      <c r="A1537"/>
      <c r="B1537"/>
      <c r="C1537"/>
      <c r="D1537"/>
      <c r="E1537"/>
      <c r="F1537"/>
      <c r="G1537"/>
      <c r="H1537"/>
      <c r="I1537"/>
    </row>
    <row r="1538" spans="1:9" s="47" customFormat="1" ht="14.4" x14ac:dyDescent="0.3">
      <c r="A1538"/>
      <c r="B1538"/>
      <c r="C1538"/>
      <c r="D1538"/>
      <c r="E1538"/>
      <c r="F1538"/>
      <c r="G1538"/>
      <c r="H1538"/>
      <c r="I1538"/>
    </row>
    <row r="1539" spans="1:9" s="47" customFormat="1" ht="14.4" x14ac:dyDescent="0.3">
      <c r="A1539"/>
      <c r="B1539"/>
      <c r="C1539"/>
      <c r="D1539"/>
      <c r="E1539"/>
      <c r="F1539"/>
      <c r="G1539"/>
      <c r="H1539"/>
      <c r="I1539"/>
    </row>
    <row r="1540" spans="1:9" s="47" customFormat="1" ht="14.4" x14ac:dyDescent="0.3">
      <c r="A1540"/>
      <c r="B1540"/>
      <c r="C1540"/>
      <c r="D1540"/>
      <c r="E1540"/>
      <c r="F1540"/>
      <c r="G1540"/>
      <c r="H1540"/>
      <c r="I1540"/>
    </row>
    <row r="1541" spans="1:9" s="47" customFormat="1" ht="14.4" x14ac:dyDescent="0.3">
      <c r="A1541"/>
      <c r="B1541"/>
      <c r="C1541"/>
      <c r="D1541"/>
      <c r="E1541"/>
      <c r="F1541"/>
      <c r="G1541"/>
      <c r="H1541"/>
      <c r="I1541"/>
    </row>
    <row r="1542" spans="1:9" s="47" customFormat="1" ht="14.4" x14ac:dyDescent="0.3">
      <c r="A1542"/>
      <c r="B1542"/>
      <c r="C1542"/>
      <c r="D1542"/>
      <c r="E1542"/>
      <c r="F1542"/>
      <c r="G1542"/>
      <c r="H1542"/>
      <c r="I1542"/>
    </row>
    <row r="1543" spans="1:9" s="47" customFormat="1" ht="14.4" x14ac:dyDescent="0.3">
      <c r="A1543"/>
      <c r="B1543"/>
      <c r="C1543"/>
      <c r="D1543"/>
      <c r="E1543"/>
      <c r="F1543"/>
      <c r="G1543"/>
      <c r="H1543"/>
      <c r="I1543"/>
    </row>
    <row r="1544" spans="1:9" s="47" customFormat="1" ht="14.4" x14ac:dyDescent="0.3">
      <c r="A1544"/>
      <c r="B1544"/>
      <c r="C1544"/>
      <c r="D1544"/>
      <c r="E1544"/>
      <c r="F1544"/>
      <c r="G1544"/>
      <c r="H1544"/>
      <c r="I1544"/>
    </row>
    <row r="1545" spans="1:9" s="47" customFormat="1" ht="14.4" x14ac:dyDescent="0.3">
      <c r="A1545"/>
      <c r="B1545"/>
      <c r="C1545"/>
      <c r="D1545"/>
      <c r="E1545"/>
      <c r="F1545"/>
      <c r="G1545"/>
      <c r="H1545"/>
      <c r="I1545"/>
    </row>
    <row r="1546" spans="1:9" s="47" customFormat="1" ht="14.4" x14ac:dyDescent="0.3">
      <c r="A1546"/>
      <c r="B1546"/>
      <c r="C1546"/>
      <c r="D1546"/>
      <c r="E1546"/>
      <c r="F1546"/>
      <c r="G1546"/>
      <c r="H1546"/>
      <c r="I1546"/>
    </row>
    <row r="1547" spans="1:9" s="47" customFormat="1" ht="14.4" x14ac:dyDescent="0.3">
      <c r="A1547"/>
      <c r="B1547"/>
      <c r="C1547"/>
      <c r="D1547"/>
      <c r="E1547"/>
      <c r="F1547"/>
      <c r="G1547"/>
      <c r="H1547"/>
      <c r="I1547"/>
    </row>
    <row r="1548" spans="1:9" s="47" customFormat="1" ht="14.4" x14ac:dyDescent="0.3">
      <c r="A1548"/>
      <c r="B1548"/>
      <c r="C1548"/>
      <c r="D1548"/>
      <c r="E1548"/>
      <c r="F1548"/>
      <c r="G1548"/>
      <c r="H1548"/>
      <c r="I1548"/>
    </row>
    <row r="1549" spans="1:9" s="47" customFormat="1" ht="14.4" x14ac:dyDescent="0.3">
      <c r="A1549"/>
      <c r="B1549"/>
      <c r="C1549"/>
      <c r="D1549"/>
      <c r="E1549"/>
      <c r="F1549"/>
      <c r="G1549"/>
      <c r="H1549"/>
      <c r="I1549"/>
    </row>
    <row r="1550" spans="1:9" s="47" customFormat="1" ht="14.4" x14ac:dyDescent="0.3">
      <c r="A1550"/>
      <c r="B1550"/>
      <c r="C1550"/>
      <c r="D1550"/>
      <c r="E1550"/>
      <c r="F1550"/>
      <c r="G1550"/>
      <c r="H1550"/>
      <c r="I1550"/>
    </row>
    <row r="1551" spans="1:9" s="47" customFormat="1" ht="14.4" x14ac:dyDescent="0.3">
      <c r="A1551"/>
      <c r="B1551"/>
      <c r="C1551"/>
      <c r="D1551"/>
      <c r="E1551"/>
      <c r="F1551"/>
      <c r="G1551"/>
      <c r="H1551"/>
      <c r="I1551"/>
    </row>
    <row r="1552" spans="1:9" s="47" customFormat="1" ht="14.4" x14ac:dyDescent="0.3">
      <c r="A1552"/>
      <c r="B1552"/>
      <c r="C1552"/>
      <c r="D1552"/>
      <c r="E1552"/>
      <c r="F1552"/>
      <c r="G1552"/>
      <c r="H1552"/>
      <c r="I1552"/>
    </row>
    <row r="1553" spans="1:9" s="47" customFormat="1" ht="14.4" x14ac:dyDescent="0.3">
      <c r="A1553"/>
      <c r="B1553"/>
      <c r="C1553"/>
      <c r="D1553"/>
      <c r="E1553"/>
      <c r="F1553"/>
      <c r="G1553"/>
      <c r="H1553"/>
      <c r="I1553"/>
    </row>
    <row r="1554" spans="1:9" s="47" customFormat="1" ht="14.4" x14ac:dyDescent="0.3">
      <c r="A1554"/>
      <c r="B1554"/>
      <c r="C1554"/>
      <c r="D1554"/>
      <c r="E1554"/>
      <c r="F1554"/>
      <c r="G1554"/>
      <c r="H1554"/>
      <c r="I1554"/>
    </row>
    <row r="1555" spans="1:9" s="47" customFormat="1" ht="14.4" x14ac:dyDescent="0.3">
      <c r="A1555"/>
      <c r="B1555"/>
      <c r="C1555"/>
      <c r="D1555"/>
      <c r="E1555"/>
      <c r="F1555"/>
      <c r="G1555"/>
      <c r="H1555"/>
      <c r="I1555"/>
    </row>
    <row r="1556" spans="1:9" s="47" customFormat="1" ht="14.4" x14ac:dyDescent="0.3">
      <c r="A1556"/>
      <c r="B1556"/>
      <c r="C1556"/>
      <c r="D1556"/>
      <c r="E1556"/>
      <c r="F1556"/>
      <c r="G1556"/>
      <c r="H1556"/>
      <c r="I1556"/>
    </row>
    <row r="1557" spans="1:9" s="47" customFormat="1" ht="14.4" x14ac:dyDescent="0.3">
      <c r="A1557"/>
      <c r="B1557"/>
      <c r="C1557"/>
      <c r="D1557"/>
      <c r="E1557"/>
      <c r="F1557"/>
      <c r="G1557"/>
      <c r="H1557"/>
      <c r="I1557"/>
    </row>
    <row r="1558" spans="1:9" s="47" customFormat="1" ht="14.4" x14ac:dyDescent="0.3">
      <c r="A1558"/>
      <c r="B1558"/>
      <c r="C1558"/>
      <c r="D1558"/>
      <c r="E1558"/>
      <c r="F1558"/>
      <c r="G1558"/>
      <c r="H1558"/>
      <c r="I1558"/>
    </row>
    <row r="1559" spans="1:9" s="47" customFormat="1" ht="14.4" x14ac:dyDescent="0.3">
      <c r="A1559"/>
      <c r="B1559"/>
      <c r="C1559"/>
      <c r="D1559"/>
      <c r="E1559"/>
      <c r="F1559"/>
      <c r="G1559"/>
      <c r="H1559"/>
      <c r="I1559"/>
    </row>
    <row r="1560" spans="1:9" s="47" customFormat="1" ht="14.4" x14ac:dyDescent="0.3">
      <c r="A1560"/>
      <c r="B1560"/>
      <c r="C1560"/>
      <c r="D1560"/>
      <c r="E1560"/>
      <c r="F1560"/>
      <c r="G1560"/>
      <c r="H1560"/>
      <c r="I1560"/>
    </row>
    <row r="1561" spans="1:9" s="47" customFormat="1" ht="14.4" x14ac:dyDescent="0.3">
      <c r="A1561"/>
      <c r="B1561"/>
      <c r="C1561"/>
      <c r="D1561"/>
      <c r="E1561"/>
      <c r="F1561"/>
      <c r="G1561"/>
      <c r="H1561"/>
      <c r="I1561"/>
    </row>
    <row r="1562" spans="1:9" s="47" customFormat="1" ht="14.4" x14ac:dyDescent="0.3">
      <c r="A1562"/>
      <c r="B1562"/>
      <c r="C1562"/>
      <c r="D1562"/>
      <c r="E1562"/>
      <c r="F1562"/>
      <c r="G1562"/>
      <c r="H1562"/>
      <c r="I1562"/>
    </row>
    <row r="1563" spans="1:9" s="47" customFormat="1" ht="14.4" x14ac:dyDescent="0.3">
      <c r="A1563"/>
      <c r="B1563"/>
      <c r="C1563"/>
      <c r="D1563"/>
      <c r="E1563"/>
      <c r="F1563"/>
      <c r="G1563"/>
      <c r="H1563"/>
      <c r="I1563"/>
    </row>
    <row r="1564" spans="1:9" s="47" customFormat="1" ht="14.4" x14ac:dyDescent="0.3">
      <c r="A1564"/>
      <c r="B1564"/>
      <c r="C1564"/>
      <c r="D1564"/>
      <c r="E1564"/>
      <c r="F1564"/>
      <c r="G1564"/>
      <c r="H1564"/>
      <c r="I1564"/>
    </row>
    <row r="1565" spans="1:9" s="47" customFormat="1" ht="14.4" x14ac:dyDescent="0.3">
      <c r="A1565"/>
      <c r="B1565"/>
      <c r="C1565"/>
      <c r="D1565"/>
      <c r="E1565"/>
      <c r="F1565"/>
      <c r="G1565"/>
      <c r="H1565"/>
      <c r="I1565"/>
    </row>
    <row r="1566" spans="1:9" s="47" customFormat="1" ht="14.4" x14ac:dyDescent="0.3">
      <c r="A1566"/>
      <c r="B1566"/>
      <c r="C1566"/>
      <c r="D1566"/>
      <c r="E1566"/>
      <c r="F1566"/>
      <c r="G1566"/>
      <c r="H1566"/>
      <c r="I1566"/>
    </row>
    <row r="1567" spans="1:9" s="47" customFormat="1" ht="14.4" x14ac:dyDescent="0.3">
      <c r="A1567"/>
      <c r="B1567"/>
      <c r="C1567"/>
      <c r="D1567"/>
      <c r="E1567"/>
      <c r="F1567"/>
      <c r="G1567"/>
      <c r="H1567"/>
      <c r="I1567"/>
    </row>
    <row r="1568" spans="1:9" s="47" customFormat="1" ht="14.4" x14ac:dyDescent="0.3">
      <c r="A1568"/>
      <c r="B1568"/>
      <c r="C1568"/>
      <c r="D1568"/>
      <c r="E1568"/>
      <c r="F1568"/>
      <c r="G1568"/>
      <c r="H1568"/>
      <c r="I1568"/>
    </row>
    <row r="1569" spans="1:9" s="47" customFormat="1" ht="14.4" x14ac:dyDescent="0.3">
      <c r="A1569"/>
      <c r="B1569"/>
      <c r="C1569"/>
      <c r="D1569"/>
      <c r="E1569"/>
      <c r="F1569"/>
      <c r="G1569"/>
      <c r="H1569"/>
      <c r="I1569"/>
    </row>
    <row r="1570" spans="1:9" s="47" customFormat="1" ht="14.4" x14ac:dyDescent="0.3">
      <c r="A1570"/>
      <c r="B1570"/>
      <c r="C1570"/>
      <c r="D1570"/>
      <c r="E1570"/>
      <c r="F1570"/>
      <c r="G1570"/>
      <c r="H1570"/>
      <c r="I1570"/>
    </row>
    <row r="1571" spans="1:9" s="47" customFormat="1" ht="14.4" x14ac:dyDescent="0.3">
      <c r="A1571"/>
      <c r="B1571"/>
      <c r="C1571"/>
      <c r="D1571"/>
      <c r="E1571"/>
      <c r="F1571"/>
      <c r="G1571"/>
      <c r="H1571"/>
      <c r="I1571"/>
    </row>
    <row r="1572" spans="1:9" s="47" customFormat="1" ht="14.4" x14ac:dyDescent="0.3">
      <c r="A1572"/>
      <c r="B1572"/>
      <c r="C1572"/>
      <c r="D1572"/>
      <c r="E1572"/>
      <c r="F1572"/>
      <c r="G1572"/>
      <c r="H1572"/>
      <c r="I1572"/>
    </row>
    <row r="1573" spans="1:9" s="47" customFormat="1" ht="14.4" x14ac:dyDescent="0.3">
      <c r="A1573"/>
      <c r="B1573"/>
      <c r="C1573"/>
      <c r="D1573"/>
      <c r="E1573"/>
      <c r="F1573"/>
      <c r="G1573"/>
      <c r="H1573"/>
      <c r="I1573"/>
    </row>
    <row r="1574" spans="1:9" s="47" customFormat="1" ht="14.4" x14ac:dyDescent="0.3">
      <c r="A1574"/>
      <c r="B1574"/>
      <c r="C1574"/>
      <c r="D1574"/>
      <c r="E1574"/>
      <c r="F1574"/>
      <c r="G1574"/>
      <c r="H1574"/>
      <c r="I1574"/>
    </row>
    <row r="1575" spans="1:9" s="47" customFormat="1" ht="14.4" x14ac:dyDescent="0.3">
      <c r="A1575"/>
      <c r="B1575"/>
      <c r="C1575"/>
      <c r="D1575"/>
      <c r="E1575"/>
      <c r="F1575"/>
      <c r="G1575"/>
      <c r="H1575"/>
      <c r="I1575"/>
    </row>
    <row r="1576" spans="1:9" s="47" customFormat="1" ht="14.4" x14ac:dyDescent="0.3">
      <c r="A1576"/>
      <c r="B1576"/>
      <c r="C1576"/>
      <c r="D1576"/>
      <c r="E1576"/>
      <c r="F1576"/>
      <c r="G1576"/>
      <c r="H1576"/>
      <c r="I1576"/>
    </row>
    <row r="1577" spans="1:9" s="47" customFormat="1" ht="14.4" x14ac:dyDescent="0.3">
      <c r="A1577"/>
      <c r="B1577"/>
      <c r="C1577"/>
      <c r="D1577"/>
      <c r="E1577"/>
      <c r="F1577"/>
      <c r="G1577"/>
      <c r="H1577"/>
      <c r="I1577"/>
    </row>
    <row r="1578" spans="1:9" s="47" customFormat="1" ht="14.4" x14ac:dyDescent="0.3">
      <c r="A1578"/>
      <c r="B1578"/>
      <c r="C1578"/>
      <c r="D1578"/>
      <c r="E1578"/>
      <c r="F1578"/>
      <c r="G1578"/>
      <c r="H1578"/>
      <c r="I1578"/>
    </row>
    <row r="1579" spans="1:9" s="47" customFormat="1" ht="14.4" x14ac:dyDescent="0.3">
      <c r="A1579"/>
      <c r="B1579"/>
      <c r="C1579"/>
      <c r="D1579"/>
      <c r="E1579"/>
      <c r="F1579"/>
      <c r="G1579"/>
      <c r="H1579"/>
      <c r="I1579"/>
    </row>
    <row r="1580" spans="1:9" s="47" customFormat="1" ht="14.4" x14ac:dyDescent="0.3">
      <c r="A1580"/>
      <c r="B1580"/>
      <c r="C1580"/>
      <c r="D1580"/>
      <c r="E1580"/>
      <c r="F1580"/>
      <c r="G1580"/>
      <c r="H1580"/>
      <c r="I1580"/>
    </row>
    <row r="1581" spans="1:9" s="47" customFormat="1" ht="14.4" x14ac:dyDescent="0.3">
      <c r="A1581"/>
      <c r="B1581"/>
      <c r="C1581"/>
      <c r="D1581"/>
      <c r="E1581"/>
      <c r="F1581"/>
      <c r="G1581"/>
      <c r="H1581"/>
      <c r="I1581"/>
    </row>
    <row r="1582" spans="1:9" s="47" customFormat="1" ht="14.4" x14ac:dyDescent="0.3">
      <c r="A1582"/>
      <c r="B1582"/>
      <c r="C1582"/>
      <c r="D1582"/>
      <c r="E1582"/>
      <c r="F1582"/>
      <c r="G1582"/>
      <c r="H1582"/>
      <c r="I1582"/>
    </row>
    <row r="1583" spans="1:9" s="47" customFormat="1" ht="14.4" x14ac:dyDescent="0.3">
      <c r="A1583"/>
      <c r="B1583"/>
      <c r="C1583"/>
      <c r="D1583"/>
      <c r="E1583"/>
      <c r="F1583"/>
      <c r="G1583"/>
      <c r="H1583"/>
      <c r="I1583"/>
    </row>
    <row r="1584" spans="1:9" s="47" customFormat="1" ht="14.4" x14ac:dyDescent="0.3">
      <c r="A1584"/>
      <c r="B1584"/>
      <c r="C1584"/>
      <c r="D1584"/>
      <c r="E1584"/>
      <c r="F1584"/>
      <c r="G1584"/>
      <c r="H1584"/>
      <c r="I1584"/>
    </row>
    <row r="1585" spans="1:9" s="47" customFormat="1" ht="14.4" x14ac:dyDescent="0.3">
      <c r="A1585"/>
      <c r="B1585"/>
      <c r="C1585"/>
      <c r="D1585"/>
      <c r="E1585"/>
      <c r="F1585"/>
      <c r="G1585"/>
      <c r="H1585"/>
      <c r="I1585"/>
    </row>
    <row r="1586" spans="1:9" s="47" customFormat="1" ht="14.4" x14ac:dyDescent="0.3">
      <c r="A1586"/>
      <c r="B1586"/>
      <c r="C1586"/>
      <c r="D1586"/>
      <c r="E1586"/>
      <c r="F1586"/>
      <c r="G1586"/>
      <c r="H1586"/>
      <c r="I1586"/>
    </row>
    <row r="1587" spans="1:9" s="47" customFormat="1" ht="14.4" x14ac:dyDescent="0.3">
      <c r="A1587"/>
      <c r="B1587"/>
      <c r="C1587"/>
      <c r="D1587"/>
      <c r="E1587"/>
      <c r="F1587"/>
      <c r="G1587"/>
      <c r="H1587"/>
      <c r="I1587"/>
    </row>
    <row r="1588" spans="1:9" s="47" customFormat="1" ht="14.4" x14ac:dyDescent="0.3">
      <c r="A1588"/>
      <c r="B1588"/>
      <c r="C1588"/>
      <c r="D1588"/>
      <c r="E1588"/>
      <c r="F1588"/>
      <c r="G1588"/>
      <c r="H1588"/>
      <c r="I1588"/>
    </row>
    <row r="1589" spans="1:9" s="47" customFormat="1" ht="14.4" x14ac:dyDescent="0.3">
      <c r="A1589"/>
      <c r="B1589"/>
      <c r="C1589"/>
      <c r="D1589"/>
      <c r="E1589"/>
      <c r="F1589"/>
      <c r="G1589"/>
      <c r="H1589"/>
      <c r="I1589"/>
    </row>
    <row r="1590" spans="1:9" s="47" customFormat="1" ht="14.4" x14ac:dyDescent="0.3">
      <c r="A1590"/>
      <c r="B1590"/>
      <c r="C1590"/>
      <c r="D1590"/>
      <c r="E1590"/>
      <c r="F1590"/>
      <c r="G1590"/>
      <c r="H1590"/>
      <c r="I1590"/>
    </row>
    <row r="1591" spans="1:9" s="47" customFormat="1" ht="14.4" x14ac:dyDescent="0.3">
      <c r="A1591"/>
      <c r="B1591"/>
      <c r="C1591"/>
      <c r="D1591"/>
      <c r="E1591"/>
      <c r="F1591"/>
      <c r="G1591"/>
      <c r="H1591"/>
      <c r="I1591"/>
    </row>
    <row r="1592" spans="1:9" s="47" customFormat="1" ht="14.4" x14ac:dyDescent="0.3">
      <c r="A1592"/>
      <c r="B1592"/>
      <c r="C1592"/>
      <c r="D1592"/>
      <c r="E1592"/>
      <c r="F1592"/>
      <c r="G1592"/>
      <c r="H1592"/>
      <c r="I1592"/>
    </row>
    <row r="1593" spans="1:9" s="47" customFormat="1" ht="14.4" x14ac:dyDescent="0.3">
      <c r="A1593"/>
      <c r="B1593"/>
      <c r="C1593"/>
      <c r="D1593"/>
      <c r="E1593"/>
      <c r="F1593"/>
      <c r="G1593"/>
      <c r="H1593"/>
      <c r="I1593"/>
    </row>
    <row r="1594" spans="1:9" s="47" customFormat="1" ht="14.4" x14ac:dyDescent="0.3">
      <c r="A1594"/>
      <c r="B1594"/>
      <c r="C1594"/>
      <c r="D1594"/>
      <c r="E1594"/>
      <c r="F1594"/>
      <c r="G1594"/>
      <c r="H1594"/>
      <c r="I1594"/>
    </row>
    <row r="1595" spans="1:9" s="47" customFormat="1" ht="14.4" x14ac:dyDescent="0.3">
      <c r="A1595"/>
      <c r="B1595"/>
      <c r="C1595"/>
      <c r="D1595"/>
      <c r="E1595"/>
      <c r="F1595"/>
      <c r="G1595"/>
      <c r="H1595"/>
      <c r="I1595"/>
    </row>
    <row r="1596" spans="1:9" s="47" customFormat="1" ht="14.4" x14ac:dyDescent="0.3">
      <c r="A1596"/>
      <c r="B1596"/>
      <c r="C1596"/>
      <c r="D1596"/>
      <c r="E1596"/>
      <c r="F1596"/>
      <c r="G1596"/>
      <c r="H1596"/>
      <c r="I1596"/>
    </row>
    <row r="1597" spans="1:9" s="47" customFormat="1" ht="14.4" x14ac:dyDescent="0.3">
      <c r="A1597"/>
      <c r="B1597"/>
      <c r="C1597"/>
      <c r="D1597"/>
      <c r="E1597"/>
      <c r="F1597"/>
      <c r="G1597"/>
      <c r="H1597"/>
      <c r="I1597"/>
    </row>
    <row r="1598" spans="1:9" s="47" customFormat="1" ht="14.4" x14ac:dyDescent="0.3">
      <c r="A1598"/>
      <c r="B1598"/>
      <c r="C1598"/>
      <c r="D1598"/>
      <c r="E1598"/>
      <c r="F1598"/>
      <c r="G1598"/>
      <c r="H1598"/>
      <c r="I1598"/>
    </row>
    <row r="1599" spans="1:9" s="47" customFormat="1" ht="14.4" x14ac:dyDescent="0.3">
      <c r="A1599"/>
      <c r="B1599"/>
      <c r="C1599"/>
      <c r="D1599"/>
      <c r="E1599"/>
      <c r="F1599"/>
      <c r="G1599"/>
      <c r="H1599"/>
      <c r="I1599"/>
    </row>
    <row r="1600" spans="1:9" s="47" customFormat="1" ht="14.4" x14ac:dyDescent="0.3">
      <c r="A1600"/>
      <c r="B1600"/>
      <c r="C1600"/>
      <c r="D1600"/>
      <c r="E1600"/>
      <c r="F1600"/>
      <c r="G1600"/>
      <c r="H1600"/>
      <c r="I1600"/>
    </row>
    <row r="1601" spans="1:9" s="47" customFormat="1" ht="14.4" x14ac:dyDescent="0.3">
      <c r="A1601"/>
      <c r="B1601"/>
      <c r="C1601"/>
      <c r="D1601"/>
      <c r="E1601"/>
      <c r="F1601"/>
      <c r="G1601"/>
      <c r="H1601"/>
      <c r="I1601"/>
    </row>
    <row r="1602" spans="1:9" s="47" customFormat="1" ht="14.4" x14ac:dyDescent="0.3">
      <c r="A1602"/>
      <c r="B1602"/>
      <c r="C1602"/>
      <c r="D1602"/>
      <c r="E1602"/>
      <c r="F1602"/>
      <c r="G1602"/>
      <c r="H1602"/>
      <c r="I1602"/>
    </row>
    <row r="1603" spans="1:9" s="47" customFormat="1" ht="14.4" x14ac:dyDescent="0.3">
      <c r="A1603"/>
      <c r="B1603"/>
      <c r="C1603"/>
      <c r="D1603"/>
      <c r="E1603"/>
      <c r="F1603"/>
      <c r="G1603"/>
      <c r="H1603"/>
      <c r="I1603"/>
    </row>
    <row r="1604" spans="1:9" s="47" customFormat="1" ht="14.4" x14ac:dyDescent="0.3">
      <c r="A1604"/>
      <c r="B1604"/>
      <c r="C1604"/>
      <c r="D1604"/>
      <c r="E1604"/>
      <c r="F1604"/>
      <c r="G1604"/>
      <c r="H1604"/>
      <c r="I1604"/>
    </row>
    <row r="1605" spans="1:9" s="47" customFormat="1" ht="14.4" x14ac:dyDescent="0.3">
      <c r="A1605"/>
      <c r="B1605"/>
      <c r="C1605"/>
      <c r="D1605"/>
      <c r="E1605"/>
      <c r="F1605"/>
      <c r="G1605"/>
      <c r="H1605"/>
      <c r="I1605"/>
    </row>
    <row r="1606" spans="1:9" s="47" customFormat="1" ht="14.4" x14ac:dyDescent="0.3">
      <c r="A1606"/>
      <c r="B1606"/>
      <c r="C1606"/>
      <c r="D1606"/>
      <c r="E1606"/>
      <c r="F1606"/>
      <c r="G1606"/>
      <c r="H1606"/>
      <c r="I1606"/>
    </row>
    <row r="1607" spans="1:9" s="47" customFormat="1" ht="14.4" x14ac:dyDescent="0.3">
      <c r="A1607"/>
      <c r="B1607"/>
      <c r="C1607"/>
      <c r="D1607"/>
      <c r="E1607"/>
      <c r="F1607"/>
      <c r="G1607"/>
      <c r="H1607"/>
      <c r="I1607"/>
    </row>
    <row r="1608" spans="1:9" s="47" customFormat="1" ht="14.4" x14ac:dyDescent="0.3">
      <c r="A1608"/>
      <c r="B1608"/>
      <c r="C1608"/>
      <c r="D1608"/>
      <c r="E1608"/>
      <c r="F1608"/>
      <c r="G1608"/>
      <c r="H1608"/>
      <c r="I1608"/>
    </row>
    <row r="1609" spans="1:9" s="47" customFormat="1" ht="14.4" x14ac:dyDescent="0.3">
      <c r="A1609"/>
      <c r="B1609"/>
      <c r="C1609"/>
      <c r="D1609"/>
      <c r="E1609"/>
      <c r="F1609"/>
      <c r="G1609"/>
      <c r="H1609"/>
      <c r="I1609"/>
    </row>
    <row r="1610" spans="1:9" s="47" customFormat="1" ht="14.4" x14ac:dyDescent="0.3">
      <c r="A1610"/>
      <c r="B1610"/>
      <c r="C1610"/>
      <c r="D1610"/>
      <c r="E1610"/>
      <c r="F1610"/>
      <c r="G1610"/>
      <c r="H1610"/>
      <c r="I1610"/>
    </row>
    <row r="1611" spans="1:9" s="47" customFormat="1" ht="14.4" x14ac:dyDescent="0.3">
      <c r="A1611"/>
      <c r="B1611"/>
      <c r="C1611"/>
      <c r="D1611"/>
      <c r="E1611"/>
      <c r="F1611"/>
      <c r="G1611"/>
      <c r="H1611"/>
      <c r="I1611"/>
    </row>
    <row r="1612" spans="1:9" s="47" customFormat="1" ht="14.4" x14ac:dyDescent="0.3">
      <c r="A1612"/>
      <c r="B1612"/>
      <c r="C1612"/>
      <c r="D1612"/>
      <c r="E1612"/>
      <c r="F1612"/>
      <c r="G1612"/>
      <c r="H1612"/>
      <c r="I1612"/>
    </row>
    <row r="1613" spans="1:9" s="47" customFormat="1" ht="14.4" x14ac:dyDescent="0.3">
      <c r="A1613"/>
      <c r="B1613"/>
      <c r="C1613"/>
      <c r="D1613"/>
      <c r="E1613"/>
      <c r="F1613"/>
      <c r="G1613"/>
      <c r="H1613"/>
      <c r="I1613"/>
    </row>
    <row r="1614" spans="1:9" s="47" customFormat="1" ht="14.4" x14ac:dyDescent="0.3">
      <c r="A1614"/>
      <c r="B1614"/>
      <c r="C1614"/>
      <c r="D1614"/>
      <c r="E1614"/>
      <c r="F1614"/>
      <c r="G1614"/>
      <c r="H1614"/>
      <c r="I1614"/>
    </row>
    <row r="1615" spans="1:9" s="47" customFormat="1" ht="14.4" x14ac:dyDescent="0.3">
      <c r="A1615"/>
      <c r="B1615"/>
      <c r="C1615"/>
      <c r="D1615"/>
      <c r="E1615"/>
      <c r="F1615"/>
      <c r="G1615"/>
      <c r="H1615"/>
      <c r="I1615"/>
    </row>
    <row r="1616" spans="1:9" s="47" customFormat="1" ht="14.4" x14ac:dyDescent="0.3">
      <c r="A1616"/>
      <c r="B1616"/>
      <c r="C1616"/>
      <c r="D1616"/>
      <c r="E1616"/>
      <c r="F1616"/>
      <c r="G1616"/>
      <c r="H1616"/>
      <c r="I1616"/>
    </row>
    <row r="1617" spans="1:9" s="47" customFormat="1" ht="14.4" x14ac:dyDescent="0.3">
      <c r="A1617"/>
      <c r="B1617"/>
      <c r="C1617"/>
      <c r="D1617"/>
      <c r="E1617"/>
      <c r="F1617"/>
      <c r="G1617"/>
      <c r="H1617"/>
      <c r="I1617"/>
    </row>
    <row r="1618" spans="1:9" s="47" customFormat="1" ht="14.4" x14ac:dyDescent="0.3">
      <c r="A1618"/>
      <c r="B1618"/>
      <c r="C1618"/>
      <c r="D1618"/>
      <c r="E1618"/>
      <c r="F1618"/>
      <c r="G1618"/>
      <c r="H1618"/>
      <c r="I1618"/>
    </row>
    <row r="1619" spans="1:9" s="47" customFormat="1" ht="14.4" x14ac:dyDescent="0.3">
      <c r="A1619"/>
      <c r="B1619"/>
      <c r="C1619"/>
      <c r="D1619"/>
      <c r="E1619"/>
      <c r="F1619"/>
      <c r="G1619"/>
      <c r="H1619"/>
      <c r="I1619"/>
    </row>
    <row r="1620" spans="1:9" s="47" customFormat="1" ht="14.4" x14ac:dyDescent="0.3">
      <c r="A1620"/>
      <c r="B1620"/>
      <c r="C1620"/>
      <c r="D1620"/>
      <c r="E1620"/>
      <c r="F1620"/>
      <c r="G1620"/>
      <c r="H1620"/>
      <c r="I1620"/>
    </row>
    <row r="1621" spans="1:9" s="47" customFormat="1" ht="14.4" x14ac:dyDescent="0.3">
      <c r="A1621"/>
      <c r="B1621"/>
      <c r="C1621"/>
      <c r="D1621"/>
      <c r="E1621"/>
      <c r="F1621"/>
      <c r="G1621"/>
      <c r="H1621"/>
      <c r="I1621"/>
    </row>
    <row r="1622" spans="1:9" s="47" customFormat="1" ht="14.4" x14ac:dyDescent="0.3">
      <c r="A1622"/>
      <c r="B1622"/>
      <c r="C1622"/>
      <c r="D1622"/>
      <c r="E1622"/>
      <c r="F1622"/>
      <c r="G1622"/>
      <c r="H1622"/>
      <c r="I1622"/>
    </row>
    <row r="1623" spans="1:9" s="47" customFormat="1" ht="14.4" x14ac:dyDescent="0.3">
      <c r="A1623"/>
      <c r="B1623"/>
      <c r="C1623"/>
      <c r="D1623"/>
      <c r="E1623"/>
      <c r="F1623"/>
      <c r="G1623"/>
      <c r="H1623"/>
      <c r="I1623"/>
    </row>
    <row r="1624" spans="1:9" s="47" customFormat="1" ht="14.4" x14ac:dyDescent="0.3">
      <c r="A1624"/>
      <c r="B1624"/>
      <c r="C1624"/>
      <c r="D1624"/>
      <c r="E1624"/>
      <c r="F1624"/>
      <c r="G1624"/>
      <c r="H1624"/>
      <c r="I1624"/>
    </row>
    <row r="1625" spans="1:9" s="47" customFormat="1" ht="14.4" x14ac:dyDescent="0.3">
      <c r="A1625"/>
      <c r="B1625"/>
      <c r="C1625"/>
      <c r="D1625"/>
      <c r="E1625"/>
      <c r="F1625"/>
      <c r="G1625"/>
      <c r="H1625"/>
      <c r="I1625"/>
    </row>
    <row r="1626" spans="1:9" s="47" customFormat="1" ht="14.4" x14ac:dyDescent="0.3">
      <c r="A1626"/>
      <c r="B1626"/>
      <c r="C1626"/>
      <c r="D1626"/>
      <c r="E1626"/>
      <c r="F1626"/>
      <c r="G1626"/>
      <c r="H1626"/>
      <c r="I1626"/>
    </row>
    <row r="1627" spans="1:9" s="47" customFormat="1" ht="14.4" x14ac:dyDescent="0.3">
      <c r="A1627"/>
      <c r="B1627"/>
      <c r="C1627"/>
      <c r="D1627"/>
      <c r="E1627"/>
      <c r="F1627"/>
      <c r="G1627"/>
      <c r="H1627"/>
      <c r="I1627"/>
    </row>
    <row r="1628" spans="1:9" s="47" customFormat="1" ht="14.4" x14ac:dyDescent="0.3">
      <c r="A1628"/>
      <c r="B1628"/>
      <c r="C1628"/>
      <c r="D1628"/>
      <c r="E1628"/>
      <c r="F1628"/>
      <c r="G1628"/>
      <c r="H1628"/>
      <c r="I1628"/>
    </row>
    <row r="1629" spans="1:9" s="47" customFormat="1" ht="14.4" x14ac:dyDescent="0.3">
      <c r="A1629"/>
      <c r="B1629"/>
      <c r="C1629"/>
      <c r="D1629"/>
      <c r="E1629"/>
      <c r="F1629"/>
      <c r="G1629"/>
      <c r="H1629"/>
      <c r="I1629"/>
    </row>
    <row r="1630" spans="1:9" s="47" customFormat="1" ht="14.4" x14ac:dyDescent="0.3">
      <c r="A1630"/>
      <c r="B1630"/>
      <c r="C1630"/>
      <c r="D1630"/>
      <c r="E1630"/>
      <c r="F1630"/>
      <c r="G1630"/>
      <c r="H1630"/>
      <c r="I1630"/>
    </row>
    <row r="1631" spans="1:9" s="47" customFormat="1" ht="14.4" x14ac:dyDescent="0.3">
      <c r="A1631"/>
      <c r="B1631"/>
      <c r="C1631"/>
      <c r="D1631"/>
      <c r="E1631"/>
      <c r="F1631"/>
      <c r="G1631"/>
      <c r="H1631"/>
      <c r="I1631"/>
    </row>
    <row r="1632" spans="1:9" s="47" customFormat="1" ht="14.4" x14ac:dyDescent="0.3">
      <c r="A1632"/>
      <c r="B1632"/>
      <c r="C1632"/>
      <c r="D1632"/>
      <c r="E1632"/>
      <c r="F1632"/>
      <c r="G1632"/>
      <c r="H1632"/>
      <c r="I1632"/>
    </row>
    <row r="1633" spans="1:9" s="47" customFormat="1" ht="14.4" x14ac:dyDescent="0.3">
      <c r="A1633"/>
      <c r="B1633"/>
      <c r="C1633"/>
      <c r="D1633"/>
      <c r="E1633"/>
      <c r="F1633"/>
      <c r="G1633"/>
      <c r="H1633"/>
      <c r="I1633"/>
    </row>
    <row r="1634" spans="1:9" s="47" customFormat="1" ht="14.4" x14ac:dyDescent="0.3">
      <c r="A1634"/>
      <c r="B1634"/>
      <c r="C1634"/>
      <c r="D1634"/>
      <c r="E1634"/>
      <c r="F1634"/>
      <c r="G1634"/>
      <c r="H1634"/>
      <c r="I1634"/>
    </row>
    <row r="1635" spans="1:9" s="47" customFormat="1" ht="14.4" x14ac:dyDescent="0.3">
      <c r="A1635"/>
      <c r="B1635"/>
      <c r="C1635"/>
      <c r="D1635"/>
      <c r="E1635"/>
      <c r="F1635"/>
      <c r="G1635"/>
      <c r="H1635"/>
      <c r="I1635"/>
    </row>
    <row r="1636" spans="1:9" s="47" customFormat="1" ht="14.4" x14ac:dyDescent="0.3">
      <c r="A1636"/>
      <c r="B1636"/>
      <c r="C1636"/>
      <c r="D1636"/>
      <c r="E1636"/>
      <c r="F1636"/>
      <c r="G1636"/>
      <c r="H1636"/>
      <c r="I1636"/>
    </row>
    <row r="1637" spans="1:9" s="47" customFormat="1" ht="14.4" x14ac:dyDescent="0.3">
      <c r="A1637"/>
      <c r="B1637"/>
      <c r="C1637"/>
      <c r="D1637"/>
      <c r="E1637"/>
      <c r="F1637"/>
      <c r="G1637"/>
      <c r="H1637"/>
      <c r="I1637"/>
    </row>
    <row r="1638" spans="1:9" s="47" customFormat="1" ht="14.4" x14ac:dyDescent="0.3">
      <c r="A1638"/>
      <c r="B1638"/>
      <c r="C1638"/>
      <c r="D1638"/>
      <c r="E1638"/>
      <c r="F1638"/>
      <c r="G1638"/>
      <c r="H1638"/>
      <c r="I1638"/>
    </row>
    <row r="1639" spans="1:9" s="47" customFormat="1" ht="14.4" x14ac:dyDescent="0.3">
      <c r="A1639"/>
      <c r="B1639"/>
      <c r="C1639"/>
      <c r="D1639"/>
      <c r="E1639"/>
      <c r="F1639"/>
      <c r="G1639"/>
      <c r="H1639"/>
      <c r="I1639"/>
    </row>
    <row r="1640" spans="1:9" s="47" customFormat="1" ht="14.4" x14ac:dyDescent="0.3">
      <c r="A1640"/>
      <c r="B1640"/>
      <c r="C1640"/>
      <c r="D1640"/>
      <c r="E1640"/>
      <c r="F1640"/>
      <c r="G1640"/>
      <c r="H1640"/>
      <c r="I1640"/>
    </row>
    <row r="1641" spans="1:9" s="47" customFormat="1" ht="14.4" x14ac:dyDescent="0.3">
      <c r="A1641"/>
      <c r="B1641"/>
      <c r="C1641"/>
      <c r="D1641"/>
      <c r="E1641"/>
      <c r="F1641"/>
      <c r="G1641"/>
      <c r="H1641"/>
      <c r="I1641"/>
    </row>
    <row r="1642" spans="1:9" s="47" customFormat="1" ht="14.4" x14ac:dyDescent="0.3">
      <c r="A1642"/>
      <c r="B1642"/>
      <c r="C1642"/>
      <c r="D1642"/>
      <c r="E1642"/>
      <c r="F1642"/>
      <c r="G1642"/>
      <c r="H1642"/>
      <c r="I1642"/>
    </row>
    <row r="1643" spans="1:9" s="47" customFormat="1" ht="14.4" x14ac:dyDescent="0.3">
      <c r="A1643"/>
      <c r="B1643"/>
      <c r="C1643"/>
      <c r="D1643"/>
      <c r="E1643"/>
      <c r="F1643"/>
      <c r="G1643"/>
      <c r="H1643"/>
      <c r="I1643"/>
    </row>
    <row r="1644" spans="1:9" s="47" customFormat="1" ht="14.4" x14ac:dyDescent="0.3">
      <c r="A1644"/>
      <c r="B1644"/>
      <c r="C1644"/>
      <c r="D1644"/>
      <c r="E1644"/>
      <c r="F1644"/>
      <c r="G1644"/>
      <c r="H1644"/>
      <c r="I1644"/>
    </row>
    <row r="1645" spans="1:9" s="47" customFormat="1" ht="14.4" x14ac:dyDescent="0.3">
      <c r="A1645"/>
      <c r="B1645"/>
      <c r="C1645"/>
      <c r="D1645"/>
      <c r="E1645"/>
      <c r="F1645"/>
      <c r="G1645"/>
      <c r="H1645"/>
      <c r="I1645"/>
    </row>
    <row r="1646" spans="1:9" s="47" customFormat="1" ht="14.4" x14ac:dyDescent="0.3">
      <c r="A1646"/>
      <c r="B1646"/>
      <c r="C1646"/>
      <c r="D1646"/>
      <c r="E1646"/>
      <c r="F1646"/>
      <c r="G1646"/>
      <c r="H1646"/>
      <c r="I1646"/>
    </row>
    <row r="1647" spans="1:9" s="47" customFormat="1" ht="14.4" x14ac:dyDescent="0.3">
      <c r="A1647"/>
      <c r="B1647"/>
      <c r="C1647"/>
      <c r="D1647"/>
      <c r="E1647"/>
      <c r="F1647"/>
      <c r="G1647"/>
      <c r="H1647"/>
      <c r="I1647"/>
    </row>
    <row r="1648" spans="1:9" s="47" customFormat="1" ht="14.4" x14ac:dyDescent="0.3">
      <c r="A1648"/>
      <c r="B1648"/>
      <c r="C1648"/>
      <c r="D1648"/>
      <c r="E1648"/>
      <c r="F1648"/>
      <c r="G1648"/>
      <c r="H1648"/>
      <c r="I1648"/>
    </row>
    <row r="1649" spans="1:9" s="47" customFormat="1" ht="14.4" x14ac:dyDescent="0.3">
      <c r="A1649"/>
      <c r="B1649"/>
      <c r="C1649"/>
      <c r="D1649"/>
      <c r="E1649"/>
      <c r="F1649"/>
      <c r="G1649"/>
      <c r="H1649"/>
      <c r="I1649"/>
    </row>
    <row r="1650" spans="1:9" s="47" customFormat="1" ht="14.4" x14ac:dyDescent="0.3">
      <c r="A1650"/>
      <c r="B1650"/>
      <c r="C1650"/>
      <c r="D1650"/>
      <c r="E1650"/>
      <c r="F1650"/>
      <c r="G1650"/>
      <c r="H1650"/>
      <c r="I1650"/>
    </row>
    <row r="1651" spans="1:9" s="47" customFormat="1" ht="14.4" x14ac:dyDescent="0.3">
      <c r="A1651"/>
      <c r="B1651"/>
      <c r="C1651"/>
      <c r="D1651"/>
      <c r="E1651"/>
      <c r="F1651"/>
      <c r="G1651"/>
      <c r="H1651"/>
      <c r="I1651"/>
    </row>
    <row r="1652" spans="1:9" s="47" customFormat="1" ht="14.4" x14ac:dyDescent="0.3">
      <c r="A1652"/>
      <c r="B1652"/>
      <c r="C1652"/>
      <c r="D1652"/>
      <c r="E1652"/>
      <c r="F1652"/>
      <c r="G1652"/>
      <c r="H1652"/>
      <c r="I1652"/>
    </row>
    <row r="1653" spans="1:9" s="47" customFormat="1" ht="14.4" x14ac:dyDescent="0.3">
      <c r="A1653"/>
      <c r="B1653"/>
      <c r="C1653"/>
      <c r="D1653"/>
      <c r="E1653"/>
      <c r="F1653"/>
      <c r="G1653"/>
      <c r="H1653"/>
      <c r="I1653"/>
    </row>
    <row r="1654" spans="1:9" s="47" customFormat="1" ht="14.4" x14ac:dyDescent="0.3">
      <c r="A1654"/>
      <c r="B1654"/>
      <c r="C1654"/>
      <c r="D1654"/>
      <c r="E1654"/>
      <c r="F1654"/>
      <c r="G1654"/>
      <c r="H1654"/>
      <c r="I1654"/>
    </row>
    <row r="1655" spans="1:9" s="47" customFormat="1" ht="14.4" x14ac:dyDescent="0.3">
      <c r="A1655"/>
      <c r="B1655"/>
      <c r="C1655"/>
      <c r="D1655"/>
      <c r="E1655"/>
      <c r="F1655"/>
      <c r="G1655"/>
      <c r="H1655"/>
      <c r="I1655"/>
    </row>
    <row r="1656" spans="1:9" s="47" customFormat="1" ht="14.4" x14ac:dyDescent="0.3">
      <c r="A1656"/>
      <c r="B1656"/>
      <c r="C1656"/>
      <c r="D1656"/>
      <c r="E1656"/>
      <c r="F1656"/>
      <c r="G1656"/>
      <c r="H1656"/>
      <c r="I1656"/>
    </row>
    <row r="1657" spans="1:9" s="47" customFormat="1" ht="14.4" x14ac:dyDescent="0.3">
      <c r="A1657"/>
      <c r="B1657"/>
      <c r="C1657"/>
      <c r="D1657"/>
      <c r="E1657"/>
      <c r="F1657"/>
      <c r="G1657"/>
      <c r="H1657"/>
      <c r="I1657"/>
    </row>
    <row r="1658" spans="1:9" s="47" customFormat="1" ht="14.4" x14ac:dyDescent="0.3">
      <c r="A1658"/>
      <c r="B1658"/>
      <c r="C1658"/>
      <c r="D1658"/>
      <c r="E1658"/>
      <c r="F1658"/>
      <c r="G1658"/>
      <c r="H1658"/>
      <c r="I1658"/>
    </row>
    <row r="1659" spans="1:9" s="47" customFormat="1" ht="14.4" x14ac:dyDescent="0.3">
      <c r="A1659"/>
      <c r="B1659"/>
      <c r="C1659"/>
      <c r="D1659"/>
      <c r="E1659"/>
      <c r="F1659"/>
      <c r="G1659"/>
      <c r="H1659"/>
      <c r="I1659"/>
    </row>
    <row r="1660" spans="1:9" s="47" customFormat="1" ht="14.4" x14ac:dyDescent="0.3">
      <c r="A1660"/>
      <c r="B1660"/>
      <c r="C1660"/>
      <c r="D1660"/>
      <c r="E1660"/>
      <c r="F1660"/>
      <c r="G1660"/>
      <c r="H1660"/>
      <c r="I1660"/>
    </row>
    <row r="1661" spans="1:9" s="47" customFormat="1" ht="14.4" x14ac:dyDescent="0.3">
      <c r="A1661"/>
      <c r="B1661"/>
      <c r="C1661"/>
      <c r="D1661"/>
      <c r="E1661"/>
      <c r="F1661"/>
      <c r="G1661"/>
      <c r="H1661"/>
      <c r="I1661"/>
    </row>
    <row r="1662" spans="1:9" s="47" customFormat="1" ht="14.4" x14ac:dyDescent="0.3">
      <c r="A1662"/>
      <c r="B1662"/>
      <c r="C1662"/>
      <c r="D1662"/>
      <c r="E1662"/>
      <c r="F1662"/>
      <c r="G1662"/>
      <c r="H1662"/>
      <c r="I1662"/>
    </row>
    <row r="1663" spans="1:9" s="47" customFormat="1" ht="14.4" x14ac:dyDescent="0.3">
      <c r="A1663"/>
      <c r="B1663"/>
      <c r="C1663"/>
      <c r="D1663"/>
      <c r="E1663"/>
      <c r="F1663"/>
      <c r="G1663"/>
      <c r="H1663"/>
      <c r="I1663"/>
    </row>
    <row r="1664" spans="1:9" s="47" customFormat="1" ht="14.4" x14ac:dyDescent="0.3">
      <c r="A1664"/>
      <c r="B1664"/>
      <c r="C1664"/>
      <c r="D1664"/>
      <c r="E1664"/>
      <c r="F1664"/>
      <c r="G1664"/>
      <c r="H1664"/>
      <c r="I1664"/>
    </row>
    <row r="1665" spans="1:9" s="47" customFormat="1" ht="14.4" x14ac:dyDescent="0.3">
      <c r="A1665"/>
      <c r="B1665"/>
      <c r="C1665"/>
      <c r="D1665"/>
      <c r="E1665"/>
      <c r="F1665"/>
      <c r="G1665"/>
      <c r="H1665"/>
      <c r="I1665"/>
    </row>
    <row r="1666" spans="1:9" s="47" customFormat="1" ht="14.4" x14ac:dyDescent="0.3">
      <c r="A1666"/>
      <c r="B1666"/>
      <c r="C1666"/>
      <c r="D1666"/>
      <c r="E1666"/>
      <c r="F1666"/>
      <c r="G1666"/>
      <c r="H1666"/>
      <c r="I1666"/>
    </row>
    <row r="1667" spans="1:9" s="47" customFormat="1" ht="14.4" x14ac:dyDescent="0.3">
      <c r="A1667"/>
      <c r="B1667"/>
      <c r="C1667"/>
      <c r="D1667"/>
      <c r="E1667"/>
      <c r="F1667"/>
      <c r="G1667"/>
      <c r="H1667"/>
      <c r="I1667"/>
    </row>
    <row r="1668" spans="1:9" s="47" customFormat="1" ht="14.4" x14ac:dyDescent="0.3">
      <c r="A1668"/>
      <c r="B1668"/>
      <c r="C1668"/>
      <c r="D1668"/>
      <c r="E1668"/>
      <c r="F1668"/>
      <c r="G1668"/>
      <c r="H1668"/>
      <c r="I1668"/>
    </row>
    <row r="1669" spans="1:9" s="47" customFormat="1" ht="14.4" x14ac:dyDescent="0.3">
      <c r="A1669"/>
      <c r="B1669"/>
      <c r="C1669"/>
      <c r="D1669"/>
      <c r="E1669"/>
      <c r="F1669"/>
      <c r="G1669"/>
      <c r="H1669"/>
      <c r="I1669"/>
    </row>
    <row r="1670" spans="1:9" s="47" customFormat="1" ht="14.4" x14ac:dyDescent="0.3">
      <c r="A1670"/>
      <c r="B1670"/>
      <c r="C1670"/>
      <c r="D1670"/>
      <c r="E1670"/>
      <c r="F1670"/>
      <c r="G1670"/>
      <c r="H1670"/>
      <c r="I1670"/>
    </row>
    <row r="1671" spans="1:9" s="47" customFormat="1" ht="14.4" x14ac:dyDescent="0.3">
      <c r="A1671"/>
      <c r="B1671"/>
      <c r="C1671"/>
      <c r="D1671"/>
      <c r="E1671"/>
      <c r="F1671"/>
      <c r="G1671"/>
      <c r="H1671"/>
      <c r="I1671"/>
    </row>
    <row r="1672" spans="1:9" s="47" customFormat="1" ht="14.4" x14ac:dyDescent="0.3">
      <c r="A1672"/>
      <c r="B1672"/>
      <c r="C1672"/>
      <c r="D1672"/>
      <c r="E1672"/>
      <c r="F1672"/>
      <c r="G1672"/>
      <c r="H1672"/>
      <c r="I1672"/>
    </row>
    <row r="1673" spans="1:9" s="47" customFormat="1" ht="14.4" x14ac:dyDescent="0.3">
      <c r="A1673"/>
      <c r="B1673"/>
      <c r="C1673"/>
      <c r="D1673"/>
      <c r="E1673"/>
      <c r="F1673"/>
      <c r="G1673"/>
      <c r="H1673"/>
      <c r="I1673"/>
    </row>
    <row r="1674" spans="1:9" s="47" customFormat="1" ht="14.4" x14ac:dyDescent="0.3">
      <c r="A1674"/>
      <c r="B1674"/>
      <c r="C1674"/>
      <c r="D1674"/>
      <c r="E1674"/>
      <c r="F1674"/>
      <c r="G1674"/>
      <c r="H1674"/>
      <c r="I1674"/>
    </row>
    <row r="1675" spans="1:9" s="47" customFormat="1" ht="14.4" x14ac:dyDescent="0.3">
      <c r="A1675"/>
      <c r="B1675"/>
      <c r="C1675"/>
      <c r="D1675"/>
      <c r="E1675"/>
      <c r="F1675"/>
      <c r="G1675"/>
      <c r="H1675"/>
      <c r="I1675"/>
    </row>
    <row r="1676" spans="1:9" s="47" customFormat="1" ht="14.4" x14ac:dyDescent="0.3">
      <c r="A1676"/>
      <c r="B1676"/>
      <c r="C1676"/>
      <c r="D1676"/>
      <c r="E1676"/>
      <c r="F1676"/>
      <c r="G1676"/>
      <c r="H1676"/>
      <c r="I1676"/>
    </row>
    <row r="1677" spans="1:9" s="47" customFormat="1" ht="14.4" x14ac:dyDescent="0.3">
      <c r="A1677"/>
      <c r="B1677"/>
      <c r="C1677"/>
      <c r="D1677"/>
      <c r="E1677"/>
      <c r="F1677"/>
      <c r="G1677"/>
      <c r="H1677"/>
      <c r="I1677"/>
    </row>
    <row r="1678" spans="1:9" s="47" customFormat="1" ht="14.4" x14ac:dyDescent="0.3">
      <c r="A1678"/>
      <c r="B1678"/>
      <c r="C1678"/>
      <c r="D1678"/>
      <c r="E1678"/>
      <c r="F1678"/>
      <c r="G1678"/>
      <c r="H1678"/>
      <c r="I1678"/>
    </row>
    <row r="1679" spans="1:9" s="47" customFormat="1" ht="14.4" x14ac:dyDescent="0.3">
      <c r="A1679"/>
      <c r="B1679"/>
      <c r="C1679"/>
      <c r="D1679"/>
      <c r="E1679"/>
      <c r="F1679"/>
      <c r="G1679"/>
      <c r="H1679"/>
      <c r="I1679"/>
    </row>
    <row r="1680" spans="1:9" s="47" customFormat="1" ht="14.4" x14ac:dyDescent="0.3">
      <c r="A1680"/>
      <c r="B1680"/>
      <c r="C1680"/>
      <c r="D1680"/>
      <c r="E1680"/>
      <c r="F1680"/>
      <c r="G1680"/>
      <c r="H1680"/>
      <c r="I1680"/>
    </row>
    <row r="1681" spans="1:9" s="47" customFormat="1" ht="14.4" x14ac:dyDescent="0.3">
      <c r="A1681"/>
      <c r="B1681"/>
      <c r="C1681"/>
      <c r="D1681"/>
      <c r="E1681"/>
      <c r="F1681"/>
      <c r="G1681"/>
      <c r="H1681"/>
      <c r="I1681"/>
    </row>
    <row r="1682" spans="1:9" s="47" customFormat="1" ht="14.4" x14ac:dyDescent="0.3">
      <c r="A1682"/>
      <c r="B1682"/>
      <c r="C1682"/>
      <c r="D1682"/>
      <c r="E1682"/>
      <c r="F1682"/>
      <c r="G1682"/>
      <c r="H1682"/>
      <c r="I1682"/>
    </row>
    <row r="1683" spans="1:9" s="47" customFormat="1" ht="14.4" x14ac:dyDescent="0.3">
      <c r="A1683"/>
      <c r="B1683"/>
      <c r="C1683"/>
      <c r="D1683"/>
      <c r="E1683"/>
      <c r="F1683"/>
      <c r="G1683"/>
      <c r="H1683"/>
      <c r="I1683"/>
    </row>
    <row r="1684" spans="1:9" s="47" customFormat="1" ht="14.4" x14ac:dyDescent="0.3">
      <c r="A1684"/>
      <c r="B1684"/>
      <c r="C1684"/>
      <c r="D1684"/>
      <c r="E1684"/>
      <c r="F1684"/>
      <c r="G1684"/>
      <c r="H1684"/>
      <c r="I1684"/>
    </row>
    <row r="1685" spans="1:9" s="47" customFormat="1" ht="14.4" x14ac:dyDescent="0.3">
      <c r="A1685"/>
      <c r="B1685"/>
      <c r="C1685"/>
      <c r="D1685"/>
      <c r="E1685"/>
      <c r="F1685"/>
      <c r="G1685"/>
      <c r="H1685"/>
      <c r="I1685"/>
    </row>
    <row r="1686" spans="1:9" s="47" customFormat="1" ht="14.4" x14ac:dyDescent="0.3">
      <c r="A1686"/>
      <c r="B1686"/>
      <c r="C1686"/>
      <c r="D1686"/>
      <c r="E1686"/>
      <c r="F1686"/>
      <c r="G1686"/>
      <c r="H1686"/>
      <c r="I1686"/>
    </row>
    <row r="1687" spans="1:9" s="47" customFormat="1" ht="14.4" x14ac:dyDescent="0.3">
      <c r="A1687"/>
      <c r="B1687"/>
      <c r="C1687"/>
      <c r="D1687"/>
      <c r="E1687"/>
      <c r="F1687"/>
      <c r="G1687"/>
      <c r="H1687"/>
      <c r="I1687"/>
    </row>
    <row r="1688" spans="1:9" s="47" customFormat="1" ht="14.4" x14ac:dyDescent="0.3">
      <c r="A1688"/>
      <c r="B1688"/>
      <c r="C1688"/>
      <c r="D1688"/>
      <c r="E1688"/>
      <c r="F1688"/>
      <c r="G1688"/>
      <c r="H1688"/>
      <c r="I1688"/>
    </row>
    <row r="1689" spans="1:9" s="47" customFormat="1" ht="14.4" x14ac:dyDescent="0.3">
      <c r="A1689"/>
      <c r="B1689"/>
      <c r="C1689"/>
      <c r="D1689"/>
      <c r="E1689"/>
      <c r="F1689"/>
      <c r="G1689"/>
      <c r="H1689"/>
      <c r="I1689"/>
    </row>
    <row r="1690" spans="1:9" s="47" customFormat="1" ht="14.4" x14ac:dyDescent="0.3">
      <c r="A1690"/>
      <c r="B1690"/>
      <c r="C1690"/>
      <c r="D1690"/>
      <c r="E1690"/>
      <c r="F1690"/>
      <c r="G1690"/>
      <c r="H1690"/>
      <c r="I1690"/>
    </row>
    <row r="1691" spans="1:9" s="47" customFormat="1" ht="14.4" x14ac:dyDescent="0.3">
      <c r="A1691"/>
      <c r="B1691"/>
      <c r="C1691"/>
      <c r="D1691"/>
      <c r="E1691"/>
      <c r="F1691"/>
      <c r="G1691"/>
      <c r="H1691"/>
      <c r="I1691"/>
    </row>
    <row r="1692" spans="1:9" s="47" customFormat="1" ht="14.4" x14ac:dyDescent="0.3">
      <c r="A1692"/>
      <c r="B1692"/>
      <c r="C1692"/>
      <c r="D1692"/>
      <c r="E1692"/>
      <c r="F1692"/>
      <c r="G1692"/>
      <c r="H1692"/>
      <c r="I1692"/>
    </row>
    <row r="1693" spans="1:9" s="47" customFormat="1" ht="14.4" x14ac:dyDescent="0.3">
      <c r="A1693"/>
      <c r="B1693"/>
      <c r="C1693"/>
      <c r="D1693"/>
      <c r="E1693"/>
      <c r="F1693"/>
      <c r="G1693"/>
      <c r="H1693"/>
      <c r="I1693"/>
    </row>
    <row r="1694" spans="1:9" s="47" customFormat="1" ht="14.4" x14ac:dyDescent="0.3">
      <c r="A1694"/>
      <c r="B1694"/>
      <c r="C1694"/>
      <c r="D1694"/>
      <c r="E1694"/>
      <c r="F1694"/>
      <c r="G1694"/>
      <c r="H1694"/>
      <c r="I1694"/>
    </row>
    <row r="1695" spans="1:9" s="47" customFormat="1" ht="14.4" x14ac:dyDescent="0.3">
      <c r="A1695"/>
      <c r="B1695"/>
      <c r="C1695"/>
      <c r="D1695"/>
      <c r="E1695"/>
      <c r="F1695"/>
      <c r="G1695"/>
      <c r="H1695"/>
      <c r="I1695"/>
    </row>
    <row r="1696" spans="1:9" s="47" customFormat="1" ht="14.4" x14ac:dyDescent="0.3">
      <c r="A1696"/>
      <c r="B1696"/>
      <c r="C1696"/>
      <c r="D1696"/>
      <c r="E1696"/>
      <c r="F1696"/>
      <c r="G1696"/>
      <c r="H1696"/>
      <c r="I1696"/>
    </row>
    <row r="1697" spans="1:9" s="47" customFormat="1" ht="14.4" x14ac:dyDescent="0.3">
      <c r="A1697"/>
      <c r="B1697"/>
      <c r="C1697"/>
      <c r="D1697"/>
      <c r="E1697"/>
      <c r="F1697"/>
      <c r="G1697"/>
      <c r="H1697"/>
      <c r="I1697"/>
    </row>
    <row r="1698" spans="1:9" s="47" customFormat="1" ht="14.4" x14ac:dyDescent="0.3">
      <c r="A1698"/>
      <c r="B1698"/>
      <c r="C1698"/>
      <c r="D1698"/>
      <c r="E1698"/>
      <c r="F1698"/>
      <c r="G1698"/>
      <c r="H1698"/>
      <c r="I1698"/>
    </row>
    <row r="1699" spans="1:9" s="47" customFormat="1" ht="14.4" x14ac:dyDescent="0.3">
      <c r="A1699"/>
      <c r="B1699"/>
      <c r="C1699"/>
      <c r="D1699"/>
      <c r="E1699"/>
      <c r="F1699"/>
      <c r="G1699"/>
      <c r="H1699"/>
      <c r="I1699"/>
    </row>
    <row r="1700" spans="1:9" s="47" customFormat="1" ht="14.4" x14ac:dyDescent="0.3">
      <c r="A1700"/>
      <c r="B1700"/>
      <c r="C1700"/>
      <c r="D1700"/>
      <c r="E1700"/>
      <c r="F1700"/>
      <c r="G1700"/>
      <c r="H1700"/>
      <c r="I1700"/>
    </row>
    <row r="1701" spans="1:9" s="47" customFormat="1" ht="14.4" x14ac:dyDescent="0.3">
      <c r="A1701"/>
      <c r="B1701"/>
      <c r="C1701"/>
      <c r="D1701"/>
      <c r="E1701"/>
      <c r="F1701"/>
      <c r="G1701"/>
      <c r="H1701"/>
      <c r="I1701"/>
    </row>
    <row r="1702" spans="1:9" s="47" customFormat="1" ht="14.4" x14ac:dyDescent="0.3">
      <c r="A1702"/>
      <c r="B1702"/>
      <c r="C1702"/>
      <c r="D1702"/>
      <c r="E1702"/>
      <c r="F1702"/>
      <c r="G1702"/>
      <c r="H1702"/>
      <c r="I1702"/>
    </row>
    <row r="1703" spans="1:9" s="47" customFormat="1" ht="14.4" x14ac:dyDescent="0.3">
      <c r="A1703"/>
      <c r="B1703"/>
      <c r="C1703"/>
      <c r="D1703"/>
      <c r="E1703"/>
      <c r="F1703"/>
      <c r="G1703"/>
      <c r="H1703"/>
      <c r="I1703"/>
    </row>
    <row r="1704" spans="1:9" s="47" customFormat="1" ht="14.4" x14ac:dyDescent="0.3">
      <c r="A1704"/>
      <c r="B1704"/>
      <c r="C1704"/>
      <c r="D1704"/>
      <c r="E1704"/>
      <c r="F1704"/>
      <c r="G1704"/>
      <c r="H1704"/>
      <c r="I1704"/>
    </row>
    <row r="1705" spans="1:9" s="47" customFormat="1" ht="14.4" x14ac:dyDescent="0.3">
      <c r="A1705"/>
      <c r="B1705"/>
      <c r="C1705"/>
      <c r="D1705"/>
      <c r="E1705"/>
      <c r="F1705"/>
      <c r="G1705"/>
      <c r="H1705"/>
      <c r="I1705"/>
    </row>
    <row r="1706" spans="1:9" s="47" customFormat="1" ht="14.4" x14ac:dyDescent="0.3">
      <c r="A1706"/>
      <c r="B1706"/>
      <c r="C1706"/>
      <c r="D1706"/>
      <c r="E1706"/>
      <c r="F1706"/>
      <c r="G1706"/>
      <c r="H1706"/>
      <c r="I1706"/>
    </row>
    <row r="1707" spans="1:9" s="47" customFormat="1" ht="14.4" x14ac:dyDescent="0.3">
      <c r="A1707"/>
      <c r="B1707"/>
      <c r="C1707"/>
      <c r="D1707"/>
      <c r="E1707"/>
      <c r="F1707"/>
      <c r="G1707"/>
      <c r="H1707"/>
      <c r="I1707"/>
    </row>
    <row r="1708" spans="1:9" s="47" customFormat="1" ht="14.4" x14ac:dyDescent="0.3">
      <c r="A1708"/>
      <c r="B1708"/>
      <c r="C1708"/>
      <c r="D1708"/>
      <c r="E1708"/>
      <c r="F1708"/>
      <c r="G1708"/>
      <c r="H1708"/>
      <c r="I1708"/>
    </row>
    <row r="1709" spans="1:9" s="47" customFormat="1" ht="14.4" x14ac:dyDescent="0.3">
      <c r="A1709"/>
      <c r="B1709"/>
      <c r="C1709"/>
      <c r="D1709"/>
      <c r="E1709"/>
      <c r="F1709"/>
      <c r="G1709"/>
      <c r="H1709"/>
      <c r="I1709"/>
    </row>
    <row r="1710" spans="1:9" s="47" customFormat="1" ht="14.4" x14ac:dyDescent="0.3">
      <c r="A1710"/>
      <c r="B1710"/>
      <c r="C1710"/>
      <c r="D1710"/>
      <c r="E1710"/>
      <c r="F1710"/>
      <c r="G1710"/>
      <c r="H1710"/>
      <c r="I1710"/>
    </row>
    <row r="1711" spans="1:9" s="47" customFormat="1" ht="14.4" x14ac:dyDescent="0.3">
      <c r="A1711"/>
      <c r="B1711"/>
      <c r="C1711"/>
      <c r="D1711"/>
      <c r="E1711"/>
      <c r="F1711"/>
      <c r="G1711"/>
      <c r="H1711"/>
      <c r="I1711"/>
    </row>
    <row r="1712" spans="1:9" s="47" customFormat="1" ht="14.4" x14ac:dyDescent="0.3">
      <c r="A1712"/>
      <c r="B1712"/>
      <c r="C1712"/>
      <c r="D1712"/>
      <c r="E1712"/>
      <c r="F1712"/>
      <c r="G1712"/>
      <c r="H1712"/>
      <c r="I1712"/>
    </row>
    <row r="1713" spans="1:9" s="47" customFormat="1" ht="14.4" x14ac:dyDescent="0.3">
      <c r="A1713"/>
      <c r="B1713"/>
      <c r="C1713"/>
      <c r="D1713"/>
      <c r="E1713"/>
      <c r="F1713"/>
      <c r="G1713"/>
      <c r="H1713"/>
      <c r="I1713"/>
    </row>
    <row r="1714" spans="1:9" s="47" customFormat="1" ht="14.4" x14ac:dyDescent="0.3">
      <c r="A1714"/>
      <c r="B1714"/>
      <c r="C1714"/>
      <c r="D1714"/>
      <c r="E1714"/>
      <c r="F1714"/>
      <c r="G1714"/>
      <c r="H1714"/>
      <c r="I1714"/>
    </row>
    <row r="1715" spans="1:9" s="47" customFormat="1" ht="14.4" x14ac:dyDescent="0.3">
      <c r="A1715"/>
      <c r="B1715"/>
      <c r="C1715"/>
      <c r="D1715"/>
      <c r="E1715"/>
      <c r="F1715"/>
      <c r="G1715"/>
      <c r="H1715"/>
      <c r="I1715"/>
    </row>
    <row r="1716" spans="1:9" s="47" customFormat="1" ht="14.4" x14ac:dyDescent="0.3">
      <c r="A1716"/>
      <c r="B1716"/>
      <c r="C1716"/>
      <c r="D1716"/>
      <c r="E1716"/>
      <c r="F1716"/>
      <c r="G1716"/>
      <c r="H1716"/>
      <c r="I1716"/>
    </row>
    <row r="1717" spans="1:9" s="47" customFormat="1" ht="14.4" x14ac:dyDescent="0.3">
      <c r="A1717"/>
      <c r="B1717"/>
      <c r="C1717"/>
      <c r="D1717"/>
      <c r="E1717"/>
      <c r="F1717"/>
      <c r="G1717"/>
      <c r="H1717"/>
      <c r="I1717"/>
    </row>
    <row r="1718" spans="1:9" s="47" customFormat="1" ht="14.4" x14ac:dyDescent="0.3">
      <c r="A1718"/>
      <c r="B1718"/>
      <c r="C1718"/>
      <c r="D1718"/>
      <c r="E1718"/>
      <c r="F1718"/>
      <c r="G1718"/>
      <c r="H1718"/>
      <c r="I1718"/>
    </row>
    <row r="1719" spans="1:9" s="47" customFormat="1" ht="14.4" x14ac:dyDescent="0.3">
      <c r="A1719"/>
      <c r="B1719"/>
      <c r="C1719"/>
      <c r="D1719"/>
      <c r="E1719"/>
      <c r="F1719"/>
      <c r="G1719"/>
      <c r="H1719"/>
      <c r="I1719"/>
    </row>
    <row r="1720" spans="1:9" s="47" customFormat="1" ht="14.4" x14ac:dyDescent="0.3">
      <c r="A1720"/>
      <c r="B1720"/>
      <c r="C1720"/>
      <c r="D1720"/>
      <c r="E1720"/>
      <c r="F1720"/>
      <c r="G1720"/>
      <c r="H1720"/>
      <c r="I1720"/>
    </row>
    <row r="1721" spans="1:9" s="47" customFormat="1" ht="14.4" x14ac:dyDescent="0.3">
      <c r="A1721"/>
      <c r="B1721"/>
      <c r="C1721"/>
      <c r="D1721"/>
      <c r="E1721"/>
      <c r="F1721"/>
      <c r="G1721"/>
      <c r="H1721"/>
      <c r="I1721"/>
    </row>
    <row r="1722" spans="1:9" s="47" customFormat="1" ht="14.4" x14ac:dyDescent="0.3">
      <c r="A1722"/>
      <c r="B1722"/>
      <c r="C1722"/>
      <c r="D1722"/>
      <c r="E1722"/>
      <c r="F1722"/>
      <c r="G1722"/>
      <c r="H1722"/>
      <c r="I1722"/>
    </row>
    <row r="1723" spans="1:9" s="47" customFormat="1" ht="14.4" x14ac:dyDescent="0.3">
      <c r="A1723"/>
      <c r="B1723"/>
      <c r="C1723"/>
      <c r="D1723"/>
      <c r="E1723"/>
      <c r="F1723"/>
      <c r="G1723"/>
      <c r="H1723"/>
      <c r="I1723"/>
    </row>
    <row r="1724" spans="1:9" s="47" customFormat="1" ht="14.4" x14ac:dyDescent="0.3">
      <c r="A1724"/>
      <c r="B1724"/>
      <c r="C1724"/>
      <c r="D1724"/>
      <c r="E1724"/>
      <c r="F1724"/>
      <c r="G1724"/>
      <c r="H1724"/>
      <c r="I1724"/>
    </row>
    <row r="1725" spans="1:9" s="47" customFormat="1" ht="14.4" x14ac:dyDescent="0.3">
      <c r="A1725"/>
      <c r="B1725"/>
      <c r="C1725"/>
      <c r="D1725"/>
      <c r="E1725"/>
      <c r="F1725"/>
      <c r="G1725"/>
      <c r="H1725"/>
      <c r="I1725"/>
    </row>
    <row r="1726" spans="1:9" s="47" customFormat="1" ht="14.4" x14ac:dyDescent="0.3">
      <c r="A1726"/>
      <c r="B1726"/>
      <c r="C1726"/>
      <c r="D1726"/>
      <c r="E1726"/>
      <c r="F1726"/>
      <c r="G1726"/>
      <c r="H1726"/>
      <c r="I1726"/>
    </row>
    <row r="1727" spans="1:9" s="47" customFormat="1" ht="14.4" x14ac:dyDescent="0.3">
      <c r="A1727"/>
      <c r="B1727"/>
      <c r="C1727"/>
      <c r="D1727"/>
      <c r="E1727"/>
      <c r="F1727"/>
      <c r="G1727"/>
      <c r="H1727"/>
      <c r="I1727"/>
    </row>
    <row r="1728" spans="1:9" s="47" customFormat="1" ht="14.4" x14ac:dyDescent="0.3">
      <c r="A1728"/>
      <c r="B1728"/>
      <c r="C1728"/>
      <c r="D1728"/>
      <c r="E1728"/>
      <c r="F1728"/>
      <c r="G1728"/>
      <c r="H1728"/>
      <c r="I1728"/>
    </row>
    <row r="1729" spans="1:9" s="47" customFormat="1" ht="14.4" x14ac:dyDescent="0.3">
      <c r="A1729"/>
      <c r="B1729"/>
      <c r="C1729"/>
      <c r="D1729"/>
      <c r="E1729"/>
      <c r="F1729"/>
      <c r="G1729"/>
      <c r="H1729"/>
      <c r="I1729"/>
    </row>
    <row r="1730" spans="1:9" s="47" customFormat="1" ht="14.4" x14ac:dyDescent="0.3">
      <c r="A1730"/>
      <c r="B1730"/>
      <c r="C1730"/>
      <c r="D1730"/>
      <c r="E1730"/>
      <c r="F1730"/>
      <c r="G1730"/>
      <c r="H1730"/>
      <c r="I1730"/>
    </row>
    <row r="1731" spans="1:9" s="47" customFormat="1" ht="14.4" x14ac:dyDescent="0.3">
      <c r="A1731"/>
      <c r="B1731"/>
      <c r="C1731"/>
      <c r="D1731"/>
      <c r="E1731"/>
      <c r="F1731"/>
      <c r="G1731"/>
      <c r="H1731"/>
      <c r="I1731"/>
    </row>
    <row r="1732" spans="1:9" s="47" customFormat="1" ht="14.4" x14ac:dyDescent="0.3">
      <c r="A1732"/>
      <c r="B1732"/>
      <c r="C1732"/>
      <c r="D1732"/>
      <c r="E1732"/>
      <c r="F1732"/>
      <c r="G1732"/>
      <c r="H1732"/>
      <c r="I1732"/>
    </row>
    <row r="1733" spans="1:9" s="47" customFormat="1" ht="14.4" x14ac:dyDescent="0.3">
      <c r="A1733"/>
      <c r="B1733"/>
      <c r="C1733"/>
      <c r="D1733"/>
      <c r="E1733"/>
      <c r="F1733"/>
      <c r="G1733"/>
      <c r="H1733"/>
      <c r="I1733"/>
    </row>
    <row r="1734" spans="1:9" s="47" customFormat="1" ht="14.4" x14ac:dyDescent="0.3">
      <c r="A1734"/>
      <c r="B1734"/>
      <c r="C1734"/>
      <c r="D1734"/>
      <c r="E1734"/>
      <c r="F1734"/>
      <c r="G1734"/>
      <c r="H1734"/>
      <c r="I1734"/>
    </row>
    <row r="1735" spans="1:9" s="47" customFormat="1" ht="14.4" x14ac:dyDescent="0.3">
      <c r="A1735"/>
      <c r="B1735"/>
      <c r="C1735"/>
      <c r="D1735"/>
      <c r="E1735"/>
      <c r="F1735"/>
      <c r="G1735"/>
      <c r="H1735"/>
      <c r="I1735"/>
    </row>
    <row r="1736" spans="1:9" s="47" customFormat="1" ht="14.4" x14ac:dyDescent="0.3">
      <c r="A1736"/>
      <c r="B1736"/>
      <c r="C1736"/>
      <c r="D1736"/>
      <c r="E1736"/>
      <c r="F1736"/>
      <c r="G1736"/>
      <c r="H1736"/>
      <c r="I1736"/>
    </row>
    <row r="1737" spans="1:9" s="47" customFormat="1" ht="14.4" x14ac:dyDescent="0.3">
      <c r="A1737"/>
      <c r="B1737"/>
      <c r="C1737"/>
      <c r="D1737"/>
      <c r="E1737"/>
      <c r="F1737"/>
      <c r="G1737"/>
      <c r="H1737"/>
      <c r="I1737"/>
    </row>
    <row r="1738" spans="1:9" s="47" customFormat="1" ht="14.4" x14ac:dyDescent="0.3">
      <c r="A1738"/>
      <c r="B1738"/>
      <c r="C1738"/>
      <c r="D1738"/>
      <c r="E1738"/>
      <c r="F1738"/>
      <c r="G1738"/>
      <c r="H1738"/>
      <c r="I1738"/>
    </row>
    <row r="1739" spans="1:9" s="47" customFormat="1" ht="14.4" x14ac:dyDescent="0.3">
      <c r="A1739"/>
      <c r="B1739"/>
      <c r="C1739"/>
      <c r="D1739"/>
      <c r="E1739"/>
      <c r="F1739"/>
      <c r="G1739"/>
      <c r="H1739"/>
      <c r="I1739"/>
    </row>
    <row r="1740" spans="1:9" s="47" customFormat="1" ht="14.4" x14ac:dyDescent="0.3">
      <c r="A1740"/>
      <c r="B1740"/>
      <c r="C1740"/>
      <c r="D1740"/>
      <c r="E1740"/>
      <c r="F1740"/>
      <c r="G1740"/>
      <c r="H1740"/>
      <c r="I1740"/>
    </row>
    <row r="1741" spans="1:9" s="47" customFormat="1" ht="14.4" x14ac:dyDescent="0.3">
      <c r="A1741"/>
      <c r="B1741"/>
      <c r="C1741"/>
      <c r="D1741"/>
      <c r="E1741"/>
      <c r="F1741"/>
      <c r="G1741"/>
      <c r="H1741"/>
      <c r="I1741"/>
    </row>
    <row r="1742" spans="1:9" s="47" customFormat="1" ht="14.4" x14ac:dyDescent="0.3">
      <c r="A1742"/>
      <c r="B1742"/>
      <c r="C1742"/>
      <c r="D1742"/>
      <c r="E1742"/>
      <c r="F1742"/>
      <c r="G1742"/>
      <c r="H1742"/>
      <c r="I1742"/>
    </row>
    <row r="1743" spans="1:9" s="47" customFormat="1" ht="14.4" x14ac:dyDescent="0.3">
      <c r="A1743"/>
      <c r="B1743"/>
      <c r="C1743"/>
      <c r="D1743"/>
      <c r="E1743"/>
      <c r="F1743"/>
      <c r="G1743"/>
      <c r="H1743"/>
      <c r="I1743"/>
    </row>
    <row r="1744" spans="1:9" s="47" customFormat="1" ht="14.4" x14ac:dyDescent="0.3">
      <c r="A1744"/>
      <c r="B1744"/>
      <c r="C1744"/>
      <c r="D1744"/>
      <c r="E1744"/>
      <c r="F1744"/>
      <c r="G1744"/>
      <c r="H1744"/>
      <c r="I1744"/>
    </row>
    <row r="1745" spans="1:9" s="47" customFormat="1" ht="14.4" x14ac:dyDescent="0.3">
      <c r="A1745"/>
      <c r="B1745"/>
      <c r="C1745"/>
      <c r="D1745"/>
      <c r="E1745"/>
      <c r="F1745"/>
      <c r="G1745"/>
      <c r="H1745"/>
      <c r="I1745"/>
    </row>
    <row r="1746" spans="1:9" s="47" customFormat="1" ht="14.4" x14ac:dyDescent="0.3">
      <c r="A1746"/>
      <c r="B1746"/>
      <c r="C1746"/>
      <c r="D1746"/>
      <c r="E1746"/>
      <c r="F1746"/>
      <c r="G1746"/>
      <c r="H1746"/>
      <c r="I1746"/>
    </row>
    <row r="1747" spans="1:9" s="47" customFormat="1" ht="14.4" x14ac:dyDescent="0.3">
      <c r="A1747"/>
      <c r="B1747"/>
      <c r="C1747"/>
      <c r="D1747"/>
      <c r="E1747"/>
      <c r="F1747"/>
      <c r="G1747"/>
      <c r="H1747"/>
      <c r="I1747"/>
    </row>
    <row r="1748" spans="1:9" s="47" customFormat="1" ht="14.4" x14ac:dyDescent="0.3">
      <c r="A1748"/>
      <c r="B1748"/>
      <c r="C1748"/>
      <c r="D1748"/>
      <c r="E1748"/>
      <c r="F1748"/>
      <c r="G1748"/>
      <c r="H1748"/>
      <c r="I1748"/>
    </row>
    <row r="1749" spans="1:9" s="47" customFormat="1" ht="14.4" x14ac:dyDescent="0.3">
      <c r="A1749"/>
      <c r="B1749"/>
      <c r="C1749"/>
      <c r="D1749"/>
      <c r="E1749"/>
      <c r="F1749"/>
      <c r="G1749"/>
      <c r="H1749"/>
      <c r="I1749"/>
    </row>
    <row r="1750" spans="1:9" s="47" customFormat="1" ht="14.4" x14ac:dyDescent="0.3">
      <c r="A1750"/>
      <c r="B1750"/>
      <c r="C1750"/>
      <c r="D1750"/>
      <c r="E1750"/>
      <c r="F1750"/>
      <c r="G1750"/>
      <c r="H1750"/>
      <c r="I1750"/>
    </row>
    <row r="1751" spans="1:9" s="47" customFormat="1" ht="14.4" x14ac:dyDescent="0.3">
      <c r="A1751"/>
      <c r="B1751"/>
      <c r="C1751"/>
      <c r="D1751"/>
      <c r="E1751"/>
      <c r="F1751"/>
      <c r="G1751"/>
      <c r="H1751"/>
      <c r="I1751"/>
    </row>
    <row r="1752" spans="1:9" s="47" customFormat="1" ht="14.4" x14ac:dyDescent="0.3">
      <c r="A1752"/>
      <c r="B1752"/>
      <c r="C1752"/>
      <c r="D1752"/>
      <c r="E1752"/>
      <c r="F1752"/>
      <c r="G1752"/>
      <c r="H1752"/>
      <c r="I1752"/>
    </row>
    <row r="1753" spans="1:9" s="47" customFormat="1" ht="14.4" x14ac:dyDescent="0.3">
      <c r="A1753"/>
      <c r="B1753"/>
      <c r="C1753"/>
      <c r="D1753"/>
      <c r="E1753"/>
      <c r="F1753"/>
      <c r="G1753"/>
      <c r="H1753"/>
      <c r="I1753"/>
    </row>
    <row r="1754" spans="1:9" s="47" customFormat="1" ht="14.4" x14ac:dyDescent="0.3">
      <c r="A1754"/>
      <c r="B1754"/>
      <c r="C1754"/>
      <c r="D1754"/>
      <c r="E1754"/>
      <c r="F1754"/>
      <c r="G1754"/>
      <c r="H1754"/>
      <c r="I1754"/>
    </row>
    <row r="1755" spans="1:9" s="47" customFormat="1" ht="14.4" x14ac:dyDescent="0.3">
      <c r="A1755"/>
      <c r="B1755"/>
      <c r="C1755"/>
      <c r="D1755"/>
      <c r="E1755"/>
      <c r="F1755"/>
      <c r="G1755"/>
      <c r="H1755"/>
      <c r="I1755"/>
    </row>
    <row r="1756" spans="1:9" s="47" customFormat="1" ht="14.4" x14ac:dyDescent="0.3">
      <c r="A1756"/>
      <c r="B1756"/>
      <c r="C1756"/>
      <c r="D1756"/>
      <c r="E1756"/>
      <c r="F1756"/>
      <c r="G1756"/>
      <c r="H1756"/>
      <c r="I1756"/>
    </row>
    <row r="1757" spans="1:9" s="47" customFormat="1" ht="14.4" x14ac:dyDescent="0.3">
      <c r="A1757"/>
      <c r="B1757"/>
      <c r="C1757"/>
      <c r="D1757"/>
      <c r="E1757"/>
      <c r="F1757"/>
      <c r="G1757"/>
      <c r="H1757"/>
      <c r="I1757"/>
    </row>
    <row r="1758" spans="1:9" s="47" customFormat="1" ht="14.4" x14ac:dyDescent="0.3">
      <c r="A1758"/>
      <c r="B1758"/>
      <c r="C1758"/>
      <c r="D1758"/>
      <c r="E1758"/>
      <c r="F1758"/>
      <c r="G1758"/>
      <c r="H1758"/>
      <c r="I1758"/>
    </row>
    <row r="1759" spans="1:9" s="47" customFormat="1" ht="14.4" x14ac:dyDescent="0.3">
      <c r="A1759"/>
      <c r="B1759"/>
      <c r="C1759"/>
      <c r="D1759"/>
      <c r="E1759"/>
      <c r="F1759"/>
      <c r="G1759"/>
      <c r="H1759"/>
      <c r="I1759"/>
    </row>
    <row r="1760" spans="1:9" s="47" customFormat="1" ht="14.4" x14ac:dyDescent="0.3">
      <c r="A1760"/>
      <c r="B1760"/>
      <c r="C1760"/>
      <c r="D1760"/>
      <c r="E1760"/>
      <c r="F1760"/>
      <c r="G1760"/>
      <c r="H1760"/>
      <c r="I1760"/>
    </row>
    <row r="1761" spans="1:9" s="47" customFormat="1" ht="14.4" x14ac:dyDescent="0.3">
      <c r="A1761"/>
      <c r="B1761"/>
      <c r="C1761"/>
      <c r="D1761"/>
      <c r="E1761"/>
      <c r="F1761"/>
      <c r="G1761"/>
      <c r="H1761"/>
      <c r="I1761"/>
    </row>
    <row r="1762" spans="1:9" s="47" customFormat="1" ht="14.4" x14ac:dyDescent="0.3">
      <c r="A1762"/>
      <c r="B1762"/>
      <c r="C1762"/>
      <c r="D1762"/>
      <c r="E1762"/>
      <c r="F1762"/>
      <c r="G1762"/>
      <c r="H1762"/>
      <c r="I1762"/>
    </row>
    <row r="1763" spans="1:9" s="47" customFormat="1" ht="14.4" x14ac:dyDescent="0.3">
      <c r="A1763"/>
      <c r="B1763"/>
      <c r="C1763"/>
      <c r="D1763"/>
      <c r="E1763"/>
      <c r="F1763"/>
      <c r="G1763"/>
      <c r="H1763"/>
      <c r="I1763"/>
    </row>
    <row r="1764" spans="1:9" s="47" customFormat="1" ht="14.4" x14ac:dyDescent="0.3">
      <c r="A1764"/>
      <c r="B1764"/>
      <c r="C1764"/>
      <c r="D1764"/>
      <c r="E1764"/>
      <c r="F1764"/>
      <c r="G1764"/>
      <c r="H1764"/>
      <c r="I1764"/>
    </row>
    <row r="1765" spans="1:9" s="47" customFormat="1" ht="14.4" x14ac:dyDescent="0.3">
      <c r="A1765"/>
      <c r="B1765"/>
      <c r="C1765"/>
      <c r="D1765"/>
      <c r="E1765"/>
      <c r="F1765"/>
      <c r="G1765"/>
      <c r="H1765"/>
      <c r="I1765"/>
    </row>
    <row r="1766" spans="1:9" s="47" customFormat="1" ht="14.4" x14ac:dyDescent="0.3">
      <c r="A1766"/>
      <c r="B1766"/>
      <c r="C1766"/>
      <c r="D1766"/>
      <c r="E1766"/>
      <c r="F1766"/>
      <c r="G1766"/>
      <c r="H1766"/>
      <c r="I1766"/>
    </row>
    <row r="1767" spans="1:9" s="47" customFormat="1" ht="14.4" x14ac:dyDescent="0.3">
      <c r="A1767"/>
      <c r="B1767"/>
      <c r="C1767"/>
      <c r="D1767"/>
      <c r="E1767"/>
      <c r="F1767"/>
      <c r="G1767"/>
      <c r="H1767"/>
      <c r="I1767"/>
    </row>
    <row r="1768" spans="1:9" s="47" customFormat="1" ht="14.4" x14ac:dyDescent="0.3">
      <c r="A1768"/>
      <c r="B1768"/>
      <c r="C1768"/>
      <c r="D1768"/>
      <c r="E1768"/>
      <c r="F1768"/>
      <c r="G1768"/>
      <c r="H1768"/>
      <c r="I1768"/>
    </row>
    <row r="1769" spans="1:9" s="47" customFormat="1" ht="14.4" x14ac:dyDescent="0.3">
      <c r="A1769"/>
      <c r="B1769"/>
      <c r="C1769"/>
      <c r="D1769"/>
      <c r="E1769"/>
      <c r="F1769"/>
      <c r="G1769"/>
      <c r="H1769"/>
      <c r="I1769"/>
    </row>
    <row r="1770" spans="1:9" s="47" customFormat="1" ht="14.4" x14ac:dyDescent="0.3">
      <c r="A1770"/>
      <c r="B1770"/>
      <c r="C1770"/>
      <c r="D1770"/>
      <c r="E1770"/>
      <c r="F1770"/>
      <c r="G1770"/>
      <c r="H1770"/>
      <c r="I1770"/>
    </row>
    <row r="1771" spans="1:9" s="47" customFormat="1" ht="14.4" x14ac:dyDescent="0.3">
      <c r="A1771"/>
      <c r="B1771"/>
      <c r="C1771"/>
      <c r="D1771"/>
      <c r="E1771"/>
      <c r="F1771"/>
      <c r="G1771"/>
      <c r="H1771"/>
      <c r="I1771"/>
    </row>
    <row r="1772" spans="1:9" s="47" customFormat="1" ht="14.4" x14ac:dyDescent="0.3">
      <c r="A1772"/>
      <c r="B1772"/>
      <c r="C1772"/>
      <c r="D1772"/>
      <c r="E1772"/>
      <c r="F1772"/>
      <c r="G1772"/>
      <c r="H1772"/>
      <c r="I1772"/>
    </row>
    <row r="1773" spans="1:9" s="47" customFormat="1" ht="14.4" x14ac:dyDescent="0.3">
      <c r="A1773"/>
      <c r="B1773"/>
      <c r="C1773"/>
      <c r="D1773"/>
      <c r="E1773"/>
      <c r="F1773"/>
      <c r="G1773"/>
      <c r="H1773"/>
      <c r="I1773"/>
    </row>
    <row r="1774" spans="1:9" s="47" customFormat="1" ht="14.4" x14ac:dyDescent="0.3">
      <c r="A1774"/>
      <c r="B1774"/>
      <c r="C1774"/>
      <c r="D1774"/>
      <c r="E1774"/>
      <c r="F1774"/>
      <c r="G1774"/>
      <c r="H1774"/>
      <c r="I1774"/>
    </row>
    <row r="1775" spans="1:9" s="47" customFormat="1" ht="14.4" x14ac:dyDescent="0.3">
      <c r="A1775"/>
      <c r="B1775"/>
      <c r="C1775"/>
      <c r="D1775"/>
      <c r="E1775"/>
      <c r="F1775"/>
      <c r="G1775"/>
      <c r="H1775"/>
      <c r="I1775"/>
    </row>
    <row r="1776" spans="1:9" s="47" customFormat="1" ht="14.4" x14ac:dyDescent="0.3">
      <c r="A1776"/>
      <c r="B1776"/>
      <c r="C1776"/>
      <c r="D1776"/>
      <c r="E1776"/>
      <c r="F1776"/>
      <c r="G1776"/>
      <c r="H1776"/>
      <c r="I1776"/>
    </row>
    <row r="1777" spans="1:9" s="47" customFormat="1" ht="14.4" x14ac:dyDescent="0.3">
      <c r="A1777"/>
      <c r="B1777"/>
      <c r="C1777"/>
      <c r="D1777"/>
      <c r="E1777"/>
      <c r="F1777"/>
      <c r="G1777"/>
      <c r="H1777"/>
      <c r="I1777"/>
    </row>
    <row r="1778" spans="1:9" s="47" customFormat="1" ht="14.4" x14ac:dyDescent="0.3">
      <c r="A1778"/>
      <c r="B1778"/>
      <c r="C1778"/>
      <c r="D1778"/>
      <c r="E1778"/>
      <c r="F1778"/>
      <c r="G1778"/>
      <c r="H1778"/>
      <c r="I1778"/>
    </row>
    <row r="1779" spans="1:9" s="47" customFormat="1" ht="14.4" x14ac:dyDescent="0.3">
      <c r="A1779"/>
      <c r="B1779"/>
      <c r="C1779"/>
      <c r="D1779"/>
      <c r="E1779"/>
      <c r="F1779"/>
      <c r="G1779"/>
      <c r="H1779"/>
      <c r="I1779"/>
    </row>
    <row r="1780" spans="1:9" s="47" customFormat="1" ht="14.4" x14ac:dyDescent="0.3">
      <c r="A1780"/>
      <c r="B1780"/>
      <c r="C1780"/>
      <c r="D1780"/>
      <c r="E1780"/>
      <c r="F1780"/>
      <c r="G1780"/>
      <c r="H1780"/>
      <c r="I1780"/>
    </row>
    <row r="1781" spans="1:9" s="47" customFormat="1" ht="14.4" x14ac:dyDescent="0.3">
      <c r="A1781"/>
      <c r="B1781"/>
      <c r="C1781"/>
      <c r="D1781"/>
      <c r="E1781"/>
      <c r="F1781"/>
      <c r="G1781"/>
      <c r="H1781"/>
      <c r="I1781"/>
    </row>
    <row r="1782" spans="1:9" s="47" customFormat="1" ht="14.4" x14ac:dyDescent="0.3">
      <c r="A1782"/>
      <c r="B1782"/>
      <c r="C1782"/>
      <c r="D1782"/>
      <c r="E1782"/>
      <c r="F1782"/>
      <c r="G1782"/>
      <c r="H1782"/>
      <c r="I1782"/>
    </row>
    <row r="1783" spans="1:9" s="47" customFormat="1" ht="14.4" x14ac:dyDescent="0.3">
      <c r="A1783"/>
      <c r="B1783"/>
      <c r="C1783"/>
      <c r="D1783"/>
      <c r="E1783"/>
      <c r="F1783"/>
      <c r="G1783"/>
      <c r="H1783"/>
      <c r="I1783"/>
    </row>
    <row r="1784" spans="1:9" s="47" customFormat="1" ht="14.4" x14ac:dyDescent="0.3">
      <c r="A1784"/>
      <c r="B1784"/>
      <c r="C1784"/>
      <c r="D1784"/>
      <c r="E1784"/>
      <c r="F1784"/>
      <c r="G1784"/>
      <c r="H1784"/>
      <c r="I1784"/>
    </row>
    <row r="1785" spans="1:9" s="47" customFormat="1" ht="14.4" x14ac:dyDescent="0.3">
      <c r="A1785"/>
      <c r="B1785"/>
      <c r="C1785"/>
      <c r="D1785"/>
      <c r="E1785"/>
      <c r="F1785"/>
      <c r="G1785"/>
      <c r="H1785"/>
      <c r="I1785"/>
    </row>
    <row r="1786" spans="1:9" s="47" customFormat="1" ht="14.4" x14ac:dyDescent="0.3">
      <c r="A1786"/>
      <c r="B1786"/>
      <c r="C1786"/>
      <c r="D1786"/>
      <c r="E1786"/>
      <c r="F1786"/>
      <c r="G1786"/>
      <c r="H1786"/>
      <c r="I1786"/>
    </row>
    <row r="1787" spans="1:9" s="47" customFormat="1" ht="14.4" x14ac:dyDescent="0.3">
      <c r="A1787"/>
      <c r="B1787"/>
      <c r="C1787"/>
      <c r="D1787"/>
      <c r="E1787"/>
      <c r="F1787"/>
      <c r="G1787"/>
      <c r="H1787"/>
      <c r="I1787"/>
    </row>
    <row r="1788" spans="1:9" s="47" customFormat="1" ht="14.4" x14ac:dyDescent="0.3">
      <c r="A1788"/>
      <c r="B1788"/>
      <c r="C1788"/>
      <c r="D1788"/>
      <c r="E1788"/>
      <c r="F1788"/>
      <c r="G1788"/>
      <c r="H1788"/>
      <c r="I1788"/>
    </row>
    <row r="1789" spans="1:9" s="47" customFormat="1" ht="14.4" x14ac:dyDescent="0.3">
      <c r="A1789"/>
      <c r="B1789"/>
      <c r="C1789"/>
      <c r="D1789"/>
      <c r="E1789"/>
      <c r="F1789"/>
      <c r="G1789"/>
      <c r="H1789"/>
      <c r="I1789"/>
    </row>
    <row r="1790" spans="1:9" s="47" customFormat="1" ht="14.4" x14ac:dyDescent="0.3">
      <c r="A1790"/>
      <c r="B1790"/>
      <c r="C1790"/>
      <c r="D1790"/>
      <c r="E1790"/>
      <c r="F1790"/>
      <c r="G1790"/>
      <c r="H1790"/>
      <c r="I1790"/>
    </row>
    <row r="1791" spans="1:9" s="47" customFormat="1" ht="14.4" x14ac:dyDescent="0.3">
      <c r="A1791"/>
      <c r="B1791"/>
      <c r="C1791"/>
      <c r="D1791"/>
      <c r="E1791"/>
      <c r="F1791"/>
      <c r="G1791"/>
      <c r="H1791"/>
      <c r="I1791"/>
    </row>
    <row r="1792" spans="1:9" s="47" customFormat="1" ht="14.4" x14ac:dyDescent="0.3">
      <c r="A1792"/>
      <c r="B1792"/>
      <c r="C1792"/>
      <c r="D1792"/>
      <c r="E1792"/>
      <c r="F1792"/>
      <c r="G1792"/>
      <c r="H1792"/>
      <c r="I1792"/>
    </row>
    <row r="1793" spans="1:9" s="47" customFormat="1" ht="14.4" x14ac:dyDescent="0.3">
      <c r="A1793"/>
      <c r="B1793"/>
      <c r="C1793"/>
      <c r="D1793"/>
      <c r="E1793"/>
      <c r="F1793"/>
      <c r="G1793"/>
      <c r="H1793"/>
      <c r="I1793"/>
    </row>
    <row r="1794" spans="1:9" s="47" customFormat="1" ht="14.4" x14ac:dyDescent="0.3">
      <c r="A1794"/>
      <c r="B1794"/>
      <c r="C1794"/>
      <c r="D1794"/>
      <c r="E1794"/>
      <c r="F1794"/>
      <c r="G1794"/>
      <c r="H1794"/>
      <c r="I1794"/>
    </row>
    <row r="1795" spans="1:9" s="47" customFormat="1" ht="14.4" x14ac:dyDescent="0.3">
      <c r="A1795"/>
      <c r="B1795"/>
      <c r="C1795"/>
      <c r="D1795"/>
      <c r="E1795"/>
      <c r="F1795"/>
      <c r="G1795"/>
      <c r="H1795"/>
      <c r="I1795"/>
    </row>
    <row r="1796" spans="1:9" s="47" customFormat="1" ht="14.4" x14ac:dyDescent="0.3">
      <c r="A1796"/>
      <c r="B1796"/>
      <c r="C1796"/>
      <c r="D1796"/>
      <c r="E1796"/>
      <c r="F1796"/>
      <c r="G1796"/>
      <c r="H1796"/>
      <c r="I1796"/>
    </row>
    <row r="1797" spans="1:9" s="47" customFormat="1" ht="14.4" x14ac:dyDescent="0.3">
      <c r="A1797"/>
      <c r="B1797"/>
      <c r="C1797"/>
      <c r="D1797"/>
      <c r="E1797"/>
      <c r="F1797"/>
      <c r="G1797"/>
      <c r="H1797"/>
      <c r="I1797"/>
    </row>
    <row r="1798" spans="1:9" s="47" customFormat="1" ht="14.4" x14ac:dyDescent="0.3">
      <c r="A1798"/>
      <c r="B1798"/>
      <c r="C1798"/>
      <c r="D1798"/>
      <c r="E1798"/>
      <c r="F1798"/>
      <c r="G1798"/>
      <c r="H1798"/>
      <c r="I1798"/>
    </row>
    <row r="1799" spans="1:9" s="47" customFormat="1" ht="14.4" x14ac:dyDescent="0.3">
      <c r="A1799"/>
      <c r="B1799"/>
      <c r="C1799"/>
      <c r="D1799"/>
      <c r="E1799"/>
      <c r="F1799"/>
      <c r="G1799"/>
      <c r="H1799"/>
      <c r="I1799"/>
    </row>
    <row r="1800" spans="1:9" s="47" customFormat="1" ht="14.4" x14ac:dyDescent="0.3">
      <c r="A1800"/>
      <c r="B1800"/>
      <c r="C1800"/>
      <c r="D1800"/>
      <c r="E1800"/>
      <c r="F1800"/>
      <c r="G1800"/>
      <c r="H1800"/>
      <c r="I1800"/>
    </row>
    <row r="1801" spans="1:9" s="47" customFormat="1" ht="14.4" x14ac:dyDescent="0.3">
      <c r="A1801"/>
      <c r="B1801"/>
      <c r="C1801"/>
      <c r="D1801"/>
      <c r="E1801"/>
      <c r="F1801"/>
      <c r="G1801"/>
      <c r="H1801"/>
      <c r="I1801"/>
    </row>
    <row r="1802" spans="1:9" s="47" customFormat="1" ht="14.4" x14ac:dyDescent="0.3">
      <c r="A1802"/>
      <c r="B1802"/>
      <c r="C1802"/>
      <c r="D1802"/>
      <c r="E1802"/>
      <c r="F1802"/>
      <c r="G1802"/>
      <c r="H1802"/>
      <c r="I1802"/>
    </row>
    <row r="1803" spans="1:9" s="47" customFormat="1" ht="14.4" x14ac:dyDescent="0.3">
      <c r="A1803"/>
      <c r="B1803"/>
      <c r="C1803"/>
      <c r="D1803"/>
      <c r="E1803"/>
      <c r="F1803"/>
      <c r="G1803"/>
      <c r="H1803"/>
      <c r="I1803"/>
    </row>
    <row r="1804" spans="1:9" s="47" customFormat="1" ht="14.4" x14ac:dyDescent="0.3">
      <c r="A1804"/>
      <c r="B1804"/>
      <c r="C1804"/>
      <c r="D1804"/>
      <c r="E1804"/>
      <c r="F1804"/>
      <c r="G1804"/>
      <c r="H1804"/>
      <c r="I1804"/>
    </row>
    <row r="1805" spans="1:9" s="47" customFormat="1" ht="14.4" x14ac:dyDescent="0.3">
      <c r="A1805"/>
      <c r="B1805"/>
      <c r="C1805"/>
      <c r="D1805"/>
      <c r="E1805"/>
      <c r="F1805"/>
      <c r="G1805"/>
      <c r="H1805"/>
      <c r="I1805"/>
    </row>
    <row r="1806" spans="1:9" s="47" customFormat="1" ht="14.4" x14ac:dyDescent="0.3">
      <c r="A1806"/>
      <c r="B1806"/>
      <c r="C1806"/>
      <c r="D1806"/>
      <c r="E1806"/>
      <c r="F1806"/>
      <c r="G1806"/>
      <c r="H1806"/>
      <c r="I1806"/>
    </row>
    <row r="1807" spans="1:9" s="47" customFormat="1" ht="14.4" x14ac:dyDescent="0.3">
      <c r="A1807"/>
      <c r="B1807"/>
      <c r="C1807"/>
      <c r="D1807"/>
      <c r="E1807"/>
      <c r="F1807"/>
      <c r="G1807"/>
      <c r="H1807"/>
      <c r="I1807"/>
    </row>
    <row r="1808" spans="1:9" s="47" customFormat="1" ht="14.4" x14ac:dyDescent="0.3">
      <c r="A1808"/>
      <c r="B1808"/>
      <c r="C1808"/>
      <c r="D1808"/>
      <c r="E1808"/>
      <c r="F1808"/>
      <c r="G1808"/>
      <c r="H1808"/>
      <c r="I1808"/>
    </row>
    <row r="1809" spans="1:9" s="47" customFormat="1" ht="14.4" x14ac:dyDescent="0.3">
      <c r="A1809"/>
      <c r="B1809"/>
      <c r="C1809"/>
      <c r="D1809"/>
      <c r="E1809"/>
      <c r="F1809"/>
      <c r="G1809"/>
      <c r="H1809"/>
      <c r="I1809"/>
    </row>
    <row r="1810" spans="1:9" s="47" customFormat="1" ht="14.4" x14ac:dyDescent="0.3">
      <c r="A1810"/>
      <c r="B1810"/>
      <c r="C1810"/>
      <c r="D1810"/>
      <c r="E1810"/>
      <c r="F1810"/>
      <c r="G1810"/>
      <c r="H1810"/>
      <c r="I1810"/>
    </row>
    <row r="1811" spans="1:9" s="47" customFormat="1" ht="14.4" x14ac:dyDescent="0.3">
      <c r="A1811"/>
      <c r="B1811"/>
      <c r="C1811"/>
      <c r="D1811"/>
      <c r="E1811"/>
      <c r="F1811"/>
      <c r="G1811"/>
      <c r="H1811"/>
      <c r="I1811"/>
    </row>
    <row r="1812" spans="1:9" s="47" customFormat="1" ht="14.4" x14ac:dyDescent="0.3">
      <c r="A1812"/>
      <c r="B1812"/>
      <c r="C1812"/>
      <c r="D1812"/>
      <c r="E1812"/>
      <c r="F1812"/>
      <c r="G1812"/>
      <c r="H1812"/>
      <c r="I1812"/>
    </row>
    <row r="1813" spans="1:9" s="47" customFormat="1" ht="14.4" x14ac:dyDescent="0.3">
      <c r="A1813"/>
      <c r="B1813"/>
      <c r="C1813"/>
      <c r="D1813"/>
      <c r="E1813"/>
      <c r="F1813"/>
      <c r="G1813"/>
      <c r="H1813"/>
      <c r="I1813"/>
    </row>
    <row r="1814" spans="1:9" s="47" customFormat="1" ht="14.4" x14ac:dyDescent="0.3">
      <c r="A1814"/>
      <c r="B1814"/>
      <c r="C1814"/>
      <c r="D1814"/>
      <c r="E1814"/>
      <c r="F1814"/>
      <c r="G1814"/>
      <c r="H1814"/>
      <c r="I1814"/>
    </row>
    <row r="1815" spans="1:9" s="47" customFormat="1" ht="14.4" x14ac:dyDescent="0.3">
      <c r="A1815"/>
      <c r="B1815"/>
      <c r="C1815"/>
      <c r="D1815"/>
      <c r="E1815"/>
      <c r="F1815"/>
      <c r="G1815"/>
      <c r="H1815"/>
      <c r="I1815"/>
    </row>
    <row r="1816" spans="1:9" s="47" customFormat="1" ht="14.4" x14ac:dyDescent="0.3">
      <c r="A1816"/>
      <c r="B1816"/>
      <c r="C1816"/>
      <c r="D1816"/>
      <c r="E1816"/>
      <c r="F1816"/>
      <c r="G1816"/>
      <c r="H1816"/>
      <c r="I1816"/>
    </row>
    <row r="1817" spans="1:9" s="47" customFormat="1" ht="14.4" x14ac:dyDescent="0.3">
      <c r="A1817"/>
      <c r="B1817"/>
      <c r="C1817"/>
      <c r="D1817"/>
      <c r="E1817"/>
      <c r="F1817"/>
      <c r="G1817"/>
      <c r="H1817"/>
      <c r="I1817"/>
    </row>
    <row r="1818" spans="1:9" s="47" customFormat="1" ht="14.4" x14ac:dyDescent="0.3">
      <c r="A1818"/>
      <c r="B1818"/>
      <c r="C1818"/>
      <c r="D1818"/>
      <c r="E1818"/>
      <c r="F1818"/>
      <c r="G1818"/>
      <c r="H1818"/>
      <c r="I1818"/>
    </row>
    <row r="1819" spans="1:9" s="47" customFormat="1" ht="14.4" x14ac:dyDescent="0.3">
      <c r="A1819"/>
      <c r="B1819"/>
      <c r="C1819"/>
      <c r="D1819"/>
      <c r="E1819"/>
      <c r="F1819"/>
      <c r="G1819"/>
      <c r="H1819"/>
      <c r="I1819"/>
    </row>
    <row r="1820" spans="1:9" s="47" customFormat="1" ht="14.4" x14ac:dyDescent="0.3">
      <c r="A1820"/>
      <c r="B1820"/>
      <c r="C1820"/>
      <c r="D1820"/>
      <c r="E1820"/>
      <c r="F1820"/>
      <c r="G1820"/>
      <c r="H1820"/>
      <c r="I1820"/>
    </row>
    <row r="1821" spans="1:9" s="47" customFormat="1" ht="14.4" x14ac:dyDescent="0.3">
      <c r="A1821"/>
      <c r="B1821"/>
      <c r="C1821"/>
      <c r="D1821"/>
      <c r="E1821"/>
      <c r="F1821"/>
      <c r="G1821"/>
      <c r="H1821"/>
      <c r="I1821"/>
    </row>
    <row r="1822" spans="1:9" s="47" customFormat="1" ht="14.4" x14ac:dyDescent="0.3">
      <c r="A1822"/>
      <c r="B1822"/>
      <c r="C1822"/>
      <c r="D1822"/>
      <c r="E1822"/>
      <c r="F1822"/>
      <c r="G1822"/>
      <c r="H1822"/>
      <c r="I1822"/>
    </row>
    <row r="1823" spans="1:9" s="47" customFormat="1" ht="14.4" x14ac:dyDescent="0.3">
      <c r="A1823"/>
      <c r="B1823"/>
      <c r="C1823"/>
      <c r="D1823"/>
      <c r="E1823"/>
      <c r="F1823"/>
      <c r="G1823"/>
      <c r="H1823"/>
      <c r="I1823"/>
    </row>
    <row r="1824" spans="1:9" s="47" customFormat="1" ht="14.4" x14ac:dyDescent="0.3">
      <c r="A1824"/>
      <c r="B1824"/>
      <c r="C1824"/>
      <c r="D1824"/>
      <c r="E1824"/>
      <c r="F1824"/>
      <c r="G1824"/>
      <c r="H1824"/>
      <c r="I1824"/>
    </row>
    <row r="1825" spans="1:9" s="47" customFormat="1" ht="14.4" x14ac:dyDescent="0.3">
      <c r="A1825"/>
      <c r="B1825"/>
      <c r="C1825"/>
      <c r="D1825"/>
      <c r="E1825"/>
      <c r="F1825"/>
      <c r="G1825"/>
      <c r="H1825"/>
      <c r="I1825"/>
    </row>
    <row r="1826" spans="1:9" s="47" customFormat="1" ht="14.4" x14ac:dyDescent="0.3">
      <c r="A1826"/>
      <c r="B1826"/>
      <c r="C1826"/>
      <c r="D1826"/>
      <c r="E1826"/>
      <c r="F1826"/>
      <c r="G1826"/>
      <c r="H1826"/>
      <c r="I1826"/>
    </row>
    <row r="1827" spans="1:9" s="47" customFormat="1" ht="14.4" x14ac:dyDescent="0.3">
      <c r="A1827"/>
      <c r="B1827"/>
      <c r="C1827"/>
      <c r="D1827"/>
      <c r="E1827"/>
      <c r="F1827"/>
      <c r="G1827"/>
      <c r="H1827"/>
      <c r="I1827"/>
    </row>
    <row r="1828" spans="1:9" s="47" customFormat="1" ht="14.4" x14ac:dyDescent="0.3">
      <c r="A1828"/>
      <c r="B1828"/>
      <c r="C1828"/>
      <c r="D1828"/>
      <c r="E1828"/>
      <c r="F1828"/>
      <c r="G1828"/>
      <c r="H1828"/>
      <c r="I1828"/>
    </row>
    <row r="1829" spans="1:9" s="47" customFormat="1" ht="14.4" x14ac:dyDescent="0.3">
      <c r="A1829"/>
      <c r="B1829"/>
      <c r="C1829"/>
      <c r="D1829"/>
      <c r="E1829"/>
      <c r="F1829"/>
      <c r="G1829"/>
      <c r="H1829"/>
      <c r="I1829"/>
    </row>
    <row r="1830" spans="1:9" s="47" customFormat="1" ht="14.4" x14ac:dyDescent="0.3">
      <c r="A1830"/>
      <c r="B1830"/>
      <c r="C1830"/>
      <c r="D1830"/>
      <c r="E1830"/>
      <c r="F1830"/>
      <c r="G1830"/>
      <c r="H1830"/>
      <c r="I1830"/>
    </row>
    <row r="1831" spans="1:9" s="47" customFormat="1" ht="14.4" x14ac:dyDescent="0.3">
      <c r="A1831"/>
      <c r="B1831"/>
      <c r="C1831"/>
      <c r="D1831"/>
      <c r="E1831"/>
      <c r="F1831"/>
      <c r="G1831"/>
      <c r="H1831"/>
      <c r="I1831"/>
    </row>
    <row r="1832" spans="1:9" s="47" customFormat="1" ht="14.4" x14ac:dyDescent="0.3">
      <c r="A1832"/>
      <c r="B1832"/>
      <c r="C1832"/>
      <c r="D1832"/>
      <c r="E1832"/>
      <c r="F1832"/>
      <c r="G1832"/>
      <c r="H1832"/>
      <c r="I1832"/>
    </row>
    <row r="1833" spans="1:9" s="47" customFormat="1" ht="14.4" x14ac:dyDescent="0.3">
      <c r="A1833"/>
      <c r="B1833"/>
      <c r="C1833"/>
      <c r="D1833"/>
      <c r="E1833"/>
      <c r="F1833"/>
      <c r="G1833"/>
      <c r="H1833"/>
      <c r="I1833"/>
    </row>
    <row r="1834" spans="1:9" s="47" customFormat="1" ht="14.4" x14ac:dyDescent="0.3">
      <c r="A1834"/>
      <c r="B1834"/>
      <c r="C1834"/>
      <c r="D1834"/>
      <c r="E1834"/>
      <c r="F1834"/>
      <c r="G1834"/>
      <c r="H1834"/>
      <c r="I1834"/>
    </row>
    <row r="1835" spans="1:9" s="47" customFormat="1" ht="14.4" x14ac:dyDescent="0.3">
      <c r="A1835"/>
      <c r="B1835"/>
      <c r="C1835"/>
      <c r="D1835"/>
      <c r="E1835"/>
      <c r="F1835"/>
      <c r="G1835"/>
      <c r="H1835"/>
      <c r="I1835"/>
    </row>
    <row r="1836" spans="1:9" s="47" customFormat="1" ht="14.4" x14ac:dyDescent="0.3">
      <c r="A1836"/>
      <c r="B1836"/>
      <c r="C1836"/>
      <c r="D1836"/>
      <c r="E1836"/>
      <c r="F1836"/>
      <c r="G1836"/>
      <c r="H1836"/>
      <c r="I1836"/>
    </row>
    <row r="1837" spans="1:9" s="47" customFormat="1" ht="14.4" x14ac:dyDescent="0.3">
      <c r="A1837"/>
      <c r="B1837"/>
      <c r="C1837"/>
      <c r="D1837"/>
      <c r="E1837"/>
      <c r="F1837"/>
      <c r="G1837"/>
      <c r="H1837"/>
      <c r="I1837"/>
    </row>
    <row r="1838" spans="1:9" s="47" customFormat="1" ht="14.4" x14ac:dyDescent="0.3">
      <c r="A1838"/>
      <c r="B1838"/>
      <c r="C1838"/>
      <c r="D1838"/>
      <c r="E1838"/>
      <c r="F1838"/>
      <c r="G1838"/>
      <c r="H1838"/>
      <c r="I1838"/>
    </row>
    <row r="1839" spans="1:9" s="47" customFormat="1" ht="14.4" x14ac:dyDescent="0.3">
      <c r="A1839"/>
      <c r="B1839"/>
      <c r="C1839"/>
      <c r="D1839"/>
      <c r="E1839"/>
      <c r="F1839"/>
      <c r="G1839"/>
      <c r="H1839"/>
      <c r="I1839"/>
    </row>
    <row r="1840" spans="1:9" s="47" customFormat="1" ht="14.4" x14ac:dyDescent="0.3">
      <c r="A1840"/>
      <c r="B1840"/>
      <c r="C1840"/>
      <c r="D1840"/>
      <c r="E1840"/>
      <c r="F1840"/>
      <c r="G1840"/>
      <c r="H1840"/>
      <c r="I1840"/>
    </row>
    <row r="1841" spans="1:9" s="47" customFormat="1" ht="14.4" x14ac:dyDescent="0.3">
      <c r="A1841"/>
      <c r="B1841"/>
      <c r="C1841"/>
      <c r="D1841"/>
      <c r="E1841"/>
      <c r="F1841"/>
      <c r="G1841"/>
      <c r="H1841"/>
      <c r="I1841"/>
    </row>
    <row r="1842" spans="1:9" s="47" customFormat="1" ht="14.4" x14ac:dyDescent="0.3">
      <c r="A1842"/>
      <c r="B1842"/>
      <c r="C1842"/>
      <c r="D1842"/>
      <c r="E1842"/>
      <c r="F1842"/>
      <c r="G1842"/>
      <c r="H1842"/>
      <c r="I1842"/>
    </row>
    <row r="1843" spans="1:9" s="47" customFormat="1" ht="14.4" x14ac:dyDescent="0.3">
      <c r="A1843"/>
      <c r="B1843"/>
      <c r="C1843"/>
      <c r="D1843"/>
      <c r="E1843"/>
      <c r="F1843"/>
      <c r="G1843"/>
      <c r="H1843"/>
      <c r="I1843"/>
    </row>
    <row r="1844" spans="1:9" s="47" customFormat="1" ht="14.4" x14ac:dyDescent="0.3">
      <c r="A1844"/>
      <c r="B1844"/>
      <c r="C1844"/>
      <c r="D1844"/>
      <c r="E1844"/>
      <c r="F1844"/>
      <c r="G1844"/>
      <c r="H1844"/>
      <c r="I1844"/>
    </row>
    <row r="1845" spans="1:9" s="47" customFormat="1" ht="14.4" x14ac:dyDescent="0.3">
      <c r="A1845"/>
      <c r="B1845"/>
      <c r="C1845"/>
      <c r="D1845"/>
      <c r="E1845"/>
      <c r="F1845"/>
      <c r="G1845"/>
      <c r="H1845"/>
      <c r="I1845"/>
    </row>
    <row r="1846" spans="1:9" s="47" customFormat="1" ht="14.4" x14ac:dyDescent="0.3">
      <c r="A1846"/>
      <c r="B1846"/>
      <c r="C1846"/>
      <c r="D1846"/>
      <c r="E1846"/>
      <c r="F1846"/>
      <c r="G1846"/>
      <c r="H1846"/>
      <c r="I1846"/>
    </row>
    <row r="1847" spans="1:9" s="47" customFormat="1" ht="14.4" x14ac:dyDescent="0.3">
      <c r="A1847"/>
      <c r="B1847"/>
      <c r="C1847"/>
      <c r="D1847"/>
      <c r="E1847"/>
      <c r="F1847"/>
      <c r="G1847"/>
      <c r="H1847"/>
      <c r="I1847"/>
    </row>
    <row r="1848" spans="1:9" s="47" customFormat="1" ht="14.4" x14ac:dyDescent="0.3">
      <c r="A1848"/>
      <c r="B1848"/>
      <c r="C1848"/>
      <c r="D1848"/>
      <c r="E1848"/>
      <c r="F1848"/>
      <c r="G1848"/>
      <c r="H1848"/>
      <c r="I1848"/>
    </row>
    <row r="1849" spans="1:9" s="47" customFormat="1" ht="14.4" x14ac:dyDescent="0.3">
      <c r="A1849"/>
      <c r="B1849"/>
      <c r="C1849"/>
      <c r="D1849"/>
      <c r="E1849"/>
      <c r="F1849"/>
      <c r="G1849"/>
      <c r="H1849"/>
      <c r="I1849"/>
    </row>
    <row r="1850" spans="1:9" s="47" customFormat="1" ht="14.4" x14ac:dyDescent="0.3">
      <c r="A1850"/>
      <c r="B1850"/>
      <c r="C1850"/>
      <c r="D1850"/>
      <c r="E1850"/>
      <c r="F1850"/>
      <c r="G1850"/>
      <c r="H1850"/>
      <c r="I1850"/>
    </row>
    <row r="1851" spans="1:9" s="47" customFormat="1" ht="14.4" x14ac:dyDescent="0.3">
      <c r="A1851"/>
      <c r="B1851"/>
      <c r="C1851"/>
      <c r="D1851"/>
      <c r="E1851"/>
      <c r="F1851"/>
      <c r="G1851"/>
      <c r="H1851"/>
      <c r="I1851"/>
    </row>
    <row r="1852" spans="1:9" s="47" customFormat="1" ht="14.4" x14ac:dyDescent="0.3">
      <c r="A1852"/>
      <c r="B1852"/>
      <c r="C1852"/>
      <c r="D1852"/>
      <c r="E1852"/>
      <c r="F1852"/>
      <c r="G1852"/>
      <c r="H1852"/>
      <c r="I1852"/>
    </row>
    <row r="1853" spans="1:9" s="47" customFormat="1" ht="14.4" x14ac:dyDescent="0.3">
      <c r="A1853"/>
      <c r="B1853"/>
      <c r="C1853"/>
      <c r="D1853"/>
      <c r="E1853"/>
      <c r="F1853"/>
      <c r="G1853"/>
      <c r="H1853"/>
      <c r="I1853"/>
    </row>
    <row r="1854" spans="1:9" s="47" customFormat="1" ht="14.4" x14ac:dyDescent="0.3">
      <c r="A1854"/>
      <c r="B1854"/>
      <c r="C1854"/>
      <c r="D1854"/>
      <c r="E1854"/>
      <c r="F1854"/>
      <c r="G1854"/>
      <c r="H1854"/>
      <c r="I1854"/>
    </row>
    <row r="1855" spans="1:9" s="47" customFormat="1" ht="14.4" x14ac:dyDescent="0.3">
      <c r="A1855"/>
      <c r="B1855"/>
      <c r="C1855"/>
      <c r="D1855"/>
      <c r="E1855"/>
      <c r="F1855"/>
      <c r="G1855"/>
      <c r="H1855"/>
      <c r="I1855"/>
    </row>
    <row r="1856" spans="1:9" s="47" customFormat="1" ht="14.4" x14ac:dyDescent="0.3">
      <c r="A1856"/>
      <c r="B1856"/>
      <c r="C1856"/>
      <c r="D1856"/>
      <c r="E1856"/>
      <c r="F1856"/>
      <c r="G1856"/>
      <c r="H1856"/>
      <c r="I1856"/>
    </row>
    <row r="1857" spans="1:9" s="47" customFormat="1" ht="14.4" x14ac:dyDescent="0.3">
      <c r="A1857"/>
      <c r="B1857"/>
      <c r="C1857"/>
      <c r="D1857"/>
      <c r="E1857"/>
      <c r="F1857"/>
      <c r="G1857"/>
      <c r="H1857"/>
      <c r="I1857"/>
    </row>
    <row r="1858" spans="1:9" s="47" customFormat="1" ht="14.4" x14ac:dyDescent="0.3">
      <c r="A1858"/>
      <c r="B1858"/>
      <c r="C1858"/>
      <c r="D1858"/>
      <c r="E1858"/>
      <c r="F1858"/>
      <c r="G1858"/>
      <c r="H1858"/>
      <c r="I1858"/>
    </row>
    <row r="1859" spans="1:9" s="47" customFormat="1" ht="14.4" x14ac:dyDescent="0.3">
      <c r="A1859"/>
      <c r="B1859"/>
      <c r="C1859"/>
      <c r="D1859"/>
      <c r="E1859"/>
      <c r="F1859"/>
      <c r="G1859"/>
      <c r="H1859"/>
      <c r="I1859"/>
    </row>
    <row r="1860" spans="1:9" s="47" customFormat="1" ht="14.4" x14ac:dyDescent="0.3">
      <c r="A1860"/>
      <c r="B1860"/>
      <c r="C1860"/>
      <c r="D1860"/>
      <c r="E1860"/>
      <c r="F1860"/>
      <c r="G1860"/>
      <c r="H1860"/>
      <c r="I1860"/>
    </row>
    <row r="1861" spans="1:9" s="47" customFormat="1" ht="14.4" x14ac:dyDescent="0.3">
      <c r="A1861"/>
      <c r="B1861"/>
      <c r="C1861"/>
      <c r="D1861"/>
      <c r="E1861"/>
      <c r="F1861"/>
      <c r="G1861"/>
      <c r="H1861"/>
      <c r="I1861"/>
    </row>
    <row r="1862" spans="1:9" s="47" customFormat="1" ht="14.4" x14ac:dyDescent="0.3">
      <c r="A1862"/>
      <c r="B1862"/>
      <c r="C1862"/>
      <c r="D1862"/>
      <c r="E1862"/>
      <c r="F1862"/>
      <c r="G1862"/>
      <c r="H1862"/>
      <c r="I1862"/>
    </row>
    <row r="1863" spans="1:9" s="47" customFormat="1" ht="14.4" x14ac:dyDescent="0.3">
      <c r="A1863"/>
      <c r="B1863"/>
      <c r="C1863"/>
      <c r="D1863"/>
      <c r="E1863"/>
      <c r="F1863"/>
      <c r="G1863"/>
      <c r="H1863"/>
      <c r="I1863"/>
    </row>
    <row r="1864" spans="1:9" s="47" customFormat="1" ht="14.4" x14ac:dyDescent="0.3">
      <c r="A1864"/>
      <c r="B1864"/>
      <c r="C1864"/>
      <c r="D1864"/>
      <c r="E1864"/>
      <c r="F1864"/>
      <c r="G1864"/>
      <c r="H1864"/>
      <c r="I1864"/>
    </row>
    <row r="1865" spans="1:9" s="47" customFormat="1" ht="14.4" x14ac:dyDescent="0.3">
      <c r="A1865"/>
      <c r="B1865"/>
      <c r="C1865"/>
      <c r="D1865"/>
      <c r="E1865"/>
      <c r="F1865"/>
      <c r="G1865"/>
      <c r="H1865"/>
      <c r="I1865"/>
    </row>
    <row r="1866" spans="1:9" s="47" customFormat="1" ht="14.4" x14ac:dyDescent="0.3">
      <c r="A1866"/>
      <c r="B1866"/>
      <c r="C1866"/>
      <c r="D1866"/>
      <c r="E1866"/>
      <c r="F1866"/>
      <c r="G1866"/>
      <c r="H1866"/>
      <c r="I1866"/>
    </row>
    <row r="1867" spans="1:9" s="47" customFormat="1" ht="14.4" x14ac:dyDescent="0.3">
      <c r="A1867"/>
      <c r="B1867"/>
      <c r="C1867"/>
      <c r="D1867"/>
      <c r="E1867"/>
      <c r="F1867"/>
      <c r="G1867"/>
      <c r="H1867"/>
      <c r="I1867"/>
    </row>
    <row r="1868" spans="1:9" s="47" customFormat="1" ht="14.4" x14ac:dyDescent="0.3">
      <c r="A1868"/>
      <c r="B1868"/>
      <c r="C1868"/>
      <c r="D1868"/>
      <c r="E1868"/>
      <c r="F1868"/>
      <c r="G1868"/>
      <c r="H1868"/>
      <c r="I1868"/>
    </row>
    <row r="1869" spans="1:9" s="47" customFormat="1" ht="14.4" x14ac:dyDescent="0.3">
      <c r="A1869"/>
      <c r="B1869"/>
      <c r="C1869"/>
      <c r="D1869"/>
      <c r="E1869"/>
      <c r="F1869"/>
      <c r="G1869"/>
      <c r="H1869"/>
      <c r="I1869"/>
    </row>
    <row r="1870" spans="1:9" s="47" customFormat="1" ht="14.4" x14ac:dyDescent="0.3">
      <c r="A1870"/>
      <c r="B1870"/>
      <c r="C1870"/>
      <c r="D1870"/>
      <c r="E1870"/>
      <c r="F1870"/>
      <c r="G1870"/>
      <c r="H1870"/>
      <c r="I1870"/>
    </row>
    <row r="1871" spans="1:9" s="47" customFormat="1" ht="14.4" x14ac:dyDescent="0.3">
      <c r="A1871"/>
      <c r="B1871"/>
      <c r="C1871"/>
      <c r="D1871"/>
      <c r="E1871"/>
      <c r="F1871"/>
      <c r="G1871"/>
      <c r="H1871"/>
      <c r="I1871"/>
    </row>
    <row r="1872" spans="1:9" s="47" customFormat="1" ht="14.4" x14ac:dyDescent="0.3">
      <c r="A1872"/>
      <c r="B1872"/>
      <c r="C1872"/>
      <c r="D1872"/>
      <c r="E1872"/>
      <c r="F1872"/>
      <c r="G1872"/>
      <c r="H1872"/>
      <c r="I1872"/>
    </row>
    <row r="1873" spans="1:9" s="47" customFormat="1" ht="14.4" x14ac:dyDescent="0.3">
      <c r="A1873"/>
      <c r="B1873"/>
      <c r="C1873"/>
      <c r="D1873"/>
      <c r="E1873"/>
      <c r="F1873"/>
      <c r="G1873"/>
      <c r="H1873"/>
      <c r="I1873"/>
    </row>
    <row r="1874" spans="1:9" s="47" customFormat="1" ht="14.4" x14ac:dyDescent="0.3">
      <c r="A1874"/>
      <c r="B1874"/>
      <c r="C1874"/>
      <c r="D1874"/>
      <c r="E1874"/>
      <c r="F1874"/>
      <c r="G1874"/>
      <c r="H1874"/>
      <c r="I1874"/>
    </row>
    <row r="1875" spans="1:9" s="47" customFormat="1" ht="14.4" x14ac:dyDescent="0.3">
      <c r="A1875"/>
      <c r="B1875"/>
      <c r="C1875"/>
      <c r="D1875"/>
      <c r="E1875"/>
      <c r="F1875"/>
      <c r="G1875"/>
      <c r="H1875"/>
      <c r="I1875"/>
    </row>
    <row r="1876" spans="1:9" s="47" customFormat="1" ht="14.4" x14ac:dyDescent="0.3">
      <c r="A1876"/>
      <c r="B1876"/>
      <c r="C1876"/>
      <c r="D1876"/>
      <c r="E1876"/>
      <c r="F1876"/>
      <c r="G1876"/>
      <c r="H1876"/>
      <c r="I1876"/>
    </row>
    <row r="1877" spans="1:9" s="47" customFormat="1" ht="14.4" x14ac:dyDescent="0.3">
      <c r="A1877"/>
      <c r="B1877"/>
      <c r="C1877"/>
      <c r="D1877"/>
      <c r="E1877"/>
      <c r="F1877"/>
      <c r="G1877"/>
      <c r="H1877"/>
      <c r="I1877"/>
    </row>
    <row r="1878" spans="1:9" s="47" customFormat="1" ht="14.4" x14ac:dyDescent="0.3">
      <c r="A1878"/>
      <c r="B1878"/>
      <c r="C1878"/>
      <c r="D1878"/>
      <c r="E1878"/>
      <c r="F1878"/>
      <c r="G1878"/>
      <c r="H1878"/>
      <c r="I1878"/>
    </row>
    <row r="1879" spans="1:9" s="47" customFormat="1" ht="14.4" x14ac:dyDescent="0.3">
      <c r="A1879"/>
      <c r="B1879"/>
      <c r="C1879"/>
      <c r="D1879"/>
      <c r="E1879"/>
      <c r="F1879"/>
      <c r="G1879"/>
      <c r="H1879"/>
      <c r="I1879"/>
    </row>
    <row r="1880" spans="1:9" s="47" customFormat="1" ht="14.4" x14ac:dyDescent="0.3">
      <c r="A1880"/>
      <c r="B1880"/>
      <c r="C1880"/>
      <c r="D1880"/>
      <c r="E1880"/>
      <c r="F1880"/>
      <c r="G1880"/>
      <c r="H1880"/>
      <c r="I1880"/>
    </row>
    <row r="1881" spans="1:9" s="47" customFormat="1" ht="14.4" x14ac:dyDescent="0.3">
      <c r="A1881"/>
      <c r="B1881"/>
      <c r="C1881"/>
      <c r="D1881"/>
      <c r="E1881"/>
      <c r="F1881"/>
      <c r="G1881"/>
      <c r="H1881"/>
      <c r="I1881"/>
    </row>
    <row r="1882" spans="1:9" s="47" customFormat="1" ht="14.4" x14ac:dyDescent="0.3">
      <c r="A1882"/>
      <c r="B1882"/>
      <c r="C1882"/>
      <c r="D1882"/>
      <c r="E1882"/>
      <c r="F1882"/>
      <c r="G1882"/>
      <c r="H1882"/>
      <c r="I1882"/>
    </row>
    <row r="1883" spans="1:9" s="47" customFormat="1" ht="14.4" x14ac:dyDescent="0.3">
      <c r="A1883"/>
      <c r="B1883"/>
      <c r="C1883"/>
      <c r="D1883"/>
      <c r="E1883"/>
      <c r="F1883"/>
      <c r="G1883"/>
      <c r="H1883"/>
      <c r="I1883"/>
    </row>
    <row r="1884" spans="1:9" s="47" customFormat="1" ht="14.4" x14ac:dyDescent="0.3">
      <c r="A1884"/>
      <c r="B1884"/>
      <c r="C1884"/>
      <c r="D1884"/>
      <c r="E1884"/>
      <c r="F1884"/>
      <c r="G1884"/>
      <c r="H1884"/>
      <c r="I1884"/>
    </row>
    <row r="1885" spans="1:9" s="47" customFormat="1" ht="14.4" x14ac:dyDescent="0.3">
      <c r="A1885"/>
      <c r="B1885"/>
      <c r="C1885"/>
      <c r="D1885"/>
      <c r="E1885"/>
      <c r="F1885"/>
      <c r="G1885"/>
      <c r="H1885"/>
      <c r="I1885"/>
    </row>
    <row r="1886" spans="1:9" s="47" customFormat="1" ht="14.4" x14ac:dyDescent="0.3">
      <c r="A1886"/>
      <c r="B1886"/>
      <c r="C1886"/>
      <c r="D1886"/>
      <c r="E1886"/>
      <c r="F1886"/>
      <c r="G1886"/>
      <c r="H1886"/>
      <c r="I1886"/>
    </row>
    <row r="1887" spans="1:9" s="47" customFormat="1" ht="14.4" x14ac:dyDescent="0.3">
      <c r="A1887"/>
      <c r="B1887"/>
      <c r="C1887"/>
      <c r="D1887"/>
      <c r="E1887"/>
      <c r="F1887"/>
      <c r="G1887"/>
      <c r="H1887"/>
      <c r="I1887"/>
    </row>
    <row r="1888" spans="1:9" s="47" customFormat="1" ht="14.4" x14ac:dyDescent="0.3">
      <c r="A1888"/>
      <c r="B1888"/>
      <c r="C1888"/>
      <c r="D1888"/>
      <c r="E1888"/>
      <c r="F1888"/>
      <c r="G1888"/>
      <c r="H1888"/>
      <c r="I1888"/>
    </row>
    <row r="1889" spans="1:9" s="47" customFormat="1" ht="14.4" x14ac:dyDescent="0.3">
      <c r="A1889"/>
      <c r="B1889"/>
      <c r="C1889"/>
      <c r="D1889"/>
      <c r="E1889"/>
      <c r="F1889"/>
      <c r="G1889"/>
      <c r="H1889"/>
      <c r="I1889"/>
    </row>
    <row r="1890" spans="1:9" s="47" customFormat="1" ht="14.4" x14ac:dyDescent="0.3">
      <c r="A1890"/>
      <c r="B1890"/>
      <c r="C1890"/>
      <c r="D1890"/>
      <c r="E1890"/>
      <c r="F1890"/>
      <c r="G1890"/>
      <c r="H1890"/>
      <c r="I1890"/>
    </row>
    <row r="1891" spans="1:9" s="47" customFormat="1" ht="14.4" x14ac:dyDescent="0.3">
      <c r="A1891"/>
      <c r="B1891"/>
      <c r="C1891"/>
      <c r="D1891"/>
      <c r="E1891"/>
      <c r="F1891"/>
      <c r="G1891"/>
      <c r="H1891"/>
      <c r="I1891"/>
    </row>
    <row r="1892" spans="1:9" s="47" customFormat="1" ht="14.4" x14ac:dyDescent="0.3">
      <c r="A1892"/>
      <c r="B1892"/>
      <c r="C1892"/>
      <c r="D1892"/>
      <c r="E1892"/>
      <c r="F1892"/>
      <c r="G1892"/>
      <c r="H1892"/>
      <c r="I1892"/>
    </row>
    <row r="1893" spans="1:9" s="47" customFormat="1" ht="14.4" x14ac:dyDescent="0.3">
      <c r="A1893"/>
      <c r="B1893"/>
      <c r="C1893"/>
      <c r="D1893"/>
      <c r="E1893"/>
      <c r="F1893"/>
      <c r="G1893"/>
      <c r="H1893"/>
      <c r="I1893"/>
    </row>
    <row r="1894" spans="1:9" s="47" customFormat="1" ht="14.4" x14ac:dyDescent="0.3">
      <c r="A1894"/>
      <c r="B1894"/>
      <c r="C1894"/>
      <c r="D1894"/>
      <c r="E1894"/>
      <c r="F1894"/>
      <c r="G1894"/>
      <c r="H1894"/>
      <c r="I1894"/>
    </row>
    <row r="1895" spans="1:9" s="47" customFormat="1" ht="14.4" x14ac:dyDescent="0.3">
      <c r="A1895"/>
      <c r="B1895"/>
      <c r="C1895"/>
      <c r="D1895"/>
      <c r="E1895"/>
      <c r="F1895"/>
      <c r="G1895"/>
      <c r="H1895"/>
      <c r="I1895"/>
    </row>
    <row r="1896" spans="1:9" s="47" customFormat="1" ht="14.4" x14ac:dyDescent="0.3">
      <c r="A1896"/>
      <c r="B1896"/>
      <c r="C1896"/>
      <c r="D1896"/>
      <c r="E1896"/>
      <c r="F1896"/>
      <c r="G1896"/>
      <c r="H1896"/>
      <c r="I1896"/>
    </row>
    <row r="1897" spans="1:9" s="47" customFormat="1" ht="14.4" x14ac:dyDescent="0.3">
      <c r="A1897"/>
      <c r="B1897"/>
      <c r="C1897"/>
      <c r="D1897"/>
      <c r="E1897"/>
      <c r="F1897"/>
      <c r="G1897"/>
      <c r="H1897"/>
      <c r="I1897"/>
    </row>
    <row r="1898" spans="1:9" s="47" customFormat="1" ht="14.4" x14ac:dyDescent="0.3">
      <c r="A1898"/>
      <c r="B1898"/>
      <c r="C1898"/>
      <c r="D1898"/>
      <c r="E1898"/>
      <c r="F1898"/>
      <c r="G1898"/>
      <c r="H1898"/>
      <c r="I1898"/>
    </row>
    <row r="1899" spans="1:9" s="47" customFormat="1" ht="14.4" x14ac:dyDescent="0.3">
      <c r="A1899"/>
      <c r="B1899"/>
      <c r="C1899"/>
      <c r="D1899"/>
      <c r="E1899"/>
      <c r="F1899"/>
      <c r="G1899"/>
      <c r="H1899"/>
      <c r="I1899"/>
    </row>
    <row r="1900" spans="1:9" s="47" customFormat="1" ht="14.4" x14ac:dyDescent="0.3">
      <c r="A1900"/>
      <c r="B1900"/>
      <c r="C1900"/>
      <c r="D1900"/>
      <c r="E1900"/>
      <c r="F1900"/>
      <c r="G1900"/>
      <c r="H1900"/>
      <c r="I1900"/>
    </row>
    <row r="1901" spans="1:9" s="47" customFormat="1" ht="14.4" x14ac:dyDescent="0.3">
      <c r="A1901"/>
      <c r="B1901"/>
      <c r="C1901"/>
      <c r="D1901"/>
      <c r="E1901"/>
      <c r="F1901"/>
      <c r="G1901"/>
      <c r="H1901"/>
      <c r="I1901"/>
    </row>
    <row r="1902" spans="1:9" s="47" customFormat="1" ht="14.4" x14ac:dyDescent="0.3">
      <c r="A1902"/>
      <c r="B1902"/>
      <c r="C1902"/>
      <c r="D1902"/>
      <c r="E1902"/>
      <c r="F1902"/>
      <c r="G1902"/>
      <c r="H1902"/>
      <c r="I1902"/>
    </row>
    <row r="1903" spans="1:9" s="47" customFormat="1" ht="14.4" x14ac:dyDescent="0.3">
      <c r="A1903"/>
      <c r="B1903"/>
      <c r="C1903"/>
      <c r="D1903"/>
      <c r="E1903"/>
      <c r="F1903"/>
      <c r="G1903"/>
      <c r="H1903"/>
      <c r="I1903"/>
    </row>
    <row r="1904" spans="1:9" s="47" customFormat="1" ht="14.4" x14ac:dyDescent="0.3">
      <c r="A1904"/>
      <c r="B1904"/>
      <c r="C1904"/>
      <c r="D1904"/>
      <c r="E1904"/>
      <c r="F1904"/>
      <c r="G1904"/>
      <c r="H1904"/>
      <c r="I1904"/>
    </row>
    <row r="1905" spans="1:9" s="47" customFormat="1" ht="14.4" x14ac:dyDescent="0.3">
      <c r="A1905"/>
      <c r="B1905"/>
      <c r="C1905"/>
      <c r="D1905"/>
      <c r="E1905"/>
      <c r="F1905"/>
      <c r="G1905"/>
      <c r="H1905"/>
      <c r="I1905"/>
    </row>
    <row r="1906" spans="1:9" s="47" customFormat="1" ht="14.4" x14ac:dyDescent="0.3">
      <c r="A1906"/>
      <c r="B1906"/>
      <c r="C1906"/>
      <c r="D1906"/>
      <c r="E1906"/>
      <c r="F1906"/>
      <c r="G1906"/>
      <c r="H1906"/>
      <c r="I1906"/>
    </row>
    <row r="1907" spans="1:9" s="47" customFormat="1" ht="14.4" x14ac:dyDescent="0.3">
      <c r="A1907"/>
      <c r="B1907"/>
      <c r="C1907"/>
      <c r="D1907"/>
      <c r="E1907"/>
      <c r="F1907"/>
      <c r="G1907"/>
      <c r="H1907"/>
      <c r="I1907"/>
    </row>
    <row r="1908" spans="1:9" s="47" customFormat="1" ht="14.4" x14ac:dyDescent="0.3">
      <c r="A1908"/>
      <c r="B1908"/>
      <c r="C1908"/>
      <c r="D1908"/>
      <c r="E1908"/>
      <c r="F1908"/>
      <c r="G1908"/>
      <c r="H1908"/>
      <c r="I1908"/>
    </row>
    <row r="1909" spans="1:9" s="47" customFormat="1" ht="14.4" x14ac:dyDescent="0.3">
      <c r="A1909"/>
      <c r="B1909"/>
      <c r="C1909"/>
      <c r="D1909"/>
      <c r="E1909"/>
      <c r="F1909"/>
      <c r="G1909"/>
      <c r="H1909"/>
      <c r="I1909"/>
    </row>
    <row r="1910" spans="1:9" s="47" customFormat="1" ht="14.4" x14ac:dyDescent="0.3">
      <c r="A1910"/>
      <c r="B1910"/>
      <c r="C1910"/>
      <c r="D1910"/>
      <c r="E1910"/>
      <c r="F1910"/>
      <c r="G1910"/>
      <c r="H1910"/>
      <c r="I1910"/>
    </row>
    <row r="1911" spans="1:9" s="47" customFormat="1" ht="14.4" x14ac:dyDescent="0.3">
      <c r="A1911"/>
      <c r="B1911"/>
      <c r="C1911"/>
      <c r="D1911"/>
      <c r="E1911"/>
      <c r="F1911"/>
      <c r="G1911"/>
      <c r="H1911"/>
      <c r="I1911"/>
    </row>
    <row r="1912" spans="1:9" s="47" customFormat="1" ht="14.4" x14ac:dyDescent="0.3">
      <c r="A1912"/>
      <c r="B1912"/>
      <c r="C1912"/>
      <c r="D1912"/>
      <c r="E1912"/>
      <c r="F1912"/>
      <c r="G1912"/>
      <c r="H1912"/>
      <c r="I1912"/>
    </row>
    <row r="1913" spans="1:9" s="47" customFormat="1" ht="14.4" x14ac:dyDescent="0.3">
      <c r="A1913"/>
      <c r="B1913"/>
      <c r="C1913"/>
      <c r="D1913"/>
      <c r="E1913"/>
      <c r="F1913"/>
      <c r="G1913"/>
      <c r="H1913"/>
      <c r="I1913"/>
    </row>
    <row r="1914" spans="1:9" s="47" customFormat="1" ht="14.4" x14ac:dyDescent="0.3">
      <c r="A1914"/>
      <c r="B1914"/>
      <c r="C1914"/>
      <c r="D1914"/>
      <c r="E1914"/>
      <c r="F1914"/>
      <c r="G1914"/>
      <c r="H1914"/>
      <c r="I1914"/>
    </row>
    <row r="1915" spans="1:9" s="47" customFormat="1" ht="14.4" x14ac:dyDescent="0.3">
      <c r="A1915"/>
      <c r="B1915"/>
      <c r="C1915"/>
      <c r="D1915"/>
      <c r="E1915"/>
      <c r="F1915"/>
      <c r="G1915"/>
      <c r="H1915"/>
      <c r="I1915"/>
    </row>
    <row r="1916" spans="1:9" s="47" customFormat="1" ht="14.4" x14ac:dyDescent="0.3">
      <c r="A1916"/>
      <c r="B1916"/>
      <c r="C1916"/>
      <c r="D1916"/>
      <c r="E1916"/>
      <c r="F1916"/>
      <c r="G1916"/>
      <c r="H1916"/>
      <c r="I1916"/>
    </row>
    <row r="1917" spans="1:9" s="47" customFormat="1" ht="14.4" x14ac:dyDescent="0.3">
      <c r="A1917"/>
      <c r="B1917"/>
      <c r="C1917"/>
      <c r="D1917"/>
      <c r="E1917"/>
      <c r="F1917"/>
      <c r="G1917"/>
      <c r="H1917"/>
      <c r="I1917"/>
    </row>
    <row r="1918" spans="1:9" s="47" customFormat="1" ht="14.4" x14ac:dyDescent="0.3">
      <c r="A1918"/>
      <c r="B1918"/>
      <c r="C1918"/>
      <c r="D1918"/>
      <c r="E1918"/>
      <c r="F1918"/>
      <c r="G1918"/>
      <c r="H1918"/>
      <c r="I1918"/>
    </row>
    <row r="1919" spans="1:9" s="47" customFormat="1" ht="14.4" x14ac:dyDescent="0.3">
      <c r="A1919"/>
      <c r="B1919"/>
      <c r="C1919"/>
      <c r="D1919"/>
      <c r="E1919"/>
      <c r="F1919"/>
      <c r="G1919"/>
      <c r="H1919"/>
      <c r="I1919"/>
    </row>
    <row r="1920" spans="1:9" s="47" customFormat="1" ht="14.4" x14ac:dyDescent="0.3">
      <c r="A1920"/>
      <c r="B1920"/>
      <c r="C1920"/>
      <c r="D1920"/>
      <c r="E1920"/>
      <c r="F1920"/>
      <c r="G1920"/>
      <c r="H1920"/>
      <c r="I1920"/>
    </row>
    <row r="1921" spans="1:9" s="47" customFormat="1" ht="14.4" x14ac:dyDescent="0.3">
      <c r="A1921"/>
      <c r="B1921"/>
      <c r="C1921"/>
      <c r="D1921"/>
      <c r="E1921"/>
      <c r="F1921"/>
      <c r="G1921"/>
      <c r="H1921"/>
      <c r="I1921"/>
    </row>
    <row r="1922" spans="1:9" s="47" customFormat="1" ht="14.4" x14ac:dyDescent="0.3">
      <c r="A1922"/>
      <c r="B1922"/>
      <c r="C1922"/>
      <c r="D1922"/>
      <c r="E1922"/>
      <c r="F1922"/>
      <c r="G1922"/>
      <c r="H1922"/>
      <c r="I1922"/>
    </row>
    <row r="1923" spans="1:9" s="47" customFormat="1" ht="14.4" x14ac:dyDescent="0.3">
      <c r="A1923"/>
      <c r="B1923"/>
      <c r="C1923"/>
      <c r="D1923"/>
      <c r="E1923"/>
      <c r="F1923"/>
      <c r="G1923"/>
      <c r="H1923"/>
      <c r="I1923"/>
    </row>
    <row r="1924" spans="1:9" s="47" customFormat="1" ht="14.4" x14ac:dyDescent="0.3">
      <c r="A1924"/>
      <c r="B1924"/>
      <c r="C1924"/>
      <c r="D1924"/>
      <c r="E1924"/>
      <c r="F1924"/>
      <c r="G1924"/>
      <c r="H1924"/>
      <c r="I1924"/>
    </row>
    <row r="1925" spans="1:9" s="47" customFormat="1" ht="14.4" x14ac:dyDescent="0.3">
      <c r="A1925"/>
      <c r="B1925"/>
      <c r="C1925"/>
      <c r="D1925"/>
      <c r="E1925"/>
      <c r="F1925"/>
      <c r="G1925"/>
      <c r="H1925"/>
      <c r="I1925"/>
    </row>
    <row r="1926" spans="1:9" s="47" customFormat="1" ht="14.4" x14ac:dyDescent="0.3">
      <c r="A1926"/>
      <c r="B1926"/>
      <c r="C1926"/>
      <c r="D1926"/>
      <c r="E1926"/>
      <c r="F1926"/>
      <c r="G1926"/>
      <c r="H1926"/>
      <c r="I1926"/>
    </row>
    <row r="1927" spans="1:9" s="47" customFormat="1" ht="14.4" x14ac:dyDescent="0.3">
      <c r="A1927"/>
      <c r="B1927"/>
      <c r="C1927"/>
      <c r="D1927"/>
      <c r="E1927"/>
      <c r="F1927"/>
      <c r="G1927"/>
      <c r="H1927"/>
      <c r="I1927"/>
    </row>
    <row r="1928" spans="1:9" s="47" customFormat="1" ht="14.4" x14ac:dyDescent="0.3">
      <c r="A1928"/>
      <c r="B1928"/>
      <c r="C1928"/>
      <c r="D1928"/>
      <c r="E1928"/>
      <c r="F1928"/>
      <c r="G1928"/>
      <c r="H1928"/>
      <c r="I1928"/>
    </row>
    <row r="1929" spans="1:9" s="47" customFormat="1" ht="14.4" x14ac:dyDescent="0.3">
      <c r="A1929"/>
      <c r="B1929"/>
      <c r="C1929"/>
      <c r="D1929"/>
      <c r="E1929"/>
      <c r="F1929"/>
      <c r="G1929"/>
      <c r="H1929"/>
      <c r="I1929"/>
    </row>
    <row r="1930" spans="1:9" s="47" customFormat="1" ht="14.4" x14ac:dyDescent="0.3">
      <c r="A1930"/>
      <c r="B1930"/>
      <c r="C1930"/>
      <c r="D1930"/>
      <c r="E1930"/>
      <c r="F1930"/>
      <c r="G1930"/>
      <c r="H1930"/>
      <c r="I1930"/>
    </row>
    <row r="1931" spans="1:9" s="47" customFormat="1" ht="14.4" x14ac:dyDescent="0.3">
      <c r="A1931"/>
      <c r="B1931"/>
      <c r="C1931"/>
      <c r="D1931"/>
      <c r="E1931"/>
      <c r="F1931"/>
      <c r="G1931"/>
      <c r="H1931"/>
      <c r="I1931"/>
    </row>
    <row r="1932" spans="1:9" s="47" customFormat="1" ht="14.4" x14ac:dyDescent="0.3">
      <c r="A1932"/>
      <c r="B1932"/>
      <c r="C1932"/>
      <c r="D1932"/>
      <c r="E1932"/>
      <c r="F1932"/>
      <c r="G1932"/>
      <c r="H1932"/>
      <c r="I1932"/>
    </row>
    <row r="1933" spans="1:9" s="47" customFormat="1" ht="14.4" x14ac:dyDescent="0.3">
      <c r="A1933"/>
      <c r="B1933"/>
      <c r="C1933"/>
      <c r="D1933"/>
      <c r="E1933"/>
      <c r="F1933"/>
      <c r="G1933"/>
      <c r="H1933"/>
      <c r="I1933"/>
    </row>
    <row r="1934" spans="1:9" s="47" customFormat="1" ht="14.4" x14ac:dyDescent="0.3">
      <c r="A1934"/>
      <c r="B1934"/>
      <c r="C1934"/>
      <c r="D1934"/>
      <c r="E1934"/>
      <c r="F1934"/>
      <c r="G1934"/>
      <c r="H1934"/>
      <c r="I1934"/>
    </row>
    <row r="1935" spans="1:9" s="47" customFormat="1" ht="14.4" x14ac:dyDescent="0.3">
      <c r="A1935"/>
      <c r="B1935"/>
      <c r="C1935"/>
      <c r="D1935"/>
      <c r="E1935"/>
      <c r="F1935"/>
      <c r="G1935"/>
      <c r="H1935"/>
      <c r="I1935"/>
    </row>
    <row r="1936" spans="1:9" s="47" customFormat="1" ht="14.4" x14ac:dyDescent="0.3">
      <c r="A1936"/>
      <c r="B1936"/>
      <c r="C1936"/>
      <c r="D1936"/>
      <c r="E1936"/>
      <c r="F1936"/>
      <c r="G1936"/>
      <c r="H1936"/>
      <c r="I1936"/>
    </row>
    <row r="1937" spans="1:9" s="47" customFormat="1" ht="14.4" x14ac:dyDescent="0.3">
      <c r="A1937"/>
      <c r="B1937"/>
      <c r="C1937"/>
      <c r="D1937"/>
      <c r="E1937"/>
      <c r="F1937"/>
      <c r="G1937"/>
      <c r="H1937"/>
      <c r="I1937"/>
    </row>
    <row r="1938" spans="1:9" s="47" customFormat="1" ht="14.4" x14ac:dyDescent="0.3">
      <c r="A1938"/>
      <c r="B1938"/>
      <c r="C1938"/>
      <c r="D1938"/>
      <c r="E1938"/>
      <c r="F1938"/>
      <c r="G1938"/>
      <c r="H1938"/>
      <c r="I1938"/>
    </row>
    <row r="1939" spans="1:9" s="47" customFormat="1" ht="14.4" x14ac:dyDescent="0.3">
      <c r="A1939"/>
      <c r="B1939"/>
      <c r="C1939"/>
      <c r="D1939"/>
      <c r="E1939"/>
      <c r="F1939"/>
      <c r="G1939"/>
      <c r="H1939"/>
      <c r="I1939"/>
    </row>
    <row r="1940" spans="1:9" s="47" customFormat="1" ht="14.4" x14ac:dyDescent="0.3">
      <c r="A1940"/>
      <c r="B1940"/>
      <c r="C1940"/>
      <c r="D1940"/>
      <c r="E1940"/>
      <c r="F1940"/>
      <c r="G1940"/>
      <c r="H1940"/>
      <c r="I1940"/>
    </row>
    <row r="1941" spans="1:9" s="47" customFormat="1" ht="14.4" x14ac:dyDescent="0.3">
      <c r="A1941"/>
      <c r="B1941"/>
      <c r="C1941"/>
      <c r="D1941"/>
      <c r="E1941"/>
      <c r="F1941"/>
      <c r="G1941"/>
      <c r="H1941"/>
      <c r="I1941"/>
    </row>
    <row r="1942" spans="1:9" s="47" customFormat="1" ht="14.4" x14ac:dyDescent="0.3">
      <c r="A1942"/>
      <c r="B1942"/>
      <c r="C1942"/>
      <c r="D1942"/>
      <c r="E1942"/>
      <c r="F1942"/>
      <c r="G1942"/>
      <c r="H1942"/>
      <c r="I1942"/>
    </row>
    <row r="1943" spans="1:9" s="47" customFormat="1" ht="14.4" x14ac:dyDescent="0.3">
      <c r="A1943"/>
      <c r="B1943"/>
      <c r="C1943"/>
      <c r="D1943"/>
      <c r="E1943"/>
      <c r="F1943"/>
      <c r="G1943"/>
      <c r="H1943"/>
      <c r="I1943"/>
    </row>
    <row r="1944" spans="1:9" s="47" customFormat="1" ht="14.4" x14ac:dyDescent="0.3">
      <c r="A1944"/>
      <c r="B1944"/>
      <c r="C1944"/>
      <c r="D1944"/>
      <c r="E1944"/>
      <c r="F1944"/>
      <c r="G1944"/>
      <c r="H1944"/>
      <c r="I1944"/>
    </row>
    <row r="1945" spans="1:9" s="47" customFormat="1" ht="14.4" x14ac:dyDescent="0.3">
      <c r="A1945"/>
      <c r="B1945"/>
      <c r="C1945"/>
      <c r="D1945"/>
      <c r="E1945"/>
      <c r="F1945"/>
      <c r="G1945"/>
      <c r="H1945"/>
      <c r="I1945"/>
    </row>
    <row r="1946" spans="1:9" s="47" customFormat="1" ht="14.4" x14ac:dyDescent="0.3">
      <c r="A1946"/>
      <c r="B1946"/>
      <c r="C1946"/>
      <c r="D1946"/>
      <c r="E1946"/>
      <c r="F1946"/>
      <c r="G1946"/>
      <c r="H1946"/>
      <c r="I1946"/>
    </row>
    <row r="1947" spans="1:9" s="47" customFormat="1" ht="14.4" x14ac:dyDescent="0.3">
      <c r="A1947"/>
      <c r="B1947"/>
      <c r="C1947"/>
      <c r="D1947"/>
      <c r="E1947"/>
      <c r="F1947"/>
      <c r="G1947"/>
      <c r="H1947"/>
      <c r="I1947"/>
    </row>
    <row r="1948" spans="1:9" s="47" customFormat="1" ht="14.4" x14ac:dyDescent="0.3">
      <c r="A1948"/>
      <c r="B1948"/>
      <c r="C1948"/>
      <c r="D1948"/>
      <c r="E1948"/>
      <c r="F1948"/>
      <c r="G1948"/>
      <c r="H1948"/>
      <c r="I1948"/>
    </row>
    <row r="1949" spans="1:9" s="47" customFormat="1" ht="14.4" x14ac:dyDescent="0.3">
      <c r="A1949"/>
      <c r="B1949"/>
      <c r="C1949"/>
      <c r="D1949"/>
      <c r="E1949"/>
      <c r="F1949"/>
      <c r="G1949"/>
      <c r="H1949"/>
      <c r="I1949"/>
    </row>
    <row r="1950" spans="1:9" s="47" customFormat="1" ht="14.4" x14ac:dyDescent="0.3">
      <c r="A1950"/>
      <c r="B1950"/>
      <c r="C1950"/>
      <c r="D1950"/>
      <c r="E1950"/>
      <c r="F1950"/>
      <c r="G1950"/>
      <c r="H1950"/>
      <c r="I1950"/>
    </row>
    <row r="1951" spans="1:9" s="47" customFormat="1" ht="14.4" x14ac:dyDescent="0.3">
      <c r="A1951"/>
      <c r="B1951"/>
      <c r="C1951"/>
      <c r="D1951"/>
      <c r="E1951"/>
      <c r="F1951"/>
      <c r="G1951"/>
      <c r="H1951"/>
      <c r="I1951"/>
    </row>
    <row r="1952" spans="1:9" s="47" customFormat="1" ht="14.4" x14ac:dyDescent="0.3">
      <c r="A1952"/>
      <c r="B1952"/>
      <c r="C1952"/>
      <c r="D1952"/>
      <c r="E1952"/>
      <c r="F1952"/>
      <c r="G1952"/>
      <c r="H1952"/>
      <c r="I1952"/>
    </row>
    <row r="1953" spans="1:9" s="47" customFormat="1" ht="14.4" x14ac:dyDescent="0.3">
      <c r="A1953"/>
      <c r="B1953"/>
      <c r="C1953"/>
      <c r="D1953"/>
      <c r="E1953"/>
      <c r="F1953"/>
      <c r="G1953"/>
      <c r="H1953"/>
      <c r="I1953"/>
    </row>
    <row r="1954" spans="1:9" s="47" customFormat="1" ht="14.4" x14ac:dyDescent="0.3">
      <c r="A1954"/>
      <c r="B1954"/>
      <c r="C1954"/>
      <c r="D1954"/>
      <c r="E1954"/>
      <c r="F1954"/>
      <c r="G1954"/>
      <c r="H1954"/>
      <c r="I1954"/>
    </row>
    <row r="1955" spans="1:9" s="47" customFormat="1" ht="14.4" x14ac:dyDescent="0.3">
      <c r="A1955"/>
      <c r="B1955"/>
      <c r="C1955"/>
      <c r="D1955"/>
      <c r="E1955"/>
      <c r="F1955"/>
      <c r="G1955"/>
      <c r="H1955"/>
      <c r="I1955"/>
    </row>
    <row r="1956" spans="1:9" s="47" customFormat="1" ht="14.4" x14ac:dyDescent="0.3">
      <c r="A1956"/>
      <c r="B1956"/>
      <c r="C1956"/>
      <c r="D1956"/>
      <c r="E1956"/>
      <c r="F1956"/>
      <c r="G1956"/>
      <c r="H1956"/>
      <c r="I1956"/>
    </row>
    <row r="1957" spans="1:9" s="47" customFormat="1" ht="14.4" x14ac:dyDescent="0.3">
      <c r="A1957"/>
      <c r="B1957"/>
      <c r="C1957"/>
      <c r="D1957"/>
      <c r="E1957"/>
      <c r="F1957"/>
      <c r="G1957"/>
      <c r="H1957"/>
      <c r="I1957"/>
    </row>
    <row r="1958" spans="1:9" s="47" customFormat="1" ht="14.4" x14ac:dyDescent="0.3">
      <c r="A1958"/>
      <c r="B1958"/>
      <c r="C1958"/>
      <c r="D1958"/>
      <c r="E1958"/>
      <c r="F1958"/>
      <c r="G1958"/>
      <c r="H1958"/>
      <c r="I1958"/>
    </row>
    <row r="1959" spans="1:9" s="47" customFormat="1" ht="14.4" x14ac:dyDescent="0.3">
      <c r="A1959"/>
      <c r="B1959"/>
      <c r="C1959"/>
      <c r="D1959"/>
      <c r="E1959"/>
      <c r="F1959"/>
      <c r="G1959"/>
      <c r="H1959"/>
      <c r="I1959"/>
    </row>
    <row r="1960" spans="1:9" s="47" customFormat="1" ht="14.4" x14ac:dyDescent="0.3">
      <c r="A1960"/>
      <c r="B1960"/>
      <c r="C1960"/>
      <c r="D1960"/>
      <c r="E1960"/>
      <c r="F1960"/>
      <c r="G1960"/>
      <c r="H1960"/>
      <c r="I1960"/>
    </row>
    <row r="1961" spans="1:9" s="47" customFormat="1" ht="14.4" x14ac:dyDescent="0.3">
      <c r="A1961"/>
      <c r="B1961"/>
      <c r="C1961"/>
      <c r="D1961"/>
      <c r="E1961"/>
      <c r="F1961"/>
      <c r="G1961"/>
      <c r="H1961"/>
      <c r="I1961"/>
    </row>
    <row r="1962" spans="1:9" s="47" customFormat="1" ht="14.4" x14ac:dyDescent="0.3">
      <c r="A1962"/>
      <c r="B1962"/>
      <c r="C1962"/>
      <c r="D1962"/>
      <c r="E1962"/>
      <c r="F1962"/>
      <c r="G1962"/>
      <c r="H1962"/>
      <c r="I1962"/>
    </row>
    <row r="1963" spans="1:9" s="47" customFormat="1" ht="14.4" x14ac:dyDescent="0.3">
      <c r="A1963"/>
      <c r="B1963"/>
      <c r="C1963"/>
      <c r="D1963"/>
      <c r="E1963"/>
      <c r="F1963"/>
      <c r="G1963"/>
      <c r="H1963"/>
      <c r="I1963"/>
    </row>
    <row r="1964" spans="1:9" s="47" customFormat="1" ht="14.4" x14ac:dyDescent="0.3">
      <c r="A1964"/>
      <c r="B1964"/>
      <c r="C1964"/>
      <c r="D1964"/>
      <c r="E1964"/>
      <c r="F1964"/>
      <c r="G1964"/>
      <c r="H1964"/>
      <c r="I1964"/>
    </row>
    <row r="1965" spans="1:9" s="47" customFormat="1" ht="14.4" x14ac:dyDescent="0.3">
      <c r="A1965"/>
      <c r="B1965"/>
      <c r="C1965"/>
      <c r="D1965"/>
      <c r="E1965"/>
      <c r="F1965"/>
      <c r="G1965"/>
      <c r="H1965"/>
      <c r="I1965"/>
    </row>
    <row r="1966" spans="1:9" s="47" customFormat="1" ht="14.4" x14ac:dyDescent="0.3">
      <c r="A1966"/>
      <c r="B1966"/>
      <c r="C1966"/>
      <c r="D1966"/>
      <c r="E1966"/>
      <c r="F1966"/>
      <c r="G1966"/>
      <c r="H1966"/>
      <c r="I1966"/>
    </row>
    <row r="1967" spans="1:9" s="47" customFormat="1" ht="14.4" x14ac:dyDescent="0.3">
      <c r="A1967"/>
      <c r="B1967"/>
      <c r="C1967"/>
      <c r="D1967"/>
      <c r="E1967"/>
      <c r="F1967"/>
      <c r="G1967"/>
      <c r="H1967"/>
      <c r="I1967"/>
    </row>
    <row r="1968" spans="1:9" s="47" customFormat="1" ht="14.4" x14ac:dyDescent="0.3">
      <c r="A1968"/>
      <c r="B1968"/>
      <c r="C1968"/>
      <c r="D1968"/>
      <c r="E1968"/>
      <c r="F1968"/>
      <c r="G1968"/>
      <c r="H1968"/>
      <c r="I1968"/>
    </row>
    <row r="1969" spans="1:9" s="47" customFormat="1" ht="14.4" x14ac:dyDescent="0.3">
      <c r="A1969"/>
      <c r="B1969"/>
      <c r="C1969"/>
      <c r="D1969"/>
      <c r="E1969"/>
      <c r="F1969"/>
      <c r="G1969"/>
      <c r="H1969"/>
      <c r="I1969"/>
    </row>
    <row r="1970" spans="1:9" s="47" customFormat="1" ht="14.4" x14ac:dyDescent="0.3">
      <c r="A1970"/>
      <c r="B1970"/>
      <c r="C1970"/>
      <c r="D1970"/>
      <c r="E1970"/>
      <c r="F1970"/>
      <c r="G1970"/>
      <c r="H1970"/>
      <c r="I1970"/>
    </row>
    <row r="1971" spans="1:9" s="47" customFormat="1" ht="14.4" x14ac:dyDescent="0.3">
      <c r="A1971"/>
      <c r="B1971"/>
      <c r="C1971"/>
      <c r="D1971"/>
      <c r="E1971"/>
      <c r="F1971"/>
      <c r="G1971"/>
      <c r="H1971"/>
      <c r="I1971"/>
    </row>
    <row r="1972" spans="1:9" s="47" customFormat="1" ht="14.4" x14ac:dyDescent="0.3">
      <c r="A1972"/>
      <c r="B1972"/>
      <c r="C1972"/>
      <c r="D1972"/>
      <c r="E1972"/>
      <c r="F1972"/>
      <c r="G1972"/>
      <c r="H1972"/>
      <c r="I1972"/>
    </row>
    <row r="1973" spans="1:9" s="47" customFormat="1" ht="14.4" x14ac:dyDescent="0.3">
      <c r="A1973"/>
      <c r="B1973"/>
      <c r="C1973"/>
      <c r="D1973"/>
      <c r="E1973"/>
      <c r="F1973"/>
      <c r="G1973"/>
      <c r="H1973"/>
      <c r="I1973"/>
    </row>
    <row r="1974" spans="1:9" s="47" customFormat="1" ht="14.4" x14ac:dyDescent="0.3">
      <c r="A1974"/>
      <c r="B1974"/>
      <c r="C1974"/>
      <c r="D1974"/>
      <c r="E1974"/>
      <c r="F1974"/>
      <c r="G1974"/>
      <c r="H1974"/>
      <c r="I1974"/>
    </row>
    <row r="1975" spans="1:9" s="47" customFormat="1" ht="14.4" x14ac:dyDescent="0.3">
      <c r="A1975"/>
      <c r="B1975"/>
      <c r="C1975"/>
      <c r="D1975"/>
      <c r="E1975"/>
      <c r="F1975"/>
      <c r="G1975"/>
      <c r="H1975"/>
      <c r="I1975"/>
    </row>
    <row r="1976" spans="1:9" s="47" customFormat="1" ht="14.4" x14ac:dyDescent="0.3">
      <c r="A1976"/>
      <c r="B1976"/>
      <c r="C1976"/>
      <c r="D1976"/>
      <c r="E1976"/>
      <c r="F1976"/>
      <c r="G1976"/>
      <c r="H1976"/>
      <c r="I1976"/>
    </row>
    <row r="1977" spans="1:9" s="47" customFormat="1" ht="14.4" x14ac:dyDescent="0.3">
      <c r="A1977"/>
      <c r="B1977"/>
      <c r="C1977"/>
      <c r="D1977"/>
      <c r="E1977"/>
      <c r="F1977"/>
      <c r="G1977"/>
      <c r="H1977"/>
      <c r="I1977"/>
    </row>
    <row r="1978" spans="1:9" s="47" customFormat="1" ht="14.4" x14ac:dyDescent="0.3">
      <c r="A1978"/>
      <c r="B1978"/>
      <c r="C1978"/>
      <c r="D1978"/>
      <c r="E1978"/>
      <c r="F1978"/>
      <c r="G1978"/>
      <c r="H1978"/>
      <c r="I1978"/>
    </row>
    <row r="1979" spans="1:9" s="47" customFormat="1" ht="14.4" x14ac:dyDescent="0.3">
      <c r="A1979"/>
      <c r="B1979"/>
      <c r="C1979"/>
      <c r="D1979"/>
      <c r="E1979"/>
      <c r="F1979"/>
      <c r="G1979"/>
      <c r="H1979"/>
      <c r="I1979"/>
    </row>
    <row r="1980" spans="1:9" s="47" customFormat="1" ht="14.4" x14ac:dyDescent="0.3">
      <c r="A1980"/>
      <c r="B1980"/>
      <c r="C1980"/>
      <c r="D1980"/>
      <c r="E1980"/>
      <c r="F1980"/>
      <c r="G1980"/>
      <c r="H1980"/>
      <c r="I1980"/>
    </row>
    <row r="1981" spans="1:9" s="47" customFormat="1" ht="14.4" x14ac:dyDescent="0.3">
      <c r="A1981"/>
      <c r="B1981"/>
      <c r="C1981"/>
      <c r="D1981"/>
      <c r="E1981"/>
      <c r="F1981"/>
      <c r="G1981"/>
      <c r="H1981"/>
      <c r="I1981"/>
    </row>
    <row r="1982" spans="1:9" s="47" customFormat="1" ht="14.4" x14ac:dyDescent="0.3">
      <c r="A1982"/>
      <c r="B1982"/>
      <c r="C1982"/>
      <c r="D1982"/>
      <c r="E1982"/>
      <c r="F1982"/>
      <c r="G1982"/>
      <c r="H1982"/>
      <c r="I1982"/>
    </row>
    <row r="1983" spans="1:9" s="47" customFormat="1" ht="14.4" x14ac:dyDescent="0.3">
      <c r="A1983"/>
      <c r="B1983"/>
      <c r="C1983"/>
      <c r="D1983"/>
      <c r="E1983"/>
      <c r="F1983"/>
      <c r="G1983"/>
      <c r="H1983"/>
      <c r="I1983"/>
    </row>
    <row r="1984" spans="1:9" s="47" customFormat="1" ht="14.4" x14ac:dyDescent="0.3">
      <c r="A1984"/>
      <c r="B1984"/>
      <c r="C1984"/>
      <c r="D1984"/>
      <c r="E1984"/>
      <c r="F1984"/>
      <c r="G1984"/>
      <c r="H1984"/>
      <c r="I1984"/>
    </row>
    <row r="1985" spans="1:9" s="47" customFormat="1" ht="14.4" x14ac:dyDescent="0.3">
      <c r="A1985"/>
      <c r="B1985"/>
      <c r="C1985"/>
      <c r="D1985"/>
      <c r="E1985"/>
      <c r="F1985"/>
      <c r="G1985"/>
      <c r="H1985"/>
      <c r="I1985"/>
    </row>
    <row r="1986" spans="1:9" s="47" customFormat="1" ht="14.4" x14ac:dyDescent="0.3">
      <c r="A1986"/>
      <c r="B1986"/>
      <c r="C1986"/>
      <c r="D1986"/>
      <c r="E1986"/>
      <c r="F1986"/>
      <c r="G1986"/>
      <c r="H1986"/>
      <c r="I1986"/>
    </row>
    <row r="1987" spans="1:9" s="47" customFormat="1" ht="14.4" x14ac:dyDescent="0.3">
      <c r="A1987"/>
      <c r="B1987"/>
      <c r="C1987"/>
      <c r="D1987"/>
      <c r="E1987"/>
      <c r="F1987"/>
      <c r="G1987"/>
      <c r="H1987"/>
      <c r="I1987"/>
    </row>
    <row r="1988" spans="1:9" s="47" customFormat="1" ht="14.4" x14ac:dyDescent="0.3">
      <c r="A1988"/>
      <c r="B1988"/>
      <c r="C1988"/>
      <c r="D1988"/>
      <c r="E1988"/>
      <c r="F1988"/>
      <c r="G1988"/>
      <c r="H1988"/>
      <c r="I1988"/>
    </row>
    <row r="1989" spans="1:9" s="47" customFormat="1" ht="14.4" x14ac:dyDescent="0.3">
      <c r="A1989"/>
      <c r="B1989"/>
      <c r="C1989"/>
      <c r="D1989"/>
      <c r="E1989"/>
      <c r="F1989"/>
      <c r="G1989"/>
      <c r="H1989"/>
      <c r="I1989"/>
    </row>
    <row r="1990" spans="1:9" s="47" customFormat="1" ht="14.4" x14ac:dyDescent="0.3">
      <c r="A1990"/>
      <c r="B1990"/>
      <c r="C1990"/>
      <c r="D1990"/>
      <c r="E1990"/>
      <c r="F1990"/>
      <c r="G1990"/>
      <c r="H1990"/>
      <c r="I1990"/>
    </row>
    <row r="1991" spans="1:9" s="47" customFormat="1" ht="14.4" x14ac:dyDescent="0.3">
      <c r="A1991"/>
      <c r="B1991"/>
      <c r="C1991"/>
      <c r="D1991"/>
      <c r="E1991"/>
      <c r="F1991"/>
      <c r="G1991"/>
      <c r="H1991"/>
      <c r="I1991"/>
    </row>
    <row r="1992" spans="1:9" s="47" customFormat="1" ht="14.4" x14ac:dyDescent="0.3">
      <c r="A1992"/>
      <c r="B1992"/>
      <c r="C1992"/>
      <c r="D1992"/>
      <c r="E1992"/>
      <c r="F1992"/>
      <c r="G1992"/>
      <c r="H1992"/>
      <c r="I1992"/>
    </row>
    <row r="1993" spans="1:9" s="47" customFormat="1" ht="14.4" x14ac:dyDescent="0.3">
      <c r="A1993"/>
      <c r="B1993"/>
      <c r="C1993"/>
      <c r="D1993"/>
      <c r="E1993"/>
      <c r="F1993"/>
      <c r="G1993"/>
      <c r="H1993"/>
      <c r="I1993"/>
    </row>
    <row r="1994" spans="1:9" s="47" customFormat="1" ht="14.4" x14ac:dyDescent="0.3">
      <c r="A1994"/>
      <c r="B1994"/>
      <c r="C1994"/>
      <c r="D1994"/>
      <c r="E1994"/>
      <c r="F1994"/>
      <c r="G1994"/>
      <c r="H1994"/>
      <c r="I1994"/>
    </row>
    <row r="1995" spans="1:9" s="47" customFormat="1" ht="14.4" x14ac:dyDescent="0.3">
      <c r="A1995"/>
      <c r="B1995"/>
      <c r="C1995"/>
      <c r="D1995"/>
      <c r="E1995"/>
      <c r="F1995"/>
      <c r="G1995"/>
      <c r="H1995"/>
      <c r="I1995"/>
    </row>
    <row r="1996" spans="1:9" s="47" customFormat="1" ht="14.4" x14ac:dyDescent="0.3">
      <c r="A1996"/>
      <c r="B1996"/>
      <c r="C1996"/>
      <c r="D1996"/>
      <c r="E1996"/>
      <c r="F1996"/>
      <c r="G1996"/>
      <c r="H1996"/>
      <c r="I1996"/>
    </row>
    <row r="1997" spans="1:9" s="47" customFormat="1" ht="14.4" x14ac:dyDescent="0.3">
      <c r="A1997"/>
      <c r="B1997"/>
      <c r="C1997"/>
      <c r="D1997"/>
      <c r="E1997"/>
      <c r="F1997"/>
      <c r="G1997"/>
      <c r="H1997"/>
      <c r="I1997"/>
    </row>
    <row r="1998" spans="1:9" s="47" customFormat="1" ht="14.4" x14ac:dyDescent="0.3">
      <c r="A1998"/>
      <c r="B1998"/>
      <c r="C1998"/>
      <c r="D1998"/>
      <c r="E1998"/>
      <c r="F1998"/>
      <c r="G1998"/>
      <c r="H1998"/>
      <c r="I1998"/>
    </row>
    <row r="1999" spans="1:9" s="47" customFormat="1" ht="14.4" x14ac:dyDescent="0.3">
      <c r="A1999"/>
      <c r="B1999"/>
      <c r="C1999"/>
      <c r="D1999"/>
      <c r="E1999"/>
      <c r="F1999"/>
      <c r="G1999"/>
      <c r="H1999"/>
      <c r="I1999"/>
    </row>
    <row r="2000" spans="1:9" s="47" customFormat="1" ht="14.4" x14ac:dyDescent="0.3">
      <c r="A2000"/>
      <c r="B2000"/>
      <c r="C2000"/>
      <c r="D2000"/>
      <c r="E2000"/>
      <c r="F2000"/>
      <c r="G2000"/>
      <c r="H2000"/>
      <c r="I2000"/>
    </row>
    <row r="2001" spans="1:9" s="47" customFormat="1" ht="14.4" x14ac:dyDescent="0.3">
      <c r="A2001"/>
      <c r="B2001"/>
      <c r="C2001"/>
      <c r="D2001"/>
      <c r="E2001"/>
      <c r="F2001"/>
      <c r="G2001"/>
      <c r="H2001"/>
      <c r="I2001"/>
    </row>
    <row r="2002" spans="1:9" s="47" customFormat="1" ht="14.4" x14ac:dyDescent="0.3">
      <c r="A2002"/>
      <c r="B2002"/>
      <c r="C2002"/>
      <c r="D2002"/>
      <c r="E2002"/>
      <c r="F2002"/>
      <c r="G2002"/>
      <c r="H2002"/>
      <c r="I2002"/>
    </row>
    <row r="2003" spans="1:9" s="47" customFormat="1" ht="14.4" x14ac:dyDescent="0.3">
      <c r="A2003"/>
      <c r="B2003"/>
      <c r="C2003"/>
      <c r="D2003"/>
      <c r="E2003"/>
      <c r="F2003"/>
      <c r="G2003"/>
      <c r="H2003"/>
      <c r="I2003"/>
    </row>
    <row r="2004" spans="1:9" s="47" customFormat="1" ht="14.4" x14ac:dyDescent="0.3">
      <c r="A2004"/>
      <c r="B2004"/>
      <c r="C2004"/>
      <c r="D2004"/>
      <c r="E2004"/>
      <c r="F2004"/>
      <c r="G2004"/>
      <c r="H2004"/>
      <c r="I2004"/>
    </row>
    <row r="2005" spans="1:9" s="47" customFormat="1" ht="14.4" x14ac:dyDescent="0.3">
      <c r="A2005"/>
      <c r="B2005"/>
      <c r="C2005"/>
      <c r="D2005"/>
      <c r="E2005"/>
      <c r="F2005"/>
      <c r="G2005"/>
      <c r="H2005"/>
      <c r="I2005"/>
    </row>
    <row r="2006" spans="1:9" s="47" customFormat="1" ht="14.4" x14ac:dyDescent="0.3">
      <c r="A2006"/>
      <c r="B2006"/>
      <c r="C2006"/>
      <c r="D2006"/>
      <c r="E2006"/>
      <c r="F2006"/>
      <c r="G2006"/>
      <c r="H2006"/>
      <c r="I2006"/>
    </row>
    <row r="2007" spans="1:9" s="47" customFormat="1" ht="14.4" x14ac:dyDescent="0.3">
      <c r="A2007"/>
      <c r="B2007"/>
      <c r="C2007"/>
      <c r="D2007"/>
      <c r="E2007"/>
      <c r="F2007"/>
      <c r="G2007"/>
      <c r="H2007"/>
      <c r="I2007"/>
    </row>
    <row r="2008" spans="1:9" s="47" customFormat="1" ht="14.4" x14ac:dyDescent="0.3">
      <c r="A2008"/>
      <c r="B2008"/>
      <c r="C2008"/>
      <c r="D2008"/>
      <c r="E2008"/>
      <c r="F2008"/>
      <c r="G2008"/>
      <c r="H2008"/>
      <c r="I2008"/>
    </row>
    <row r="2009" spans="1:9" s="47" customFormat="1" ht="14.4" x14ac:dyDescent="0.3">
      <c r="A2009"/>
      <c r="B2009"/>
      <c r="C2009"/>
      <c r="D2009"/>
      <c r="E2009"/>
      <c r="F2009"/>
      <c r="G2009"/>
      <c r="H2009"/>
      <c r="I2009"/>
    </row>
    <row r="2010" spans="1:9" s="47" customFormat="1" ht="14.4" x14ac:dyDescent="0.3">
      <c r="A2010"/>
      <c r="B2010"/>
      <c r="C2010"/>
      <c r="D2010"/>
      <c r="E2010"/>
      <c r="F2010"/>
      <c r="G2010"/>
      <c r="H2010"/>
      <c r="I2010"/>
    </row>
    <row r="2011" spans="1:9" s="47" customFormat="1" ht="14.4" x14ac:dyDescent="0.3">
      <c r="A2011"/>
      <c r="B2011"/>
      <c r="C2011"/>
      <c r="D2011"/>
      <c r="E2011"/>
      <c r="F2011"/>
      <c r="G2011"/>
      <c r="H2011"/>
      <c r="I2011"/>
    </row>
    <row r="2012" spans="1:9" s="47" customFormat="1" ht="14.4" x14ac:dyDescent="0.3">
      <c r="A2012"/>
      <c r="B2012"/>
      <c r="C2012"/>
      <c r="D2012"/>
      <c r="E2012"/>
      <c r="F2012"/>
      <c r="G2012"/>
      <c r="H2012"/>
      <c r="I2012"/>
    </row>
    <row r="2013" spans="1:9" s="47" customFormat="1" ht="14.4" x14ac:dyDescent="0.3">
      <c r="A2013"/>
      <c r="B2013"/>
      <c r="C2013"/>
      <c r="D2013"/>
      <c r="E2013"/>
      <c r="F2013"/>
      <c r="G2013"/>
      <c r="H2013"/>
      <c r="I2013"/>
    </row>
    <row r="2014" spans="1:9" s="47" customFormat="1" ht="14.4" x14ac:dyDescent="0.3">
      <c r="A2014"/>
      <c r="B2014"/>
      <c r="C2014"/>
      <c r="D2014"/>
      <c r="E2014"/>
      <c r="F2014"/>
      <c r="G2014"/>
      <c r="H2014"/>
      <c r="I2014"/>
    </row>
    <row r="2015" spans="1:9" s="47" customFormat="1" ht="14.4" x14ac:dyDescent="0.3">
      <c r="A2015"/>
      <c r="B2015"/>
      <c r="C2015"/>
      <c r="D2015"/>
      <c r="E2015"/>
      <c r="F2015"/>
      <c r="G2015"/>
      <c r="H2015"/>
      <c r="I2015"/>
    </row>
    <row r="2016" spans="1:9" s="47" customFormat="1" ht="14.4" x14ac:dyDescent="0.3">
      <c r="A2016"/>
      <c r="B2016"/>
      <c r="C2016"/>
      <c r="D2016"/>
      <c r="E2016"/>
      <c r="F2016"/>
      <c r="G2016"/>
      <c r="H2016"/>
      <c r="I2016"/>
    </row>
    <row r="2017" spans="1:9" s="47" customFormat="1" ht="14.4" x14ac:dyDescent="0.3">
      <c r="A2017"/>
      <c r="B2017"/>
      <c r="C2017"/>
      <c r="D2017"/>
      <c r="E2017"/>
      <c r="F2017"/>
      <c r="G2017"/>
      <c r="H2017"/>
      <c r="I2017"/>
    </row>
    <row r="2018" spans="1:9" s="47" customFormat="1" ht="14.4" x14ac:dyDescent="0.3">
      <c r="A2018"/>
      <c r="B2018"/>
      <c r="C2018"/>
      <c r="D2018"/>
      <c r="E2018"/>
      <c r="F2018"/>
      <c r="G2018"/>
      <c r="H2018"/>
      <c r="I2018"/>
    </row>
    <row r="2019" spans="1:9" s="47" customFormat="1" ht="14.4" x14ac:dyDescent="0.3">
      <c r="A2019"/>
      <c r="B2019"/>
      <c r="C2019"/>
      <c r="D2019"/>
      <c r="E2019"/>
      <c r="F2019"/>
      <c r="G2019"/>
      <c r="H2019"/>
      <c r="I2019"/>
    </row>
    <row r="2020" spans="1:9" s="47" customFormat="1" ht="14.4" x14ac:dyDescent="0.3">
      <c r="A2020"/>
      <c r="B2020"/>
      <c r="C2020"/>
      <c r="D2020"/>
      <c r="E2020"/>
      <c r="F2020"/>
      <c r="G2020"/>
      <c r="H2020"/>
      <c r="I2020"/>
    </row>
    <row r="2021" spans="1:9" s="47" customFormat="1" ht="14.4" x14ac:dyDescent="0.3">
      <c r="A2021"/>
      <c r="B2021"/>
      <c r="C2021"/>
      <c r="D2021"/>
      <c r="E2021"/>
      <c r="F2021"/>
      <c r="G2021"/>
      <c r="H2021"/>
      <c r="I2021"/>
    </row>
    <row r="2022" spans="1:9" s="47" customFormat="1" ht="14.4" x14ac:dyDescent="0.3">
      <c r="A2022"/>
      <c r="B2022"/>
      <c r="C2022"/>
      <c r="D2022"/>
      <c r="E2022"/>
      <c r="F2022"/>
      <c r="G2022"/>
      <c r="H2022"/>
      <c r="I2022"/>
    </row>
    <row r="2023" spans="1:9" s="47" customFormat="1" ht="14.4" x14ac:dyDescent="0.3">
      <c r="A2023"/>
      <c r="B2023"/>
      <c r="C2023"/>
      <c r="D2023"/>
      <c r="E2023"/>
      <c r="F2023"/>
      <c r="G2023"/>
      <c r="H2023"/>
      <c r="I2023"/>
    </row>
    <row r="2024" spans="1:9" s="47" customFormat="1" ht="14.4" x14ac:dyDescent="0.3">
      <c r="A2024"/>
      <c r="B2024"/>
      <c r="C2024"/>
      <c r="D2024"/>
      <c r="E2024"/>
      <c r="F2024"/>
      <c r="G2024"/>
      <c r="H2024"/>
      <c r="I2024"/>
    </row>
    <row r="2025" spans="1:9" s="47" customFormat="1" ht="14.4" x14ac:dyDescent="0.3">
      <c r="A2025"/>
      <c r="B2025"/>
      <c r="C2025"/>
      <c r="D2025"/>
      <c r="E2025"/>
      <c r="F2025"/>
      <c r="G2025"/>
      <c r="H2025"/>
      <c r="I2025"/>
    </row>
    <row r="2026" spans="1:9" s="47" customFormat="1" ht="14.4" x14ac:dyDescent="0.3">
      <c r="A2026"/>
      <c r="B2026"/>
      <c r="C2026"/>
      <c r="D2026"/>
      <c r="E2026"/>
      <c r="F2026"/>
      <c r="G2026"/>
      <c r="H2026"/>
      <c r="I2026"/>
    </row>
    <row r="2027" spans="1:9" s="47" customFormat="1" ht="14.4" x14ac:dyDescent="0.3">
      <c r="A2027"/>
      <c r="B2027"/>
      <c r="C2027"/>
      <c r="D2027"/>
      <c r="E2027"/>
      <c r="F2027"/>
      <c r="G2027"/>
      <c r="H2027"/>
      <c r="I2027"/>
    </row>
    <row r="2028" spans="1:9" s="47" customFormat="1" ht="14.4" x14ac:dyDescent="0.3">
      <c r="A2028"/>
      <c r="B2028"/>
      <c r="C2028"/>
      <c r="D2028"/>
      <c r="E2028"/>
      <c r="F2028"/>
      <c r="G2028"/>
      <c r="H2028"/>
      <c r="I2028"/>
    </row>
    <row r="2029" spans="1:9" s="47" customFormat="1" ht="14.4" x14ac:dyDescent="0.3">
      <c r="A2029"/>
      <c r="B2029"/>
      <c r="C2029"/>
      <c r="D2029"/>
      <c r="E2029"/>
      <c r="F2029"/>
      <c r="G2029"/>
      <c r="H2029"/>
      <c r="I2029"/>
    </row>
    <row r="2030" spans="1:9" s="47" customFormat="1" ht="14.4" x14ac:dyDescent="0.3">
      <c r="A2030"/>
      <c r="B2030"/>
      <c r="C2030"/>
      <c r="D2030"/>
      <c r="E2030"/>
      <c r="F2030"/>
      <c r="G2030"/>
      <c r="H2030"/>
      <c r="I2030"/>
    </row>
    <row r="2031" spans="1:9" s="47" customFormat="1" ht="14.4" x14ac:dyDescent="0.3">
      <c r="A2031"/>
      <c r="B2031"/>
      <c r="C2031"/>
      <c r="D2031"/>
      <c r="E2031"/>
      <c r="F2031"/>
      <c r="G2031"/>
      <c r="H2031"/>
      <c r="I2031"/>
    </row>
    <row r="2032" spans="1:9" s="47" customFormat="1" ht="14.4" x14ac:dyDescent="0.3">
      <c r="A2032"/>
      <c r="B2032"/>
      <c r="C2032"/>
      <c r="D2032"/>
      <c r="E2032"/>
      <c r="F2032"/>
      <c r="G2032"/>
      <c r="H2032"/>
      <c r="I2032"/>
    </row>
    <row r="2033" spans="1:9" s="47" customFormat="1" ht="14.4" x14ac:dyDescent="0.3">
      <c r="A2033"/>
      <c r="B2033"/>
      <c r="C2033"/>
      <c r="D2033"/>
      <c r="E2033"/>
      <c r="F2033"/>
      <c r="G2033"/>
      <c r="H2033"/>
      <c r="I2033"/>
    </row>
    <row r="2034" spans="1:9" s="47" customFormat="1" ht="14.4" x14ac:dyDescent="0.3">
      <c r="A2034"/>
      <c r="B2034"/>
      <c r="C2034"/>
      <c r="D2034"/>
      <c r="E2034"/>
      <c r="F2034"/>
      <c r="G2034"/>
      <c r="H2034"/>
      <c r="I2034"/>
    </row>
    <row r="2035" spans="1:9" s="47" customFormat="1" ht="14.4" x14ac:dyDescent="0.3">
      <c r="A2035"/>
      <c r="B2035"/>
      <c r="C2035"/>
      <c r="D2035"/>
      <c r="E2035"/>
      <c r="F2035"/>
      <c r="G2035"/>
      <c r="H2035"/>
      <c r="I2035"/>
    </row>
    <row r="2036" spans="1:9" s="47" customFormat="1" ht="14.4" x14ac:dyDescent="0.3">
      <c r="A2036"/>
      <c r="B2036"/>
      <c r="C2036"/>
      <c r="D2036"/>
      <c r="E2036"/>
      <c r="F2036"/>
      <c r="G2036"/>
      <c r="H2036"/>
      <c r="I2036"/>
    </row>
    <row r="2037" spans="1:9" s="47" customFormat="1" ht="14.4" x14ac:dyDescent="0.3">
      <c r="A2037"/>
      <c r="B2037"/>
      <c r="C2037"/>
      <c r="D2037"/>
      <c r="E2037"/>
      <c r="F2037"/>
      <c r="G2037"/>
      <c r="H2037"/>
      <c r="I2037"/>
    </row>
    <row r="2038" spans="1:9" s="47" customFormat="1" ht="14.4" x14ac:dyDescent="0.3">
      <c r="A2038"/>
      <c r="B2038"/>
      <c r="C2038"/>
      <c r="D2038"/>
      <c r="E2038"/>
      <c r="F2038"/>
      <c r="G2038"/>
      <c r="H2038"/>
      <c r="I2038"/>
    </row>
    <row r="2039" spans="1:9" s="47" customFormat="1" ht="14.4" x14ac:dyDescent="0.3">
      <c r="A2039"/>
      <c r="B2039"/>
      <c r="C2039"/>
      <c r="D2039"/>
      <c r="E2039"/>
      <c r="F2039"/>
      <c r="G2039"/>
      <c r="H2039"/>
      <c r="I2039"/>
    </row>
    <row r="2040" spans="1:9" s="47" customFormat="1" ht="14.4" x14ac:dyDescent="0.3">
      <c r="A2040"/>
      <c r="B2040"/>
      <c r="C2040"/>
      <c r="D2040"/>
      <c r="E2040"/>
      <c r="F2040"/>
      <c r="G2040"/>
      <c r="H2040"/>
      <c r="I2040"/>
    </row>
    <row r="2041" spans="1:9" s="47" customFormat="1" ht="14.4" x14ac:dyDescent="0.3">
      <c r="A2041"/>
      <c r="B2041"/>
      <c r="C2041"/>
      <c r="D2041"/>
      <c r="E2041"/>
      <c r="F2041"/>
      <c r="G2041"/>
      <c r="H2041"/>
      <c r="I2041"/>
    </row>
    <row r="2042" spans="1:9" s="47" customFormat="1" ht="14.4" x14ac:dyDescent="0.3">
      <c r="A2042"/>
      <c r="B2042"/>
      <c r="C2042"/>
      <c r="D2042"/>
      <c r="E2042"/>
      <c r="F2042"/>
      <c r="G2042"/>
      <c r="H2042"/>
      <c r="I2042"/>
    </row>
    <row r="2043" spans="1:9" s="47" customFormat="1" ht="14.4" x14ac:dyDescent="0.3">
      <c r="A2043"/>
      <c r="B2043"/>
      <c r="C2043"/>
      <c r="D2043"/>
      <c r="E2043"/>
      <c r="F2043"/>
      <c r="G2043"/>
      <c r="H2043"/>
      <c r="I2043"/>
    </row>
    <row r="2044" spans="1:9" s="47" customFormat="1" ht="14.4" x14ac:dyDescent="0.3">
      <c r="A2044"/>
      <c r="B2044"/>
      <c r="C2044"/>
      <c r="D2044"/>
      <c r="E2044"/>
      <c r="F2044"/>
      <c r="G2044"/>
      <c r="H2044"/>
      <c r="I2044"/>
    </row>
    <row r="2045" spans="1:9" s="47" customFormat="1" ht="14.4" x14ac:dyDescent="0.3">
      <c r="A2045"/>
      <c r="B2045"/>
      <c r="C2045"/>
      <c r="D2045"/>
      <c r="E2045"/>
      <c r="F2045"/>
      <c r="G2045"/>
      <c r="H2045"/>
      <c r="I2045"/>
    </row>
    <row r="2046" spans="1:9" s="47" customFormat="1" ht="14.4" x14ac:dyDescent="0.3">
      <c r="A2046"/>
      <c r="B2046"/>
      <c r="C2046"/>
      <c r="D2046"/>
      <c r="E2046"/>
      <c r="F2046"/>
      <c r="G2046"/>
      <c r="H2046"/>
      <c r="I2046"/>
    </row>
    <row r="2047" spans="1:9" s="47" customFormat="1" ht="14.4" x14ac:dyDescent="0.3">
      <c r="A2047"/>
      <c r="B2047"/>
      <c r="C2047"/>
      <c r="D2047"/>
      <c r="E2047"/>
      <c r="F2047"/>
      <c r="G2047"/>
      <c r="H2047"/>
      <c r="I2047"/>
    </row>
    <row r="2048" spans="1:9" s="47" customFormat="1" ht="14.4" x14ac:dyDescent="0.3">
      <c r="A2048"/>
      <c r="B2048"/>
      <c r="C2048"/>
      <c r="D2048"/>
      <c r="E2048"/>
      <c r="F2048"/>
      <c r="G2048"/>
      <c r="H2048"/>
      <c r="I2048"/>
    </row>
    <row r="2049" spans="1:9" s="47" customFormat="1" ht="14.4" x14ac:dyDescent="0.3">
      <c r="A2049"/>
      <c r="B2049"/>
      <c r="C2049"/>
      <c r="D2049"/>
      <c r="E2049"/>
      <c r="F2049"/>
      <c r="G2049"/>
      <c r="H2049"/>
      <c r="I2049"/>
    </row>
    <row r="2050" spans="1:9" s="47" customFormat="1" ht="14.4" x14ac:dyDescent="0.3">
      <c r="A2050"/>
      <c r="B2050"/>
      <c r="C2050"/>
      <c r="D2050"/>
      <c r="E2050"/>
      <c r="F2050"/>
      <c r="G2050"/>
      <c r="H2050"/>
      <c r="I2050"/>
    </row>
    <row r="2051" spans="1:9" s="47" customFormat="1" ht="14.4" x14ac:dyDescent="0.3">
      <c r="A2051"/>
      <c r="B2051"/>
      <c r="C2051"/>
      <c r="D2051"/>
      <c r="E2051"/>
      <c r="F2051"/>
      <c r="G2051"/>
      <c r="H2051"/>
      <c r="I2051"/>
    </row>
    <row r="2052" spans="1:9" s="47" customFormat="1" ht="14.4" x14ac:dyDescent="0.3">
      <c r="A2052"/>
      <c r="B2052"/>
      <c r="C2052"/>
      <c r="D2052"/>
      <c r="E2052"/>
      <c r="F2052"/>
      <c r="G2052"/>
      <c r="H2052"/>
      <c r="I2052"/>
    </row>
    <row r="2053" spans="1:9" s="47" customFormat="1" ht="14.4" x14ac:dyDescent="0.3">
      <c r="A2053"/>
      <c r="B2053"/>
      <c r="C2053"/>
      <c r="D2053"/>
      <c r="E2053"/>
      <c r="F2053"/>
      <c r="G2053"/>
      <c r="H2053"/>
      <c r="I2053"/>
    </row>
    <row r="2054" spans="1:9" s="47" customFormat="1" ht="14.4" x14ac:dyDescent="0.3">
      <c r="A2054"/>
      <c r="B2054"/>
      <c r="C2054"/>
      <c r="D2054"/>
      <c r="E2054"/>
      <c r="F2054"/>
      <c r="G2054"/>
      <c r="H2054"/>
      <c r="I2054"/>
    </row>
    <row r="2055" spans="1:9" s="47" customFormat="1" ht="14.4" x14ac:dyDescent="0.3">
      <c r="A2055"/>
      <c r="B2055"/>
      <c r="C2055"/>
      <c r="D2055"/>
      <c r="E2055"/>
      <c r="F2055"/>
      <c r="G2055"/>
      <c r="H2055"/>
      <c r="I2055"/>
    </row>
    <row r="2056" spans="1:9" s="47" customFormat="1" ht="14.4" x14ac:dyDescent="0.3">
      <c r="A2056"/>
      <c r="B2056"/>
      <c r="C2056"/>
      <c r="D2056"/>
      <c r="E2056"/>
      <c r="F2056"/>
      <c r="G2056"/>
      <c r="H2056"/>
      <c r="I2056"/>
    </row>
    <row r="2057" spans="1:9" s="47" customFormat="1" ht="14.4" x14ac:dyDescent="0.3">
      <c r="A2057"/>
      <c r="B2057"/>
      <c r="C2057"/>
      <c r="D2057"/>
      <c r="E2057"/>
      <c r="F2057"/>
      <c r="G2057"/>
      <c r="H2057"/>
      <c r="I2057"/>
    </row>
    <row r="2058" spans="1:9" s="47" customFormat="1" ht="14.4" x14ac:dyDescent="0.3">
      <c r="A2058"/>
      <c r="B2058"/>
      <c r="C2058"/>
      <c r="D2058"/>
      <c r="E2058"/>
      <c r="F2058"/>
      <c r="G2058"/>
      <c r="H2058"/>
      <c r="I2058"/>
    </row>
    <row r="2059" spans="1:9" s="47" customFormat="1" ht="14.4" x14ac:dyDescent="0.3">
      <c r="A2059"/>
      <c r="B2059"/>
      <c r="C2059"/>
      <c r="D2059"/>
      <c r="E2059"/>
      <c r="F2059"/>
      <c r="G2059"/>
      <c r="H2059"/>
      <c r="I2059"/>
    </row>
    <row r="2060" spans="1:9" s="47" customFormat="1" ht="14.4" x14ac:dyDescent="0.3">
      <c r="A2060"/>
      <c r="B2060"/>
      <c r="C2060"/>
      <c r="D2060"/>
      <c r="E2060"/>
      <c r="F2060"/>
      <c r="G2060"/>
      <c r="H2060"/>
      <c r="I2060"/>
    </row>
    <row r="2061" spans="1:9" s="47" customFormat="1" ht="14.4" x14ac:dyDescent="0.3">
      <c r="A2061"/>
      <c r="B2061"/>
      <c r="C2061"/>
      <c r="D2061"/>
      <c r="E2061"/>
      <c r="F2061"/>
      <c r="G2061"/>
      <c r="H2061"/>
      <c r="I2061"/>
    </row>
    <row r="2062" spans="1:9" s="47" customFormat="1" ht="14.4" x14ac:dyDescent="0.3">
      <c r="A2062"/>
      <c r="B2062"/>
      <c r="C2062"/>
      <c r="D2062"/>
      <c r="E2062"/>
      <c r="F2062"/>
      <c r="G2062"/>
      <c r="H2062"/>
      <c r="I2062"/>
    </row>
    <row r="2063" spans="1:9" s="47" customFormat="1" ht="14.4" x14ac:dyDescent="0.3">
      <c r="A2063"/>
      <c r="B2063"/>
      <c r="C2063"/>
      <c r="D2063"/>
      <c r="E2063"/>
      <c r="F2063"/>
      <c r="G2063"/>
      <c r="H2063"/>
      <c r="I2063"/>
    </row>
    <row r="2064" spans="1:9" s="47" customFormat="1" ht="14.4" x14ac:dyDescent="0.3">
      <c r="A2064"/>
      <c r="B2064"/>
      <c r="C2064"/>
      <c r="D2064"/>
      <c r="E2064"/>
      <c r="F2064"/>
      <c r="G2064"/>
      <c r="H2064"/>
      <c r="I2064"/>
    </row>
    <row r="2065" spans="1:9" s="47" customFormat="1" ht="14.4" x14ac:dyDescent="0.3">
      <c r="A2065"/>
      <c r="B2065"/>
      <c r="C2065"/>
      <c r="D2065"/>
      <c r="E2065"/>
      <c r="F2065"/>
      <c r="G2065"/>
      <c r="H2065"/>
      <c r="I2065"/>
    </row>
    <row r="2066" spans="1:9" s="47" customFormat="1" ht="14.4" x14ac:dyDescent="0.3">
      <c r="A2066"/>
      <c r="B2066"/>
      <c r="C2066"/>
      <c r="D2066"/>
      <c r="E2066"/>
      <c r="F2066"/>
      <c r="G2066"/>
      <c r="H2066"/>
      <c r="I2066"/>
    </row>
    <row r="2067" spans="1:9" s="47" customFormat="1" ht="14.4" x14ac:dyDescent="0.3">
      <c r="A2067"/>
      <c r="B2067"/>
      <c r="C2067"/>
      <c r="D2067"/>
      <c r="E2067"/>
      <c r="F2067"/>
      <c r="G2067"/>
      <c r="H2067"/>
      <c r="I2067"/>
    </row>
    <row r="2068" spans="1:9" s="47" customFormat="1" ht="14.4" x14ac:dyDescent="0.3">
      <c r="A2068"/>
      <c r="B2068"/>
      <c r="C2068"/>
      <c r="D2068"/>
      <c r="E2068"/>
      <c r="F2068"/>
      <c r="G2068"/>
      <c r="H2068"/>
      <c r="I2068"/>
    </row>
    <row r="2069" spans="1:9" s="47" customFormat="1" ht="14.4" x14ac:dyDescent="0.3">
      <c r="A2069"/>
      <c r="B2069"/>
      <c r="C2069"/>
      <c r="D2069"/>
      <c r="E2069"/>
      <c r="F2069"/>
      <c r="G2069"/>
      <c r="H2069"/>
      <c r="I2069"/>
    </row>
    <row r="2070" spans="1:9" s="47" customFormat="1" ht="14.4" x14ac:dyDescent="0.3">
      <c r="A2070"/>
      <c r="B2070"/>
      <c r="C2070"/>
      <c r="D2070"/>
      <c r="E2070"/>
      <c r="F2070"/>
      <c r="G2070"/>
      <c r="H2070"/>
      <c r="I2070"/>
    </row>
    <row r="2071" spans="1:9" s="47" customFormat="1" ht="14.4" x14ac:dyDescent="0.3">
      <c r="A2071"/>
      <c r="B2071"/>
      <c r="C2071"/>
      <c r="D2071"/>
      <c r="E2071"/>
      <c r="F2071"/>
      <c r="G2071"/>
      <c r="H2071"/>
      <c r="I2071"/>
    </row>
    <row r="2072" spans="1:9" s="47" customFormat="1" ht="14.4" x14ac:dyDescent="0.3">
      <c r="A2072"/>
      <c r="B2072"/>
      <c r="C2072"/>
      <c r="D2072"/>
      <c r="E2072"/>
      <c r="F2072"/>
      <c r="G2072"/>
      <c r="H2072"/>
      <c r="I2072"/>
    </row>
    <row r="2073" spans="1:9" s="47" customFormat="1" ht="14.4" x14ac:dyDescent="0.3">
      <c r="A2073"/>
      <c r="B2073"/>
      <c r="C2073"/>
      <c r="D2073"/>
      <c r="E2073"/>
      <c r="F2073"/>
      <c r="G2073"/>
      <c r="H2073"/>
      <c r="I2073"/>
    </row>
    <row r="2074" spans="1:9" s="47" customFormat="1" ht="14.4" x14ac:dyDescent="0.3">
      <c r="A2074"/>
      <c r="B2074"/>
      <c r="C2074"/>
      <c r="D2074"/>
      <c r="E2074"/>
      <c r="F2074"/>
      <c r="G2074"/>
      <c r="H2074"/>
      <c r="I2074"/>
    </row>
    <row r="2075" spans="1:9" s="47" customFormat="1" ht="14.4" x14ac:dyDescent="0.3">
      <c r="A2075"/>
      <c r="B2075"/>
      <c r="C2075"/>
      <c r="D2075"/>
      <c r="E2075"/>
      <c r="F2075"/>
      <c r="G2075"/>
      <c r="H2075"/>
      <c r="I2075"/>
    </row>
    <row r="2076" spans="1:9" s="47" customFormat="1" ht="14.4" x14ac:dyDescent="0.3">
      <c r="A2076"/>
      <c r="B2076"/>
      <c r="C2076"/>
      <c r="D2076"/>
      <c r="E2076"/>
      <c r="F2076"/>
      <c r="G2076"/>
      <c r="H2076"/>
      <c r="I2076"/>
    </row>
    <row r="2077" spans="1:9" s="47" customFormat="1" ht="14.4" x14ac:dyDescent="0.3">
      <c r="A2077"/>
      <c r="B2077"/>
      <c r="C2077"/>
      <c r="D2077"/>
      <c r="E2077"/>
      <c r="F2077"/>
      <c r="G2077"/>
      <c r="H2077"/>
      <c r="I2077"/>
    </row>
    <row r="2078" spans="1:9" s="47" customFormat="1" ht="14.4" x14ac:dyDescent="0.3">
      <c r="A2078"/>
      <c r="B2078"/>
      <c r="C2078"/>
      <c r="D2078"/>
      <c r="E2078"/>
      <c r="F2078"/>
      <c r="G2078"/>
      <c r="H2078"/>
      <c r="I2078"/>
    </row>
    <row r="2079" spans="1:9" s="47" customFormat="1" ht="14.4" x14ac:dyDescent="0.3">
      <c r="A2079"/>
      <c r="B2079"/>
      <c r="C2079"/>
      <c r="D2079"/>
      <c r="E2079"/>
      <c r="F2079"/>
      <c r="G2079"/>
      <c r="H2079"/>
      <c r="I2079"/>
    </row>
    <row r="2080" spans="1:9" s="47" customFormat="1" ht="14.4" x14ac:dyDescent="0.3">
      <c r="A2080"/>
      <c r="B2080"/>
      <c r="C2080"/>
      <c r="D2080"/>
      <c r="E2080"/>
      <c r="F2080"/>
      <c r="G2080"/>
      <c r="H2080"/>
      <c r="I2080"/>
    </row>
    <row r="2081" spans="1:9" s="47" customFormat="1" ht="14.4" x14ac:dyDescent="0.3">
      <c r="A2081"/>
      <c r="B2081"/>
      <c r="C2081"/>
      <c r="D2081"/>
      <c r="E2081"/>
      <c r="F2081"/>
      <c r="G2081"/>
      <c r="H2081"/>
      <c r="I2081"/>
    </row>
    <row r="2082" spans="1:9" s="47" customFormat="1" ht="14.4" x14ac:dyDescent="0.3">
      <c r="A2082"/>
      <c r="B2082"/>
      <c r="C2082"/>
      <c r="D2082"/>
      <c r="E2082"/>
      <c r="F2082"/>
      <c r="G2082"/>
      <c r="H2082"/>
      <c r="I2082"/>
    </row>
    <row r="2083" spans="1:9" s="47" customFormat="1" ht="14.4" x14ac:dyDescent="0.3">
      <c r="A2083"/>
      <c r="B2083"/>
      <c r="C2083"/>
      <c r="D2083"/>
      <c r="E2083"/>
      <c r="F2083"/>
      <c r="G2083"/>
      <c r="H2083"/>
      <c r="I2083"/>
    </row>
    <row r="2084" spans="1:9" s="47" customFormat="1" ht="14.4" x14ac:dyDescent="0.3">
      <c r="A2084"/>
      <c r="B2084"/>
      <c r="C2084"/>
      <c r="D2084"/>
      <c r="E2084"/>
      <c r="F2084"/>
      <c r="G2084"/>
      <c r="H2084"/>
      <c r="I2084"/>
    </row>
    <row r="2085" spans="1:9" s="47" customFormat="1" ht="14.4" x14ac:dyDescent="0.3">
      <c r="A2085"/>
      <c r="B2085"/>
      <c r="C2085"/>
      <c r="D2085"/>
      <c r="E2085"/>
      <c r="F2085"/>
      <c r="G2085"/>
      <c r="H2085"/>
      <c r="I2085"/>
    </row>
    <row r="2086" spans="1:9" s="47" customFormat="1" ht="14.4" x14ac:dyDescent="0.3">
      <c r="A2086"/>
      <c r="B2086"/>
      <c r="C2086"/>
      <c r="D2086"/>
      <c r="E2086"/>
      <c r="F2086"/>
      <c r="G2086"/>
      <c r="H2086"/>
      <c r="I2086"/>
    </row>
    <row r="2087" spans="1:9" s="47" customFormat="1" ht="14.4" x14ac:dyDescent="0.3">
      <c r="A2087"/>
      <c r="B2087"/>
      <c r="C2087"/>
      <c r="D2087"/>
      <c r="E2087"/>
      <c r="F2087"/>
      <c r="G2087"/>
      <c r="H2087"/>
      <c r="I2087"/>
    </row>
    <row r="2088" spans="1:9" s="47" customFormat="1" ht="14.4" x14ac:dyDescent="0.3">
      <c r="A2088"/>
      <c r="B2088"/>
      <c r="C2088"/>
      <c r="D2088"/>
      <c r="E2088"/>
      <c r="F2088"/>
      <c r="G2088"/>
      <c r="H2088"/>
      <c r="I2088"/>
    </row>
    <row r="2089" spans="1:9" s="47" customFormat="1" ht="14.4" x14ac:dyDescent="0.3">
      <c r="A2089"/>
      <c r="B2089"/>
      <c r="C2089"/>
      <c r="D2089"/>
      <c r="E2089"/>
      <c r="F2089"/>
      <c r="G2089"/>
      <c r="H2089"/>
      <c r="I2089"/>
    </row>
    <row r="2090" spans="1:9" s="47" customFormat="1" ht="14.4" x14ac:dyDescent="0.3">
      <c r="A2090"/>
      <c r="B2090"/>
      <c r="C2090"/>
      <c r="D2090"/>
      <c r="E2090"/>
      <c r="F2090"/>
      <c r="G2090"/>
      <c r="H2090"/>
      <c r="I2090"/>
    </row>
    <row r="2091" spans="1:9" s="47" customFormat="1" ht="14.4" x14ac:dyDescent="0.3">
      <c r="A2091"/>
      <c r="B2091"/>
      <c r="C2091"/>
      <c r="D2091"/>
      <c r="E2091"/>
      <c r="F2091"/>
      <c r="G2091"/>
      <c r="H2091"/>
      <c r="I2091"/>
    </row>
    <row r="2092" spans="1:9" s="47" customFormat="1" ht="14.4" x14ac:dyDescent="0.3">
      <c r="A2092"/>
      <c r="B2092"/>
      <c r="C2092"/>
      <c r="D2092"/>
      <c r="E2092"/>
      <c r="F2092"/>
      <c r="G2092"/>
      <c r="H2092"/>
      <c r="I2092"/>
    </row>
    <row r="2093" spans="1:9" s="47" customFormat="1" ht="14.4" x14ac:dyDescent="0.3">
      <c r="A2093"/>
      <c r="B2093"/>
      <c r="C2093"/>
      <c r="D2093"/>
      <c r="E2093"/>
      <c r="F2093"/>
      <c r="G2093"/>
      <c r="H2093"/>
      <c r="I2093"/>
    </row>
    <row r="2094" spans="1:9" s="47" customFormat="1" ht="14.4" x14ac:dyDescent="0.3">
      <c r="A2094"/>
      <c r="B2094"/>
      <c r="C2094"/>
      <c r="D2094"/>
      <c r="E2094"/>
      <c r="F2094"/>
      <c r="G2094"/>
      <c r="H2094"/>
      <c r="I2094"/>
    </row>
    <row r="2095" spans="1:9" s="47" customFormat="1" ht="14.4" x14ac:dyDescent="0.3">
      <c r="A2095"/>
      <c r="B2095"/>
      <c r="C2095"/>
      <c r="D2095"/>
      <c r="E2095"/>
      <c r="F2095"/>
      <c r="G2095"/>
      <c r="H2095"/>
      <c r="I2095"/>
    </row>
    <row r="2096" spans="1:9" s="47" customFormat="1" ht="14.4" x14ac:dyDescent="0.3">
      <c r="A2096"/>
      <c r="B2096"/>
      <c r="C2096"/>
      <c r="D2096"/>
      <c r="E2096"/>
      <c r="F2096"/>
      <c r="G2096"/>
      <c r="H2096"/>
      <c r="I2096"/>
    </row>
    <row r="2097" spans="1:9" s="47" customFormat="1" ht="14.4" x14ac:dyDescent="0.3">
      <c r="A2097"/>
      <c r="B2097"/>
      <c r="C2097"/>
      <c r="D2097"/>
      <c r="E2097"/>
      <c r="F2097"/>
      <c r="G2097"/>
      <c r="H2097"/>
      <c r="I2097"/>
    </row>
    <row r="2098" spans="1:9" s="47" customFormat="1" ht="14.4" x14ac:dyDescent="0.3">
      <c r="A2098"/>
      <c r="B2098"/>
      <c r="C2098"/>
      <c r="D2098"/>
      <c r="E2098"/>
      <c r="F2098"/>
      <c r="G2098"/>
      <c r="H2098"/>
      <c r="I2098"/>
    </row>
    <row r="2099" spans="1:9" s="47" customFormat="1" ht="14.4" x14ac:dyDescent="0.3">
      <c r="A2099"/>
      <c r="B2099"/>
      <c r="C2099"/>
      <c r="D2099"/>
      <c r="E2099"/>
      <c r="F2099"/>
      <c r="G2099"/>
      <c r="H2099"/>
      <c r="I2099"/>
    </row>
    <row r="2100" spans="1:9" s="47" customFormat="1" ht="14.4" x14ac:dyDescent="0.3">
      <c r="A2100"/>
      <c r="B2100"/>
      <c r="C2100"/>
      <c r="D2100"/>
      <c r="E2100"/>
      <c r="F2100"/>
      <c r="G2100"/>
      <c r="H2100"/>
      <c r="I2100"/>
    </row>
    <row r="2101" spans="1:9" s="47" customFormat="1" ht="14.4" x14ac:dyDescent="0.3">
      <c r="A2101"/>
      <c r="B2101"/>
      <c r="C2101"/>
      <c r="D2101"/>
      <c r="E2101"/>
      <c r="F2101"/>
      <c r="G2101"/>
      <c r="H2101"/>
      <c r="I2101"/>
    </row>
    <row r="2102" spans="1:9" s="47" customFormat="1" ht="14.4" x14ac:dyDescent="0.3">
      <c r="A2102"/>
      <c r="B2102"/>
      <c r="C2102"/>
      <c r="D2102"/>
      <c r="E2102"/>
      <c r="F2102"/>
      <c r="G2102"/>
      <c r="H2102"/>
      <c r="I2102"/>
    </row>
    <row r="2103" spans="1:9" s="47" customFormat="1" ht="14.4" x14ac:dyDescent="0.3">
      <c r="A2103"/>
      <c r="B2103"/>
      <c r="C2103"/>
      <c r="D2103"/>
      <c r="E2103"/>
      <c r="F2103"/>
      <c r="G2103"/>
      <c r="H2103"/>
      <c r="I2103"/>
    </row>
    <row r="2104" spans="1:9" s="47" customFormat="1" ht="14.4" x14ac:dyDescent="0.3">
      <c r="A2104"/>
      <c r="B2104"/>
      <c r="C2104"/>
      <c r="D2104"/>
      <c r="E2104"/>
      <c r="F2104"/>
      <c r="G2104"/>
      <c r="H2104"/>
      <c r="I2104"/>
    </row>
    <row r="2105" spans="1:9" s="47" customFormat="1" ht="14.4" x14ac:dyDescent="0.3">
      <c r="A2105"/>
      <c r="B2105"/>
      <c r="C2105"/>
      <c r="D2105"/>
      <c r="E2105"/>
      <c r="F2105"/>
      <c r="G2105"/>
      <c r="H2105"/>
      <c r="I2105"/>
    </row>
    <row r="2106" spans="1:9" s="47" customFormat="1" ht="14.4" x14ac:dyDescent="0.3">
      <c r="A2106"/>
      <c r="B2106"/>
      <c r="C2106"/>
      <c r="D2106"/>
      <c r="E2106"/>
      <c r="F2106"/>
      <c r="G2106"/>
      <c r="H2106"/>
      <c r="I2106"/>
    </row>
    <row r="2107" spans="1:9" s="47" customFormat="1" ht="14.4" x14ac:dyDescent="0.3">
      <c r="A2107"/>
      <c r="B2107"/>
      <c r="C2107"/>
      <c r="D2107"/>
      <c r="E2107"/>
      <c r="F2107"/>
      <c r="G2107"/>
      <c r="H2107"/>
      <c r="I2107"/>
    </row>
    <row r="2108" spans="1:9" s="47" customFormat="1" ht="14.4" x14ac:dyDescent="0.3">
      <c r="A2108"/>
      <c r="B2108"/>
      <c r="C2108"/>
      <c r="D2108"/>
      <c r="E2108"/>
      <c r="F2108"/>
      <c r="G2108"/>
      <c r="H2108"/>
      <c r="I2108"/>
    </row>
    <row r="2109" spans="1:9" s="47" customFormat="1" ht="14.4" x14ac:dyDescent="0.3">
      <c r="A2109"/>
      <c r="B2109"/>
      <c r="C2109"/>
      <c r="D2109"/>
      <c r="E2109"/>
      <c r="F2109"/>
      <c r="G2109"/>
      <c r="H2109"/>
      <c r="I2109"/>
    </row>
    <row r="2110" spans="1:9" s="47" customFormat="1" ht="14.4" x14ac:dyDescent="0.3">
      <c r="A2110"/>
      <c r="B2110"/>
      <c r="C2110"/>
      <c r="D2110"/>
      <c r="E2110"/>
      <c r="F2110"/>
      <c r="G2110"/>
      <c r="H2110"/>
      <c r="I2110"/>
    </row>
    <row r="2111" spans="1:9" s="47" customFormat="1" ht="14.4" x14ac:dyDescent="0.3">
      <c r="A2111"/>
      <c r="B2111"/>
      <c r="C2111"/>
      <c r="D2111"/>
      <c r="E2111"/>
      <c r="F2111"/>
      <c r="G2111"/>
      <c r="H2111"/>
      <c r="I2111"/>
    </row>
    <row r="2112" spans="1:9" s="47" customFormat="1" ht="14.4" x14ac:dyDescent="0.3">
      <c r="A2112"/>
      <c r="B2112"/>
      <c r="C2112"/>
      <c r="D2112"/>
      <c r="E2112"/>
      <c r="F2112"/>
      <c r="G2112"/>
      <c r="H2112"/>
      <c r="I2112"/>
    </row>
    <row r="2113" spans="1:9" s="47" customFormat="1" ht="14.4" x14ac:dyDescent="0.3">
      <c r="A2113"/>
      <c r="B2113"/>
      <c r="C2113"/>
      <c r="D2113"/>
      <c r="E2113"/>
      <c r="F2113"/>
      <c r="G2113"/>
      <c r="H2113"/>
      <c r="I2113"/>
    </row>
    <row r="2114" spans="1:9" s="47" customFormat="1" ht="14.4" x14ac:dyDescent="0.3">
      <c r="A2114"/>
      <c r="B2114"/>
      <c r="C2114"/>
      <c r="D2114"/>
      <c r="E2114"/>
      <c r="F2114"/>
      <c r="G2114"/>
      <c r="H2114"/>
      <c r="I2114"/>
    </row>
    <row r="2115" spans="1:9" s="47" customFormat="1" ht="14.4" x14ac:dyDescent="0.3">
      <c r="A2115"/>
      <c r="B2115"/>
      <c r="C2115"/>
      <c r="D2115"/>
      <c r="E2115"/>
      <c r="F2115"/>
      <c r="G2115"/>
      <c r="H2115"/>
      <c r="I2115"/>
    </row>
    <row r="2116" spans="1:9" s="47" customFormat="1" ht="14.4" x14ac:dyDescent="0.3">
      <c r="A2116"/>
      <c r="B2116"/>
      <c r="C2116"/>
      <c r="D2116"/>
      <c r="E2116"/>
      <c r="F2116"/>
      <c r="G2116"/>
      <c r="H2116"/>
      <c r="I2116"/>
    </row>
    <row r="2117" spans="1:9" s="47" customFormat="1" ht="14.4" x14ac:dyDescent="0.3">
      <c r="A2117"/>
      <c r="B2117"/>
      <c r="C2117"/>
      <c r="D2117"/>
      <c r="E2117"/>
      <c r="F2117"/>
      <c r="G2117"/>
      <c r="H2117"/>
      <c r="I2117"/>
    </row>
    <row r="2118" spans="1:9" s="47" customFormat="1" ht="14.4" x14ac:dyDescent="0.3">
      <c r="A2118"/>
      <c r="B2118"/>
      <c r="C2118"/>
      <c r="D2118"/>
      <c r="E2118"/>
      <c r="F2118"/>
      <c r="G2118"/>
      <c r="H2118"/>
      <c r="I2118"/>
    </row>
    <row r="2119" spans="1:9" s="47" customFormat="1" ht="14.4" x14ac:dyDescent="0.3">
      <c r="A2119"/>
      <c r="B2119"/>
      <c r="C2119"/>
      <c r="D2119"/>
      <c r="E2119"/>
      <c r="F2119"/>
      <c r="G2119"/>
      <c r="H2119"/>
      <c r="I2119"/>
    </row>
    <row r="2120" spans="1:9" s="47" customFormat="1" ht="14.4" x14ac:dyDescent="0.3">
      <c r="A2120"/>
      <c r="B2120"/>
      <c r="C2120"/>
      <c r="D2120"/>
      <c r="E2120"/>
      <c r="F2120"/>
      <c r="G2120"/>
      <c r="H2120"/>
      <c r="I2120"/>
    </row>
    <row r="2121" spans="1:9" s="47" customFormat="1" ht="14.4" x14ac:dyDescent="0.3">
      <c r="A2121"/>
      <c r="B2121"/>
      <c r="C2121"/>
      <c r="D2121"/>
      <c r="E2121"/>
      <c r="F2121"/>
      <c r="G2121"/>
      <c r="H2121"/>
      <c r="I2121"/>
    </row>
    <row r="2122" spans="1:9" s="47" customFormat="1" ht="14.4" x14ac:dyDescent="0.3">
      <c r="A2122"/>
      <c r="B2122"/>
      <c r="C2122"/>
      <c r="D2122"/>
      <c r="E2122"/>
      <c r="F2122"/>
      <c r="G2122"/>
      <c r="H2122"/>
      <c r="I2122"/>
    </row>
    <row r="2123" spans="1:9" s="47" customFormat="1" ht="14.4" x14ac:dyDescent="0.3">
      <c r="A2123"/>
      <c r="B2123"/>
      <c r="C2123"/>
      <c r="D2123"/>
      <c r="E2123"/>
      <c r="F2123"/>
      <c r="G2123"/>
      <c r="H2123"/>
      <c r="I2123"/>
    </row>
    <row r="2124" spans="1:9" s="47" customFormat="1" ht="14.4" x14ac:dyDescent="0.3">
      <c r="A2124"/>
      <c r="B2124"/>
      <c r="C2124"/>
      <c r="D2124"/>
      <c r="E2124"/>
      <c r="F2124"/>
      <c r="G2124"/>
      <c r="H2124"/>
      <c r="I2124"/>
    </row>
    <row r="2125" spans="1:9" s="47" customFormat="1" ht="14.4" x14ac:dyDescent="0.3">
      <c r="A2125"/>
      <c r="B2125"/>
      <c r="C2125"/>
      <c r="D2125"/>
      <c r="E2125"/>
      <c r="F2125"/>
      <c r="G2125"/>
      <c r="H2125"/>
      <c r="I2125"/>
    </row>
    <row r="2126" spans="1:9" s="47" customFormat="1" ht="14.4" x14ac:dyDescent="0.3">
      <c r="A2126"/>
      <c r="B2126"/>
      <c r="C2126"/>
      <c r="D2126"/>
      <c r="E2126"/>
      <c r="F2126"/>
      <c r="G2126"/>
      <c r="H2126"/>
      <c r="I2126"/>
    </row>
    <row r="2127" spans="1:9" s="47" customFormat="1" ht="14.4" x14ac:dyDescent="0.3">
      <c r="A2127"/>
      <c r="B2127"/>
      <c r="C2127"/>
      <c r="D2127"/>
      <c r="E2127"/>
      <c r="F2127"/>
      <c r="G2127"/>
      <c r="H2127"/>
      <c r="I2127"/>
    </row>
    <row r="2128" spans="1:9" s="47" customFormat="1" ht="14.4" x14ac:dyDescent="0.3">
      <c r="A2128"/>
      <c r="B2128"/>
      <c r="C2128"/>
      <c r="D2128"/>
      <c r="E2128"/>
      <c r="F2128"/>
      <c r="G2128"/>
      <c r="H2128"/>
      <c r="I2128"/>
    </row>
    <row r="2129" spans="1:9" s="47" customFormat="1" ht="14.4" x14ac:dyDescent="0.3">
      <c r="A2129"/>
      <c r="B2129"/>
      <c r="C2129"/>
      <c r="D2129"/>
      <c r="E2129"/>
      <c r="F2129"/>
      <c r="G2129"/>
      <c r="H2129"/>
      <c r="I2129"/>
    </row>
    <row r="2130" spans="1:9" s="47" customFormat="1" ht="14.4" x14ac:dyDescent="0.3">
      <c r="A2130"/>
      <c r="B2130"/>
      <c r="C2130"/>
      <c r="D2130"/>
      <c r="E2130"/>
      <c r="F2130"/>
      <c r="G2130"/>
      <c r="H2130"/>
      <c r="I2130"/>
    </row>
    <row r="2131" spans="1:9" s="47" customFormat="1" ht="14.4" x14ac:dyDescent="0.3">
      <c r="A2131"/>
      <c r="B2131"/>
      <c r="C2131"/>
      <c r="D2131"/>
      <c r="E2131"/>
      <c r="F2131"/>
      <c r="G2131"/>
      <c r="H2131"/>
      <c r="I2131"/>
    </row>
    <row r="2132" spans="1:9" s="47" customFormat="1" ht="14.4" x14ac:dyDescent="0.3">
      <c r="A2132"/>
      <c r="B2132"/>
      <c r="C2132"/>
      <c r="D2132"/>
      <c r="E2132"/>
      <c r="F2132"/>
      <c r="G2132"/>
      <c r="H2132"/>
      <c r="I2132"/>
    </row>
    <row r="2133" spans="1:9" s="47" customFormat="1" ht="14.4" x14ac:dyDescent="0.3">
      <c r="A2133"/>
      <c r="B2133"/>
      <c r="C2133"/>
      <c r="D2133"/>
      <c r="E2133"/>
      <c r="F2133"/>
      <c r="G2133"/>
      <c r="H2133"/>
      <c r="I2133"/>
    </row>
    <row r="2134" spans="1:9" s="47" customFormat="1" ht="14.4" x14ac:dyDescent="0.3">
      <c r="A2134"/>
      <c r="B2134"/>
      <c r="C2134"/>
      <c r="D2134"/>
      <c r="E2134"/>
      <c r="F2134"/>
      <c r="G2134"/>
      <c r="H2134"/>
      <c r="I2134"/>
    </row>
    <row r="2135" spans="1:9" s="47" customFormat="1" ht="14.4" x14ac:dyDescent="0.3">
      <c r="A2135"/>
      <c r="B2135"/>
      <c r="C2135"/>
      <c r="D2135"/>
      <c r="E2135"/>
      <c r="F2135"/>
      <c r="G2135"/>
      <c r="H2135"/>
      <c r="I2135"/>
    </row>
    <row r="2136" spans="1:9" s="47" customFormat="1" ht="14.4" x14ac:dyDescent="0.3">
      <c r="A2136"/>
      <c r="B2136"/>
      <c r="C2136"/>
      <c r="D2136"/>
      <c r="E2136"/>
      <c r="F2136"/>
      <c r="G2136"/>
      <c r="H2136"/>
      <c r="I2136"/>
    </row>
    <row r="2137" spans="1:9" s="47" customFormat="1" ht="14.4" x14ac:dyDescent="0.3">
      <c r="A2137"/>
      <c r="B2137"/>
      <c r="C2137"/>
      <c r="D2137"/>
      <c r="E2137"/>
      <c r="F2137"/>
      <c r="G2137"/>
      <c r="H2137"/>
      <c r="I2137"/>
    </row>
    <row r="2138" spans="1:9" s="47" customFormat="1" ht="14.4" x14ac:dyDescent="0.3">
      <c r="A2138"/>
      <c r="B2138"/>
      <c r="C2138"/>
      <c r="D2138"/>
      <c r="E2138"/>
      <c r="F2138"/>
      <c r="G2138"/>
      <c r="H2138"/>
      <c r="I2138"/>
    </row>
    <row r="2139" spans="1:9" s="47" customFormat="1" ht="14.4" x14ac:dyDescent="0.3">
      <c r="A2139"/>
      <c r="B2139"/>
      <c r="C2139"/>
      <c r="D2139"/>
      <c r="E2139"/>
      <c r="F2139"/>
      <c r="G2139"/>
      <c r="H2139"/>
      <c r="I2139"/>
    </row>
    <row r="2140" spans="1:9" s="47" customFormat="1" ht="14.4" x14ac:dyDescent="0.3">
      <c r="A2140"/>
      <c r="B2140"/>
      <c r="C2140"/>
      <c r="D2140"/>
      <c r="E2140"/>
      <c r="F2140"/>
      <c r="G2140"/>
      <c r="H2140"/>
      <c r="I2140"/>
    </row>
    <row r="2141" spans="1:9" s="47" customFormat="1" ht="14.4" x14ac:dyDescent="0.3">
      <c r="A2141"/>
      <c r="B2141"/>
      <c r="C2141"/>
      <c r="D2141"/>
      <c r="E2141"/>
      <c r="F2141"/>
      <c r="G2141"/>
      <c r="H2141"/>
      <c r="I2141"/>
    </row>
    <row r="2142" spans="1:9" s="47" customFormat="1" ht="14.4" x14ac:dyDescent="0.3">
      <c r="A2142"/>
      <c r="B2142"/>
      <c r="C2142"/>
      <c r="D2142"/>
      <c r="E2142"/>
      <c r="F2142"/>
      <c r="G2142"/>
      <c r="H2142"/>
      <c r="I2142"/>
    </row>
    <row r="2143" spans="1:9" s="47" customFormat="1" ht="14.4" x14ac:dyDescent="0.3">
      <c r="A2143"/>
      <c r="B2143"/>
      <c r="C2143"/>
      <c r="D2143"/>
      <c r="E2143"/>
      <c r="F2143"/>
      <c r="G2143"/>
      <c r="H2143"/>
      <c r="I2143"/>
    </row>
    <row r="2144" spans="1:9" s="47" customFormat="1" ht="14.4" x14ac:dyDescent="0.3">
      <c r="A2144"/>
      <c r="B2144"/>
      <c r="C2144"/>
      <c r="D2144"/>
      <c r="E2144"/>
      <c r="F2144"/>
      <c r="G2144"/>
      <c r="H2144"/>
      <c r="I2144"/>
    </row>
    <row r="2145" spans="1:9" s="47" customFormat="1" ht="14.4" x14ac:dyDescent="0.3">
      <c r="A2145"/>
      <c r="B2145"/>
      <c r="C2145"/>
      <c r="D2145"/>
      <c r="E2145"/>
      <c r="F2145"/>
      <c r="G2145"/>
      <c r="H2145"/>
      <c r="I2145"/>
    </row>
    <row r="2146" spans="1:9" s="47" customFormat="1" ht="14.4" x14ac:dyDescent="0.3">
      <c r="A2146"/>
      <c r="B2146"/>
      <c r="C2146"/>
      <c r="D2146"/>
      <c r="E2146"/>
      <c r="F2146"/>
      <c r="G2146"/>
      <c r="H2146"/>
      <c r="I2146"/>
    </row>
    <row r="2147" spans="1:9" s="47" customFormat="1" ht="14.4" x14ac:dyDescent="0.3">
      <c r="A2147"/>
      <c r="B2147"/>
      <c r="C2147"/>
      <c r="D2147"/>
      <c r="E2147"/>
      <c r="F2147"/>
      <c r="G2147"/>
      <c r="H2147"/>
      <c r="I2147"/>
    </row>
    <row r="2148" spans="1:9" s="47" customFormat="1" ht="14.4" x14ac:dyDescent="0.3">
      <c r="A2148"/>
      <c r="B2148"/>
      <c r="C2148"/>
      <c r="D2148"/>
      <c r="E2148"/>
      <c r="F2148"/>
      <c r="G2148"/>
      <c r="H2148"/>
      <c r="I2148"/>
    </row>
    <row r="2149" spans="1:9" s="47" customFormat="1" ht="14.4" x14ac:dyDescent="0.3">
      <c r="A2149"/>
      <c r="B2149"/>
      <c r="C2149"/>
      <c r="D2149"/>
      <c r="E2149"/>
      <c r="F2149"/>
      <c r="G2149"/>
      <c r="H2149"/>
      <c r="I2149"/>
    </row>
    <row r="2150" spans="1:9" s="47" customFormat="1" ht="14.4" x14ac:dyDescent="0.3">
      <c r="A2150"/>
      <c r="B2150"/>
      <c r="C2150"/>
      <c r="D2150"/>
      <c r="E2150"/>
      <c r="F2150"/>
      <c r="G2150"/>
      <c r="H2150"/>
      <c r="I2150"/>
    </row>
    <row r="2151" spans="1:9" s="47" customFormat="1" ht="14.4" x14ac:dyDescent="0.3">
      <c r="A2151"/>
      <c r="B2151"/>
      <c r="C2151"/>
      <c r="D2151"/>
      <c r="E2151"/>
      <c r="F2151"/>
      <c r="G2151"/>
      <c r="H2151"/>
      <c r="I2151"/>
    </row>
    <row r="2152" spans="1:9" s="47" customFormat="1" ht="14.4" x14ac:dyDescent="0.3">
      <c r="A2152"/>
      <c r="B2152"/>
      <c r="C2152"/>
      <c r="D2152"/>
      <c r="E2152"/>
      <c r="F2152"/>
      <c r="G2152"/>
      <c r="H2152"/>
      <c r="I2152"/>
    </row>
    <row r="2153" spans="1:9" s="47" customFormat="1" ht="14.4" x14ac:dyDescent="0.3">
      <c r="A2153"/>
      <c r="B2153"/>
      <c r="C2153"/>
      <c r="D2153"/>
      <c r="E2153"/>
      <c r="F2153"/>
      <c r="G2153"/>
      <c r="H2153"/>
      <c r="I2153"/>
    </row>
    <row r="2154" spans="1:9" s="47" customFormat="1" ht="14.4" x14ac:dyDescent="0.3">
      <c r="A2154"/>
      <c r="B2154"/>
      <c r="C2154"/>
      <c r="D2154"/>
      <c r="E2154"/>
      <c r="F2154"/>
      <c r="G2154"/>
      <c r="H2154"/>
      <c r="I2154"/>
    </row>
    <row r="2155" spans="1:9" s="47" customFormat="1" ht="14.4" x14ac:dyDescent="0.3">
      <c r="A2155"/>
      <c r="B2155"/>
      <c r="C2155"/>
      <c r="D2155"/>
      <c r="E2155"/>
      <c r="F2155"/>
      <c r="G2155"/>
      <c r="H2155"/>
      <c r="I2155"/>
    </row>
    <row r="2156" spans="1:9" s="47" customFormat="1" ht="14.4" x14ac:dyDescent="0.3">
      <c r="A2156"/>
      <c r="B2156"/>
      <c r="C2156"/>
      <c r="D2156"/>
      <c r="E2156"/>
      <c r="F2156"/>
      <c r="G2156"/>
      <c r="H2156"/>
      <c r="I2156"/>
    </row>
    <row r="2157" spans="1:9" s="47" customFormat="1" ht="14.4" x14ac:dyDescent="0.3">
      <c r="A2157"/>
      <c r="B2157"/>
      <c r="C2157"/>
      <c r="D2157"/>
      <c r="E2157"/>
      <c r="F2157"/>
      <c r="G2157"/>
      <c r="H2157"/>
      <c r="I2157"/>
    </row>
    <row r="2158" spans="1:9" s="47" customFormat="1" ht="14.4" x14ac:dyDescent="0.3">
      <c r="A2158"/>
      <c r="B2158"/>
      <c r="C2158"/>
      <c r="D2158"/>
      <c r="E2158"/>
      <c r="F2158"/>
      <c r="G2158"/>
      <c r="H2158"/>
      <c r="I2158"/>
    </row>
    <row r="2159" spans="1:9" s="47" customFormat="1" ht="14.4" x14ac:dyDescent="0.3">
      <c r="A2159"/>
      <c r="B2159"/>
      <c r="C2159"/>
      <c r="D2159"/>
      <c r="E2159"/>
      <c r="F2159"/>
      <c r="G2159"/>
      <c r="H2159"/>
      <c r="I2159"/>
    </row>
    <row r="2160" spans="1:9" s="47" customFormat="1" ht="14.4" x14ac:dyDescent="0.3">
      <c r="A2160"/>
      <c r="B2160"/>
      <c r="C2160"/>
      <c r="D2160"/>
      <c r="E2160"/>
      <c r="F2160"/>
      <c r="G2160"/>
      <c r="H2160"/>
      <c r="I2160"/>
    </row>
    <row r="2161" spans="1:9" s="47" customFormat="1" ht="14.4" x14ac:dyDescent="0.3">
      <c r="A2161"/>
      <c r="B2161"/>
      <c r="C2161"/>
      <c r="D2161"/>
      <c r="E2161"/>
      <c r="F2161"/>
      <c r="G2161"/>
      <c r="H2161"/>
      <c r="I2161"/>
    </row>
    <row r="2162" spans="1:9" s="47" customFormat="1" ht="14.4" x14ac:dyDescent="0.3">
      <c r="A2162"/>
      <c r="B2162"/>
      <c r="C2162"/>
      <c r="D2162"/>
      <c r="E2162"/>
      <c r="F2162"/>
      <c r="G2162"/>
      <c r="H2162"/>
      <c r="I2162"/>
    </row>
    <row r="2163" spans="1:9" s="47" customFormat="1" ht="14.4" x14ac:dyDescent="0.3">
      <c r="A2163"/>
      <c r="B2163"/>
      <c r="C2163"/>
      <c r="D2163"/>
      <c r="E2163"/>
      <c r="F2163"/>
      <c r="G2163"/>
      <c r="H2163"/>
      <c r="I2163"/>
    </row>
    <row r="2164" spans="1:9" s="47" customFormat="1" ht="14.4" x14ac:dyDescent="0.3">
      <c r="A2164"/>
      <c r="B2164"/>
      <c r="C2164"/>
      <c r="D2164"/>
      <c r="E2164"/>
      <c r="F2164"/>
      <c r="G2164"/>
      <c r="H2164"/>
      <c r="I2164"/>
    </row>
    <row r="2165" spans="1:9" s="47" customFormat="1" ht="14.4" x14ac:dyDescent="0.3">
      <c r="A2165"/>
      <c r="B2165"/>
      <c r="C2165"/>
      <c r="D2165"/>
      <c r="E2165"/>
      <c r="F2165"/>
      <c r="G2165"/>
      <c r="H2165"/>
      <c r="I2165"/>
    </row>
    <row r="2166" spans="1:9" s="47" customFormat="1" ht="14.4" x14ac:dyDescent="0.3">
      <c r="A2166"/>
      <c r="B2166"/>
      <c r="C2166"/>
      <c r="D2166"/>
      <c r="E2166"/>
      <c r="F2166"/>
      <c r="G2166"/>
      <c r="H2166"/>
      <c r="I2166"/>
    </row>
    <row r="2167" spans="1:9" s="47" customFormat="1" ht="14.4" x14ac:dyDescent="0.3">
      <c r="A2167"/>
      <c r="B2167"/>
      <c r="C2167"/>
      <c r="D2167"/>
      <c r="E2167"/>
      <c r="F2167"/>
      <c r="G2167"/>
      <c r="H2167"/>
      <c r="I2167"/>
    </row>
    <row r="2168" spans="1:9" s="47" customFormat="1" ht="14.4" x14ac:dyDescent="0.3">
      <c r="A2168"/>
      <c r="B2168"/>
      <c r="C2168"/>
      <c r="D2168"/>
      <c r="E2168"/>
      <c r="F2168"/>
      <c r="G2168"/>
      <c r="H2168"/>
      <c r="I2168"/>
    </row>
    <row r="2169" spans="1:9" s="47" customFormat="1" ht="14.4" x14ac:dyDescent="0.3">
      <c r="A2169"/>
      <c r="B2169"/>
      <c r="C2169"/>
      <c r="D2169"/>
      <c r="E2169"/>
      <c r="F2169"/>
      <c r="G2169"/>
      <c r="H2169"/>
      <c r="I2169"/>
    </row>
    <row r="2170" spans="1:9" s="47" customFormat="1" ht="14.4" x14ac:dyDescent="0.3">
      <c r="A2170"/>
      <c r="B2170"/>
      <c r="C2170"/>
      <c r="D2170"/>
      <c r="E2170"/>
      <c r="F2170"/>
      <c r="G2170"/>
      <c r="H2170"/>
      <c r="I2170"/>
    </row>
    <row r="2171" spans="1:9" s="47" customFormat="1" ht="14.4" x14ac:dyDescent="0.3">
      <c r="A2171"/>
      <c r="B2171"/>
      <c r="C2171"/>
      <c r="D2171"/>
      <c r="E2171"/>
      <c r="F2171"/>
      <c r="G2171"/>
      <c r="H2171"/>
      <c r="I2171"/>
    </row>
    <row r="2172" spans="1:9" s="47" customFormat="1" ht="14.4" x14ac:dyDescent="0.3">
      <c r="A2172"/>
      <c r="B2172"/>
      <c r="C2172"/>
      <c r="D2172"/>
      <c r="E2172"/>
      <c r="F2172"/>
      <c r="G2172"/>
      <c r="H2172"/>
      <c r="I2172"/>
    </row>
    <row r="2173" spans="1:9" s="47" customFormat="1" ht="14.4" x14ac:dyDescent="0.3">
      <c r="A2173"/>
      <c r="B2173"/>
      <c r="C2173"/>
      <c r="D2173"/>
      <c r="E2173"/>
      <c r="F2173"/>
      <c r="G2173"/>
      <c r="H2173"/>
      <c r="I2173"/>
    </row>
    <row r="2174" spans="1:9" s="47" customFormat="1" ht="14.4" x14ac:dyDescent="0.3">
      <c r="A2174"/>
      <c r="B2174"/>
      <c r="C2174"/>
      <c r="D2174"/>
      <c r="E2174"/>
      <c r="F2174"/>
      <c r="G2174"/>
      <c r="H2174"/>
      <c r="I2174"/>
    </row>
    <row r="2175" spans="1:9" s="47" customFormat="1" ht="14.4" x14ac:dyDescent="0.3">
      <c r="A2175"/>
      <c r="B2175"/>
      <c r="C2175"/>
      <c r="D2175"/>
      <c r="E2175"/>
      <c r="F2175"/>
      <c r="G2175"/>
      <c r="H2175"/>
      <c r="I2175"/>
    </row>
    <row r="2176" spans="1:9" s="47" customFormat="1" ht="14.4" x14ac:dyDescent="0.3">
      <c r="A2176"/>
      <c r="B2176"/>
      <c r="C2176"/>
      <c r="D2176"/>
      <c r="E2176"/>
      <c r="F2176"/>
      <c r="G2176"/>
      <c r="H2176"/>
      <c r="I2176"/>
    </row>
    <row r="2177" spans="1:9" s="47" customFormat="1" ht="14.4" x14ac:dyDescent="0.3">
      <c r="A2177"/>
      <c r="B2177"/>
      <c r="C2177"/>
      <c r="D2177"/>
      <c r="E2177"/>
      <c r="F2177"/>
      <c r="G2177"/>
      <c r="H2177"/>
      <c r="I2177"/>
    </row>
    <row r="2178" spans="1:9" s="47" customFormat="1" ht="14.4" x14ac:dyDescent="0.3">
      <c r="A2178"/>
      <c r="B2178"/>
      <c r="C2178"/>
      <c r="D2178"/>
      <c r="E2178"/>
      <c r="F2178"/>
      <c r="G2178"/>
      <c r="H2178"/>
      <c r="I2178"/>
    </row>
    <row r="2179" spans="1:9" s="47" customFormat="1" ht="14.4" x14ac:dyDescent="0.3">
      <c r="A2179"/>
      <c r="B2179"/>
      <c r="C2179"/>
      <c r="D2179"/>
      <c r="E2179"/>
      <c r="F2179"/>
      <c r="G2179"/>
      <c r="H2179"/>
      <c r="I2179"/>
    </row>
    <row r="2180" spans="1:9" s="47" customFormat="1" ht="14.4" x14ac:dyDescent="0.3">
      <c r="A2180"/>
      <c r="B2180"/>
      <c r="C2180"/>
      <c r="D2180"/>
      <c r="E2180"/>
      <c r="F2180"/>
      <c r="G2180"/>
      <c r="H2180"/>
      <c r="I2180"/>
    </row>
    <row r="2181" spans="1:9" s="47" customFormat="1" ht="14.4" x14ac:dyDescent="0.3">
      <c r="A2181"/>
      <c r="B2181"/>
      <c r="C2181"/>
      <c r="D2181"/>
      <c r="E2181"/>
      <c r="F2181"/>
      <c r="G2181"/>
      <c r="H2181"/>
      <c r="I2181"/>
    </row>
    <row r="2182" spans="1:9" s="47" customFormat="1" ht="14.4" x14ac:dyDescent="0.3">
      <c r="A2182"/>
      <c r="B2182"/>
      <c r="C2182"/>
      <c r="D2182"/>
      <c r="E2182"/>
      <c r="F2182"/>
      <c r="G2182"/>
      <c r="H2182"/>
      <c r="I2182"/>
    </row>
    <row r="2183" spans="1:9" s="47" customFormat="1" ht="14.4" x14ac:dyDescent="0.3">
      <c r="A2183"/>
      <c r="B2183"/>
      <c r="C2183"/>
      <c r="D2183"/>
      <c r="E2183"/>
      <c r="F2183"/>
      <c r="G2183"/>
      <c r="H2183"/>
      <c r="I2183"/>
    </row>
    <row r="2184" spans="1:9" s="47" customFormat="1" ht="14.4" x14ac:dyDescent="0.3">
      <c r="A2184"/>
      <c r="B2184"/>
      <c r="C2184"/>
      <c r="D2184"/>
      <c r="E2184"/>
      <c r="F2184"/>
      <c r="G2184"/>
      <c r="H2184"/>
      <c r="I2184"/>
    </row>
    <row r="2185" spans="1:9" s="47" customFormat="1" ht="14.4" x14ac:dyDescent="0.3">
      <c r="A2185"/>
      <c r="B2185"/>
      <c r="C2185"/>
      <c r="D2185"/>
      <c r="E2185"/>
      <c r="F2185"/>
      <c r="G2185"/>
      <c r="H2185"/>
      <c r="I2185"/>
    </row>
    <row r="2186" spans="1:9" s="47" customFormat="1" ht="14.4" x14ac:dyDescent="0.3">
      <c r="A2186"/>
      <c r="B2186"/>
      <c r="C2186"/>
      <c r="D2186"/>
      <c r="E2186"/>
      <c r="F2186"/>
      <c r="G2186"/>
      <c r="H2186"/>
      <c r="I2186"/>
    </row>
    <row r="2187" spans="1:9" s="47" customFormat="1" ht="14.4" x14ac:dyDescent="0.3">
      <c r="A2187"/>
      <c r="B2187"/>
      <c r="C2187"/>
      <c r="D2187"/>
      <c r="E2187"/>
      <c r="F2187"/>
      <c r="G2187"/>
      <c r="H2187"/>
      <c r="I2187"/>
    </row>
    <row r="2188" spans="1:9" s="47" customFormat="1" ht="14.4" x14ac:dyDescent="0.3">
      <c r="A2188"/>
      <c r="B2188"/>
      <c r="C2188"/>
      <c r="D2188"/>
      <c r="E2188"/>
      <c r="F2188"/>
      <c r="G2188"/>
      <c r="H2188"/>
      <c r="I2188"/>
    </row>
    <row r="2189" spans="1:9" s="47" customFormat="1" ht="14.4" x14ac:dyDescent="0.3">
      <c r="A2189"/>
      <c r="B2189"/>
      <c r="C2189"/>
      <c r="D2189"/>
      <c r="E2189"/>
      <c r="F2189"/>
      <c r="G2189"/>
      <c r="H2189"/>
      <c r="I2189"/>
    </row>
    <row r="2190" spans="1:9" s="47" customFormat="1" ht="14.4" x14ac:dyDescent="0.3">
      <c r="A2190"/>
      <c r="B2190"/>
      <c r="C2190"/>
      <c r="D2190"/>
      <c r="E2190"/>
      <c r="F2190"/>
      <c r="G2190"/>
      <c r="H2190"/>
      <c r="I2190"/>
    </row>
    <row r="2191" spans="1:9" s="47" customFormat="1" ht="14.4" x14ac:dyDescent="0.3">
      <c r="A2191"/>
      <c r="B2191"/>
      <c r="C2191"/>
      <c r="D2191"/>
      <c r="E2191"/>
      <c r="F2191"/>
      <c r="G2191"/>
      <c r="H2191"/>
      <c r="I2191"/>
    </row>
    <row r="2192" spans="1:9" s="47" customFormat="1" ht="14.4" x14ac:dyDescent="0.3">
      <c r="A2192"/>
      <c r="B2192"/>
      <c r="C2192"/>
      <c r="D2192"/>
      <c r="E2192"/>
      <c r="F2192"/>
      <c r="G2192"/>
      <c r="H2192"/>
      <c r="I2192"/>
    </row>
    <row r="2193" spans="1:9" s="47" customFormat="1" ht="14.4" x14ac:dyDescent="0.3">
      <c r="A2193"/>
      <c r="B2193"/>
      <c r="C2193"/>
      <c r="D2193"/>
      <c r="E2193"/>
      <c r="F2193"/>
      <c r="G2193"/>
      <c r="H2193"/>
      <c r="I2193"/>
    </row>
    <row r="2194" spans="1:9" s="47" customFormat="1" ht="14.4" x14ac:dyDescent="0.3">
      <c r="A2194"/>
      <c r="B2194"/>
      <c r="C2194"/>
      <c r="D2194"/>
      <c r="E2194"/>
      <c r="F2194"/>
      <c r="G2194"/>
      <c r="H2194"/>
      <c r="I2194"/>
    </row>
    <row r="2195" spans="1:9" s="47" customFormat="1" ht="14.4" x14ac:dyDescent="0.3">
      <c r="A2195"/>
      <c r="B2195"/>
      <c r="C2195"/>
      <c r="D2195"/>
      <c r="E2195"/>
      <c r="F2195"/>
      <c r="G2195"/>
      <c r="H2195"/>
      <c r="I2195"/>
    </row>
    <row r="2196" spans="1:9" s="47" customFormat="1" ht="14.4" x14ac:dyDescent="0.3">
      <c r="A2196"/>
      <c r="B2196"/>
      <c r="C2196"/>
      <c r="D2196"/>
      <c r="E2196"/>
      <c r="F2196"/>
      <c r="G2196"/>
      <c r="H2196"/>
      <c r="I2196"/>
    </row>
    <row r="2197" spans="1:9" s="47" customFormat="1" ht="14.4" x14ac:dyDescent="0.3">
      <c r="A2197"/>
      <c r="B2197"/>
      <c r="C2197"/>
      <c r="D2197"/>
      <c r="E2197"/>
      <c r="F2197"/>
      <c r="G2197"/>
      <c r="H2197"/>
      <c r="I2197"/>
    </row>
    <row r="2198" spans="1:9" s="47" customFormat="1" ht="14.4" x14ac:dyDescent="0.3">
      <c r="A2198"/>
      <c r="B2198"/>
      <c r="C2198"/>
      <c r="D2198"/>
      <c r="E2198"/>
      <c r="F2198"/>
      <c r="G2198"/>
      <c r="H2198"/>
      <c r="I2198"/>
    </row>
    <row r="2199" spans="1:9" s="47" customFormat="1" ht="14.4" x14ac:dyDescent="0.3">
      <c r="A2199"/>
      <c r="B2199"/>
      <c r="C2199"/>
      <c r="D2199"/>
      <c r="E2199"/>
      <c r="F2199"/>
      <c r="G2199"/>
      <c r="H2199"/>
      <c r="I2199"/>
    </row>
    <row r="2200" spans="1:9" s="47" customFormat="1" ht="14.4" x14ac:dyDescent="0.3">
      <c r="A2200"/>
      <c r="B2200"/>
      <c r="C2200"/>
      <c r="D2200"/>
      <c r="E2200"/>
      <c r="F2200"/>
      <c r="G2200"/>
      <c r="H2200"/>
      <c r="I2200"/>
    </row>
    <row r="2201" spans="1:9" s="47" customFormat="1" ht="14.4" x14ac:dyDescent="0.3">
      <c r="A2201"/>
      <c r="B2201"/>
      <c r="C2201"/>
      <c r="D2201"/>
      <c r="E2201"/>
      <c r="F2201"/>
      <c r="G2201"/>
      <c r="H2201"/>
      <c r="I2201"/>
    </row>
    <row r="2202" spans="1:9" s="47" customFormat="1" ht="14.4" x14ac:dyDescent="0.3">
      <c r="A2202"/>
      <c r="B2202"/>
      <c r="C2202"/>
      <c r="D2202"/>
      <c r="E2202"/>
      <c r="F2202"/>
      <c r="G2202"/>
      <c r="H2202"/>
      <c r="I2202"/>
    </row>
    <row r="2203" spans="1:9" s="47" customFormat="1" ht="14.4" x14ac:dyDescent="0.3">
      <c r="A2203"/>
      <c r="B2203"/>
      <c r="C2203"/>
      <c r="D2203"/>
      <c r="E2203"/>
      <c r="F2203"/>
      <c r="G2203"/>
      <c r="H2203"/>
      <c r="I2203"/>
    </row>
    <row r="2204" spans="1:9" s="47" customFormat="1" ht="14.4" x14ac:dyDescent="0.3">
      <c r="A2204"/>
      <c r="B2204"/>
      <c r="C2204"/>
      <c r="D2204"/>
      <c r="E2204"/>
      <c r="F2204"/>
      <c r="G2204"/>
      <c r="H2204"/>
      <c r="I2204"/>
    </row>
    <row r="2205" spans="1:9" s="47" customFormat="1" ht="14.4" x14ac:dyDescent="0.3">
      <c r="A2205"/>
      <c r="B2205"/>
      <c r="C2205"/>
      <c r="D2205"/>
      <c r="E2205"/>
      <c r="F2205"/>
      <c r="G2205"/>
      <c r="H2205"/>
      <c r="I2205"/>
    </row>
    <row r="2206" spans="1:9" s="47" customFormat="1" ht="14.4" x14ac:dyDescent="0.3">
      <c r="A2206"/>
      <c r="B2206"/>
      <c r="C2206"/>
      <c r="D2206"/>
      <c r="E2206"/>
      <c r="F2206"/>
      <c r="G2206"/>
      <c r="H2206"/>
      <c r="I2206"/>
    </row>
    <row r="2207" spans="1:9" s="47" customFormat="1" ht="14.4" x14ac:dyDescent="0.3">
      <c r="A2207"/>
      <c r="B2207"/>
      <c r="C2207"/>
      <c r="D2207"/>
      <c r="E2207"/>
      <c r="F2207"/>
      <c r="G2207"/>
      <c r="H2207"/>
      <c r="I2207"/>
    </row>
    <row r="2208" spans="1:9" s="47" customFormat="1" ht="14.4" x14ac:dyDescent="0.3">
      <c r="A2208"/>
      <c r="B2208"/>
      <c r="C2208"/>
      <c r="D2208"/>
      <c r="E2208"/>
      <c r="F2208"/>
      <c r="G2208"/>
      <c r="H2208"/>
      <c r="I2208"/>
    </row>
    <row r="2209" spans="1:9" s="47" customFormat="1" ht="14.4" x14ac:dyDescent="0.3">
      <c r="A2209"/>
      <c r="B2209"/>
      <c r="C2209"/>
      <c r="D2209"/>
      <c r="E2209"/>
      <c r="F2209"/>
      <c r="G2209"/>
      <c r="H2209"/>
      <c r="I2209"/>
    </row>
    <row r="2210" spans="1:9" s="47" customFormat="1" ht="14.4" x14ac:dyDescent="0.3">
      <c r="A2210"/>
      <c r="B2210"/>
      <c r="C2210"/>
      <c r="D2210"/>
      <c r="E2210"/>
      <c r="F2210"/>
      <c r="G2210"/>
      <c r="H2210"/>
      <c r="I2210"/>
    </row>
    <row r="2211" spans="1:9" s="47" customFormat="1" ht="14.4" x14ac:dyDescent="0.3">
      <c r="A2211"/>
      <c r="B2211"/>
      <c r="C2211"/>
      <c r="D2211"/>
      <c r="E2211"/>
      <c r="F2211"/>
      <c r="G2211"/>
      <c r="H2211"/>
      <c r="I2211"/>
    </row>
    <row r="2212" spans="1:9" s="47" customFormat="1" ht="14.4" x14ac:dyDescent="0.3">
      <c r="A2212"/>
      <c r="B2212"/>
      <c r="C2212"/>
      <c r="D2212"/>
      <c r="E2212"/>
      <c r="F2212"/>
      <c r="G2212"/>
      <c r="H2212"/>
      <c r="I2212"/>
    </row>
    <row r="2213" spans="1:9" s="47" customFormat="1" ht="14.4" x14ac:dyDescent="0.3">
      <c r="A2213"/>
      <c r="B2213"/>
      <c r="C2213"/>
      <c r="D2213"/>
      <c r="E2213"/>
      <c r="F2213"/>
      <c r="G2213"/>
      <c r="H2213"/>
      <c r="I2213"/>
    </row>
    <row r="2214" spans="1:9" s="47" customFormat="1" ht="14.4" x14ac:dyDescent="0.3">
      <c r="A2214"/>
      <c r="B2214"/>
      <c r="C2214"/>
      <c r="D2214"/>
      <c r="E2214"/>
      <c r="F2214"/>
      <c r="G2214"/>
      <c r="H2214"/>
      <c r="I2214"/>
    </row>
    <row r="2215" spans="1:9" s="47" customFormat="1" ht="14.4" x14ac:dyDescent="0.3">
      <c r="A2215"/>
      <c r="B2215"/>
      <c r="C2215"/>
      <c r="D2215"/>
      <c r="E2215"/>
      <c r="F2215"/>
      <c r="G2215"/>
      <c r="H2215"/>
      <c r="I2215"/>
    </row>
    <row r="2216" spans="1:9" s="47" customFormat="1" ht="14.4" x14ac:dyDescent="0.3">
      <c r="A2216"/>
      <c r="B2216"/>
      <c r="C2216"/>
      <c r="D2216"/>
      <c r="E2216"/>
      <c r="F2216"/>
      <c r="G2216"/>
      <c r="H2216"/>
      <c r="I2216"/>
    </row>
    <row r="2217" spans="1:9" s="47" customFormat="1" ht="14.4" x14ac:dyDescent="0.3">
      <c r="A2217"/>
      <c r="B2217"/>
      <c r="C2217"/>
      <c r="D2217"/>
      <c r="E2217"/>
      <c r="F2217"/>
      <c r="G2217"/>
      <c r="H2217"/>
      <c r="I2217"/>
    </row>
    <row r="2218" spans="1:9" s="47" customFormat="1" ht="14.4" x14ac:dyDescent="0.3">
      <c r="A2218"/>
      <c r="B2218"/>
      <c r="C2218"/>
      <c r="D2218"/>
      <c r="E2218"/>
      <c r="F2218"/>
      <c r="G2218"/>
      <c r="H2218"/>
      <c r="I2218"/>
    </row>
    <row r="2219" spans="1:9" s="47" customFormat="1" ht="14.4" x14ac:dyDescent="0.3">
      <c r="A2219"/>
      <c r="B2219"/>
      <c r="C2219"/>
      <c r="D2219"/>
      <c r="E2219"/>
      <c r="F2219"/>
      <c r="G2219"/>
      <c r="H2219"/>
      <c r="I2219"/>
    </row>
    <row r="2220" spans="1:9" s="47" customFormat="1" ht="14.4" x14ac:dyDescent="0.3">
      <c r="A2220"/>
      <c r="B2220"/>
      <c r="C2220"/>
      <c r="D2220"/>
      <c r="E2220"/>
      <c r="F2220"/>
      <c r="G2220"/>
      <c r="H2220"/>
      <c r="I2220"/>
    </row>
    <row r="2221" spans="1:9" s="47" customFormat="1" ht="14.4" x14ac:dyDescent="0.3">
      <c r="A2221"/>
      <c r="B2221"/>
      <c r="C2221"/>
      <c r="D2221"/>
      <c r="E2221"/>
      <c r="F2221"/>
      <c r="G2221"/>
      <c r="H2221"/>
      <c r="I2221"/>
    </row>
    <row r="2222" spans="1:9" s="47" customFormat="1" ht="14.4" x14ac:dyDescent="0.3">
      <c r="A2222"/>
      <c r="B2222"/>
      <c r="C2222"/>
      <c r="D2222"/>
      <c r="E2222"/>
      <c r="F2222"/>
      <c r="G2222"/>
      <c r="H2222"/>
      <c r="I2222"/>
    </row>
    <row r="2223" spans="1:9" s="47" customFormat="1" ht="14.4" x14ac:dyDescent="0.3">
      <c r="A2223"/>
      <c r="B2223"/>
      <c r="C2223"/>
      <c r="D2223"/>
      <c r="E2223"/>
      <c r="F2223"/>
      <c r="G2223"/>
      <c r="H2223"/>
      <c r="I2223"/>
    </row>
    <row r="2224" spans="1:9" s="47" customFormat="1" ht="14.4" x14ac:dyDescent="0.3">
      <c r="A2224"/>
      <c r="B2224"/>
      <c r="C2224"/>
      <c r="D2224"/>
      <c r="E2224"/>
      <c r="F2224"/>
      <c r="G2224"/>
      <c r="H2224"/>
      <c r="I2224"/>
    </row>
    <row r="2225" spans="1:9" s="47" customFormat="1" ht="14.4" x14ac:dyDescent="0.3">
      <c r="A2225"/>
      <c r="B2225"/>
      <c r="C2225"/>
      <c r="D2225"/>
      <c r="E2225"/>
      <c r="F2225"/>
      <c r="G2225"/>
      <c r="H2225"/>
      <c r="I2225"/>
    </row>
    <row r="2226" spans="1:9" s="47" customFormat="1" ht="14.4" x14ac:dyDescent="0.3">
      <c r="A2226"/>
      <c r="B2226"/>
      <c r="C2226"/>
      <c r="D2226"/>
      <c r="E2226"/>
      <c r="F2226"/>
      <c r="G2226"/>
      <c r="H2226"/>
      <c r="I2226"/>
    </row>
    <row r="2227" spans="1:9" s="47" customFormat="1" ht="14.4" x14ac:dyDescent="0.3">
      <c r="A2227"/>
      <c r="B2227"/>
      <c r="C2227"/>
      <c r="D2227"/>
      <c r="E2227"/>
      <c r="F2227"/>
      <c r="G2227"/>
      <c r="H2227"/>
      <c r="I2227"/>
    </row>
    <row r="2228" spans="1:9" s="47" customFormat="1" ht="14.4" x14ac:dyDescent="0.3">
      <c r="A2228"/>
      <c r="B2228"/>
      <c r="C2228"/>
      <c r="D2228"/>
      <c r="E2228"/>
      <c r="F2228"/>
      <c r="G2228"/>
      <c r="H2228"/>
      <c r="I2228"/>
    </row>
    <row r="2229" spans="1:9" s="47" customFormat="1" ht="14.4" x14ac:dyDescent="0.3">
      <c r="A2229"/>
      <c r="B2229"/>
      <c r="C2229"/>
      <c r="D2229"/>
      <c r="E2229"/>
      <c r="F2229"/>
      <c r="G2229"/>
      <c r="H2229"/>
      <c r="I2229"/>
    </row>
    <row r="2230" spans="1:9" s="47" customFormat="1" ht="14.4" x14ac:dyDescent="0.3">
      <c r="A2230"/>
      <c r="B2230"/>
      <c r="C2230"/>
      <c r="D2230"/>
      <c r="E2230"/>
      <c r="F2230"/>
      <c r="G2230"/>
      <c r="H2230"/>
      <c r="I2230"/>
    </row>
    <row r="2231" spans="1:9" s="47" customFormat="1" ht="14.4" x14ac:dyDescent="0.3">
      <c r="A2231"/>
      <c r="B2231"/>
      <c r="C2231"/>
      <c r="D2231"/>
      <c r="E2231"/>
      <c r="F2231"/>
      <c r="G2231"/>
      <c r="H2231"/>
      <c r="I2231"/>
    </row>
    <row r="2232" spans="1:9" s="47" customFormat="1" ht="14.4" x14ac:dyDescent="0.3">
      <c r="A2232"/>
      <c r="B2232"/>
      <c r="C2232"/>
      <c r="D2232"/>
      <c r="E2232"/>
      <c r="F2232"/>
      <c r="G2232"/>
      <c r="H2232"/>
      <c r="I2232"/>
    </row>
    <row r="2233" spans="1:9" s="47" customFormat="1" ht="14.4" x14ac:dyDescent="0.3">
      <c r="A2233"/>
      <c r="B2233"/>
      <c r="C2233"/>
      <c r="D2233"/>
      <c r="E2233"/>
      <c r="F2233"/>
      <c r="G2233"/>
      <c r="H2233"/>
      <c r="I2233"/>
    </row>
    <row r="2234" spans="1:9" s="47" customFormat="1" ht="14.4" x14ac:dyDescent="0.3">
      <c r="A2234"/>
      <c r="B2234"/>
      <c r="C2234"/>
      <c r="D2234"/>
      <c r="E2234"/>
      <c r="F2234"/>
      <c r="G2234"/>
      <c r="H2234"/>
      <c r="I2234"/>
    </row>
    <row r="2235" spans="1:9" s="47" customFormat="1" ht="14.4" x14ac:dyDescent="0.3">
      <c r="A2235"/>
      <c r="B2235"/>
      <c r="C2235"/>
      <c r="D2235"/>
      <c r="E2235"/>
      <c r="F2235"/>
      <c r="G2235"/>
      <c r="H2235"/>
      <c r="I2235"/>
    </row>
    <row r="2236" spans="1:9" s="47" customFormat="1" ht="14.4" x14ac:dyDescent="0.3">
      <c r="A2236"/>
      <c r="B2236"/>
      <c r="C2236"/>
      <c r="D2236"/>
      <c r="E2236"/>
      <c r="F2236"/>
      <c r="G2236"/>
      <c r="H2236"/>
      <c r="I2236"/>
    </row>
    <row r="2237" spans="1:9" s="47" customFormat="1" ht="14.4" x14ac:dyDescent="0.3">
      <c r="A2237"/>
      <c r="B2237"/>
      <c r="C2237"/>
      <c r="D2237"/>
      <c r="E2237"/>
      <c r="F2237"/>
      <c r="G2237"/>
      <c r="H2237"/>
      <c r="I2237"/>
    </row>
    <row r="2238" spans="1:9" s="47" customFormat="1" ht="14.4" x14ac:dyDescent="0.3">
      <c r="A2238"/>
      <c r="B2238"/>
      <c r="C2238"/>
      <c r="D2238"/>
      <c r="E2238"/>
      <c r="F2238"/>
      <c r="G2238"/>
      <c r="H2238"/>
      <c r="I2238"/>
    </row>
    <row r="2239" spans="1:9" s="47" customFormat="1" ht="14.4" x14ac:dyDescent="0.3">
      <c r="A2239"/>
      <c r="B2239"/>
      <c r="C2239"/>
      <c r="D2239"/>
      <c r="E2239"/>
      <c r="F2239"/>
      <c r="G2239"/>
      <c r="H2239"/>
      <c r="I2239"/>
    </row>
    <row r="2240" spans="1:9" s="47" customFormat="1" ht="14.4" x14ac:dyDescent="0.3">
      <c r="A2240"/>
      <c r="B2240"/>
      <c r="C2240"/>
      <c r="D2240"/>
      <c r="E2240"/>
      <c r="F2240"/>
      <c r="G2240"/>
      <c r="H2240"/>
      <c r="I2240"/>
    </row>
    <row r="2241" spans="1:9" s="47" customFormat="1" ht="14.4" x14ac:dyDescent="0.3">
      <c r="A2241"/>
      <c r="B2241"/>
      <c r="C2241"/>
      <c r="D2241"/>
      <c r="E2241"/>
      <c r="F2241"/>
      <c r="G2241"/>
      <c r="H2241"/>
      <c r="I2241"/>
    </row>
    <row r="2242" spans="1:9" s="47" customFormat="1" ht="14.4" x14ac:dyDescent="0.3">
      <c r="A2242"/>
      <c r="B2242"/>
      <c r="C2242"/>
      <c r="D2242"/>
      <c r="E2242"/>
      <c r="F2242"/>
      <c r="G2242"/>
      <c r="H2242"/>
      <c r="I2242"/>
    </row>
    <row r="2243" spans="1:9" s="47" customFormat="1" ht="14.4" x14ac:dyDescent="0.3">
      <c r="A2243"/>
      <c r="B2243"/>
      <c r="C2243"/>
      <c r="D2243"/>
      <c r="E2243"/>
      <c r="F2243"/>
      <c r="G2243"/>
      <c r="H2243"/>
      <c r="I2243"/>
    </row>
    <row r="2244" spans="1:9" s="47" customFormat="1" ht="14.4" x14ac:dyDescent="0.3">
      <c r="A2244"/>
      <c r="B2244"/>
      <c r="C2244"/>
      <c r="D2244"/>
      <c r="E2244"/>
      <c r="F2244"/>
      <c r="G2244"/>
      <c r="H2244"/>
      <c r="I2244"/>
    </row>
    <row r="2245" spans="1:9" s="47" customFormat="1" ht="14.4" x14ac:dyDescent="0.3">
      <c r="A2245"/>
      <c r="B2245"/>
      <c r="C2245"/>
      <c r="D2245"/>
      <c r="E2245"/>
      <c r="F2245"/>
      <c r="G2245"/>
      <c r="H2245"/>
      <c r="I2245"/>
    </row>
    <row r="2246" spans="1:9" s="47" customFormat="1" ht="14.4" x14ac:dyDescent="0.3">
      <c r="A2246"/>
      <c r="B2246"/>
      <c r="C2246"/>
      <c r="D2246"/>
      <c r="E2246"/>
      <c r="F2246"/>
      <c r="G2246"/>
      <c r="H2246"/>
      <c r="I2246"/>
    </row>
    <row r="2247" spans="1:9" s="47" customFormat="1" ht="14.4" x14ac:dyDescent="0.3">
      <c r="A2247"/>
      <c r="B2247"/>
      <c r="C2247"/>
      <c r="D2247"/>
      <c r="E2247"/>
      <c r="F2247"/>
      <c r="G2247"/>
      <c r="H2247"/>
      <c r="I2247"/>
    </row>
    <row r="2248" spans="1:9" s="47" customFormat="1" ht="14.4" x14ac:dyDescent="0.3">
      <c r="A2248"/>
      <c r="B2248"/>
      <c r="C2248"/>
      <c r="D2248"/>
      <c r="E2248"/>
      <c r="F2248"/>
      <c r="G2248"/>
      <c r="H2248"/>
      <c r="I2248"/>
    </row>
    <row r="2249" spans="1:9" s="47" customFormat="1" ht="14.4" x14ac:dyDescent="0.3">
      <c r="A2249"/>
      <c r="B2249"/>
      <c r="C2249"/>
      <c r="D2249"/>
      <c r="E2249"/>
      <c r="F2249"/>
      <c r="G2249"/>
      <c r="H2249"/>
      <c r="I2249"/>
    </row>
    <row r="2250" spans="1:9" s="47" customFormat="1" ht="14.4" x14ac:dyDescent="0.3">
      <c r="A2250"/>
      <c r="B2250"/>
      <c r="C2250"/>
      <c r="D2250"/>
      <c r="E2250"/>
      <c r="F2250"/>
      <c r="G2250"/>
      <c r="H2250"/>
      <c r="I2250"/>
    </row>
    <row r="2251" spans="1:9" s="47" customFormat="1" ht="14.4" x14ac:dyDescent="0.3">
      <c r="A2251"/>
      <c r="B2251"/>
      <c r="C2251"/>
      <c r="D2251"/>
      <c r="E2251"/>
      <c r="F2251"/>
      <c r="G2251"/>
      <c r="H2251"/>
      <c r="I2251"/>
    </row>
    <row r="2252" spans="1:9" s="47" customFormat="1" ht="14.4" x14ac:dyDescent="0.3">
      <c r="A2252"/>
      <c r="B2252"/>
      <c r="C2252"/>
      <c r="D2252"/>
      <c r="E2252"/>
      <c r="F2252"/>
      <c r="G2252"/>
      <c r="H2252"/>
      <c r="I2252"/>
    </row>
    <row r="2253" spans="1:9" s="47" customFormat="1" ht="14.4" x14ac:dyDescent="0.3">
      <c r="A2253"/>
      <c r="B2253"/>
      <c r="C2253"/>
      <c r="D2253"/>
      <c r="E2253"/>
      <c r="F2253"/>
      <c r="G2253"/>
      <c r="H2253"/>
      <c r="I2253"/>
    </row>
    <row r="2254" spans="1:9" s="47" customFormat="1" ht="14.4" x14ac:dyDescent="0.3">
      <c r="A2254"/>
      <c r="B2254"/>
      <c r="C2254"/>
      <c r="D2254"/>
      <c r="E2254"/>
      <c r="F2254"/>
      <c r="G2254"/>
      <c r="H2254"/>
      <c r="I2254"/>
    </row>
    <row r="2255" spans="1:9" s="47" customFormat="1" ht="14.4" x14ac:dyDescent="0.3">
      <c r="A2255"/>
      <c r="B2255"/>
      <c r="C2255"/>
      <c r="D2255"/>
      <c r="E2255"/>
      <c r="F2255"/>
      <c r="G2255"/>
      <c r="H2255"/>
      <c r="I2255"/>
    </row>
    <row r="2256" spans="1:9" s="47" customFormat="1" ht="14.4" x14ac:dyDescent="0.3">
      <c r="A2256"/>
      <c r="B2256"/>
      <c r="C2256"/>
      <c r="D2256"/>
      <c r="E2256"/>
      <c r="F2256"/>
      <c r="G2256"/>
      <c r="H2256"/>
      <c r="I2256"/>
    </row>
    <row r="2257" spans="1:9" s="47" customFormat="1" ht="14.4" x14ac:dyDescent="0.3">
      <c r="A2257"/>
      <c r="B2257"/>
      <c r="C2257"/>
      <c r="D2257"/>
      <c r="E2257"/>
      <c r="F2257"/>
      <c r="G2257"/>
      <c r="H2257"/>
      <c r="I2257"/>
    </row>
    <row r="2258" spans="1:9" s="47" customFormat="1" ht="14.4" x14ac:dyDescent="0.3">
      <c r="A2258"/>
      <c r="B2258"/>
      <c r="C2258"/>
      <c r="D2258"/>
      <c r="E2258"/>
      <c r="F2258"/>
      <c r="G2258"/>
      <c r="H2258"/>
      <c r="I2258"/>
    </row>
    <row r="2259" spans="1:9" s="47" customFormat="1" ht="14.4" x14ac:dyDescent="0.3">
      <c r="A2259"/>
      <c r="B2259"/>
      <c r="C2259"/>
      <c r="D2259"/>
      <c r="E2259"/>
      <c r="F2259"/>
      <c r="G2259"/>
      <c r="H2259"/>
      <c r="I2259"/>
    </row>
    <row r="2260" spans="1:9" s="47" customFormat="1" ht="14.4" x14ac:dyDescent="0.3">
      <c r="A2260"/>
      <c r="B2260"/>
      <c r="C2260"/>
      <c r="D2260"/>
      <c r="E2260"/>
      <c r="F2260"/>
      <c r="G2260"/>
      <c r="H2260"/>
      <c r="I2260"/>
    </row>
    <row r="2261" spans="1:9" s="47" customFormat="1" ht="14.4" x14ac:dyDescent="0.3">
      <c r="A2261"/>
      <c r="B2261"/>
      <c r="C2261"/>
      <c r="D2261"/>
      <c r="E2261"/>
      <c r="F2261"/>
      <c r="G2261"/>
      <c r="H2261"/>
      <c r="I2261"/>
    </row>
    <row r="2262" spans="1:9" s="47" customFormat="1" ht="14.4" x14ac:dyDescent="0.3">
      <c r="A2262"/>
      <c r="B2262"/>
      <c r="C2262"/>
      <c r="D2262"/>
      <c r="E2262"/>
      <c r="F2262"/>
      <c r="G2262"/>
      <c r="H2262"/>
      <c r="I2262"/>
    </row>
    <row r="2263" spans="1:9" s="47" customFormat="1" ht="14.4" x14ac:dyDescent="0.3">
      <c r="A2263"/>
      <c r="B2263"/>
      <c r="C2263"/>
      <c r="D2263"/>
      <c r="E2263"/>
      <c r="F2263"/>
      <c r="G2263"/>
      <c r="H2263"/>
      <c r="I2263"/>
    </row>
    <row r="2264" spans="1:9" s="47" customFormat="1" ht="14.4" x14ac:dyDescent="0.3">
      <c r="A2264"/>
      <c r="B2264"/>
      <c r="C2264"/>
      <c r="D2264"/>
      <c r="E2264"/>
      <c r="F2264"/>
      <c r="G2264"/>
      <c r="H2264"/>
      <c r="I2264"/>
    </row>
    <row r="2265" spans="1:9" s="47" customFormat="1" ht="14.4" x14ac:dyDescent="0.3">
      <c r="A2265"/>
      <c r="B2265"/>
      <c r="C2265"/>
      <c r="D2265"/>
      <c r="E2265"/>
      <c r="F2265"/>
      <c r="G2265"/>
      <c r="H2265"/>
      <c r="I2265"/>
    </row>
    <row r="2266" spans="1:9" s="47" customFormat="1" ht="14.4" x14ac:dyDescent="0.3">
      <c r="A2266"/>
      <c r="B2266"/>
      <c r="C2266"/>
      <c r="D2266"/>
      <c r="E2266"/>
      <c r="F2266"/>
      <c r="G2266"/>
      <c r="H2266"/>
      <c r="I2266"/>
    </row>
    <row r="2267" spans="1:9" s="47" customFormat="1" ht="14.4" x14ac:dyDescent="0.3">
      <c r="A2267"/>
      <c r="B2267"/>
      <c r="C2267"/>
      <c r="D2267"/>
      <c r="E2267"/>
      <c r="F2267"/>
      <c r="G2267"/>
      <c r="H2267"/>
      <c r="I2267"/>
    </row>
    <row r="2268" spans="1:9" s="47" customFormat="1" ht="14.4" x14ac:dyDescent="0.3">
      <c r="A2268"/>
      <c r="B2268"/>
      <c r="C2268"/>
      <c r="D2268"/>
      <c r="E2268"/>
      <c r="F2268"/>
      <c r="G2268"/>
      <c r="H2268"/>
      <c r="I2268"/>
    </row>
    <row r="2269" spans="1:9" s="47" customFormat="1" ht="14.4" x14ac:dyDescent="0.3">
      <c r="A2269"/>
      <c r="B2269"/>
      <c r="C2269"/>
      <c r="D2269"/>
      <c r="E2269"/>
      <c r="F2269"/>
      <c r="G2269"/>
      <c r="H2269"/>
      <c r="I2269"/>
    </row>
    <row r="2270" spans="1:9" s="47" customFormat="1" ht="14.4" x14ac:dyDescent="0.3">
      <c r="A2270"/>
      <c r="B2270"/>
      <c r="C2270"/>
      <c r="D2270"/>
      <c r="E2270"/>
      <c r="F2270"/>
      <c r="G2270"/>
      <c r="H2270"/>
      <c r="I2270"/>
    </row>
    <row r="2271" spans="1:9" s="47" customFormat="1" ht="14.4" x14ac:dyDescent="0.3">
      <c r="A2271"/>
      <c r="B2271"/>
      <c r="C2271"/>
      <c r="D2271"/>
      <c r="E2271"/>
      <c r="F2271"/>
      <c r="G2271"/>
      <c r="H2271"/>
      <c r="I2271"/>
    </row>
    <row r="2272" spans="1:9" s="47" customFormat="1" ht="14.4" x14ac:dyDescent="0.3">
      <c r="A2272"/>
      <c r="B2272"/>
      <c r="C2272"/>
      <c r="D2272"/>
      <c r="E2272"/>
      <c r="F2272"/>
      <c r="G2272"/>
      <c r="H2272"/>
      <c r="I2272"/>
    </row>
    <row r="2273" spans="1:9" s="47" customFormat="1" ht="14.4" x14ac:dyDescent="0.3">
      <c r="A2273"/>
      <c r="B2273"/>
      <c r="C2273"/>
      <c r="D2273"/>
      <c r="E2273"/>
      <c r="F2273"/>
      <c r="G2273"/>
      <c r="H2273"/>
      <c r="I2273"/>
    </row>
    <row r="2274" spans="1:9" s="47" customFormat="1" ht="14.4" x14ac:dyDescent="0.3">
      <c r="A2274"/>
      <c r="B2274"/>
      <c r="C2274"/>
      <c r="D2274"/>
      <c r="E2274"/>
      <c r="F2274"/>
      <c r="G2274"/>
      <c r="H2274"/>
      <c r="I2274"/>
    </row>
    <row r="2275" spans="1:9" s="47" customFormat="1" ht="14.4" x14ac:dyDescent="0.3">
      <c r="A2275"/>
      <c r="B2275"/>
      <c r="C2275"/>
      <c r="D2275"/>
      <c r="E2275"/>
      <c r="F2275"/>
      <c r="G2275"/>
      <c r="H2275"/>
      <c r="I2275"/>
    </row>
    <row r="2276" spans="1:9" s="47" customFormat="1" ht="14.4" x14ac:dyDescent="0.3">
      <c r="A2276"/>
      <c r="B2276"/>
      <c r="C2276"/>
      <c r="D2276"/>
      <c r="E2276"/>
      <c r="F2276"/>
      <c r="G2276"/>
      <c r="H2276"/>
      <c r="I2276"/>
    </row>
    <row r="2277" spans="1:9" s="47" customFormat="1" ht="14.4" x14ac:dyDescent="0.3">
      <c r="A2277"/>
      <c r="B2277"/>
      <c r="C2277"/>
      <c r="D2277"/>
      <c r="E2277"/>
      <c r="F2277"/>
      <c r="G2277"/>
      <c r="H2277"/>
      <c r="I2277"/>
    </row>
    <row r="2278" spans="1:9" s="47" customFormat="1" ht="14.4" x14ac:dyDescent="0.3">
      <c r="A2278"/>
      <c r="B2278"/>
      <c r="C2278"/>
      <c r="D2278"/>
      <c r="E2278"/>
      <c r="F2278"/>
      <c r="G2278"/>
      <c r="H2278"/>
      <c r="I2278"/>
    </row>
    <row r="2279" spans="1:9" s="47" customFormat="1" ht="14.4" x14ac:dyDescent="0.3">
      <c r="A2279"/>
      <c r="B2279"/>
      <c r="C2279"/>
      <c r="D2279"/>
      <c r="E2279"/>
      <c r="F2279"/>
      <c r="G2279"/>
      <c r="H2279"/>
      <c r="I2279"/>
    </row>
    <row r="2280" spans="1:9" s="47" customFormat="1" ht="14.4" x14ac:dyDescent="0.3">
      <c r="A2280"/>
      <c r="B2280"/>
      <c r="C2280"/>
      <c r="D2280"/>
      <c r="E2280"/>
      <c r="F2280"/>
      <c r="G2280"/>
      <c r="H2280"/>
      <c r="I2280"/>
    </row>
    <row r="2281" spans="1:9" s="47" customFormat="1" ht="14.4" x14ac:dyDescent="0.3">
      <c r="A2281"/>
      <c r="B2281"/>
      <c r="C2281"/>
      <c r="D2281"/>
      <c r="E2281"/>
      <c r="F2281"/>
      <c r="G2281"/>
      <c r="H2281"/>
      <c r="I2281"/>
    </row>
    <row r="2282" spans="1:9" s="47" customFormat="1" ht="14.4" x14ac:dyDescent="0.3">
      <c r="A2282"/>
      <c r="B2282"/>
      <c r="C2282"/>
      <c r="D2282"/>
      <c r="E2282"/>
      <c r="F2282"/>
      <c r="G2282"/>
      <c r="H2282"/>
      <c r="I2282"/>
    </row>
    <row r="2283" spans="1:9" s="47" customFormat="1" ht="14.4" x14ac:dyDescent="0.3">
      <c r="A2283"/>
      <c r="B2283"/>
      <c r="C2283"/>
      <c r="D2283"/>
      <c r="E2283"/>
      <c r="F2283"/>
      <c r="G2283"/>
      <c r="H2283"/>
      <c r="I2283"/>
    </row>
    <row r="2284" spans="1:9" s="47" customFormat="1" ht="14.4" x14ac:dyDescent="0.3">
      <c r="A2284"/>
      <c r="B2284"/>
      <c r="C2284"/>
      <c r="D2284"/>
      <c r="E2284"/>
      <c r="F2284"/>
      <c r="G2284"/>
      <c r="H2284"/>
      <c r="I2284"/>
    </row>
    <row r="2285" spans="1:9" s="47" customFormat="1" ht="14.4" x14ac:dyDescent="0.3">
      <c r="A2285"/>
      <c r="B2285"/>
      <c r="C2285"/>
      <c r="D2285"/>
      <c r="E2285"/>
      <c r="F2285"/>
      <c r="G2285"/>
      <c r="H2285"/>
      <c r="I2285"/>
    </row>
    <row r="2286" spans="1:9" s="47" customFormat="1" ht="14.4" x14ac:dyDescent="0.3">
      <c r="A2286"/>
      <c r="B2286"/>
      <c r="C2286"/>
      <c r="D2286"/>
      <c r="E2286"/>
      <c r="F2286"/>
      <c r="G2286"/>
      <c r="H2286"/>
      <c r="I2286"/>
    </row>
    <row r="2287" spans="1:9" s="47" customFormat="1" ht="14.4" x14ac:dyDescent="0.3">
      <c r="A2287"/>
      <c r="B2287"/>
      <c r="C2287"/>
      <c r="D2287"/>
      <c r="E2287"/>
      <c r="F2287"/>
      <c r="G2287"/>
      <c r="H2287"/>
      <c r="I2287"/>
    </row>
    <row r="2288" spans="1:9" s="47" customFormat="1" ht="14.4" x14ac:dyDescent="0.3">
      <c r="A2288"/>
      <c r="B2288"/>
      <c r="C2288"/>
      <c r="D2288"/>
      <c r="E2288"/>
      <c r="F2288"/>
      <c r="G2288"/>
      <c r="H2288"/>
      <c r="I2288"/>
    </row>
    <row r="2289" spans="1:9" s="47" customFormat="1" ht="14.4" x14ac:dyDescent="0.3">
      <c r="A2289"/>
      <c r="B2289"/>
      <c r="C2289"/>
      <c r="D2289"/>
      <c r="E2289"/>
      <c r="F2289"/>
      <c r="G2289"/>
      <c r="H2289"/>
      <c r="I2289"/>
    </row>
    <row r="2290" spans="1:9" s="47" customFormat="1" ht="14.4" x14ac:dyDescent="0.3">
      <c r="A2290"/>
      <c r="B2290"/>
      <c r="C2290"/>
      <c r="D2290"/>
      <c r="E2290"/>
      <c r="F2290"/>
      <c r="G2290"/>
      <c r="H2290"/>
      <c r="I2290"/>
    </row>
    <row r="2291" spans="1:9" s="47" customFormat="1" ht="14.4" x14ac:dyDescent="0.3">
      <c r="A2291"/>
      <c r="B2291"/>
      <c r="C2291"/>
      <c r="D2291"/>
      <c r="E2291"/>
      <c r="F2291"/>
      <c r="G2291"/>
      <c r="H2291"/>
      <c r="I2291"/>
    </row>
    <row r="2292" spans="1:9" s="47" customFormat="1" ht="14.4" x14ac:dyDescent="0.3">
      <c r="A2292"/>
      <c r="B2292"/>
      <c r="C2292"/>
      <c r="D2292"/>
      <c r="E2292"/>
      <c r="F2292"/>
      <c r="G2292"/>
      <c r="H2292"/>
      <c r="I2292"/>
    </row>
    <row r="2293" spans="1:9" s="47" customFormat="1" ht="14.4" x14ac:dyDescent="0.3">
      <c r="A2293"/>
      <c r="B2293"/>
      <c r="C2293"/>
      <c r="D2293"/>
      <c r="E2293"/>
      <c r="F2293"/>
      <c r="G2293"/>
      <c r="H2293"/>
      <c r="I2293"/>
    </row>
    <row r="2294" spans="1:9" s="47" customFormat="1" ht="14.4" x14ac:dyDescent="0.3">
      <c r="A2294"/>
      <c r="B2294"/>
      <c r="C2294"/>
      <c r="D2294"/>
      <c r="E2294"/>
      <c r="F2294"/>
      <c r="G2294"/>
      <c r="H2294"/>
      <c r="I2294"/>
    </row>
    <row r="2295" spans="1:9" s="47" customFormat="1" ht="14.4" x14ac:dyDescent="0.3">
      <c r="A2295"/>
      <c r="B2295"/>
      <c r="C2295"/>
      <c r="D2295"/>
      <c r="E2295"/>
      <c r="F2295"/>
      <c r="G2295"/>
      <c r="H2295"/>
      <c r="I2295"/>
    </row>
    <row r="2296" spans="1:9" s="47" customFormat="1" ht="14.4" x14ac:dyDescent="0.3">
      <c r="A2296"/>
      <c r="B2296"/>
      <c r="C2296"/>
      <c r="D2296"/>
      <c r="E2296"/>
      <c r="F2296"/>
      <c r="G2296"/>
      <c r="H2296"/>
      <c r="I2296"/>
    </row>
    <row r="2297" spans="1:9" s="47" customFormat="1" ht="14.4" x14ac:dyDescent="0.3">
      <c r="A2297"/>
      <c r="B2297"/>
      <c r="C2297"/>
      <c r="D2297"/>
      <c r="E2297"/>
      <c r="F2297"/>
      <c r="G2297"/>
      <c r="H2297"/>
      <c r="I2297"/>
    </row>
    <row r="2298" spans="1:9" s="47" customFormat="1" ht="14.4" x14ac:dyDescent="0.3">
      <c r="A2298"/>
      <c r="B2298"/>
      <c r="C2298"/>
      <c r="D2298"/>
      <c r="E2298"/>
      <c r="F2298"/>
      <c r="G2298"/>
      <c r="H2298"/>
      <c r="I2298"/>
    </row>
    <row r="2299" spans="1:9" s="47" customFormat="1" ht="14.4" x14ac:dyDescent="0.3">
      <c r="A2299"/>
      <c r="B2299"/>
      <c r="C2299"/>
      <c r="D2299"/>
      <c r="E2299"/>
      <c r="F2299"/>
      <c r="G2299"/>
      <c r="H2299"/>
      <c r="I2299"/>
    </row>
    <row r="2300" spans="1:9" s="47" customFormat="1" ht="14.4" x14ac:dyDescent="0.3">
      <c r="A2300"/>
      <c r="B2300"/>
      <c r="C2300"/>
      <c r="D2300"/>
      <c r="E2300"/>
      <c r="F2300"/>
      <c r="G2300"/>
      <c r="H2300"/>
      <c r="I2300"/>
    </row>
    <row r="2301" spans="1:9" s="47" customFormat="1" ht="14.4" x14ac:dyDescent="0.3">
      <c r="A2301"/>
      <c r="B2301"/>
      <c r="C2301"/>
      <c r="D2301"/>
      <c r="E2301"/>
      <c r="F2301"/>
      <c r="G2301"/>
      <c r="H2301"/>
      <c r="I2301"/>
    </row>
    <row r="2302" spans="1:9" s="47" customFormat="1" ht="14.4" x14ac:dyDescent="0.3">
      <c r="A2302"/>
      <c r="B2302"/>
      <c r="C2302"/>
      <c r="D2302"/>
      <c r="E2302"/>
      <c r="F2302"/>
      <c r="G2302"/>
      <c r="H2302"/>
      <c r="I2302"/>
    </row>
    <row r="2303" spans="1:9" s="47" customFormat="1" ht="14.4" x14ac:dyDescent="0.3">
      <c r="A2303"/>
      <c r="B2303"/>
      <c r="C2303"/>
      <c r="D2303"/>
      <c r="E2303"/>
      <c r="F2303"/>
      <c r="G2303"/>
      <c r="H2303"/>
      <c r="I2303"/>
    </row>
    <row r="2304" spans="1:9" s="47" customFormat="1" ht="14.4" x14ac:dyDescent="0.3">
      <c r="A2304"/>
      <c r="B2304"/>
      <c r="C2304"/>
      <c r="D2304"/>
      <c r="E2304"/>
      <c r="F2304"/>
      <c r="G2304"/>
      <c r="H2304"/>
      <c r="I2304"/>
    </row>
    <row r="2305" spans="1:9" s="47" customFormat="1" ht="14.4" x14ac:dyDescent="0.3">
      <c r="A2305"/>
      <c r="B2305"/>
      <c r="C2305"/>
      <c r="D2305"/>
      <c r="E2305"/>
      <c r="F2305"/>
      <c r="G2305"/>
      <c r="H2305"/>
      <c r="I2305"/>
    </row>
    <row r="2306" spans="1:9" s="47" customFormat="1" ht="14.4" x14ac:dyDescent="0.3">
      <c r="A2306"/>
      <c r="B2306"/>
      <c r="C2306"/>
      <c r="D2306"/>
      <c r="E2306"/>
      <c r="F2306"/>
      <c r="G2306"/>
      <c r="H2306"/>
      <c r="I2306"/>
    </row>
    <row r="2307" spans="1:9" s="47" customFormat="1" ht="14.4" x14ac:dyDescent="0.3">
      <c r="A2307"/>
      <c r="B2307"/>
      <c r="C2307"/>
      <c r="D2307"/>
      <c r="E2307"/>
      <c r="F2307"/>
      <c r="G2307"/>
      <c r="H2307"/>
      <c r="I2307"/>
    </row>
    <row r="2308" spans="1:9" s="47" customFormat="1" ht="14.4" x14ac:dyDescent="0.3">
      <c r="A2308"/>
      <c r="B2308"/>
      <c r="C2308"/>
      <c r="D2308"/>
      <c r="E2308"/>
      <c r="F2308"/>
      <c r="G2308"/>
      <c r="H2308"/>
      <c r="I2308"/>
    </row>
    <row r="2309" spans="1:9" s="47" customFormat="1" ht="14.4" x14ac:dyDescent="0.3">
      <c r="A2309"/>
      <c r="B2309"/>
      <c r="C2309"/>
      <c r="D2309"/>
      <c r="E2309"/>
      <c r="F2309"/>
      <c r="G2309"/>
      <c r="H2309"/>
      <c r="I2309"/>
    </row>
    <row r="2310" spans="1:9" s="47" customFormat="1" ht="14.4" x14ac:dyDescent="0.3">
      <c r="A2310"/>
      <c r="B2310"/>
      <c r="C2310"/>
      <c r="D2310"/>
      <c r="E2310"/>
      <c r="F2310"/>
      <c r="G2310"/>
      <c r="H2310"/>
      <c r="I2310"/>
    </row>
    <row r="2311" spans="1:9" s="47" customFormat="1" ht="14.4" x14ac:dyDescent="0.3">
      <c r="A2311"/>
      <c r="B2311"/>
      <c r="C2311"/>
      <c r="D2311"/>
      <c r="E2311"/>
      <c r="F2311"/>
      <c r="G2311"/>
      <c r="H2311"/>
      <c r="I2311"/>
    </row>
    <row r="2312" spans="1:9" s="47" customFormat="1" ht="14.4" x14ac:dyDescent="0.3">
      <c r="A2312"/>
      <c r="B2312"/>
      <c r="C2312"/>
      <c r="D2312"/>
      <c r="E2312"/>
      <c r="F2312"/>
      <c r="G2312"/>
      <c r="H2312"/>
      <c r="I2312"/>
    </row>
    <row r="2313" spans="1:9" s="47" customFormat="1" ht="14.4" x14ac:dyDescent="0.3">
      <c r="A2313"/>
      <c r="B2313"/>
      <c r="C2313"/>
      <c r="D2313"/>
      <c r="E2313"/>
      <c r="F2313"/>
      <c r="G2313"/>
      <c r="H2313"/>
      <c r="I2313"/>
    </row>
    <row r="2314" spans="1:9" s="47" customFormat="1" ht="14.4" x14ac:dyDescent="0.3">
      <c r="A2314"/>
      <c r="B2314"/>
      <c r="C2314"/>
      <c r="D2314"/>
      <c r="E2314"/>
      <c r="F2314"/>
      <c r="G2314"/>
      <c r="H2314"/>
      <c r="I2314"/>
    </row>
    <row r="2315" spans="1:9" s="47" customFormat="1" ht="14.4" x14ac:dyDescent="0.3">
      <c r="A2315"/>
      <c r="B2315"/>
      <c r="C2315"/>
      <c r="D2315"/>
      <c r="E2315"/>
      <c r="F2315"/>
      <c r="G2315"/>
      <c r="H2315"/>
      <c r="I2315"/>
    </row>
    <row r="2316" spans="1:9" s="47" customFormat="1" ht="14.4" x14ac:dyDescent="0.3">
      <c r="A2316"/>
      <c r="B2316"/>
      <c r="C2316"/>
      <c r="D2316"/>
      <c r="E2316"/>
      <c r="F2316"/>
      <c r="G2316"/>
      <c r="H2316"/>
      <c r="I2316"/>
    </row>
    <row r="2317" spans="1:9" s="47" customFormat="1" ht="14.4" x14ac:dyDescent="0.3">
      <c r="A2317"/>
      <c r="B2317"/>
      <c r="C2317"/>
      <c r="D2317"/>
      <c r="E2317"/>
      <c r="F2317"/>
      <c r="G2317"/>
      <c r="H2317"/>
      <c r="I2317"/>
    </row>
    <row r="2318" spans="1:9" s="47" customFormat="1" ht="14.4" x14ac:dyDescent="0.3">
      <c r="A2318"/>
      <c r="B2318"/>
      <c r="C2318"/>
      <c r="D2318"/>
      <c r="E2318"/>
      <c r="F2318"/>
      <c r="G2318"/>
      <c r="H2318"/>
      <c r="I2318"/>
    </row>
    <row r="2319" spans="1:9" s="47" customFormat="1" ht="14.4" x14ac:dyDescent="0.3">
      <c r="A2319"/>
      <c r="B2319"/>
      <c r="C2319"/>
      <c r="D2319"/>
      <c r="E2319"/>
      <c r="F2319"/>
      <c r="G2319"/>
      <c r="H2319"/>
      <c r="I2319"/>
    </row>
    <row r="2320" spans="1:9" s="47" customFormat="1" ht="14.4" x14ac:dyDescent="0.3">
      <c r="A2320"/>
      <c r="B2320"/>
      <c r="C2320"/>
      <c r="D2320"/>
      <c r="E2320"/>
      <c r="F2320"/>
      <c r="G2320"/>
      <c r="H2320"/>
      <c r="I2320"/>
    </row>
    <row r="2321" spans="1:9" s="47" customFormat="1" ht="14.4" x14ac:dyDescent="0.3">
      <c r="A2321"/>
      <c r="B2321"/>
      <c r="C2321"/>
      <c r="D2321"/>
      <c r="E2321"/>
      <c r="F2321"/>
      <c r="G2321"/>
      <c r="H2321"/>
      <c r="I2321"/>
    </row>
    <row r="2322" spans="1:9" s="47" customFormat="1" ht="14.4" x14ac:dyDescent="0.3">
      <c r="A2322"/>
      <c r="B2322"/>
      <c r="C2322"/>
      <c r="D2322"/>
      <c r="E2322"/>
      <c r="F2322"/>
      <c r="G2322"/>
      <c r="H2322"/>
      <c r="I2322"/>
    </row>
    <row r="2323" spans="1:9" s="47" customFormat="1" ht="14.4" x14ac:dyDescent="0.3">
      <c r="A2323"/>
      <c r="B2323"/>
      <c r="C2323"/>
      <c r="D2323"/>
      <c r="E2323"/>
      <c r="F2323"/>
      <c r="G2323"/>
      <c r="H2323"/>
      <c r="I2323"/>
    </row>
    <row r="2324" spans="1:9" s="47" customFormat="1" ht="14.4" x14ac:dyDescent="0.3">
      <c r="A2324"/>
      <c r="B2324"/>
      <c r="C2324"/>
      <c r="D2324"/>
      <c r="E2324"/>
      <c r="F2324"/>
      <c r="G2324"/>
      <c r="H2324"/>
      <c r="I2324"/>
    </row>
    <row r="2325" spans="1:9" s="47" customFormat="1" ht="14.4" x14ac:dyDescent="0.3">
      <c r="A2325"/>
      <c r="B2325"/>
      <c r="C2325"/>
      <c r="D2325"/>
      <c r="E2325"/>
      <c r="F2325"/>
      <c r="G2325"/>
      <c r="H2325"/>
      <c r="I2325"/>
    </row>
    <row r="2326" spans="1:9" s="47" customFormat="1" ht="14.4" x14ac:dyDescent="0.3">
      <c r="A2326"/>
      <c r="B2326"/>
      <c r="C2326"/>
      <c r="D2326"/>
      <c r="E2326"/>
      <c r="F2326"/>
      <c r="G2326"/>
      <c r="H2326"/>
      <c r="I2326"/>
    </row>
    <row r="2327" spans="1:9" s="47" customFormat="1" ht="14.4" x14ac:dyDescent="0.3">
      <c r="A2327"/>
      <c r="B2327"/>
      <c r="C2327"/>
      <c r="D2327"/>
      <c r="E2327"/>
      <c r="F2327"/>
      <c r="G2327"/>
      <c r="H2327"/>
      <c r="I2327"/>
    </row>
    <row r="2328" spans="1:9" s="47" customFormat="1" ht="14.4" x14ac:dyDescent="0.3">
      <c r="A2328"/>
      <c r="B2328"/>
      <c r="C2328"/>
      <c r="D2328"/>
      <c r="E2328"/>
      <c r="F2328"/>
      <c r="G2328"/>
      <c r="H2328"/>
      <c r="I2328"/>
    </row>
    <row r="2329" spans="1:9" s="47" customFormat="1" ht="14.4" x14ac:dyDescent="0.3">
      <c r="A2329"/>
      <c r="B2329"/>
      <c r="C2329"/>
      <c r="D2329"/>
      <c r="E2329"/>
      <c r="F2329"/>
      <c r="G2329"/>
      <c r="H2329"/>
      <c r="I2329"/>
    </row>
    <row r="2330" spans="1:9" s="47" customFormat="1" ht="14.4" x14ac:dyDescent="0.3">
      <c r="A2330"/>
      <c r="B2330"/>
      <c r="C2330"/>
      <c r="D2330"/>
      <c r="E2330"/>
      <c r="F2330"/>
      <c r="G2330"/>
      <c r="H2330"/>
      <c r="I2330"/>
    </row>
    <row r="2331" spans="1:9" s="47" customFormat="1" ht="14.4" x14ac:dyDescent="0.3">
      <c r="A2331"/>
      <c r="B2331"/>
      <c r="C2331"/>
      <c r="D2331"/>
      <c r="E2331"/>
      <c r="F2331"/>
      <c r="G2331"/>
      <c r="H2331"/>
      <c r="I2331"/>
    </row>
    <row r="2332" spans="1:9" s="47" customFormat="1" ht="14.4" x14ac:dyDescent="0.3">
      <c r="A2332"/>
      <c r="B2332"/>
      <c r="C2332"/>
      <c r="D2332"/>
      <c r="E2332"/>
      <c r="F2332"/>
      <c r="G2332"/>
      <c r="H2332"/>
      <c r="I2332"/>
    </row>
    <row r="2333" spans="1:9" s="47" customFormat="1" ht="14.4" x14ac:dyDescent="0.3">
      <c r="A2333"/>
      <c r="B2333"/>
      <c r="C2333"/>
      <c r="D2333"/>
      <c r="E2333"/>
      <c r="F2333"/>
      <c r="G2333"/>
      <c r="H2333"/>
      <c r="I2333"/>
    </row>
    <row r="2334" spans="1:9" s="47" customFormat="1" ht="14.4" x14ac:dyDescent="0.3">
      <c r="A2334"/>
      <c r="B2334"/>
      <c r="C2334"/>
      <c r="D2334"/>
      <c r="E2334"/>
      <c r="F2334"/>
      <c r="G2334"/>
      <c r="H2334"/>
      <c r="I2334"/>
    </row>
    <row r="2335" spans="1:9" s="47" customFormat="1" ht="14.4" x14ac:dyDescent="0.3">
      <c r="A2335"/>
      <c r="B2335"/>
      <c r="C2335"/>
      <c r="D2335"/>
      <c r="E2335"/>
      <c r="F2335"/>
      <c r="G2335"/>
      <c r="H2335"/>
      <c r="I2335"/>
    </row>
    <row r="2336" spans="1:9" s="47" customFormat="1" ht="14.4" x14ac:dyDescent="0.3">
      <c r="A2336"/>
      <c r="B2336"/>
      <c r="C2336"/>
      <c r="D2336"/>
      <c r="E2336"/>
      <c r="F2336"/>
      <c r="G2336"/>
      <c r="H2336"/>
      <c r="I2336"/>
    </row>
    <row r="2337" spans="1:9" s="47" customFormat="1" ht="14.4" x14ac:dyDescent="0.3">
      <c r="A2337"/>
      <c r="B2337"/>
      <c r="C2337"/>
      <c r="D2337"/>
      <c r="E2337"/>
      <c r="F2337"/>
      <c r="G2337"/>
      <c r="H2337"/>
      <c r="I2337"/>
    </row>
    <row r="2338" spans="1:9" s="47" customFormat="1" ht="14.4" x14ac:dyDescent="0.3">
      <c r="A2338"/>
      <c r="B2338"/>
      <c r="C2338"/>
      <c r="D2338"/>
      <c r="E2338"/>
      <c r="F2338"/>
      <c r="G2338"/>
      <c r="H2338"/>
      <c r="I2338"/>
    </row>
    <row r="2339" spans="1:9" s="47" customFormat="1" ht="14.4" x14ac:dyDescent="0.3">
      <c r="A2339"/>
      <c r="B2339"/>
      <c r="C2339"/>
      <c r="D2339"/>
      <c r="E2339"/>
      <c r="F2339"/>
      <c r="G2339"/>
      <c r="H2339"/>
      <c r="I2339"/>
    </row>
    <row r="2340" spans="1:9" s="47" customFormat="1" ht="14.4" x14ac:dyDescent="0.3">
      <c r="A2340"/>
      <c r="B2340"/>
      <c r="C2340"/>
      <c r="D2340"/>
      <c r="E2340"/>
      <c r="F2340"/>
      <c r="G2340"/>
      <c r="H2340"/>
      <c r="I2340"/>
    </row>
    <row r="2341" spans="1:9" s="47" customFormat="1" ht="14.4" x14ac:dyDescent="0.3">
      <c r="A2341"/>
      <c r="B2341"/>
      <c r="C2341"/>
      <c r="D2341"/>
      <c r="E2341"/>
      <c r="F2341"/>
      <c r="G2341"/>
      <c r="H2341"/>
      <c r="I2341"/>
    </row>
    <row r="2342" spans="1:9" s="47" customFormat="1" ht="14.4" x14ac:dyDescent="0.3">
      <c r="A2342"/>
      <c r="B2342"/>
      <c r="C2342"/>
      <c r="D2342"/>
      <c r="E2342"/>
      <c r="F2342"/>
      <c r="G2342"/>
      <c r="H2342"/>
      <c r="I2342"/>
    </row>
    <row r="2343" spans="1:9" s="47" customFormat="1" ht="14.4" x14ac:dyDescent="0.3">
      <c r="A2343"/>
      <c r="B2343"/>
      <c r="C2343"/>
      <c r="D2343"/>
      <c r="E2343"/>
      <c r="F2343"/>
      <c r="G2343"/>
      <c r="H2343"/>
      <c r="I2343"/>
    </row>
    <row r="2344" spans="1:9" s="47" customFormat="1" ht="14.4" x14ac:dyDescent="0.3">
      <c r="A2344"/>
      <c r="B2344"/>
      <c r="C2344"/>
      <c r="D2344"/>
      <c r="E2344"/>
      <c r="F2344"/>
      <c r="G2344"/>
      <c r="H2344"/>
      <c r="I2344"/>
    </row>
    <row r="2345" spans="1:9" s="47" customFormat="1" ht="14.4" x14ac:dyDescent="0.3">
      <c r="A2345"/>
      <c r="B2345"/>
      <c r="C2345"/>
      <c r="D2345"/>
      <c r="E2345"/>
      <c r="F2345"/>
      <c r="G2345"/>
      <c r="H2345"/>
      <c r="I2345"/>
    </row>
    <row r="2346" spans="1:9" s="47" customFormat="1" ht="14.4" x14ac:dyDescent="0.3">
      <c r="A2346"/>
      <c r="B2346"/>
      <c r="C2346"/>
      <c r="D2346"/>
      <c r="E2346"/>
      <c r="F2346"/>
      <c r="G2346"/>
      <c r="H2346"/>
      <c r="I2346"/>
    </row>
    <row r="2347" spans="1:9" s="47" customFormat="1" ht="14.4" x14ac:dyDescent="0.3">
      <c r="A2347"/>
      <c r="B2347"/>
      <c r="C2347"/>
      <c r="D2347"/>
      <c r="E2347"/>
      <c r="F2347"/>
      <c r="G2347"/>
      <c r="H2347"/>
      <c r="I2347"/>
    </row>
    <row r="2348" spans="1:9" s="47" customFormat="1" ht="14.4" x14ac:dyDescent="0.3">
      <c r="A2348"/>
      <c r="B2348"/>
      <c r="C2348"/>
      <c r="D2348"/>
      <c r="E2348"/>
      <c r="F2348"/>
      <c r="G2348"/>
      <c r="H2348"/>
      <c r="I2348"/>
    </row>
    <row r="2349" spans="1:9" s="47" customFormat="1" ht="14.4" x14ac:dyDescent="0.3">
      <c r="A2349"/>
      <c r="B2349"/>
      <c r="C2349"/>
      <c r="D2349"/>
      <c r="E2349"/>
      <c r="F2349"/>
      <c r="G2349"/>
      <c r="H2349"/>
      <c r="I2349"/>
    </row>
    <row r="2350" spans="1:9" s="47" customFormat="1" ht="14.4" x14ac:dyDescent="0.3">
      <c r="A2350"/>
      <c r="B2350"/>
      <c r="C2350"/>
      <c r="D2350"/>
      <c r="E2350"/>
      <c r="F2350"/>
      <c r="G2350"/>
      <c r="H2350"/>
      <c r="I2350"/>
    </row>
    <row r="2351" spans="1:9" s="47" customFormat="1" ht="14.4" x14ac:dyDescent="0.3">
      <c r="A2351"/>
      <c r="B2351"/>
      <c r="C2351"/>
      <c r="D2351"/>
      <c r="E2351"/>
      <c r="F2351"/>
      <c r="G2351"/>
      <c r="H2351"/>
      <c r="I2351"/>
    </row>
    <row r="2352" spans="1:9" s="47" customFormat="1" ht="14.4" x14ac:dyDescent="0.3">
      <c r="A2352"/>
      <c r="B2352"/>
      <c r="C2352"/>
      <c r="D2352"/>
      <c r="E2352"/>
      <c r="F2352"/>
      <c r="G2352"/>
      <c r="H2352"/>
      <c r="I2352"/>
    </row>
    <row r="2353" spans="1:9" s="47" customFormat="1" ht="14.4" x14ac:dyDescent="0.3">
      <c r="A2353"/>
      <c r="B2353"/>
      <c r="C2353"/>
      <c r="D2353"/>
      <c r="E2353"/>
      <c r="F2353"/>
      <c r="G2353"/>
      <c r="H2353"/>
      <c r="I2353"/>
    </row>
    <row r="2354" spans="1:9" s="47" customFormat="1" ht="14.4" x14ac:dyDescent="0.3">
      <c r="A2354"/>
      <c r="B2354"/>
      <c r="C2354"/>
      <c r="D2354"/>
      <c r="E2354"/>
      <c r="F2354"/>
      <c r="G2354"/>
      <c r="H2354"/>
      <c r="I2354"/>
    </row>
    <row r="2355" spans="1:9" s="47" customFormat="1" ht="14.4" x14ac:dyDescent="0.3">
      <c r="A2355"/>
      <c r="B2355"/>
      <c r="C2355"/>
      <c r="D2355"/>
      <c r="E2355"/>
      <c r="F2355"/>
      <c r="G2355"/>
      <c r="H2355"/>
      <c r="I2355"/>
    </row>
    <row r="2356" spans="1:9" s="47" customFormat="1" ht="14.4" x14ac:dyDescent="0.3">
      <c r="A2356"/>
      <c r="B2356"/>
      <c r="C2356"/>
      <c r="D2356"/>
      <c r="E2356"/>
      <c r="F2356"/>
      <c r="G2356"/>
      <c r="H2356"/>
      <c r="I2356"/>
    </row>
    <row r="2357" spans="1:9" s="47" customFormat="1" ht="14.4" x14ac:dyDescent="0.3">
      <c r="A2357"/>
      <c r="B2357"/>
      <c r="C2357"/>
      <c r="D2357"/>
      <c r="E2357"/>
      <c r="F2357"/>
      <c r="G2357"/>
      <c r="H2357"/>
      <c r="I2357"/>
    </row>
    <row r="2358" spans="1:9" s="47" customFormat="1" ht="14.4" x14ac:dyDescent="0.3">
      <c r="A2358"/>
      <c r="B2358"/>
      <c r="C2358"/>
      <c r="D2358"/>
      <c r="E2358"/>
      <c r="F2358"/>
      <c r="G2358"/>
      <c r="H2358"/>
      <c r="I2358"/>
    </row>
    <row r="2359" spans="1:9" s="47" customFormat="1" ht="14.4" x14ac:dyDescent="0.3">
      <c r="A2359"/>
      <c r="B2359"/>
      <c r="C2359"/>
      <c r="D2359"/>
      <c r="E2359"/>
      <c r="F2359"/>
      <c r="G2359"/>
      <c r="H2359"/>
      <c r="I2359"/>
    </row>
    <row r="2360" spans="1:9" s="47" customFormat="1" ht="14.4" x14ac:dyDescent="0.3">
      <c r="A2360"/>
      <c r="B2360"/>
      <c r="C2360"/>
      <c r="D2360"/>
      <c r="E2360"/>
      <c r="F2360"/>
      <c r="G2360"/>
      <c r="H2360"/>
      <c r="I2360"/>
    </row>
    <row r="2361" spans="1:9" s="47" customFormat="1" ht="14.4" x14ac:dyDescent="0.3">
      <c r="A2361"/>
      <c r="B2361"/>
      <c r="C2361"/>
      <c r="D2361"/>
      <c r="E2361"/>
      <c r="F2361"/>
      <c r="G2361"/>
      <c r="H2361"/>
      <c r="I2361"/>
    </row>
    <row r="2362" spans="1:9" s="47" customFormat="1" ht="14.4" x14ac:dyDescent="0.3">
      <c r="A2362"/>
      <c r="B2362"/>
      <c r="C2362"/>
      <c r="D2362"/>
      <c r="E2362"/>
      <c r="F2362"/>
      <c r="G2362"/>
      <c r="H2362"/>
      <c r="I2362"/>
    </row>
    <row r="2363" spans="1:9" s="47" customFormat="1" ht="14.4" x14ac:dyDescent="0.3">
      <c r="A2363"/>
      <c r="B2363"/>
      <c r="C2363"/>
      <c r="D2363"/>
      <c r="E2363"/>
      <c r="F2363"/>
      <c r="G2363"/>
      <c r="H2363"/>
      <c r="I2363"/>
    </row>
    <row r="2364" spans="1:9" s="47" customFormat="1" ht="14.4" x14ac:dyDescent="0.3">
      <c r="A2364"/>
      <c r="B2364"/>
      <c r="C2364"/>
      <c r="D2364"/>
      <c r="E2364"/>
      <c r="F2364"/>
      <c r="G2364"/>
      <c r="H2364"/>
      <c r="I2364"/>
    </row>
    <row r="2365" spans="1:9" s="47" customFormat="1" ht="14.4" x14ac:dyDescent="0.3">
      <c r="A2365"/>
      <c r="B2365"/>
      <c r="C2365"/>
      <c r="D2365"/>
      <c r="E2365"/>
      <c r="F2365"/>
      <c r="G2365"/>
      <c r="H2365"/>
      <c r="I2365"/>
    </row>
    <row r="2366" spans="1:9" s="47" customFormat="1" ht="14.4" x14ac:dyDescent="0.3">
      <c r="A2366"/>
      <c r="B2366"/>
      <c r="C2366"/>
      <c r="D2366"/>
      <c r="E2366"/>
      <c r="F2366"/>
      <c r="G2366"/>
      <c r="H2366"/>
      <c r="I2366"/>
    </row>
    <row r="2367" spans="1:9" s="47" customFormat="1" ht="14.4" x14ac:dyDescent="0.3">
      <c r="A2367"/>
      <c r="B2367"/>
      <c r="C2367"/>
      <c r="D2367"/>
      <c r="E2367"/>
      <c r="F2367"/>
      <c r="G2367"/>
      <c r="H2367"/>
      <c r="I2367"/>
    </row>
    <row r="2368" spans="1:9" s="47" customFormat="1" ht="14.4" x14ac:dyDescent="0.3">
      <c r="A2368"/>
      <c r="B2368"/>
      <c r="C2368"/>
      <c r="D2368"/>
      <c r="E2368"/>
      <c r="F2368"/>
      <c r="G2368"/>
      <c r="H2368"/>
      <c r="I2368"/>
    </row>
    <row r="2369" spans="1:9" s="47" customFormat="1" ht="14.4" x14ac:dyDescent="0.3">
      <c r="A2369"/>
      <c r="B2369"/>
      <c r="C2369"/>
      <c r="D2369"/>
      <c r="E2369"/>
      <c r="F2369"/>
      <c r="G2369"/>
      <c r="H2369"/>
      <c r="I2369"/>
    </row>
    <row r="2370" spans="1:9" s="47" customFormat="1" ht="14.4" x14ac:dyDescent="0.3">
      <c r="A2370"/>
      <c r="B2370"/>
      <c r="C2370"/>
      <c r="D2370"/>
      <c r="E2370"/>
      <c r="F2370"/>
      <c r="G2370"/>
      <c r="H2370"/>
      <c r="I2370"/>
    </row>
    <row r="2371" spans="1:9" s="47" customFormat="1" ht="14.4" x14ac:dyDescent="0.3">
      <c r="A2371"/>
      <c r="B2371"/>
      <c r="C2371"/>
      <c r="D2371"/>
      <c r="E2371"/>
      <c r="F2371"/>
      <c r="G2371"/>
      <c r="H2371"/>
      <c r="I2371"/>
    </row>
    <row r="2372" spans="1:9" s="47" customFormat="1" ht="14.4" x14ac:dyDescent="0.3">
      <c r="A2372"/>
      <c r="B2372"/>
      <c r="C2372"/>
      <c r="D2372"/>
      <c r="E2372"/>
      <c r="F2372"/>
      <c r="G2372"/>
      <c r="H2372"/>
      <c r="I2372"/>
    </row>
    <row r="2373" spans="1:9" s="47" customFormat="1" ht="14.4" x14ac:dyDescent="0.3">
      <c r="A2373"/>
      <c r="B2373"/>
      <c r="C2373"/>
      <c r="D2373"/>
      <c r="E2373"/>
      <c r="F2373"/>
      <c r="G2373"/>
      <c r="H2373"/>
      <c r="I2373"/>
    </row>
    <row r="2374" spans="1:9" s="47" customFormat="1" ht="14.4" x14ac:dyDescent="0.3">
      <c r="A2374"/>
      <c r="B2374"/>
      <c r="C2374"/>
      <c r="D2374"/>
      <c r="E2374"/>
      <c r="F2374"/>
      <c r="G2374"/>
      <c r="H2374"/>
      <c r="I2374"/>
    </row>
    <row r="2375" spans="1:9" s="47" customFormat="1" ht="14.4" x14ac:dyDescent="0.3">
      <c r="A2375"/>
      <c r="B2375"/>
      <c r="C2375"/>
      <c r="D2375"/>
      <c r="E2375"/>
      <c r="F2375"/>
      <c r="G2375"/>
      <c r="H2375"/>
      <c r="I2375"/>
    </row>
    <row r="2376" spans="1:9" s="47" customFormat="1" ht="14.4" x14ac:dyDescent="0.3">
      <c r="A2376"/>
      <c r="B2376"/>
      <c r="C2376"/>
      <c r="D2376"/>
      <c r="E2376"/>
      <c r="F2376"/>
      <c r="G2376"/>
      <c r="H2376"/>
      <c r="I2376"/>
    </row>
    <row r="2377" spans="1:9" s="47" customFormat="1" ht="14.4" x14ac:dyDescent="0.3">
      <c r="A2377"/>
      <c r="B2377"/>
      <c r="C2377"/>
      <c r="D2377"/>
      <c r="E2377"/>
      <c r="F2377"/>
      <c r="G2377"/>
      <c r="H2377"/>
      <c r="I2377"/>
    </row>
    <row r="2378" spans="1:9" s="47" customFormat="1" ht="14.4" x14ac:dyDescent="0.3">
      <c r="A2378"/>
      <c r="B2378"/>
      <c r="C2378"/>
      <c r="D2378"/>
      <c r="E2378"/>
      <c r="F2378"/>
      <c r="G2378"/>
      <c r="H2378"/>
      <c r="I2378"/>
    </row>
    <row r="2379" spans="1:9" s="47" customFormat="1" ht="14.4" x14ac:dyDescent="0.3">
      <c r="A2379"/>
      <c r="B2379"/>
      <c r="C2379"/>
      <c r="D2379"/>
      <c r="E2379"/>
      <c r="F2379"/>
      <c r="G2379"/>
      <c r="H2379"/>
      <c r="I2379"/>
    </row>
    <row r="2380" spans="1:9" s="47" customFormat="1" ht="14.4" x14ac:dyDescent="0.3">
      <c r="A2380"/>
      <c r="B2380"/>
      <c r="C2380"/>
      <c r="D2380"/>
      <c r="E2380"/>
      <c r="F2380"/>
      <c r="G2380"/>
      <c r="H2380"/>
      <c r="I2380"/>
    </row>
    <row r="2381" spans="1:9" s="47" customFormat="1" ht="14.4" x14ac:dyDescent="0.3">
      <c r="A2381"/>
      <c r="B2381"/>
      <c r="C2381"/>
      <c r="D2381"/>
      <c r="E2381"/>
      <c r="F2381"/>
      <c r="G2381"/>
      <c r="H2381"/>
      <c r="I2381"/>
    </row>
    <row r="2382" spans="1:9" s="47" customFormat="1" ht="14.4" x14ac:dyDescent="0.3">
      <c r="A2382"/>
      <c r="B2382"/>
      <c r="C2382"/>
      <c r="D2382"/>
      <c r="E2382"/>
      <c r="F2382"/>
      <c r="G2382"/>
      <c r="H2382"/>
      <c r="I2382"/>
    </row>
    <row r="2383" spans="1:9" s="47" customFormat="1" ht="14.4" x14ac:dyDescent="0.3">
      <c r="A2383"/>
      <c r="B2383"/>
      <c r="C2383"/>
      <c r="D2383"/>
      <c r="E2383"/>
      <c r="F2383"/>
      <c r="G2383"/>
      <c r="H2383"/>
      <c r="I2383"/>
    </row>
    <row r="2384" spans="1:9" s="47" customFormat="1" ht="14.4" x14ac:dyDescent="0.3">
      <c r="A2384"/>
      <c r="B2384"/>
      <c r="C2384"/>
      <c r="D2384"/>
      <c r="E2384"/>
      <c r="F2384"/>
      <c r="G2384"/>
      <c r="H2384"/>
      <c r="I2384"/>
    </row>
    <row r="2385" spans="1:9" s="47" customFormat="1" ht="14.4" x14ac:dyDescent="0.3">
      <c r="A2385"/>
      <c r="B2385"/>
      <c r="C2385"/>
      <c r="D2385"/>
      <c r="E2385"/>
      <c r="F2385"/>
      <c r="G2385"/>
      <c r="H2385"/>
      <c r="I2385"/>
    </row>
    <row r="2386" spans="1:9" s="47" customFormat="1" ht="14.4" x14ac:dyDescent="0.3">
      <c r="A2386"/>
      <c r="B2386"/>
      <c r="C2386"/>
      <c r="D2386"/>
      <c r="E2386"/>
      <c r="F2386"/>
      <c r="G2386"/>
      <c r="H2386"/>
      <c r="I2386"/>
    </row>
    <row r="2387" spans="1:9" s="47" customFormat="1" ht="14.4" x14ac:dyDescent="0.3">
      <c r="A2387"/>
      <c r="B2387"/>
      <c r="C2387"/>
      <c r="D2387"/>
      <c r="E2387"/>
      <c r="F2387"/>
      <c r="G2387"/>
      <c r="H2387"/>
      <c r="I2387"/>
    </row>
    <row r="2388" spans="1:9" s="47" customFormat="1" ht="14.4" x14ac:dyDescent="0.3">
      <c r="A2388"/>
      <c r="B2388"/>
      <c r="C2388"/>
      <c r="D2388"/>
      <c r="E2388"/>
      <c r="F2388"/>
      <c r="G2388"/>
      <c r="H2388"/>
      <c r="I2388"/>
    </row>
    <row r="2389" spans="1:9" s="47" customFormat="1" ht="14.4" x14ac:dyDescent="0.3">
      <c r="A2389"/>
      <c r="B2389"/>
      <c r="C2389"/>
      <c r="D2389"/>
      <c r="E2389"/>
      <c r="F2389"/>
      <c r="G2389"/>
      <c r="H2389"/>
      <c r="I2389"/>
    </row>
    <row r="2390" spans="1:9" s="47" customFormat="1" ht="14.4" x14ac:dyDescent="0.3">
      <c r="A2390"/>
      <c r="B2390"/>
      <c r="C2390"/>
      <c r="D2390"/>
      <c r="E2390"/>
      <c r="F2390"/>
      <c r="G2390"/>
      <c r="H2390"/>
      <c r="I2390"/>
    </row>
    <row r="2391" spans="1:9" s="47" customFormat="1" ht="14.4" x14ac:dyDescent="0.3">
      <c r="A2391"/>
      <c r="B2391"/>
      <c r="C2391"/>
      <c r="D2391"/>
      <c r="E2391"/>
      <c r="F2391"/>
      <c r="G2391"/>
      <c r="H2391"/>
      <c r="I2391"/>
    </row>
    <row r="2392" spans="1:9" s="47" customFormat="1" ht="14.4" x14ac:dyDescent="0.3">
      <c r="A2392"/>
      <c r="B2392"/>
      <c r="C2392"/>
      <c r="D2392"/>
      <c r="E2392"/>
      <c r="F2392"/>
      <c r="G2392"/>
      <c r="H2392"/>
      <c r="I2392"/>
    </row>
    <row r="2393" spans="1:9" s="47" customFormat="1" ht="14.4" x14ac:dyDescent="0.3">
      <c r="A2393"/>
      <c r="B2393"/>
      <c r="C2393"/>
      <c r="D2393"/>
      <c r="E2393"/>
      <c r="F2393"/>
      <c r="G2393"/>
      <c r="H2393"/>
      <c r="I2393"/>
    </row>
    <row r="2394" spans="1:9" s="47" customFormat="1" ht="14.4" x14ac:dyDescent="0.3">
      <c r="A2394"/>
      <c r="B2394"/>
      <c r="C2394"/>
      <c r="D2394"/>
      <c r="E2394"/>
      <c r="F2394"/>
      <c r="G2394"/>
      <c r="H2394"/>
      <c r="I2394"/>
    </row>
    <row r="2395" spans="1:9" s="47" customFormat="1" ht="14.4" x14ac:dyDescent="0.3">
      <c r="A2395"/>
      <c r="B2395"/>
      <c r="C2395"/>
      <c r="D2395"/>
      <c r="E2395"/>
      <c r="F2395"/>
      <c r="G2395"/>
      <c r="H2395"/>
      <c r="I2395"/>
    </row>
    <row r="2396" spans="1:9" s="47" customFormat="1" ht="14.4" x14ac:dyDescent="0.3">
      <c r="A2396"/>
      <c r="B2396"/>
      <c r="C2396"/>
      <c r="D2396"/>
      <c r="E2396"/>
      <c r="F2396"/>
      <c r="G2396"/>
      <c r="H2396"/>
      <c r="I2396"/>
    </row>
    <row r="2397" spans="1:9" s="47" customFormat="1" ht="14.4" x14ac:dyDescent="0.3">
      <c r="A2397"/>
      <c r="B2397"/>
      <c r="C2397"/>
      <c r="D2397"/>
      <c r="E2397"/>
      <c r="F2397"/>
      <c r="G2397"/>
      <c r="H2397"/>
      <c r="I2397"/>
    </row>
    <row r="2398" spans="1:9" s="47" customFormat="1" ht="14.4" x14ac:dyDescent="0.3">
      <c r="A2398"/>
      <c r="B2398"/>
      <c r="C2398"/>
      <c r="D2398"/>
      <c r="E2398"/>
      <c r="F2398"/>
      <c r="G2398"/>
      <c r="H2398"/>
      <c r="I2398"/>
    </row>
    <row r="2399" spans="1:9" s="47" customFormat="1" ht="14.4" x14ac:dyDescent="0.3">
      <c r="A2399"/>
      <c r="B2399"/>
      <c r="C2399"/>
      <c r="D2399"/>
      <c r="E2399"/>
      <c r="F2399"/>
      <c r="G2399"/>
      <c r="H2399"/>
      <c r="I2399"/>
    </row>
    <row r="2400" spans="1:9" s="47" customFormat="1" ht="14.4" x14ac:dyDescent="0.3">
      <c r="A2400"/>
      <c r="B2400"/>
      <c r="C2400"/>
      <c r="D2400"/>
      <c r="E2400"/>
      <c r="F2400"/>
      <c r="G2400"/>
      <c r="H2400"/>
      <c r="I2400"/>
    </row>
    <row r="2401" spans="1:9" s="47" customFormat="1" ht="14.4" x14ac:dyDescent="0.3">
      <c r="A2401"/>
      <c r="B2401"/>
      <c r="C2401"/>
      <c r="D2401"/>
      <c r="E2401"/>
      <c r="F2401"/>
      <c r="G2401"/>
      <c r="H2401"/>
      <c r="I2401"/>
    </row>
    <row r="2402" spans="1:9" s="47" customFormat="1" ht="14.4" x14ac:dyDescent="0.3">
      <c r="A2402"/>
      <c r="B2402"/>
      <c r="C2402"/>
      <c r="D2402"/>
      <c r="E2402"/>
      <c r="F2402"/>
      <c r="G2402"/>
      <c r="H2402"/>
      <c r="I2402"/>
    </row>
    <row r="2403" spans="1:9" s="47" customFormat="1" ht="14.4" x14ac:dyDescent="0.3">
      <c r="A2403"/>
      <c r="B2403"/>
      <c r="C2403"/>
      <c r="D2403"/>
      <c r="E2403"/>
      <c r="F2403"/>
      <c r="G2403"/>
      <c r="H2403"/>
      <c r="I2403"/>
    </row>
    <row r="2404" spans="1:9" s="47" customFormat="1" ht="14.4" x14ac:dyDescent="0.3">
      <c r="A2404"/>
      <c r="B2404"/>
      <c r="C2404"/>
      <c r="D2404"/>
      <c r="E2404"/>
      <c r="F2404"/>
      <c r="G2404"/>
      <c r="H2404"/>
      <c r="I2404"/>
    </row>
    <row r="2405" spans="1:9" s="47" customFormat="1" ht="14.4" x14ac:dyDescent="0.3">
      <c r="A2405"/>
      <c r="B2405"/>
      <c r="C2405"/>
      <c r="D2405"/>
      <c r="E2405"/>
      <c r="F2405"/>
      <c r="G2405"/>
      <c r="H2405"/>
      <c r="I2405"/>
    </row>
    <row r="2406" spans="1:9" s="47" customFormat="1" ht="14.4" x14ac:dyDescent="0.3">
      <c r="A2406"/>
      <c r="B2406"/>
      <c r="C2406"/>
      <c r="D2406"/>
      <c r="E2406"/>
      <c r="F2406"/>
      <c r="G2406"/>
      <c r="H2406"/>
      <c r="I2406"/>
    </row>
    <row r="2407" spans="1:9" s="47" customFormat="1" ht="14.4" x14ac:dyDescent="0.3">
      <c r="A2407"/>
      <c r="B2407"/>
      <c r="C2407"/>
      <c r="D2407"/>
      <c r="E2407"/>
      <c r="F2407"/>
      <c r="G2407"/>
      <c r="H2407"/>
      <c r="I2407"/>
    </row>
    <row r="2408" spans="1:9" s="47" customFormat="1" ht="14.4" x14ac:dyDescent="0.3">
      <c r="A2408"/>
      <c r="B2408"/>
      <c r="C2408"/>
      <c r="D2408"/>
      <c r="E2408"/>
      <c r="F2408"/>
      <c r="G2408"/>
      <c r="H2408"/>
      <c r="I2408"/>
    </row>
    <row r="2409" spans="1:9" s="47" customFormat="1" ht="14.4" x14ac:dyDescent="0.3">
      <c r="A2409"/>
      <c r="B2409"/>
      <c r="C2409"/>
      <c r="D2409"/>
      <c r="E2409"/>
      <c r="F2409"/>
      <c r="G2409"/>
      <c r="H2409"/>
      <c r="I2409"/>
    </row>
    <row r="2410" spans="1:9" s="47" customFormat="1" ht="14.4" x14ac:dyDescent="0.3">
      <c r="A2410"/>
      <c r="B2410"/>
      <c r="C2410"/>
      <c r="D2410"/>
      <c r="E2410"/>
      <c r="F2410"/>
      <c r="G2410"/>
      <c r="H2410"/>
      <c r="I2410"/>
    </row>
    <row r="2411" spans="1:9" s="47" customFormat="1" ht="14.4" x14ac:dyDescent="0.3">
      <c r="A2411"/>
      <c r="B2411"/>
      <c r="C2411"/>
      <c r="D2411"/>
      <c r="E2411"/>
      <c r="F2411"/>
      <c r="G2411"/>
      <c r="H2411"/>
      <c r="I2411"/>
    </row>
    <row r="2412" spans="1:9" s="47" customFormat="1" ht="14.4" x14ac:dyDescent="0.3">
      <c r="A2412"/>
      <c r="B2412"/>
      <c r="C2412"/>
      <c r="D2412"/>
      <c r="E2412"/>
      <c r="F2412"/>
      <c r="G2412"/>
      <c r="H2412"/>
      <c r="I2412"/>
    </row>
    <row r="2413" spans="1:9" s="47" customFormat="1" ht="14.4" x14ac:dyDescent="0.3">
      <c r="A2413"/>
      <c r="B2413"/>
      <c r="C2413"/>
      <c r="D2413"/>
      <c r="E2413"/>
      <c r="F2413"/>
      <c r="G2413"/>
      <c r="H2413"/>
      <c r="I2413"/>
    </row>
    <row r="2414" spans="1:9" s="47" customFormat="1" ht="14.4" x14ac:dyDescent="0.3">
      <c r="A2414"/>
      <c r="B2414"/>
      <c r="C2414"/>
      <c r="D2414"/>
      <c r="E2414"/>
      <c r="F2414"/>
      <c r="G2414"/>
      <c r="H2414"/>
      <c r="I2414"/>
    </row>
    <row r="2415" spans="1:9" s="47" customFormat="1" ht="14.4" x14ac:dyDescent="0.3">
      <c r="A2415"/>
      <c r="B2415"/>
      <c r="C2415"/>
      <c r="D2415"/>
      <c r="E2415"/>
      <c r="F2415"/>
      <c r="G2415"/>
      <c r="H2415"/>
      <c r="I2415"/>
    </row>
    <row r="2416" spans="1:9" s="47" customFormat="1" ht="14.4" x14ac:dyDescent="0.3">
      <c r="A2416"/>
      <c r="B2416"/>
      <c r="C2416"/>
      <c r="D2416"/>
      <c r="E2416"/>
      <c r="F2416"/>
      <c r="G2416"/>
      <c r="H2416"/>
      <c r="I2416"/>
    </row>
    <row r="2417" spans="1:9" s="47" customFormat="1" ht="14.4" x14ac:dyDescent="0.3">
      <c r="A2417"/>
      <c r="B2417"/>
      <c r="C2417"/>
      <c r="D2417"/>
      <c r="E2417"/>
      <c r="F2417"/>
      <c r="G2417"/>
      <c r="H2417"/>
      <c r="I2417"/>
    </row>
    <row r="2418" spans="1:9" s="47" customFormat="1" ht="14.4" x14ac:dyDescent="0.3">
      <c r="A2418"/>
      <c r="B2418"/>
      <c r="C2418"/>
      <c r="D2418"/>
      <c r="E2418"/>
      <c r="F2418"/>
      <c r="G2418"/>
      <c r="H2418"/>
      <c r="I2418"/>
    </row>
    <row r="2419" spans="1:9" s="47" customFormat="1" ht="14.4" x14ac:dyDescent="0.3">
      <c r="A2419"/>
      <c r="B2419"/>
      <c r="C2419"/>
      <c r="D2419"/>
      <c r="E2419"/>
      <c r="F2419"/>
      <c r="G2419"/>
      <c r="H2419"/>
      <c r="I2419"/>
    </row>
    <row r="2420" spans="1:9" s="47" customFormat="1" ht="14.4" x14ac:dyDescent="0.3">
      <c r="A2420"/>
      <c r="B2420"/>
      <c r="C2420"/>
      <c r="D2420"/>
      <c r="E2420"/>
      <c r="F2420"/>
      <c r="G2420"/>
      <c r="H2420"/>
      <c r="I2420"/>
    </row>
    <row r="2421" spans="1:9" s="47" customFormat="1" ht="14.4" x14ac:dyDescent="0.3">
      <c r="A2421"/>
      <c r="B2421"/>
      <c r="C2421"/>
      <c r="D2421"/>
      <c r="E2421"/>
      <c r="F2421"/>
      <c r="G2421"/>
      <c r="H2421"/>
      <c r="I2421"/>
    </row>
    <row r="2422" spans="1:9" s="47" customFormat="1" ht="14.4" x14ac:dyDescent="0.3">
      <c r="A2422"/>
      <c r="B2422"/>
      <c r="C2422"/>
      <c r="D2422"/>
      <c r="E2422"/>
      <c r="F2422"/>
      <c r="G2422"/>
      <c r="H2422"/>
      <c r="I2422"/>
    </row>
    <row r="2423" spans="1:9" s="47" customFormat="1" ht="14.4" x14ac:dyDescent="0.3">
      <c r="A2423"/>
      <c r="B2423"/>
      <c r="C2423"/>
      <c r="D2423"/>
      <c r="E2423"/>
      <c r="F2423"/>
      <c r="G2423"/>
      <c r="H2423"/>
      <c r="I2423"/>
    </row>
    <row r="2424" spans="1:9" s="47" customFormat="1" ht="14.4" x14ac:dyDescent="0.3">
      <c r="A2424"/>
      <c r="B2424"/>
      <c r="C2424"/>
      <c r="D2424"/>
      <c r="E2424"/>
      <c r="F2424"/>
      <c r="G2424"/>
      <c r="H2424"/>
      <c r="I2424"/>
    </row>
    <row r="2425" spans="1:9" s="47" customFormat="1" ht="14.4" x14ac:dyDescent="0.3">
      <c r="A2425"/>
      <c r="B2425"/>
      <c r="C2425"/>
      <c r="D2425"/>
      <c r="E2425"/>
      <c r="F2425"/>
      <c r="G2425"/>
      <c r="H2425"/>
      <c r="I2425"/>
    </row>
    <row r="2426" spans="1:9" s="47" customFormat="1" ht="14.4" x14ac:dyDescent="0.3">
      <c r="A2426"/>
      <c r="B2426"/>
      <c r="C2426"/>
      <c r="D2426"/>
      <c r="E2426"/>
      <c r="F2426"/>
      <c r="G2426"/>
      <c r="H2426"/>
      <c r="I2426"/>
    </row>
    <row r="2427" spans="1:9" s="47" customFormat="1" ht="14.4" x14ac:dyDescent="0.3">
      <c r="A2427"/>
      <c r="B2427"/>
      <c r="C2427"/>
      <c r="D2427"/>
      <c r="E2427"/>
      <c r="F2427"/>
      <c r="G2427"/>
      <c r="H2427"/>
      <c r="I2427"/>
    </row>
    <row r="2428" spans="1:9" s="47" customFormat="1" ht="14.4" x14ac:dyDescent="0.3">
      <c r="A2428"/>
      <c r="B2428"/>
      <c r="C2428"/>
      <c r="D2428"/>
      <c r="E2428"/>
      <c r="F2428"/>
      <c r="G2428"/>
      <c r="H2428"/>
      <c r="I2428"/>
    </row>
    <row r="2429" spans="1:9" s="47" customFormat="1" ht="14.4" x14ac:dyDescent="0.3">
      <c r="A2429"/>
      <c r="B2429"/>
      <c r="C2429"/>
      <c r="D2429"/>
      <c r="E2429"/>
      <c r="F2429"/>
      <c r="G2429"/>
      <c r="H2429"/>
      <c r="I2429"/>
    </row>
    <row r="2430" spans="1:9" s="47" customFormat="1" ht="14.4" x14ac:dyDescent="0.3">
      <c r="A2430"/>
      <c r="B2430"/>
      <c r="C2430"/>
      <c r="D2430"/>
      <c r="E2430"/>
      <c r="F2430"/>
      <c r="G2430"/>
      <c r="H2430"/>
      <c r="I2430"/>
    </row>
    <row r="2431" spans="1:9" s="47" customFormat="1" ht="14.4" x14ac:dyDescent="0.3">
      <c r="A2431"/>
      <c r="B2431"/>
      <c r="C2431"/>
      <c r="D2431"/>
      <c r="E2431"/>
      <c r="F2431"/>
      <c r="G2431"/>
      <c r="H2431"/>
      <c r="I2431"/>
    </row>
    <row r="2432" spans="1:9" s="47" customFormat="1" ht="14.4" x14ac:dyDescent="0.3">
      <c r="A2432"/>
      <c r="B2432"/>
      <c r="C2432"/>
      <c r="D2432"/>
      <c r="E2432"/>
      <c r="F2432"/>
      <c r="G2432"/>
      <c r="H2432"/>
      <c r="I2432"/>
    </row>
    <row r="2433" spans="1:9" s="47" customFormat="1" ht="14.4" x14ac:dyDescent="0.3">
      <c r="A2433"/>
      <c r="B2433"/>
      <c r="C2433"/>
      <c r="D2433"/>
      <c r="E2433"/>
      <c r="F2433"/>
      <c r="G2433"/>
      <c r="H2433"/>
      <c r="I2433"/>
    </row>
    <row r="2434" spans="1:9" s="47" customFormat="1" ht="14.4" x14ac:dyDescent="0.3">
      <c r="A2434"/>
      <c r="B2434"/>
      <c r="C2434"/>
      <c r="D2434"/>
      <c r="E2434"/>
      <c r="F2434"/>
      <c r="G2434"/>
      <c r="H2434"/>
      <c r="I2434"/>
    </row>
    <row r="2435" spans="1:9" s="47" customFormat="1" ht="14.4" x14ac:dyDescent="0.3">
      <c r="A2435"/>
      <c r="B2435"/>
      <c r="C2435"/>
      <c r="D2435"/>
      <c r="E2435"/>
      <c r="F2435"/>
      <c r="G2435"/>
      <c r="H2435"/>
      <c r="I2435"/>
    </row>
    <row r="2436" spans="1:9" s="47" customFormat="1" ht="14.4" x14ac:dyDescent="0.3">
      <c r="A2436"/>
      <c r="B2436"/>
      <c r="C2436"/>
      <c r="D2436"/>
      <c r="E2436"/>
      <c r="F2436"/>
      <c r="G2436"/>
      <c r="H2436"/>
      <c r="I2436"/>
    </row>
    <row r="2437" spans="1:9" s="47" customFormat="1" ht="14.4" x14ac:dyDescent="0.3">
      <c r="A2437"/>
      <c r="B2437"/>
      <c r="C2437"/>
      <c r="D2437"/>
      <c r="E2437"/>
      <c r="F2437"/>
      <c r="G2437"/>
      <c r="H2437"/>
      <c r="I2437"/>
    </row>
    <row r="2438" spans="1:9" s="47" customFormat="1" ht="14.4" x14ac:dyDescent="0.3">
      <c r="A2438"/>
      <c r="B2438"/>
      <c r="C2438"/>
      <c r="D2438"/>
      <c r="E2438"/>
      <c r="F2438"/>
      <c r="G2438"/>
      <c r="H2438"/>
      <c r="I2438"/>
    </row>
    <row r="2439" spans="1:9" s="47" customFormat="1" ht="14.4" x14ac:dyDescent="0.3">
      <c r="A2439"/>
      <c r="B2439"/>
      <c r="C2439"/>
      <c r="D2439"/>
      <c r="E2439"/>
      <c r="F2439"/>
      <c r="G2439"/>
      <c r="H2439"/>
      <c r="I2439"/>
    </row>
    <row r="2440" spans="1:9" s="47" customFormat="1" ht="14.4" x14ac:dyDescent="0.3">
      <c r="A2440"/>
      <c r="B2440"/>
      <c r="C2440"/>
      <c r="D2440"/>
      <c r="E2440"/>
      <c r="F2440"/>
      <c r="G2440"/>
      <c r="H2440"/>
      <c r="I2440"/>
    </row>
    <row r="2441" spans="1:9" s="47" customFormat="1" ht="14.4" x14ac:dyDescent="0.3">
      <c r="A2441"/>
      <c r="B2441"/>
      <c r="C2441"/>
      <c r="D2441"/>
      <c r="E2441"/>
      <c r="F2441"/>
      <c r="G2441"/>
      <c r="H2441"/>
      <c r="I2441"/>
    </row>
    <row r="2442" spans="1:9" s="47" customFormat="1" ht="14.4" x14ac:dyDescent="0.3">
      <c r="A2442"/>
      <c r="B2442"/>
      <c r="C2442"/>
      <c r="D2442"/>
      <c r="E2442"/>
      <c r="F2442"/>
      <c r="G2442"/>
      <c r="H2442"/>
      <c r="I2442"/>
    </row>
    <row r="2443" spans="1:9" s="47" customFormat="1" ht="14.4" x14ac:dyDescent="0.3">
      <c r="A2443"/>
      <c r="B2443"/>
      <c r="C2443"/>
      <c r="D2443"/>
      <c r="E2443"/>
      <c r="F2443"/>
      <c r="G2443"/>
      <c r="H2443"/>
      <c r="I2443"/>
    </row>
    <row r="2444" spans="1:9" s="47" customFormat="1" ht="14.4" x14ac:dyDescent="0.3">
      <c r="A2444"/>
      <c r="B2444"/>
      <c r="C2444"/>
      <c r="D2444"/>
      <c r="E2444"/>
      <c r="F2444"/>
      <c r="G2444"/>
      <c r="H2444"/>
      <c r="I2444"/>
    </row>
    <row r="2445" spans="1:9" s="47" customFormat="1" ht="14.4" x14ac:dyDescent="0.3">
      <c r="A2445"/>
      <c r="B2445"/>
      <c r="C2445"/>
      <c r="D2445"/>
      <c r="E2445"/>
      <c r="F2445"/>
      <c r="G2445"/>
      <c r="H2445"/>
      <c r="I2445"/>
    </row>
    <row r="2446" spans="1:9" s="47" customFormat="1" ht="14.4" x14ac:dyDescent="0.3">
      <c r="A2446"/>
      <c r="B2446"/>
      <c r="C2446"/>
      <c r="D2446"/>
      <c r="E2446"/>
      <c r="F2446"/>
      <c r="G2446"/>
      <c r="H2446"/>
      <c r="I2446"/>
    </row>
    <row r="2447" spans="1:9" s="47" customFormat="1" ht="14.4" x14ac:dyDescent="0.3">
      <c r="A2447"/>
      <c r="B2447"/>
      <c r="C2447"/>
      <c r="D2447"/>
      <c r="E2447"/>
      <c r="F2447"/>
      <c r="G2447"/>
      <c r="H2447"/>
      <c r="I2447"/>
    </row>
    <row r="2448" spans="1:9" s="47" customFormat="1" ht="14.4" x14ac:dyDescent="0.3">
      <c r="A2448"/>
      <c r="B2448"/>
      <c r="C2448"/>
      <c r="D2448"/>
      <c r="E2448"/>
      <c r="F2448"/>
      <c r="G2448"/>
      <c r="H2448"/>
      <c r="I2448"/>
    </row>
    <row r="2449" spans="1:9" s="47" customFormat="1" ht="14.4" x14ac:dyDescent="0.3">
      <c r="A2449"/>
      <c r="B2449"/>
      <c r="C2449"/>
      <c r="D2449"/>
      <c r="E2449"/>
      <c r="F2449"/>
      <c r="G2449"/>
      <c r="H2449"/>
      <c r="I2449"/>
    </row>
    <row r="2450" spans="1:9" s="47" customFormat="1" ht="14.4" x14ac:dyDescent="0.3">
      <c r="A2450"/>
      <c r="B2450"/>
      <c r="C2450"/>
      <c r="D2450"/>
      <c r="E2450"/>
      <c r="F2450"/>
      <c r="G2450"/>
      <c r="H2450"/>
      <c r="I2450"/>
    </row>
    <row r="2451" spans="1:9" s="47" customFormat="1" ht="14.4" x14ac:dyDescent="0.3">
      <c r="A2451"/>
      <c r="B2451"/>
      <c r="C2451"/>
      <c r="D2451"/>
      <c r="E2451"/>
      <c r="F2451"/>
      <c r="G2451"/>
      <c r="H2451"/>
      <c r="I2451"/>
    </row>
    <row r="2452" spans="1:9" s="47" customFormat="1" ht="14.4" x14ac:dyDescent="0.3">
      <c r="A2452"/>
      <c r="B2452"/>
      <c r="C2452"/>
      <c r="D2452"/>
      <c r="E2452"/>
      <c r="F2452"/>
      <c r="G2452"/>
      <c r="H2452"/>
      <c r="I2452"/>
    </row>
    <row r="2453" spans="1:9" s="47" customFormat="1" ht="14.4" x14ac:dyDescent="0.3">
      <c r="A2453"/>
      <c r="B2453"/>
      <c r="C2453"/>
      <c r="D2453"/>
      <c r="E2453"/>
      <c r="F2453"/>
      <c r="G2453"/>
      <c r="H2453"/>
      <c r="I2453"/>
    </row>
    <row r="2454" spans="1:9" s="47" customFormat="1" ht="14.4" x14ac:dyDescent="0.3">
      <c r="A2454"/>
      <c r="B2454"/>
      <c r="C2454"/>
      <c r="D2454"/>
      <c r="E2454"/>
      <c r="F2454"/>
      <c r="G2454"/>
      <c r="H2454"/>
      <c r="I2454"/>
    </row>
    <row r="2455" spans="1:9" s="47" customFormat="1" ht="14.4" x14ac:dyDescent="0.3">
      <c r="A2455"/>
      <c r="B2455"/>
      <c r="C2455"/>
      <c r="D2455"/>
      <c r="E2455"/>
      <c r="F2455"/>
      <c r="G2455"/>
      <c r="H2455"/>
      <c r="I2455"/>
    </row>
    <row r="2456" spans="1:9" s="47" customFormat="1" ht="14.4" x14ac:dyDescent="0.3">
      <c r="A2456"/>
      <c r="B2456"/>
      <c r="C2456"/>
      <c r="D2456"/>
      <c r="E2456"/>
      <c r="F2456"/>
      <c r="G2456"/>
      <c r="H2456"/>
      <c r="I2456"/>
    </row>
    <row r="2457" spans="1:9" s="47" customFormat="1" ht="14.4" x14ac:dyDescent="0.3">
      <c r="A2457"/>
      <c r="B2457"/>
      <c r="C2457"/>
      <c r="D2457"/>
      <c r="E2457"/>
      <c r="F2457"/>
      <c r="G2457"/>
      <c r="H2457"/>
      <c r="I2457"/>
    </row>
    <row r="2458" spans="1:9" s="47" customFormat="1" ht="14.4" x14ac:dyDescent="0.3">
      <c r="A2458"/>
      <c r="B2458"/>
      <c r="C2458"/>
      <c r="D2458"/>
      <c r="E2458"/>
      <c r="F2458"/>
      <c r="G2458"/>
      <c r="H2458"/>
      <c r="I2458"/>
    </row>
    <row r="2459" spans="1:9" s="47" customFormat="1" ht="14.4" x14ac:dyDescent="0.3">
      <c r="A2459"/>
      <c r="B2459"/>
      <c r="C2459"/>
      <c r="D2459"/>
      <c r="E2459"/>
      <c r="F2459"/>
      <c r="G2459"/>
      <c r="H2459"/>
      <c r="I2459"/>
    </row>
    <row r="2460" spans="1:9" s="47" customFormat="1" ht="14.4" x14ac:dyDescent="0.3">
      <c r="A2460"/>
      <c r="B2460"/>
      <c r="C2460"/>
      <c r="D2460"/>
      <c r="E2460"/>
      <c r="F2460"/>
      <c r="G2460"/>
      <c r="H2460"/>
      <c r="I2460"/>
    </row>
    <row r="2461" spans="1:9" s="47" customFormat="1" ht="14.4" x14ac:dyDescent="0.3">
      <c r="A2461"/>
      <c r="B2461"/>
      <c r="C2461"/>
      <c r="D2461"/>
      <c r="E2461"/>
      <c r="F2461"/>
      <c r="G2461"/>
      <c r="H2461"/>
      <c r="I2461"/>
    </row>
    <row r="2462" spans="1:9" s="47" customFormat="1" ht="14.4" x14ac:dyDescent="0.3">
      <c r="A2462"/>
      <c r="B2462"/>
      <c r="C2462"/>
      <c r="D2462"/>
      <c r="E2462"/>
      <c r="F2462"/>
      <c r="G2462"/>
      <c r="H2462"/>
      <c r="I2462"/>
    </row>
    <row r="2463" spans="1:9" s="47" customFormat="1" ht="14.4" x14ac:dyDescent="0.3">
      <c r="A2463"/>
      <c r="B2463"/>
      <c r="C2463"/>
      <c r="D2463"/>
      <c r="E2463"/>
      <c r="F2463"/>
      <c r="G2463"/>
      <c r="H2463"/>
      <c r="I2463"/>
    </row>
    <row r="2464" spans="1:9" s="47" customFormat="1" ht="14.4" x14ac:dyDescent="0.3">
      <c r="A2464"/>
      <c r="B2464"/>
      <c r="C2464"/>
      <c r="D2464"/>
      <c r="E2464"/>
      <c r="F2464"/>
      <c r="G2464"/>
      <c r="H2464"/>
      <c r="I2464"/>
    </row>
    <row r="2465" spans="1:9" s="47" customFormat="1" ht="14.4" x14ac:dyDescent="0.3">
      <c r="A2465"/>
      <c r="B2465"/>
      <c r="C2465"/>
      <c r="D2465"/>
      <c r="E2465"/>
      <c r="F2465"/>
      <c r="G2465"/>
      <c r="H2465"/>
      <c r="I2465"/>
    </row>
    <row r="2466" spans="1:9" s="47" customFormat="1" ht="14.4" x14ac:dyDescent="0.3">
      <c r="A2466"/>
      <c r="B2466"/>
      <c r="C2466"/>
      <c r="D2466"/>
      <c r="E2466"/>
      <c r="F2466"/>
      <c r="G2466"/>
      <c r="H2466"/>
      <c r="I2466"/>
    </row>
    <row r="2467" spans="1:9" s="47" customFormat="1" ht="14.4" x14ac:dyDescent="0.3">
      <c r="A2467"/>
      <c r="B2467"/>
      <c r="C2467"/>
      <c r="D2467"/>
      <c r="E2467"/>
      <c r="F2467"/>
      <c r="G2467"/>
      <c r="H2467"/>
      <c r="I2467"/>
    </row>
    <row r="2468" spans="1:9" s="47" customFormat="1" ht="14.4" x14ac:dyDescent="0.3">
      <c r="A2468"/>
      <c r="B2468"/>
      <c r="C2468"/>
      <c r="D2468"/>
      <c r="E2468"/>
      <c r="F2468"/>
      <c r="G2468"/>
      <c r="H2468"/>
      <c r="I2468"/>
    </row>
    <row r="2469" spans="1:9" s="47" customFormat="1" ht="14.4" x14ac:dyDescent="0.3">
      <c r="A2469"/>
      <c r="B2469"/>
      <c r="C2469"/>
      <c r="D2469"/>
      <c r="E2469"/>
      <c r="F2469"/>
      <c r="G2469"/>
      <c r="H2469"/>
      <c r="I2469"/>
    </row>
    <row r="2470" spans="1:9" s="47" customFormat="1" ht="14.4" x14ac:dyDescent="0.3">
      <c r="A2470"/>
      <c r="B2470"/>
      <c r="C2470"/>
      <c r="D2470"/>
      <c r="E2470"/>
      <c r="F2470"/>
      <c r="G2470"/>
      <c r="H2470"/>
      <c r="I2470"/>
    </row>
    <row r="2471" spans="1:9" s="47" customFormat="1" ht="14.4" x14ac:dyDescent="0.3">
      <c r="A2471"/>
      <c r="B2471"/>
      <c r="C2471"/>
      <c r="D2471"/>
      <c r="E2471"/>
      <c r="F2471"/>
      <c r="G2471"/>
      <c r="H2471"/>
      <c r="I2471"/>
    </row>
    <row r="2472" spans="1:9" s="47" customFormat="1" ht="14.4" x14ac:dyDescent="0.3">
      <c r="A2472"/>
      <c r="B2472"/>
      <c r="C2472"/>
      <c r="D2472"/>
      <c r="E2472"/>
      <c r="F2472"/>
      <c r="G2472"/>
      <c r="H2472"/>
      <c r="I2472"/>
    </row>
    <row r="2473" spans="1:9" s="47" customFormat="1" ht="14.4" x14ac:dyDescent="0.3">
      <c r="A2473"/>
      <c r="B2473"/>
      <c r="C2473"/>
      <c r="D2473"/>
      <c r="E2473"/>
      <c r="F2473"/>
      <c r="G2473"/>
      <c r="H2473"/>
      <c r="I2473"/>
    </row>
    <row r="2474" spans="1:9" s="47" customFormat="1" ht="14.4" x14ac:dyDescent="0.3">
      <c r="A2474"/>
      <c r="B2474"/>
      <c r="C2474"/>
      <c r="D2474"/>
      <c r="E2474"/>
      <c r="F2474"/>
      <c r="G2474"/>
      <c r="H2474"/>
      <c r="I2474"/>
    </row>
    <row r="2475" spans="1:9" s="47" customFormat="1" ht="14.4" x14ac:dyDescent="0.3">
      <c r="A2475"/>
      <c r="B2475"/>
      <c r="C2475"/>
      <c r="D2475"/>
      <c r="E2475"/>
      <c r="F2475"/>
      <c r="G2475"/>
      <c r="H2475"/>
      <c r="I2475"/>
    </row>
    <row r="2476" spans="1:9" s="47" customFormat="1" ht="14.4" x14ac:dyDescent="0.3">
      <c r="A2476"/>
      <c r="B2476"/>
      <c r="C2476"/>
      <c r="D2476"/>
      <c r="E2476"/>
      <c r="F2476"/>
      <c r="G2476"/>
      <c r="H2476"/>
      <c r="I2476"/>
    </row>
    <row r="2477" spans="1:9" s="47" customFormat="1" ht="14.4" x14ac:dyDescent="0.3">
      <c r="A2477"/>
      <c r="B2477"/>
      <c r="C2477"/>
      <c r="D2477"/>
      <c r="E2477"/>
      <c r="F2477"/>
      <c r="G2477"/>
      <c r="H2477"/>
      <c r="I2477"/>
    </row>
    <row r="2478" spans="1:9" s="47" customFormat="1" ht="14.4" x14ac:dyDescent="0.3">
      <c r="A2478"/>
      <c r="B2478"/>
      <c r="C2478"/>
      <c r="D2478"/>
      <c r="E2478"/>
      <c r="F2478"/>
      <c r="G2478"/>
      <c r="H2478"/>
      <c r="I2478"/>
    </row>
    <row r="2479" spans="1:9" s="47" customFormat="1" ht="14.4" x14ac:dyDescent="0.3">
      <c r="A2479"/>
      <c r="B2479"/>
      <c r="C2479"/>
      <c r="D2479"/>
      <c r="E2479"/>
      <c r="F2479"/>
      <c r="G2479"/>
      <c r="H2479"/>
      <c r="I2479"/>
    </row>
    <row r="2480" spans="1:9" s="47" customFormat="1" ht="14.4" x14ac:dyDescent="0.3">
      <c r="A2480"/>
      <c r="B2480"/>
      <c r="C2480"/>
      <c r="D2480"/>
      <c r="E2480"/>
      <c r="F2480"/>
      <c r="G2480"/>
      <c r="H2480"/>
      <c r="I2480"/>
    </row>
    <row r="2481" spans="1:9" s="47" customFormat="1" ht="14.4" x14ac:dyDescent="0.3">
      <c r="A2481"/>
      <c r="B2481"/>
      <c r="C2481"/>
      <c r="D2481"/>
      <c r="E2481"/>
      <c r="F2481"/>
      <c r="G2481"/>
      <c r="H2481"/>
      <c r="I2481"/>
    </row>
    <row r="2482" spans="1:9" s="47" customFormat="1" ht="14.4" x14ac:dyDescent="0.3">
      <c r="A2482"/>
      <c r="B2482"/>
      <c r="C2482"/>
      <c r="D2482"/>
      <c r="E2482"/>
      <c r="F2482"/>
      <c r="G2482"/>
      <c r="H2482"/>
      <c r="I2482"/>
    </row>
    <row r="2483" spans="1:9" s="47" customFormat="1" ht="14.4" x14ac:dyDescent="0.3">
      <c r="A2483"/>
      <c r="B2483"/>
      <c r="C2483"/>
      <c r="D2483"/>
      <c r="E2483"/>
      <c r="F2483"/>
      <c r="G2483"/>
      <c r="H2483"/>
      <c r="I2483"/>
    </row>
    <row r="2484" spans="1:9" s="47" customFormat="1" ht="14.4" x14ac:dyDescent="0.3">
      <c r="A2484"/>
      <c r="B2484"/>
      <c r="C2484"/>
      <c r="D2484"/>
      <c r="E2484"/>
      <c r="F2484"/>
      <c r="G2484"/>
      <c r="H2484"/>
      <c r="I2484"/>
    </row>
    <row r="2485" spans="1:9" s="47" customFormat="1" ht="14.4" x14ac:dyDescent="0.3">
      <c r="A2485"/>
      <c r="B2485"/>
      <c r="C2485"/>
      <c r="D2485"/>
      <c r="E2485"/>
      <c r="F2485"/>
      <c r="G2485"/>
      <c r="H2485"/>
      <c r="I2485"/>
    </row>
    <row r="2486" spans="1:9" s="47" customFormat="1" ht="14.4" x14ac:dyDescent="0.3">
      <c r="A2486"/>
      <c r="B2486"/>
      <c r="C2486"/>
      <c r="D2486"/>
      <c r="E2486"/>
      <c r="F2486"/>
      <c r="G2486"/>
      <c r="H2486"/>
      <c r="I2486"/>
    </row>
    <row r="2487" spans="1:9" s="47" customFormat="1" ht="14.4" x14ac:dyDescent="0.3">
      <c r="A2487"/>
      <c r="B2487"/>
      <c r="C2487"/>
      <c r="D2487"/>
      <c r="E2487"/>
      <c r="F2487"/>
      <c r="G2487"/>
      <c r="H2487"/>
      <c r="I2487"/>
    </row>
    <row r="2488" spans="1:9" s="47" customFormat="1" ht="14.4" x14ac:dyDescent="0.3">
      <c r="A2488"/>
      <c r="B2488"/>
      <c r="C2488"/>
      <c r="D2488"/>
      <c r="E2488"/>
      <c r="F2488"/>
      <c r="G2488"/>
      <c r="H2488"/>
      <c r="I2488"/>
    </row>
    <row r="2489" spans="1:9" s="47" customFormat="1" ht="14.4" x14ac:dyDescent="0.3">
      <c r="A2489"/>
      <c r="B2489"/>
      <c r="C2489"/>
      <c r="D2489"/>
      <c r="E2489"/>
      <c r="F2489"/>
      <c r="G2489"/>
      <c r="H2489"/>
      <c r="I2489"/>
    </row>
    <row r="2490" spans="1:9" s="47" customFormat="1" ht="14.4" x14ac:dyDescent="0.3">
      <c r="A2490"/>
      <c r="B2490"/>
      <c r="C2490"/>
      <c r="D2490"/>
      <c r="E2490"/>
      <c r="F2490"/>
      <c r="G2490"/>
      <c r="H2490"/>
      <c r="I2490"/>
    </row>
    <row r="2491" spans="1:9" s="47" customFormat="1" ht="14.4" x14ac:dyDescent="0.3">
      <c r="A2491"/>
      <c r="B2491"/>
      <c r="C2491"/>
      <c r="D2491"/>
      <c r="E2491"/>
      <c r="F2491"/>
      <c r="G2491"/>
      <c r="H2491"/>
      <c r="I2491"/>
    </row>
    <row r="2492" spans="1:9" s="47" customFormat="1" ht="14.4" x14ac:dyDescent="0.3">
      <c r="A2492"/>
      <c r="B2492"/>
      <c r="C2492"/>
      <c r="D2492"/>
      <c r="E2492"/>
      <c r="F2492"/>
      <c r="G2492"/>
      <c r="H2492"/>
      <c r="I2492"/>
    </row>
    <row r="2493" spans="1:9" s="47" customFormat="1" ht="14.4" x14ac:dyDescent="0.3">
      <c r="A2493"/>
      <c r="B2493"/>
      <c r="C2493"/>
      <c r="D2493"/>
      <c r="E2493"/>
      <c r="F2493"/>
      <c r="G2493"/>
      <c r="H2493"/>
      <c r="I2493"/>
    </row>
    <row r="2494" spans="1:9" s="47" customFormat="1" ht="14.4" x14ac:dyDescent="0.3">
      <c r="A2494"/>
      <c r="B2494"/>
      <c r="C2494"/>
      <c r="D2494"/>
      <c r="E2494"/>
      <c r="F2494"/>
      <c r="G2494"/>
      <c r="H2494"/>
      <c r="I2494"/>
    </row>
    <row r="2495" spans="1:9" s="47" customFormat="1" ht="14.4" x14ac:dyDescent="0.3">
      <c r="A2495"/>
      <c r="B2495"/>
      <c r="C2495"/>
      <c r="D2495"/>
      <c r="E2495"/>
      <c r="F2495"/>
      <c r="G2495"/>
      <c r="H2495"/>
      <c r="I2495"/>
    </row>
    <row r="2496" spans="1:9" s="47" customFormat="1" ht="14.4" x14ac:dyDescent="0.3">
      <c r="A2496"/>
      <c r="B2496"/>
      <c r="C2496"/>
      <c r="D2496"/>
      <c r="E2496"/>
      <c r="F2496"/>
      <c r="G2496"/>
      <c r="H2496"/>
      <c r="I2496"/>
    </row>
    <row r="2497" spans="1:9" s="47" customFormat="1" ht="14.4" x14ac:dyDescent="0.3">
      <c r="A2497"/>
      <c r="B2497"/>
      <c r="C2497"/>
      <c r="D2497"/>
      <c r="E2497"/>
      <c r="F2497"/>
      <c r="G2497"/>
      <c r="H2497"/>
      <c r="I2497"/>
    </row>
    <row r="2498" spans="1:9" s="47" customFormat="1" ht="14.4" x14ac:dyDescent="0.3">
      <c r="A2498"/>
      <c r="B2498"/>
      <c r="C2498"/>
      <c r="D2498"/>
      <c r="E2498"/>
      <c r="F2498"/>
      <c r="G2498"/>
      <c r="H2498"/>
      <c r="I2498"/>
    </row>
    <row r="2499" spans="1:9" s="47" customFormat="1" ht="14.4" x14ac:dyDescent="0.3">
      <c r="A2499"/>
      <c r="B2499"/>
      <c r="C2499"/>
      <c r="D2499"/>
      <c r="E2499"/>
      <c r="F2499"/>
      <c r="G2499"/>
      <c r="H2499"/>
      <c r="I2499"/>
    </row>
    <row r="2500" spans="1:9" s="47" customFormat="1" ht="14.4" x14ac:dyDescent="0.3">
      <c r="A2500"/>
      <c r="B2500"/>
      <c r="C2500"/>
      <c r="D2500"/>
      <c r="E2500"/>
      <c r="F2500"/>
      <c r="G2500"/>
      <c r="H2500"/>
      <c r="I2500"/>
    </row>
    <row r="2501" spans="1:9" s="47" customFormat="1" ht="14.4" x14ac:dyDescent="0.3">
      <c r="A2501"/>
      <c r="B2501"/>
      <c r="C2501"/>
      <c r="D2501"/>
      <c r="E2501"/>
      <c r="F2501"/>
      <c r="G2501"/>
      <c r="H2501"/>
      <c r="I2501"/>
    </row>
    <row r="2502" spans="1:9" s="47" customFormat="1" ht="14.4" x14ac:dyDescent="0.3">
      <c r="A2502"/>
      <c r="B2502"/>
      <c r="C2502"/>
      <c r="D2502"/>
      <c r="E2502"/>
      <c r="F2502"/>
      <c r="G2502"/>
      <c r="H2502"/>
      <c r="I2502"/>
    </row>
    <row r="2503" spans="1:9" s="47" customFormat="1" ht="14.4" x14ac:dyDescent="0.3">
      <c r="A2503"/>
      <c r="B2503"/>
      <c r="C2503"/>
      <c r="D2503"/>
      <c r="E2503"/>
      <c r="F2503"/>
      <c r="G2503"/>
      <c r="H2503"/>
      <c r="I2503"/>
    </row>
    <row r="2504" spans="1:9" s="47" customFormat="1" ht="14.4" x14ac:dyDescent="0.3">
      <c r="A2504"/>
      <c r="B2504"/>
      <c r="C2504"/>
      <c r="D2504"/>
      <c r="E2504"/>
      <c r="F2504"/>
      <c r="G2504"/>
      <c r="H2504"/>
      <c r="I2504"/>
    </row>
    <row r="2505" spans="1:9" s="47" customFormat="1" ht="14.4" x14ac:dyDescent="0.3">
      <c r="A2505"/>
      <c r="B2505"/>
      <c r="C2505"/>
      <c r="D2505"/>
      <c r="E2505"/>
      <c r="F2505"/>
      <c r="G2505"/>
      <c r="H2505"/>
      <c r="I2505"/>
    </row>
    <row r="2506" spans="1:9" s="47" customFormat="1" ht="14.4" x14ac:dyDescent="0.3">
      <c r="A2506"/>
      <c r="B2506"/>
      <c r="C2506"/>
      <c r="D2506"/>
      <c r="E2506"/>
      <c r="F2506"/>
      <c r="G2506"/>
      <c r="H2506"/>
      <c r="I2506"/>
    </row>
    <row r="2507" spans="1:9" s="47" customFormat="1" ht="14.4" x14ac:dyDescent="0.3">
      <c r="A2507"/>
      <c r="B2507"/>
      <c r="C2507"/>
      <c r="D2507"/>
      <c r="E2507"/>
      <c r="F2507"/>
      <c r="G2507"/>
      <c r="H2507"/>
      <c r="I2507"/>
    </row>
    <row r="2508" spans="1:9" s="47" customFormat="1" ht="14.4" x14ac:dyDescent="0.3">
      <c r="A2508"/>
      <c r="B2508"/>
      <c r="C2508"/>
      <c r="D2508"/>
      <c r="E2508"/>
      <c r="F2508"/>
      <c r="G2508"/>
      <c r="H2508"/>
      <c r="I2508"/>
    </row>
    <row r="2509" spans="1:9" s="47" customFormat="1" ht="14.4" x14ac:dyDescent="0.3">
      <c r="A2509"/>
      <c r="B2509"/>
      <c r="C2509"/>
      <c r="D2509"/>
      <c r="E2509"/>
      <c r="F2509"/>
      <c r="G2509"/>
      <c r="H2509"/>
      <c r="I2509"/>
    </row>
    <row r="2510" spans="1:9" s="47" customFormat="1" ht="14.4" x14ac:dyDescent="0.3">
      <c r="A2510"/>
      <c r="B2510"/>
      <c r="C2510"/>
      <c r="D2510"/>
      <c r="E2510"/>
      <c r="F2510"/>
      <c r="G2510"/>
      <c r="H2510"/>
      <c r="I2510"/>
    </row>
    <row r="2511" spans="1:9" s="47" customFormat="1" ht="14.4" x14ac:dyDescent="0.3">
      <c r="A2511"/>
      <c r="B2511"/>
      <c r="C2511"/>
      <c r="D2511"/>
      <c r="E2511"/>
      <c r="F2511"/>
      <c r="G2511"/>
      <c r="H2511"/>
      <c r="I2511"/>
    </row>
    <row r="2512" spans="1:9" s="47" customFormat="1" ht="14.4" x14ac:dyDescent="0.3">
      <c r="A2512"/>
      <c r="B2512"/>
      <c r="C2512"/>
      <c r="D2512"/>
      <c r="E2512"/>
      <c r="F2512"/>
      <c r="G2512"/>
      <c r="H2512"/>
      <c r="I2512"/>
    </row>
    <row r="2513" spans="1:9" s="47" customFormat="1" ht="14.4" x14ac:dyDescent="0.3">
      <c r="A2513"/>
      <c r="B2513"/>
      <c r="C2513"/>
      <c r="D2513"/>
      <c r="E2513"/>
      <c r="F2513"/>
      <c r="G2513"/>
      <c r="H2513"/>
      <c r="I2513"/>
    </row>
    <row r="2514" spans="1:9" s="47" customFormat="1" ht="14.4" x14ac:dyDescent="0.3">
      <c r="A2514"/>
      <c r="B2514"/>
      <c r="C2514"/>
      <c r="D2514"/>
      <c r="E2514"/>
      <c r="F2514"/>
      <c r="G2514"/>
      <c r="H2514"/>
      <c r="I2514"/>
    </row>
    <row r="2515" spans="1:9" s="47" customFormat="1" ht="14.4" x14ac:dyDescent="0.3">
      <c r="A2515"/>
      <c r="B2515"/>
      <c r="C2515"/>
      <c r="D2515"/>
      <c r="E2515"/>
      <c r="F2515"/>
      <c r="G2515"/>
      <c r="H2515"/>
      <c r="I2515"/>
    </row>
    <row r="2516" spans="1:9" s="47" customFormat="1" ht="14.4" x14ac:dyDescent="0.3">
      <c r="A2516"/>
      <c r="B2516"/>
      <c r="C2516"/>
      <c r="D2516"/>
      <c r="E2516"/>
      <c r="F2516"/>
      <c r="G2516"/>
      <c r="H2516"/>
      <c r="I2516"/>
    </row>
    <row r="2517" spans="1:9" s="47" customFormat="1" ht="14.4" x14ac:dyDescent="0.3">
      <c r="A2517"/>
      <c r="B2517"/>
      <c r="C2517"/>
      <c r="D2517"/>
      <c r="E2517"/>
      <c r="F2517"/>
      <c r="G2517"/>
      <c r="H2517"/>
      <c r="I2517"/>
    </row>
    <row r="2518" spans="1:9" s="47" customFormat="1" ht="14.4" x14ac:dyDescent="0.3">
      <c r="A2518"/>
      <c r="B2518"/>
      <c r="C2518"/>
      <c r="D2518"/>
      <c r="E2518"/>
      <c r="F2518"/>
      <c r="G2518"/>
      <c r="H2518"/>
      <c r="I2518"/>
    </row>
    <row r="2519" spans="1:9" s="47" customFormat="1" ht="14.4" x14ac:dyDescent="0.3">
      <c r="A2519"/>
      <c r="B2519"/>
      <c r="C2519"/>
      <c r="D2519"/>
      <c r="E2519"/>
      <c r="F2519"/>
      <c r="G2519"/>
      <c r="H2519"/>
      <c r="I2519"/>
    </row>
    <row r="2520" spans="1:9" s="47" customFormat="1" ht="14.4" x14ac:dyDescent="0.3">
      <c r="A2520"/>
      <c r="B2520"/>
      <c r="C2520"/>
      <c r="D2520"/>
      <c r="E2520"/>
      <c r="F2520"/>
      <c r="G2520"/>
      <c r="H2520"/>
      <c r="I2520"/>
    </row>
    <row r="2521" spans="1:9" s="47" customFormat="1" ht="14.4" x14ac:dyDescent="0.3">
      <c r="A2521"/>
      <c r="B2521"/>
      <c r="C2521"/>
      <c r="D2521"/>
      <c r="E2521"/>
      <c r="F2521"/>
      <c r="G2521"/>
      <c r="H2521"/>
      <c r="I2521"/>
    </row>
    <row r="2522" spans="1:9" s="47" customFormat="1" ht="14.4" x14ac:dyDescent="0.3">
      <c r="A2522"/>
      <c r="B2522"/>
      <c r="C2522"/>
      <c r="D2522"/>
      <c r="E2522"/>
      <c r="F2522"/>
      <c r="G2522"/>
      <c r="H2522"/>
      <c r="I2522"/>
    </row>
    <row r="2523" spans="1:9" s="47" customFormat="1" ht="14.4" x14ac:dyDescent="0.3">
      <c r="A2523"/>
      <c r="B2523"/>
      <c r="C2523"/>
      <c r="D2523"/>
      <c r="E2523"/>
      <c r="F2523"/>
      <c r="G2523"/>
      <c r="H2523"/>
      <c r="I2523"/>
    </row>
    <row r="2524" spans="1:9" s="47" customFormat="1" ht="14.4" x14ac:dyDescent="0.3">
      <c r="A2524"/>
      <c r="B2524"/>
      <c r="C2524"/>
      <c r="D2524"/>
      <c r="E2524"/>
      <c r="F2524"/>
      <c r="G2524"/>
      <c r="H2524"/>
      <c r="I2524"/>
    </row>
    <row r="2525" spans="1:9" s="47" customFormat="1" ht="14.4" x14ac:dyDescent="0.3">
      <c r="A2525"/>
      <c r="B2525"/>
      <c r="C2525"/>
      <c r="D2525"/>
      <c r="E2525"/>
      <c r="F2525"/>
      <c r="G2525"/>
      <c r="H2525"/>
      <c r="I2525"/>
    </row>
    <row r="2526" spans="1:9" s="47" customFormat="1" ht="14.4" x14ac:dyDescent="0.3">
      <c r="A2526"/>
      <c r="B2526"/>
      <c r="C2526"/>
      <c r="D2526"/>
      <c r="E2526"/>
      <c r="F2526"/>
      <c r="G2526"/>
      <c r="H2526"/>
      <c r="I2526"/>
    </row>
    <row r="2527" spans="1:9" s="47" customFormat="1" ht="14.4" x14ac:dyDescent="0.3">
      <c r="A2527"/>
      <c r="B2527"/>
      <c r="C2527"/>
      <c r="D2527"/>
      <c r="E2527"/>
      <c r="F2527"/>
      <c r="G2527"/>
      <c r="H2527"/>
      <c r="I2527"/>
    </row>
    <row r="2528" spans="1:9" s="47" customFormat="1" ht="14.4" x14ac:dyDescent="0.3">
      <c r="A2528"/>
      <c r="B2528"/>
      <c r="C2528"/>
      <c r="D2528"/>
      <c r="E2528"/>
      <c r="F2528"/>
      <c r="G2528"/>
      <c r="H2528"/>
      <c r="I2528"/>
    </row>
    <row r="2529" spans="1:9" s="47" customFormat="1" ht="14.4" x14ac:dyDescent="0.3">
      <c r="A2529"/>
      <c r="B2529"/>
      <c r="C2529"/>
      <c r="D2529"/>
      <c r="E2529"/>
      <c r="F2529"/>
      <c r="G2529"/>
      <c r="H2529"/>
      <c r="I2529"/>
    </row>
    <row r="2530" spans="1:9" s="47" customFormat="1" ht="14.4" x14ac:dyDescent="0.3">
      <c r="A2530"/>
      <c r="B2530"/>
      <c r="C2530"/>
      <c r="D2530"/>
      <c r="E2530"/>
      <c r="F2530"/>
      <c r="G2530"/>
      <c r="H2530"/>
      <c r="I2530"/>
    </row>
    <row r="2531" spans="1:9" s="47" customFormat="1" ht="14.4" x14ac:dyDescent="0.3">
      <c r="A2531"/>
      <c r="B2531"/>
      <c r="C2531"/>
      <c r="D2531"/>
      <c r="E2531"/>
      <c r="F2531"/>
      <c r="G2531"/>
      <c r="H2531"/>
      <c r="I2531"/>
    </row>
    <row r="2532" spans="1:9" s="47" customFormat="1" ht="14.4" x14ac:dyDescent="0.3">
      <c r="A2532"/>
      <c r="B2532"/>
      <c r="C2532"/>
      <c r="D2532"/>
      <c r="E2532"/>
      <c r="F2532"/>
      <c r="G2532"/>
      <c r="H2532"/>
      <c r="I2532"/>
    </row>
    <row r="2533" spans="1:9" s="47" customFormat="1" ht="14.4" x14ac:dyDescent="0.3">
      <c r="A2533"/>
      <c r="B2533"/>
      <c r="C2533"/>
      <c r="D2533"/>
      <c r="E2533"/>
      <c r="F2533"/>
      <c r="G2533"/>
      <c r="H2533"/>
      <c r="I2533"/>
    </row>
    <row r="2534" spans="1:9" s="47" customFormat="1" ht="14.4" x14ac:dyDescent="0.3">
      <c r="A2534"/>
      <c r="B2534"/>
      <c r="C2534"/>
      <c r="D2534"/>
      <c r="E2534"/>
      <c r="F2534"/>
      <c r="G2534"/>
      <c r="H2534"/>
      <c r="I2534"/>
    </row>
    <row r="2535" spans="1:9" s="47" customFormat="1" ht="14.4" x14ac:dyDescent="0.3">
      <c r="A2535"/>
      <c r="B2535"/>
      <c r="C2535"/>
      <c r="D2535"/>
      <c r="E2535"/>
      <c r="F2535"/>
      <c r="G2535"/>
      <c r="H2535"/>
      <c r="I2535"/>
    </row>
    <row r="2536" spans="1:9" s="47" customFormat="1" ht="14.4" x14ac:dyDescent="0.3">
      <c r="A2536"/>
      <c r="B2536"/>
      <c r="C2536"/>
      <c r="D2536"/>
      <c r="E2536"/>
      <c r="F2536"/>
      <c r="G2536"/>
      <c r="H2536"/>
      <c r="I2536"/>
    </row>
    <row r="2537" spans="1:9" s="47" customFormat="1" ht="14.4" x14ac:dyDescent="0.3">
      <c r="A2537"/>
      <c r="B2537"/>
      <c r="C2537"/>
      <c r="D2537"/>
      <c r="E2537"/>
      <c r="F2537"/>
      <c r="G2537"/>
      <c r="H2537"/>
      <c r="I2537"/>
    </row>
    <row r="2538" spans="1:9" s="47" customFormat="1" ht="14.4" x14ac:dyDescent="0.3">
      <c r="A2538"/>
      <c r="B2538"/>
      <c r="C2538"/>
      <c r="D2538"/>
      <c r="E2538"/>
      <c r="F2538"/>
      <c r="G2538"/>
      <c r="H2538"/>
      <c r="I2538"/>
    </row>
    <row r="2539" spans="1:9" s="47" customFormat="1" ht="14.4" x14ac:dyDescent="0.3">
      <c r="A2539"/>
      <c r="B2539"/>
      <c r="C2539"/>
      <c r="D2539"/>
      <c r="E2539"/>
      <c r="F2539"/>
      <c r="G2539"/>
      <c r="H2539"/>
      <c r="I2539"/>
    </row>
    <row r="2540" spans="1:9" s="47" customFormat="1" ht="14.4" x14ac:dyDescent="0.3">
      <c r="A2540"/>
      <c r="B2540"/>
      <c r="C2540"/>
      <c r="D2540"/>
      <c r="E2540"/>
      <c r="F2540"/>
      <c r="G2540"/>
      <c r="H2540"/>
      <c r="I2540"/>
    </row>
    <row r="2541" spans="1:9" s="47" customFormat="1" ht="14.4" x14ac:dyDescent="0.3">
      <c r="A2541"/>
      <c r="B2541"/>
      <c r="C2541"/>
      <c r="D2541"/>
      <c r="E2541"/>
      <c r="F2541"/>
      <c r="G2541"/>
      <c r="H2541"/>
      <c r="I2541"/>
    </row>
    <row r="2542" spans="1:9" s="47" customFormat="1" ht="14.4" x14ac:dyDescent="0.3">
      <c r="A2542"/>
      <c r="B2542"/>
      <c r="C2542"/>
      <c r="D2542"/>
      <c r="E2542"/>
      <c r="F2542"/>
      <c r="G2542"/>
      <c r="H2542"/>
      <c r="I2542"/>
    </row>
    <row r="2543" spans="1:9" s="47" customFormat="1" ht="14.4" x14ac:dyDescent="0.3">
      <c r="A2543"/>
      <c r="B2543"/>
      <c r="C2543"/>
      <c r="D2543"/>
      <c r="E2543"/>
      <c r="F2543"/>
      <c r="G2543"/>
      <c r="H2543"/>
      <c r="I2543"/>
    </row>
    <row r="2544" spans="1:9" s="47" customFormat="1" ht="14.4" x14ac:dyDescent="0.3">
      <c r="A2544"/>
      <c r="B2544"/>
      <c r="C2544"/>
      <c r="D2544"/>
      <c r="E2544"/>
      <c r="F2544"/>
      <c r="G2544"/>
      <c r="H2544"/>
      <c r="I2544"/>
    </row>
    <row r="2545" spans="1:9" s="47" customFormat="1" ht="14.4" x14ac:dyDescent="0.3">
      <c r="A2545"/>
      <c r="B2545"/>
      <c r="C2545"/>
      <c r="D2545"/>
      <c r="E2545"/>
      <c r="F2545"/>
      <c r="G2545"/>
      <c r="H2545"/>
      <c r="I2545"/>
    </row>
    <row r="2546" spans="1:9" s="47" customFormat="1" ht="14.4" x14ac:dyDescent="0.3">
      <c r="A2546"/>
      <c r="B2546"/>
      <c r="C2546"/>
      <c r="D2546"/>
      <c r="E2546"/>
      <c r="F2546"/>
      <c r="G2546"/>
      <c r="H2546"/>
      <c r="I2546"/>
    </row>
    <row r="2547" spans="1:9" s="47" customFormat="1" ht="14.4" x14ac:dyDescent="0.3">
      <c r="A2547"/>
      <c r="B2547"/>
      <c r="C2547"/>
      <c r="D2547"/>
      <c r="E2547"/>
      <c r="F2547"/>
      <c r="G2547"/>
      <c r="H2547"/>
      <c r="I2547"/>
    </row>
    <row r="2548" spans="1:9" s="47" customFormat="1" ht="14.4" x14ac:dyDescent="0.3">
      <c r="A2548"/>
      <c r="B2548"/>
      <c r="C2548"/>
      <c r="D2548"/>
      <c r="E2548"/>
      <c r="F2548"/>
      <c r="G2548"/>
      <c r="H2548"/>
      <c r="I2548"/>
    </row>
    <row r="2549" spans="1:9" s="47" customFormat="1" ht="14.4" x14ac:dyDescent="0.3">
      <c r="A2549"/>
      <c r="B2549"/>
      <c r="C2549"/>
      <c r="D2549"/>
      <c r="E2549"/>
      <c r="F2549"/>
      <c r="G2549"/>
      <c r="H2549"/>
      <c r="I2549"/>
    </row>
    <row r="2550" spans="1:9" s="47" customFormat="1" ht="14.4" x14ac:dyDescent="0.3">
      <c r="A2550"/>
      <c r="B2550"/>
      <c r="C2550"/>
      <c r="D2550"/>
      <c r="E2550"/>
      <c r="F2550"/>
      <c r="G2550"/>
      <c r="H2550"/>
      <c r="I2550"/>
    </row>
    <row r="2551" spans="1:9" s="47" customFormat="1" ht="14.4" x14ac:dyDescent="0.3">
      <c r="A2551"/>
      <c r="B2551"/>
      <c r="C2551"/>
      <c r="D2551"/>
      <c r="E2551"/>
      <c r="F2551"/>
      <c r="G2551"/>
      <c r="H2551"/>
      <c r="I2551"/>
    </row>
    <row r="2552" spans="1:9" s="47" customFormat="1" ht="14.4" x14ac:dyDescent="0.3">
      <c r="A2552"/>
      <c r="B2552"/>
      <c r="C2552"/>
      <c r="D2552"/>
      <c r="E2552"/>
      <c r="F2552"/>
      <c r="G2552"/>
      <c r="H2552"/>
      <c r="I2552"/>
    </row>
    <row r="2553" spans="1:9" s="47" customFormat="1" ht="14.4" x14ac:dyDescent="0.3">
      <c r="A2553"/>
      <c r="B2553"/>
      <c r="C2553"/>
      <c r="D2553"/>
      <c r="E2553"/>
      <c r="F2553"/>
      <c r="G2553"/>
      <c r="H2553"/>
      <c r="I2553"/>
    </row>
    <row r="2554" spans="1:9" s="47" customFormat="1" ht="14.4" x14ac:dyDescent="0.3">
      <c r="A2554"/>
      <c r="B2554"/>
      <c r="C2554"/>
      <c r="D2554"/>
      <c r="E2554"/>
      <c r="F2554"/>
      <c r="G2554"/>
      <c r="H2554"/>
      <c r="I2554"/>
    </row>
    <row r="2555" spans="1:9" s="47" customFormat="1" ht="14.4" x14ac:dyDescent="0.3">
      <c r="A2555"/>
      <c r="B2555"/>
      <c r="C2555"/>
      <c r="D2555"/>
      <c r="E2555"/>
      <c r="F2555"/>
      <c r="G2555"/>
      <c r="H2555"/>
      <c r="I2555"/>
    </row>
    <row r="2556" spans="1:9" s="47" customFormat="1" ht="14.4" x14ac:dyDescent="0.3">
      <c r="A2556"/>
      <c r="B2556"/>
      <c r="C2556"/>
      <c r="D2556"/>
      <c r="E2556"/>
      <c r="F2556"/>
      <c r="G2556"/>
      <c r="H2556"/>
      <c r="I2556"/>
    </row>
    <row r="2557" spans="1:9" s="47" customFormat="1" ht="14.4" x14ac:dyDescent="0.3">
      <c r="A2557"/>
      <c r="B2557"/>
      <c r="C2557"/>
      <c r="D2557"/>
      <c r="E2557"/>
      <c r="F2557"/>
      <c r="G2557"/>
      <c r="H2557"/>
      <c r="I2557"/>
    </row>
    <row r="2558" spans="1:9" s="47" customFormat="1" ht="14.4" x14ac:dyDescent="0.3">
      <c r="A2558"/>
      <c r="B2558"/>
      <c r="C2558"/>
      <c r="D2558"/>
      <c r="E2558"/>
      <c r="F2558"/>
      <c r="G2558"/>
      <c r="H2558"/>
      <c r="I2558"/>
    </row>
    <row r="2559" spans="1:9" s="47" customFormat="1" ht="14.4" x14ac:dyDescent="0.3">
      <c r="A2559"/>
      <c r="B2559"/>
      <c r="C2559"/>
      <c r="D2559"/>
      <c r="E2559"/>
      <c r="F2559"/>
      <c r="G2559"/>
      <c r="H2559"/>
      <c r="I2559"/>
    </row>
    <row r="2560" spans="1:9" s="47" customFormat="1" ht="14.4" x14ac:dyDescent="0.3">
      <c r="A2560"/>
      <c r="B2560"/>
      <c r="C2560"/>
      <c r="D2560"/>
      <c r="E2560"/>
      <c r="F2560"/>
      <c r="G2560"/>
      <c r="H2560"/>
      <c r="I2560"/>
    </row>
    <row r="2561" spans="1:9" s="47" customFormat="1" ht="14.4" x14ac:dyDescent="0.3">
      <c r="A2561"/>
      <c r="B2561"/>
      <c r="C2561"/>
      <c r="D2561"/>
      <c r="E2561"/>
      <c r="F2561"/>
      <c r="G2561"/>
      <c r="H2561"/>
      <c r="I2561"/>
    </row>
    <row r="2562" spans="1:9" s="47" customFormat="1" ht="14.4" x14ac:dyDescent="0.3">
      <c r="A2562"/>
      <c r="B2562"/>
      <c r="C2562"/>
      <c r="D2562"/>
      <c r="E2562"/>
      <c r="F2562"/>
      <c r="G2562"/>
      <c r="H2562"/>
      <c r="I2562"/>
    </row>
    <row r="2563" spans="1:9" s="47" customFormat="1" ht="14.4" x14ac:dyDescent="0.3">
      <c r="A2563"/>
      <c r="B2563"/>
      <c r="C2563"/>
      <c r="D2563"/>
      <c r="E2563"/>
      <c r="F2563"/>
      <c r="G2563"/>
      <c r="H2563"/>
      <c r="I2563"/>
    </row>
    <row r="2564" spans="1:9" s="47" customFormat="1" ht="14.4" x14ac:dyDescent="0.3">
      <c r="A2564"/>
      <c r="B2564"/>
      <c r="C2564"/>
      <c r="D2564"/>
      <c r="E2564"/>
      <c r="F2564"/>
      <c r="G2564"/>
      <c r="H2564"/>
      <c r="I2564"/>
    </row>
    <row r="2565" spans="1:9" s="47" customFormat="1" ht="14.4" x14ac:dyDescent="0.3">
      <c r="A2565"/>
      <c r="B2565"/>
      <c r="C2565"/>
      <c r="D2565"/>
      <c r="E2565"/>
      <c r="F2565"/>
      <c r="G2565"/>
      <c r="H2565"/>
      <c r="I2565"/>
    </row>
    <row r="2566" spans="1:9" s="47" customFormat="1" ht="14.4" x14ac:dyDescent="0.3">
      <c r="A2566"/>
      <c r="B2566"/>
      <c r="C2566"/>
      <c r="D2566"/>
      <c r="E2566"/>
      <c r="F2566"/>
      <c r="G2566"/>
      <c r="H2566"/>
      <c r="I2566"/>
    </row>
    <row r="2567" spans="1:9" s="47" customFormat="1" ht="14.4" x14ac:dyDescent="0.3">
      <c r="A2567"/>
      <c r="B2567"/>
      <c r="C2567"/>
      <c r="D2567"/>
      <c r="E2567"/>
      <c r="F2567"/>
      <c r="G2567"/>
      <c r="H2567"/>
      <c r="I2567"/>
    </row>
    <row r="2568" spans="1:9" s="47" customFormat="1" ht="14.4" x14ac:dyDescent="0.3">
      <c r="A2568"/>
      <c r="B2568"/>
      <c r="C2568"/>
      <c r="D2568"/>
      <c r="E2568"/>
      <c r="F2568"/>
      <c r="G2568"/>
      <c r="H2568"/>
      <c r="I2568"/>
    </row>
    <row r="2569" spans="1:9" s="47" customFormat="1" ht="14.4" x14ac:dyDescent="0.3">
      <c r="A2569"/>
      <c r="B2569"/>
      <c r="C2569"/>
      <c r="D2569"/>
      <c r="E2569"/>
      <c r="F2569"/>
      <c r="G2569"/>
      <c r="H2569"/>
      <c r="I2569"/>
    </row>
    <row r="2570" spans="1:9" s="47" customFormat="1" ht="14.4" x14ac:dyDescent="0.3">
      <c r="A2570"/>
      <c r="B2570"/>
      <c r="C2570"/>
      <c r="D2570"/>
      <c r="E2570"/>
      <c r="F2570"/>
      <c r="G2570"/>
      <c r="H2570"/>
      <c r="I2570"/>
    </row>
    <row r="2571" spans="1:9" s="47" customFormat="1" ht="14.4" x14ac:dyDescent="0.3">
      <c r="A2571"/>
      <c r="B2571"/>
      <c r="C2571"/>
      <c r="D2571"/>
      <c r="E2571"/>
      <c r="F2571"/>
      <c r="G2571"/>
      <c r="H2571"/>
      <c r="I2571"/>
    </row>
    <row r="2572" spans="1:9" s="47" customFormat="1" ht="14.4" x14ac:dyDescent="0.3">
      <c r="A2572"/>
      <c r="B2572"/>
      <c r="C2572"/>
      <c r="D2572"/>
      <c r="E2572"/>
      <c r="F2572"/>
      <c r="G2572"/>
      <c r="H2572"/>
      <c r="I2572"/>
    </row>
    <row r="2573" spans="1:9" s="47" customFormat="1" ht="14.4" x14ac:dyDescent="0.3">
      <c r="A2573"/>
      <c r="B2573"/>
      <c r="C2573"/>
      <c r="D2573"/>
      <c r="E2573"/>
      <c r="F2573"/>
      <c r="G2573"/>
      <c r="H2573"/>
      <c r="I2573"/>
    </row>
    <row r="2574" spans="1:9" s="47" customFormat="1" ht="14.4" x14ac:dyDescent="0.3">
      <c r="A2574"/>
      <c r="B2574"/>
      <c r="C2574"/>
      <c r="D2574"/>
      <c r="E2574"/>
      <c r="F2574"/>
      <c r="G2574"/>
      <c r="H2574"/>
      <c r="I2574"/>
    </row>
    <row r="2575" spans="1:9" s="47" customFormat="1" ht="14.4" x14ac:dyDescent="0.3">
      <c r="A2575"/>
      <c r="B2575"/>
      <c r="C2575"/>
      <c r="D2575"/>
      <c r="E2575"/>
      <c r="F2575"/>
      <c r="G2575"/>
      <c r="H2575"/>
      <c r="I2575"/>
    </row>
    <row r="2576" spans="1:9" s="47" customFormat="1" ht="14.4" x14ac:dyDescent="0.3">
      <c r="A2576"/>
      <c r="B2576"/>
      <c r="C2576"/>
      <c r="D2576"/>
      <c r="E2576"/>
      <c r="F2576"/>
      <c r="G2576"/>
      <c r="H2576"/>
      <c r="I2576"/>
    </row>
    <row r="2577" spans="1:9" s="47" customFormat="1" ht="14.4" x14ac:dyDescent="0.3">
      <c r="A2577"/>
      <c r="B2577"/>
      <c r="C2577"/>
      <c r="D2577"/>
      <c r="E2577"/>
      <c r="F2577"/>
      <c r="G2577"/>
      <c r="H2577"/>
      <c r="I2577"/>
    </row>
    <row r="2578" spans="1:9" s="47" customFormat="1" ht="14.4" x14ac:dyDescent="0.3">
      <c r="A2578"/>
      <c r="B2578"/>
      <c r="C2578"/>
      <c r="D2578"/>
      <c r="E2578"/>
      <c r="F2578"/>
      <c r="G2578"/>
      <c r="H2578"/>
      <c r="I2578"/>
    </row>
    <row r="2579" spans="1:9" s="47" customFormat="1" ht="14.4" x14ac:dyDescent="0.3">
      <c r="A2579"/>
      <c r="B2579"/>
      <c r="C2579"/>
      <c r="D2579"/>
      <c r="E2579"/>
      <c r="F2579"/>
      <c r="G2579"/>
      <c r="H2579"/>
      <c r="I2579"/>
    </row>
    <row r="2580" spans="1:9" s="47" customFormat="1" ht="14.4" x14ac:dyDescent="0.3">
      <c r="A2580"/>
      <c r="B2580"/>
      <c r="C2580"/>
      <c r="D2580"/>
      <c r="E2580"/>
      <c r="F2580"/>
      <c r="G2580"/>
      <c r="H2580"/>
      <c r="I2580"/>
    </row>
    <row r="2581" spans="1:9" s="47" customFormat="1" ht="14.4" x14ac:dyDescent="0.3">
      <c r="A2581"/>
      <c r="B2581"/>
      <c r="C2581"/>
      <c r="D2581"/>
      <c r="E2581"/>
      <c r="F2581"/>
      <c r="G2581"/>
      <c r="H2581"/>
      <c r="I2581"/>
    </row>
    <row r="2582" spans="1:9" s="47" customFormat="1" ht="14.4" x14ac:dyDescent="0.3">
      <c r="A2582"/>
      <c r="B2582"/>
      <c r="C2582"/>
      <c r="D2582"/>
      <c r="E2582"/>
      <c r="F2582"/>
      <c r="G2582"/>
      <c r="H2582"/>
      <c r="I2582"/>
    </row>
    <row r="2583" spans="1:9" s="47" customFormat="1" ht="14.4" x14ac:dyDescent="0.3">
      <c r="A2583"/>
      <c r="B2583"/>
      <c r="C2583"/>
      <c r="D2583"/>
      <c r="E2583"/>
      <c r="F2583"/>
      <c r="G2583"/>
      <c r="H2583"/>
      <c r="I2583"/>
    </row>
    <row r="2584" spans="1:9" s="47" customFormat="1" ht="14.4" x14ac:dyDescent="0.3">
      <c r="A2584"/>
      <c r="B2584"/>
      <c r="C2584"/>
      <c r="D2584"/>
      <c r="E2584"/>
      <c r="F2584"/>
      <c r="G2584"/>
      <c r="H2584"/>
      <c r="I2584"/>
    </row>
    <row r="2585" spans="1:9" s="47" customFormat="1" ht="14.4" x14ac:dyDescent="0.3">
      <c r="A2585"/>
      <c r="B2585"/>
      <c r="C2585"/>
      <c r="D2585"/>
      <c r="E2585"/>
      <c r="F2585"/>
      <c r="G2585"/>
      <c r="H2585"/>
      <c r="I2585"/>
    </row>
    <row r="2586" spans="1:9" s="47" customFormat="1" ht="14.4" x14ac:dyDescent="0.3">
      <c r="A2586"/>
      <c r="B2586"/>
      <c r="C2586"/>
      <c r="D2586"/>
      <c r="E2586"/>
      <c r="F2586"/>
      <c r="G2586"/>
      <c r="H2586"/>
      <c r="I2586"/>
    </row>
    <row r="2587" spans="1:9" s="47" customFormat="1" ht="14.4" x14ac:dyDescent="0.3">
      <c r="A2587"/>
      <c r="B2587"/>
      <c r="C2587"/>
      <c r="D2587"/>
      <c r="E2587"/>
      <c r="F2587"/>
      <c r="G2587"/>
      <c r="H2587"/>
      <c r="I2587"/>
    </row>
    <row r="2588" spans="1:9" s="47" customFormat="1" ht="14.4" x14ac:dyDescent="0.3">
      <c r="A2588"/>
      <c r="B2588"/>
      <c r="C2588"/>
      <c r="D2588"/>
      <c r="E2588"/>
      <c r="F2588"/>
      <c r="G2588"/>
      <c r="H2588"/>
      <c r="I2588"/>
    </row>
    <row r="2589" spans="1:9" s="47" customFormat="1" ht="14.4" x14ac:dyDescent="0.3">
      <c r="A2589"/>
      <c r="B2589"/>
      <c r="C2589"/>
      <c r="D2589"/>
      <c r="E2589"/>
      <c r="F2589"/>
      <c r="G2589"/>
      <c r="H2589"/>
      <c r="I2589"/>
    </row>
    <row r="2590" spans="1:9" s="47" customFormat="1" ht="14.4" x14ac:dyDescent="0.3">
      <c r="A2590"/>
      <c r="B2590"/>
      <c r="C2590"/>
      <c r="D2590"/>
      <c r="E2590"/>
      <c r="F2590"/>
      <c r="G2590"/>
      <c r="H2590"/>
      <c r="I2590"/>
    </row>
    <row r="2591" spans="1:9" s="47" customFormat="1" ht="14.4" x14ac:dyDescent="0.3">
      <c r="A2591"/>
      <c r="B2591"/>
      <c r="C2591"/>
      <c r="D2591"/>
      <c r="E2591"/>
      <c r="F2591"/>
      <c r="G2591"/>
      <c r="H2591"/>
      <c r="I2591"/>
    </row>
    <row r="2592" spans="1:9" s="47" customFormat="1" ht="14.4" x14ac:dyDescent="0.3">
      <c r="A2592"/>
      <c r="B2592"/>
      <c r="C2592"/>
      <c r="D2592"/>
      <c r="E2592"/>
      <c r="F2592"/>
      <c r="G2592"/>
      <c r="H2592"/>
      <c r="I2592"/>
    </row>
    <row r="2593" spans="1:9" s="47" customFormat="1" ht="14.4" x14ac:dyDescent="0.3">
      <c r="A2593"/>
      <c r="B2593"/>
      <c r="C2593"/>
      <c r="D2593"/>
      <c r="E2593"/>
      <c r="F2593"/>
      <c r="G2593"/>
      <c r="H2593"/>
      <c r="I2593"/>
    </row>
    <row r="2594" spans="1:9" s="47" customFormat="1" ht="14.4" x14ac:dyDescent="0.3">
      <c r="A2594"/>
      <c r="B2594"/>
      <c r="C2594"/>
      <c r="D2594"/>
      <c r="E2594"/>
      <c r="F2594"/>
      <c r="G2594"/>
      <c r="H2594"/>
      <c r="I2594"/>
    </row>
    <row r="2595" spans="1:9" s="47" customFormat="1" ht="14.4" x14ac:dyDescent="0.3">
      <c r="A2595"/>
      <c r="B2595"/>
      <c r="C2595"/>
      <c r="D2595"/>
      <c r="E2595"/>
      <c r="F2595"/>
      <c r="G2595"/>
      <c r="H2595"/>
      <c r="I2595"/>
    </row>
    <row r="2596" spans="1:9" s="47" customFormat="1" ht="14.4" x14ac:dyDescent="0.3">
      <c r="A2596"/>
      <c r="B2596"/>
      <c r="C2596"/>
      <c r="D2596"/>
      <c r="E2596"/>
      <c r="F2596"/>
      <c r="G2596"/>
      <c r="H2596"/>
      <c r="I2596"/>
    </row>
    <row r="2597" spans="1:9" s="47" customFormat="1" ht="14.4" x14ac:dyDescent="0.3">
      <c r="A2597"/>
      <c r="B2597"/>
      <c r="C2597"/>
      <c r="D2597"/>
      <c r="E2597"/>
      <c r="F2597"/>
      <c r="G2597"/>
      <c r="H2597"/>
      <c r="I2597"/>
    </row>
    <row r="2598" spans="1:9" s="47" customFormat="1" ht="14.4" x14ac:dyDescent="0.3">
      <c r="A2598"/>
      <c r="B2598"/>
      <c r="C2598"/>
      <c r="D2598"/>
      <c r="E2598"/>
      <c r="F2598"/>
      <c r="G2598"/>
      <c r="H2598"/>
      <c r="I2598"/>
    </row>
    <row r="2599" spans="1:9" s="47" customFormat="1" ht="14.4" x14ac:dyDescent="0.3">
      <c r="A2599"/>
      <c r="B2599"/>
      <c r="C2599"/>
      <c r="D2599"/>
      <c r="E2599"/>
      <c r="F2599"/>
      <c r="G2599"/>
      <c r="H2599"/>
      <c r="I2599"/>
    </row>
    <row r="2600" spans="1:9" s="47" customFormat="1" ht="14.4" x14ac:dyDescent="0.3">
      <c r="A2600"/>
      <c r="B2600"/>
      <c r="C2600"/>
      <c r="D2600"/>
      <c r="E2600"/>
      <c r="F2600"/>
      <c r="G2600"/>
      <c r="H2600"/>
      <c r="I2600"/>
    </row>
    <row r="2601" spans="1:9" s="47" customFormat="1" ht="14.4" x14ac:dyDescent="0.3">
      <c r="A2601"/>
      <c r="B2601"/>
      <c r="C2601"/>
      <c r="D2601"/>
      <c r="E2601"/>
      <c r="F2601"/>
      <c r="G2601"/>
      <c r="H2601"/>
      <c r="I2601"/>
    </row>
    <row r="2602" spans="1:9" s="47" customFormat="1" ht="14.4" x14ac:dyDescent="0.3">
      <c r="A2602"/>
      <c r="B2602"/>
      <c r="C2602"/>
      <c r="D2602"/>
      <c r="E2602"/>
      <c r="F2602"/>
      <c r="G2602"/>
      <c r="H2602"/>
      <c r="I2602"/>
    </row>
    <row r="2603" spans="1:9" s="47" customFormat="1" ht="14.4" x14ac:dyDescent="0.3">
      <c r="A2603"/>
      <c r="B2603"/>
      <c r="C2603"/>
      <c r="D2603"/>
      <c r="E2603"/>
      <c r="F2603"/>
      <c r="G2603"/>
      <c r="H2603"/>
      <c r="I2603"/>
    </row>
    <row r="2604" spans="1:9" s="47" customFormat="1" ht="14.4" x14ac:dyDescent="0.3">
      <c r="A2604"/>
      <c r="B2604"/>
      <c r="C2604"/>
      <c r="D2604"/>
      <c r="E2604"/>
      <c r="F2604"/>
      <c r="G2604"/>
      <c r="H2604"/>
      <c r="I2604"/>
    </row>
    <row r="2605" spans="1:9" s="47" customFormat="1" ht="14.4" x14ac:dyDescent="0.3">
      <c r="A2605"/>
      <c r="B2605"/>
      <c r="C2605"/>
      <c r="D2605"/>
      <c r="E2605"/>
      <c r="F2605"/>
      <c r="G2605"/>
      <c r="H2605"/>
      <c r="I2605"/>
    </row>
    <row r="2606" spans="1:9" s="47" customFormat="1" ht="14.4" x14ac:dyDescent="0.3">
      <c r="A2606"/>
      <c r="B2606"/>
      <c r="C2606"/>
      <c r="D2606"/>
      <c r="E2606"/>
      <c r="F2606"/>
      <c r="G2606"/>
      <c r="H2606"/>
      <c r="I2606"/>
    </row>
    <row r="2607" spans="1:9" s="47" customFormat="1" ht="14.4" x14ac:dyDescent="0.3">
      <c r="A2607"/>
      <c r="B2607"/>
      <c r="C2607"/>
      <c r="D2607"/>
      <c r="E2607"/>
      <c r="F2607"/>
      <c r="G2607"/>
      <c r="H2607"/>
      <c r="I2607"/>
    </row>
    <row r="2608" spans="1:9" s="47" customFormat="1" ht="14.4" x14ac:dyDescent="0.3">
      <c r="A2608"/>
      <c r="B2608"/>
      <c r="C2608"/>
      <c r="D2608"/>
      <c r="E2608"/>
      <c r="F2608"/>
      <c r="G2608"/>
      <c r="H2608"/>
      <c r="I2608"/>
    </row>
    <row r="2609" spans="1:9" s="47" customFormat="1" ht="14.4" x14ac:dyDescent="0.3">
      <c r="A2609"/>
      <c r="B2609"/>
      <c r="C2609"/>
      <c r="D2609"/>
      <c r="E2609"/>
      <c r="F2609"/>
      <c r="G2609"/>
      <c r="H2609"/>
      <c r="I2609"/>
    </row>
    <row r="2610" spans="1:9" s="47" customFormat="1" ht="14.4" x14ac:dyDescent="0.3">
      <c r="A2610"/>
      <c r="B2610"/>
      <c r="C2610"/>
      <c r="D2610"/>
      <c r="E2610"/>
      <c r="F2610"/>
      <c r="G2610"/>
      <c r="H2610"/>
      <c r="I2610"/>
    </row>
    <row r="2611" spans="1:9" s="47" customFormat="1" ht="14.4" x14ac:dyDescent="0.3">
      <c r="A2611"/>
      <c r="B2611"/>
      <c r="C2611"/>
      <c r="D2611"/>
      <c r="E2611"/>
      <c r="F2611"/>
      <c r="G2611"/>
      <c r="H2611"/>
      <c r="I2611"/>
    </row>
    <row r="2612" spans="1:9" s="47" customFormat="1" ht="14.4" x14ac:dyDescent="0.3">
      <c r="A2612"/>
      <c r="B2612"/>
      <c r="C2612"/>
      <c r="D2612"/>
      <c r="E2612"/>
      <c r="F2612"/>
      <c r="G2612"/>
      <c r="H2612"/>
      <c r="I2612"/>
    </row>
    <row r="2613" spans="1:9" s="47" customFormat="1" ht="14.4" x14ac:dyDescent="0.3">
      <c r="A2613"/>
      <c r="B2613"/>
      <c r="C2613"/>
      <c r="D2613"/>
      <c r="E2613"/>
      <c r="F2613"/>
      <c r="G2613"/>
      <c r="H2613"/>
      <c r="I2613"/>
    </row>
    <row r="2614" spans="1:9" s="47" customFormat="1" ht="14.4" x14ac:dyDescent="0.3">
      <c r="A2614"/>
      <c r="B2614"/>
      <c r="C2614"/>
      <c r="D2614"/>
      <c r="E2614"/>
      <c r="F2614"/>
      <c r="G2614"/>
      <c r="H2614"/>
      <c r="I2614"/>
    </row>
    <row r="2615" spans="1:9" s="47" customFormat="1" ht="14.4" x14ac:dyDescent="0.3">
      <c r="A2615"/>
      <c r="B2615"/>
      <c r="C2615"/>
      <c r="D2615"/>
      <c r="E2615"/>
      <c r="F2615"/>
      <c r="G2615"/>
      <c r="H2615"/>
      <c r="I2615"/>
    </row>
    <row r="2616" spans="1:9" s="47" customFormat="1" ht="14.4" x14ac:dyDescent="0.3">
      <c r="A2616"/>
      <c r="B2616"/>
      <c r="C2616"/>
      <c r="D2616"/>
      <c r="E2616"/>
      <c r="F2616"/>
      <c r="G2616"/>
      <c r="H2616"/>
      <c r="I2616"/>
    </row>
    <row r="2617" spans="1:9" s="47" customFormat="1" ht="14.4" x14ac:dyDescent="0.3">
      <c r="A2617"/>
      <c r="B2617"/>
      <c r="C2617"/>
      <c r="D2617"/>
      <c r="E2617"/>
      <c r="F2617"/>
      <c r="G2617"/>
      <c r="H2617"/>
      <c r="I2617"/>
    </row>
    <row r="2618" spans="1:9" s="47" customFormat="1" ht="14.4" x14ac:dyDescent="0.3">
      <c r="A2618"/>
      <c r="B2618"/>
      <c r="C2618"/>
      <c r="D2618"/>
      <c r="E2618"/>
      <c r="F2618"/>
      <c r="G2618"/>
      <c r="H2618"/>
      <c r="I2618"/>
    </row>
    <row r="2619" spans="1:9" s="47" customFormat="1" ht="14.4" x14ac:dyDescent="0.3">
      <c r="A2619"/>
      <c r="B2619"/>
      <c r="C2619"/>
      <c r="D2619"/>
      <c r="E2619"/>
      <c r="F2619"/>
      <c r="G2619"/>
      <c r="H2619"/>
      <c r="I2619"/>
    </row>
    <row r="2620" spans="1:9" s="47" customFormat="1" ht="14.4" x14ac:dyDescent="0.3">
      <c r="A2620"/>
      <c r="B2620"/>
      <c r="C2620"/>
      <c r="D2620"/>
      <c r="E2620"/>
      <c r="F2620"/>
      <c r="G2620"/>
      <c r="H2620"/>
      <c r="I2620"/>
    </row>
    <row r="2621" spans="1:9" s="47" customFormat="1" ht="14.4" x14ac:dyDescent="0.3">
      <c r="A2621"/>
      <c r="B2621"/>
      <c r="C2621"/>
      <c r="D2621"/>
      <c r="E2621"/>
      <c r="F2621"/>
      <c r="G2621"/>
      <c r="H2621"/>
      <c r="I2621"/>
    </row>
    <row r="2622" spans="1:9" s="47" customFormat="1" ht="14.4" x14ac:dyDescent="0.3">
      <c r="A2622"/>
      <c r="B2622"/>
      <c r="C2622"/>
      <c r="D2622"/>
      <c r="E2622"/>
      <c r="F2622"/>
      <c r="G2622"/>
      <c r="H2622"/>
      <c r="I2622"/>
    </row>
    <row r="2623" spans="1:9" s="47" customFormat="1" ht="14.4" x14ac:dyDescent="0.3">
      <c r="A2623"/>
      <c r="B2623"/>
      <c r="C2623"/>
      <c r="D2623"/>
      <c r="E2623"/>
      <c r="F2623"/>
      <c r="G2623"/>
      <c r="H2623"/>
      <c r="I2623"/>
    </row>
    <row r="2624" spans="1:9" s="47" customFormat="1" ht="14.4" x14ac:dyDescent="0.3">
      <c r="A2624"/>
      <c r="B2624"/>
      <c r="C2624"/>
      <c r="D2624"/>
      <c r="E2624"/>
      <c r="F2624"/>
      <c r="G2624"/>
      <c r="H2624"/>
      <c r="I2624"/>
    </row>
    <row r="2625" spans="1:9" s="47" customFormat="1" ht="14.4" x14ac:dyDescent="0.3">
      <c r="A2625"/>
      <c r="B2625"/>
      <c r="C2625"/>
      <c r="D2625"/>
      <c r="E2625"/>
      <c r="F2625"/>
      <c r="G2625"/>
      <c r="H2625"/>
      <c r="I2625"/>
    </row>
    <row r="2626" spans="1:9" s="47" customFormat="1" ht="14.4" x14ac:dyDescent="0.3">
      <c r="A2626"/>
      <c r="B2626"/>
      <c r="C2626"/>
      <c r="D2626"/>
      <c r="E2626"/>
      <c r="F2626"/>
      <c r="G2626"/>
      <c r="H2626"/>
      <c r="I2626"/>
    </row>
    <row r="2627" spans="1:9" s="47" customFormat="1" ht="14.4" x14ac:dyDescent="0.3">
      <c r="A2627"/>
      <c r="B2627"/>
      <c r="C2627"/>
      <c r="D2627"/>
      <c r="E2627"/>
      <c r="F2627"/>
      <c r="G2627"/>
      <c r="H2627"/>
      <c r="I2627"/>
    </row>
    <row r="2628" spans="1:9" s="47" customFormat="1" ht="14.4" x14ac:dyDescent="0.3">
      <c r="A2628"/>
      <c r="B2628"/>
      <c r="C2628"/>
      <c r="D2628"/>
      <c r="E2628"/>
      <c r="F2628"/>
      <c r="G2628"/>
      <c r="H2628"/>
      <c r="I2628"/>
    </row>
    <row r="2629" spans="1:9" s="47" customFormat="1" ht="14.4" x14ac:dyDescent="0.3">
      <c r="A2629"/>
      <c r="B2629"/>
      <c r="C2629"/>
      <c r="D2629"/>
      <c r="E2629"/>
      <c r="F2629"/>
      <c r="G2629"/>
      <c r="H2629"/>
      <c r="I2629"/>
    </row>
    <row r="2630" spans="1:9" s="47" customFormat="1" ht="14.4" x14ac:dyDescent="0.3">
      <c r="A2630"/>
      <c r="B2630"/>
      <c r="C2630"/>
      <c r="D2630"/>
      <c r="E2630"/>
      <c r="F2630"/>
      <c r="G2630"/>
      <c r="H2630"/>
      <c r="I2630"/>
    </row>
    <row r="2631" spans="1:9" s="47" customFormat="1" ht="14.4" x14ac:dyDescent="0.3">
      <c r="A2631"/>
      <c r="B2631"/>
      <c r="C2631"/>
      <c r="D2631"/>
      <c r="E2631"/>
      <c r="F2631"/>
      <c r="G2631"/>
      <c r="H2631"/>
      <c r="I2631"/>
    </row>
    <row r="2632" spans="1:9" s="47" customFormat="1" ht="14.4" x14ac:dyDescent="0.3">
      <c r="A2632"/>
      <c r="B2632"/>
      <c r="C2632"/>
      <c r="D2632"/>
      <c r="E2632"/>
      <c r="F2632"/>
      <c r="G2632"/>
      <c r="H2632"/>
      <c r="I2632"/>
    </row>
    <row r="2633" spans="1:9" s="47" customFormat="1" ht="14.4" x14ac:dyDescent="0.3">
      <c r="A2633"/>
      <c r="B2633"/>
      <c r="C2633"/>
      <c r="D2633"/>
      <c r="E2633"/>
      <c r="F2633"/>
      <c r="G2633"/>
      <c r="H2633"/>
      <c r="I2633"/>
    </row>
    <row r="2634" spans="1:9" s="47" customFormat="1" ht="14.4" x14ac:dyDescent="0.3">
      <c r="A2634"/>
      <c r="B2634"/>
      <c r="C2634"/>
      <c r="D2634"/>
      <c r="E2634"/>
      <c r="F2634"/>
      <c r="G2634"/>
      <c r="H2634"/>
      <c r="I2634"/>
    </row>
    <row r="2635" spans="1:9" s="47" customFormat="1" ht="14.4" x14ac:dyDescent="0.3">
      <c r="A2635"/>
      <c r="B2635"/>
      <c r="C2635"/>
      <c r="D2635"/>
      <c r="E2635"/>
      <c r="F2635"/>
      <c r="G2635"/>
      <c r="H2635"/>
      <c r="I2635"/>
    </row>
    <row r="2636" spans="1:9" s="47" customFormat="1" ht="14.4" x14ac:dyDescent="0.3">
      <c r="A2636"/>
      <c r="B2636"/>
      <c r="C2636"/>
      <c r="D2636"/>
      <c r="E2636"/>
      <c r="F2636"/>
      <c r="G2636"/>
      <c r="H2636"/>
      <c r="I2636"/>
    </row>
    <row r="2637" spans="1:9" s="47" customFormat="1" ht="14.4" x14ac:dyDescent="0.3">
      <c r="A2637"/>
      <c r="B2637"/>
      <c r="C2637"/>
      <c r="D2637"/>
      <c r="E2637"/>
      <c r="F2637"/>
      <c r="G2637"/>
      <c r="H2637"/>
      <c r="I2637"/>
    </row>
    <row r="2638" spans="1:9" s="47" customFormat="1" ht="14.4" x14ac:dyDescent="0.3">
      <c r="A2638"/>
      <c r="B2638"/>
      <c r="C2638"/>
      <c r="D2638"/>
      <c r="E2638"/>
      <c r="F2638"/>
      <c r="G2638"/>
      <c r="H2638"/>
      <c r="I2638"/>
    </row>
    <row r="2639" spans="1:9" s="47" customFormat="1" ht="14.4" x14ac:dyDescent="0.3">
      <c r="A2639"/>
      <c r="B2639"/>
      <c r="C2639"/>
      <c r="D2639"/>
      <c r="E2639"/>
      <c r="F2639"/>
      <c r="G2639"/>
      <c r="H2639"/>
      <c r="I2639"/>
    </row>
    <row r="2640" spans="1:9" s="47" customFormat="1" ht="14.4" x14ac:dyDescent="0.3">
      <c r="A2640"/>
      <c r="B2640"/>
      <c r="C2640"/>
      <c r="D2640"/>
      <c r="E2640"/>
      <c r="F2640"/>
      <c r="G2640"/>
      <c r="H2640"/>
      <c r="I2640"/>
    </row>
    <row r="2641" spans="1:9" s="47" customFormat="1" ht="14.4" x14ac:dyDescent="0.3">
      <c r="A2641"/>
      <c r="B2641"/>
      <c r="C2641"/>
      <c r="D2641"/>
      <c r="E2641"/>
      <c r="F2641"/>
      <c r="G2641"/>
      <c r="H2641"/>
      <c r="I2641"/>
    </row>
    <row r="2642" spans="1:9" s="47" customFormat="1" ht="14.4" x14ac:dyDescent="0.3">
      <c r="A2642"/>
      <c r="B2642"/>
      <c r="C2642"/>
      <c r="D2642"/>
      <c r="E2642"/>
      <c r="F2642"/>
      <c r="G2642"/>
      <c r="H2642"/>
      <c r="I2642"/>
    </row>
    <row r="2643" spans="1:9" s="47" customFormat="1" ht="14.4" x14ac:dyDescent="0.3">
      <c r="A2643"/>
      <c r="B2643"/>
      <c r="C2643"/>
      <c r="D2643"/>
      <c r="E2643"/>
      <c r="F2643"/>
      <c r="G2643"/>
      <c r="H2643"/>
      <c r="I2643"/>
    </row>
    <row r="2644" spans="1:9" s="47" customFormat="1" ht="14.4" x14ac:dyDescent="0.3">
      <c r="A2644"/>
      <c r="B2644"/>
      <c r="C2644"/>
      <c r="D2644"/>
      <c r="E2644"/>
      <c r="F2644"/>
      <c r="G2644"/>
      <c r="H2644"/>
      <c r="I2644"/>
    </row>
    <row r="2645" spans="1:9" s="47" customFormat="1" ht="14.4" x14ac:dyDescent="0.3">
      <c r="A2645"/>
      <c r="B2645"/>
      <c r="C2645"/>
      <c r="D2645"/>
      <c r="E2645"/>
      <c r="F2645"/>
      <c r="G2645"/>
      <c r="H2645"/>
      <c r="I2645"/>
    </row>
    <row r="2646" spans="1:9" s="47" customFormat="1" ht="14.4" x14ac:dyDescent="0.3">
      <c r="A2646"/>
      <c r="B2646"/>
      <c r="C2646"/>
      <c r="D2646"/>
      <c r="E2646"/>
      <c r="F2646"/>
      <c r="G2646"/>
      <c r="H2646"/>
      <c r="I2646"/>
    </row>
    <row r="2647" spans="1:9" s="47" customFormat="1" ht="14.4" x14ac:dyDescent="0.3">
      <c r="A2647"/>
      <c r="B2647"/>
      <c r="C2647"/>
      <c r="D2647"/>
      <c r="E2647"/>
      <c r="F2647"/>
      <c r="G2647"/>
      <c r="H2647"/>
      <c r="I2647"/>
    </row>
    <row r="2648" spans="1:9" s="47" customFormat="1" ht="14.4" x14ac:dyDescent="0.3">
      <c r="A2648"/>
      <c r="B2648"/>
      <c r="C2648"/>
      <c r="D2648"/>
      <c r="E2648"/>
      <c r="F2648"/>
      <c r="G2648"/>
      <c r="H2648"/>
      <c r="I2648"/>
    </row>
    <row r="2649" spans="1:9" s="47" customFormat="1" ht="14.4" x14ac:dyDescent="0.3">
      <c r="A2649"/>
      <c r="B2649"/>
      <c r="C2649"/>
      <c r="D2649"/>
      <c r="E2649"/>
      <c r="F2649"/>
      <c r="G2649"/>
      <c r="H2649"/>
      <c r="I2649"/>
    </row>
    <row r="2650" spans="1:9" s="47" customFormat="1" ht="14.4" x14ac:dyDescent="0.3">
      <c r="A2650"/>
      <c r="B2650"/>
      <c r="C2650"/>
      <c r="D2650"/>
      <c r="E2650"/>
      <c r="F2650"/>
      <c r="G2650"/>
      <c r="H2650"/>
      <c r="I2650"/>
    </row>
    <row r="2651" spans="1:9" s="47" customFormat="1" ht="14.4" x14ac:dyDescent="0.3">
      <c r="A2651"/>
      <c r="B2651"/>
      <c r="C2651"/>
      <c r="D2651"/>
      <c r="E2651"/>
      <c r="F2651"/>
      <c r="G2651"/>
      <c r="H2651"/>
      <c r="I2651"/>
    </row>
    <row r="2652" spans="1:9" s="47" customFormat="1" ht="14.4" x14ac:dyDescent="0.3">
      <c r="A2652"/>
      <c r="B2652"/>
      <c r="C2652"/>
      <c r="D2652"/>
      <c r="E2652"/>
      <c r="F2652"/>
      <c r="G2652"/>
      <c r="H2652"/>
      <c r="I2652"/>
    </row>
    <row r="2653" spans="1:9" s="47" customFormat="1" ht="14.4" x14ac:dyDescent="0.3">
      <c r="A2653"/>
      <c r="B2653"/>
      <c r="C2653"/>
      <c r="D2653"/>
      <c r="E2653"/>
      <c r="F2653"/>
      <c r="G2653"/>
      <c r="H2653"/>
      <c r="I2653"/>
    </row>
    <row r="2654" spans="1:9" s="47" customFormat="1" ht="14.4" x14ac:dyDescent="0.3">
      <c r="A2654"/>
      <c r="B2654"/>
      <c r="C2654"/>
      <c r="D2654"/>
      <c r="E2654"/>
      <c r="F2654"/>
      <c r="G2654"/>
      <c r="H2654"/>
      <c r="I2654"/>
    </row>
    <row r="2655" spans="1:9" s="47" customFormat="1" ht="14.4" x14ac:dyDescent="0.3">
      <c r="A2655"/>
      <c r="B2655"/>
      <c r="C2655"/>
      <c r="D2655"/>
      <c r="E2655"/>
      <c r="F2655"/>
      <c r="G2655"/>
      <c r="H2655"/>
      <c r="I2655"/>
    </row>
    <row r="2656" spans="1:9" s="47" customFormat="1" ht="14.4" x14ac:dyDescent="0.3">
      <c r="A2656"/>
      <c r="B2656"/>
      <c r="C2656"/>
      <c r="D2656"/>
      <c r="E2656"/>
      <c r="F2656"/>
      <c r="G2656"/>
      <c r="H2656"/>
      <c r="I2656"/>
    </row>
    <row r="2657" spans="1:9" s="47" customFormat="1" ht="14.4" x14ac:dyDescent="0.3">
      <c r="A2657"/>
      <c r="B2657"/>
      <c r="C2657"/>
      <c r="D2657"/>
      <c r="E2657"/>
      <c r="F2657"/>
      <c r="G2657"/>
      <c r="H2657"/>
      <c r="I2657"/>
    </row>
    <row r="2658" spans="1:9" s="47" customFormat="1" ht="14.4" x14ac:dyDescent="0.3">
      <c r="A2658"/>
      <c r="B2658"/>
      <c r="C2658"/>
      <c r="D2658"/>
      <c r="E2658"/>
      <c r="F2658"/>
      <c r="G2658"/>
      <c r="H2658"/>
      <c r="I2658"/>
    </row>
    <row r="2659" spans="1:9" s="47" customFormat="1" ht="14.4" x14ac:dyDescent="0.3">
      <c r="A2659"/>
      <c r="B2659"/>
      <c r="C2659"/>
      <c r="D2659"/>
      <c r="E2659"/>
      <c r="F2659"/>
      <c r="G2659"/>
      <c r="H2659"/>
      <c r="I2659"/>
    </row>
    <row r="2660" spans="1:9" s="47" customFormat="1" ht="14.4" x14ac:dyDescent="0.3">
      <c r="A2660"/>
      <c r="B2660"/>
      <c r="C2660"/>
      <c r="D2660"/>
      <c r="E2660"/>
      <c r="F2660"/>
      <c r="G2660"/>
      <c r="H2660"/>
      <c r="I2660"/>
    </row>
    <row r="2661" spans="1:9" s="47" customFormat="1" ht="14.4" x14ac:dyDescent="0.3">
      <c r="A2661"/>
      <c r="B2661"/>
      <c r="C2661"/>
      <c r="D2661"/>
      <c r="E2661"/>
      <c r="F2661"/>
      <c r="G2661"/>
      <c r="H2661"/>
      <c r="I2661"/>
    </row>
    <row r="2662" spans="1:9" s="47" customFormat="1" ht="14.4" x14ac:dyDescent="0.3">
      <c r="A2662"/>
      <c r="B2662"/>
      <c r="C2662"/>
      <c r="D2662"/>
      <c r="E2662"/>
      <c r="F2662"/>
      <c r="G2662"/>
      <c r="H2662"/>
      <c r="I2662"/>
    </row>
    <row r="2663" spans="1:9" s="47" customFormat="1" ht="14.4" x14ac:dyDescent="0.3">
      <c r="A2663"/>
      <c r="B2663"/>
      <c r="C2663"/>
      <c r="D2663"/>
      <c r="E2663"/>
      <c r="F2663"/>
      <c r="G2663"/>
      <c r="H2663"/>
      <c r="I2663"/>
    </row>
    <row r="2664" spans="1:9" s="47" customFormat="1" ht="14.4" x14ac:dyDescent="0.3">
      <c r="A2664"/>
      <c r="B2664"/>
      <c r="C2664"/>
      <c r="D2664"/>
      <c r="E2664"/>
      <c r="F2664"/>
      <c r="G2664"/>
      <c r="H2664"/>
      <c r="I2664"/>
    </row>
    <row r="2665" spans="1:9" s="47" customFormat="1" ht="14.4" x14ac:dyDescent="0.3">
      <c r="A2665"/>
      <c r="B2665"/>
      <c r="C2665"/>
      <c r="D2665"/>
      <c r="E2665"/>
      <c r="F2665"/>
      <c r="G2665"/>
      <c r="H2665"/>
      <c r="I2665"/>
    </row>
    <row r="2666" spans="1:9" s="47" customFormat="1" ht="14.4" x14ac:dyDescent="0.3">
      <c r="A2666"/>
      <c r="B2666"/>
      <c r="C2666"/>
      <c r="D2666"/>
      <c r="E2666"/>
      <c r="F2666"/>
      <c r="G2666"/>
      <c r="H2666"/>
      <c r="I2666"/>
    </row>
    <row r="2667" spans="1:9" s="47" customFormat="1" ht="14.4" x14ac:dyDescent="0.3">
      <c r="A2667"/>
      <c r="B2667"/>
      <c r="C2667"/>
      <c r="D2667"/>
      <c r="E2667"/>
      <c r="F2667"/>
      <c r="G2667"/>
      <c r="H2667"/>
      <c r="I2667"/>
    </row>
    <row r="2668" spans="1:9" s="47" customFormat="1" ht="14.4" x14ac:dyDescent="0.3">
      <c r="A2668"/>
      <c r="B2668"/>
      <c r="C2668"/>
      <c r="D2668"/>
      <c r="E2668"/>
      <c r="F2668"/>
      <c r="G2668"/>
      <c r="H2668"/>
      <c r="I2668"/>
    </row>
    <row r="2669" spans="1:9" s="47" customFormat="1" ht="14.4" x14ac:dyDescent="0.3">
      <c r="A2669"/>
      <c r="B2669"/>
      <c r="C2669"/>
      <c r="D2669"/>
      <c r="E2669"/>
      <c r="F2669"/>
      <c r="G2669"/>
      <c r="H2669"/>
      <c r="I2669"/>
    </row>
    <row r="2670" spans="1:9" s="47" customFormat="1" ht="14.4" x14ac:dyDescent="0.3">
      <c r="A2670"/>
      <c r="B2670"/>
      <c r="C2670"/>
      <c r="D2670"/>
      <c r="E2670"/>
      <c r="F2670"/>
      <c r="G2670"/>
      <c r="H2670"/>
      <c r="I2670"/>
    </row>
    <row r="2671" spans="1:9" s="47" customFormat="1" ht="14.4" x14ac:dyDescent="0.3">
      <c r="A2671"/>
      <c r="B2671"/>
      <c r="C2671"/>
      <c r="D2671"/>
      <c r="E2671"/>
      <c r="F2671"/>
      <c r="G2671"/>
      <c r="H2671"/>
      <c r="I2671"/>
    </row>
    <row r="2672" spans="1:9" s="47" customFormat="1" ht="14.4" x14ac:dyDescent="0.3">
      <c r="A2672"/>
      <c r="B2672"/>
      <c r="C2672"/>
      <c r="D2672"/>
      <c r="E2672"/>
      <c r="F2672"/>
      <c r="G2672"/>
      <c r="H2672"/>
      <c r="I2672"/>
    </row>
    <row r="2673" spans="1:9" s="47" customFormat="1" ht="14.4" x14ac:dyDescent="0.3">
      <c r="A2673"/>
      <c r="B2673"/>
      <c r="C2673"/>
      <c r="D2673"/>
      <c r="E2673"/>
      <c r="F2673"/>
      <c r="G2673"/>
      <c r="H2673"/>
      <c r="I2673"/>
    </row>
    <row r="2674" spans="1:9" s="47" customFormat="1" ht="14.4" x14ac:dyDescent="0.3">
      <c r="A2674"/>
      <c r="B2674"/>
      <c r="C2674"/>
      <c r="D2674"/>
      <c r="E2674"/>
      <c r="F2674"/>
      <c r="G2674"/>
      <c r="H2674"/>
      <c r="I2674"/>
    </row>
    <row r="2675" spans="1:9" s="47" customFormat="1" ht="14.4" x14ac:dyDescent="0.3">
      <c r="A2675"/>
      <c r="B2675"/>
      <c r="C2675"/>
      <c r="D2675"/>
      <c r="E2675"/>
      <c r="F2675"/>
      <c r="G2675"/>
      <c r="H2675"/>
      <c r="I2675"/>
    </row>
    <row r="2676" spans="1:9" s="47" customFormat="1" ht="14.4" x14ac:dyDescent="0.3">
      <c r="A2676"/>
      <c r="B2676"/>
      <c r="C2676"/>
      <c r="D2676"/>
      <c r="E2676"/>
      <c r="F2676"/>
      <c r="G2676"/>
      <c r="H2676"/>
      <c r="I2676"/>
    </row>
    <row r="2677" spans="1:9" s="47" customFormat="1" ht="14.4" x14ac:dyDescent="0.3">
      <c r="A2677"/>
      <c r="B2677"/>
      <c r="C2677"/>
      <c r="D2677"/>
      <c r="E2677"/>
      <c r="F2677"/>
      <c r="G2677"/>
      <c r="H2677"/>
      <c r="I2677"/>
    </row>
    <row r="2678" spans="1:9" s="47" customFormat="1" ht="14.4" x14ac:dyDescent="0.3">
      <c r="A2678"/>
      <c r="B2678"/>
      <c r="C2678"/>
      <c r="D2678"/>
      <c r="E2678"/>
      <c r="F2678"/>
      <c r="G2678"/>
      <c r="H2678"/>
      <c r="I2678"/>
    </row>
    <row r="2679" spans="1:9" s="47" customFormat="1" ht="14.4" x14ac:dyDescent="0.3">
      <c r="A2679"/>
      <c r="B2679"/>
      <c r="C2679"/>
      <c r="D2679"/>
      <c r="E2679"/>
      <c r="F2679"/>
      <c r="G2679"/>
      <c r="H2679"/>
      <c r="I2679"/>
    </row>
    <row r="2680" spans="1:9" s="47" customFormat="1" ht="14.4" x14ac:dyDescent="0.3">
      <c r="A2680"/>
      <c r="B2680"/>
      <c r="C2680"/>
      <c r="D2680"/>
      <c r="E2680"/>
      <c r="F2680"/>
      <c r="G2680"/>
      <c r="H2680"/>
      <c r="I2680"/>
    </row>
    <row r="2681" spans="1:9" s="47" customFormat="1" ht="14.4" x14ac:dyDescent="0.3">
      <c r="A2681"/>
      <c r="B2681"/>
      <c r="C2681"/>
      <c r="D2681"/>
      <c r="E2681"/>
      <c r="F2681"/>
      <c r="G2681"/>
      <c r="H2681"/>
      <c r="I2681"/>
    </row>
    <row r="2682" spans="1:9" s="47" customFormat="1" ht="14.4" x14ac:dyDescent="0.3">
      <c r="A2682"/>
      <c r="B2682"/>
      <c r="C2682"/>
      <c r="D2682"/>
      <c r="E2682"/>
      <c r="F2682"/>
      <c r="G2682"/>
      <c r="H2682"/>
      <c r="I2682"/>
    </row>
    <row r="2683" spans="1:9" s="47" customFormat="1" ht="14.4" x14ac:dyDescent="0.3">
      <c r="A2683"/>
      <c r="B2683"/>
      <c r="C2683"/>
      <c r="D2683"/>
      <c r="E2683"/>
      <c r="F2683"/>
      <c r="G2683"/>
      <c r="H2683"/>
      <c r="I2683"/>
    </row>
    <row r="2684" spans="1:9" s="47" customFormat="1" ht="14.4" x14ac:dyDescent="0.3">
      <c r="A2684"/>
      <c r="B2684"/>
      <c r="C2684"/>
      <c r="D2684"/>
      <c r="E2684"/>
      <c r="F2684"/>
      <c r="G2684"/>
      <c r="H2684"/>
      <c r="I2684"/>
    </row>
    <row r="2685" spans="1:9" s="47" customFormat="1" ht="14.4" x14ac:dyDescent="0.3">
      <c r="A2685"/>
      <c r="B2685"/>
      <c r="C2685"/>
      <c r="D2685"/>
      <c r="E2685"/>
      <c r="F2685"/>
      <c r="G2685"/>
      <c r="H2685"/>
      <c r="I2685"/>
    </row>
    <row r="2686" spans="1:9" s="47" customFormat="1" ht="14.4" x14ac:dyDescent="0.3">
      <c r="A2686"/>
      <c r="B2686"/>
      <c r="C2686"/>
      <c r="D2686"/>
      <c r="E2686"/>
      <c r="F2686"/>
      <c r="G2686"/>
      <c r="H2686"/>
      <c r="I2686"/>
    </row>
    <row r="2687" spans="1:9" s="47" customFormat="1" ht="14.4" x14ac:dyDescent="0.3">
      <c r="A2687"/>
      <c r="B2687"/>
      <c r="C2687"/>
      <c r="D2687"/>
      <c r="E2687"/>
      <c r="F2687"/>
      <c r="G2687"/>
      <c r="H2687"/>
      <c r="I2687"/>
    </row>
    <row r="2688" spans="1:9" s="47" customFormat="1" ht="14.4" x14ac:dyDescent="0.3">
      <c r="A2688"/>
      <c r="B2688"/>
      <c r="C2688"/>
      <c r="D2688"/>
      <c r="E2688"/>
      <c r="F2688"/>
      <c r="G2688"/>
      <c r="H2688"/>
      <c r="I2688"/>
    </row>
    <row r="2689" spans="1:9" s="47" customFormat="1" ht="14.4" x14ac:dyDescent="0.3">
      <c r="A2689"/>
      <c r="B2689"/>
      <c r="C2689"/>
      <c r="D2689"/>
      <c r="E2689"/>
      <c r="F2689"/>
      <c r="G2689"/>
      <c r="H2689"/>
      <c r="I2689"/>
    </row>
    <row r="2690" spans="1:9" s="47" customFormat="1" ht="14.4" x14ac:dyDescent="0.3">
      <c r="A2690"/>
      <c r="B2690"/>
      <c r="C2690"/>
      <c r="D2690"/>
      <c r="E2690"/>
      <c r="F2690"/>
      <c r="G2690"/>
      <c r="H2690"/>
      <c r="I2690"/>
    </row>
    <row r="2691" spans="1:9" s="47" customFormat="1" ht="14.4" x14ac:dyDescent="0.3">
      <c r="A2691"/>
      <c r="B2691"/>
      <c r="C2691"/>
      <c r="D2691"/>
      <c r="E2691"/>
      <c r="F2691"/>
      <c r="G2691"/>
      <c r="H2691"/>
      <c r="I2691"/>
    </row>
    <row r="2692" spans="1:9" s="47" customFormat="1" ht="14.4" x14ac:dyDescent="0.3">
      <c r="A2692"/>
      <c r="B2692"/>
      <c r="C2692"/>
      <c r="D2692"/>
      <c r="E2692"/>
      <c r="F2692"/>
      <c r="G2692"/>
      <c r="H2692"/>
      <c r="I2692"/>
    </row>
    <row r="2693" spans="1:9" s="47" customFormat="1" ht="14.4" x14ac:dyDescent="0.3">
      <c r="A2693"/>
      <c r="B2693"/>
      <c r="C2693"/>
      <c r="D2693"/>
      <c r="E2693"/>
      <c r="F2693"/>
      <c r="G2693"/>
      <c r="H2693"/>
      <c r="I2693"/>
    </row>
    <row r="2694" spans="1:9" s="47" customFormat="1" ht="14.4" x14ac:dyDescent="0.3">
      <c r="A2694"/>
      <c r="B2694"/>
      <c r="C2694"/>
      <c r="D2694"/>
      <c r="E2694"/>
      <c r="F2694"/>
      <c r="G2694"/>
      <c r="H2694"/>
      <c r="I2694"/>
    </row>
    <row r="2695" spans="1:9" s="47" customFormat="1" ht="14.4" x14ac:dyDescent="0.3">
      <c r="A2695"/>
      <c r="B2695"/>
      <c r="C2695"/>
      <c r="D2695"/>
      <c r="E2695"/>
      <c r="F2695"/>
      <c r="G2695"/>
      <c r="H2695"/>
      <c r="I2695"/>
    </row>
    <row r="2696" spans="1:9" s="47" customFormat="1" ht="14.4" x14ac:dyDescent="0.3">
      <c r="A2696"/>
      <c r="B2696"/>
      <c r="C2696"/>
      <c r="D2696"/>
      <c r="E2696"/>
      <c r="F2696"/>
      <c r="G2696"/>
      <c r="H2696"/>
      <c r="I2696"/>
    </row>
    <row r="2697" spans="1:9" s="47" customFormat="1" ht="14.4" x14ac:dyDescent="0.3">
      <c r="A2697"/>
      <c r="B2697"/>
      <c r="C2697"/>
      <c r="D2697"/>
      <c r="E2697"/>
      <c r="F2697"/>
      <c r="G2697"/>
      <c r="H2697"/>
      <c r="I2697"/>
    </row>
    <row r="2698" spans="1:9" s="47" customFormat="1" ht="14.4" x14ac:dyDescent="0.3">
      <c r="A2698"/>
      <c r="B2698"/>
      <c r="C2698"/>
      <c r="D2698"/>
      <c r="E2698"/>
      <c r="F2698"/>
      <c r="G2698"/>
      <c r="H2698"/>
      <c r="I2698"/>
    </row>
    <row r="2699" spans="1:9" s="47" customFormat="1" ht="14.4" x14ac:dyDescent="0.3">
      <c r="A2699"/>
      <c r="B2699"/>
      <c r="C2699"/>
      <c r="D2699"/>
      <c r="E2699"/>
      <c r="F2699"/>
      <c r="G2699"/>
      <c r="H2699"/>
      <c r="I2699"/>
    </row>
    <row r="2700" spans="1:9" s="47" customFormat="1" ht="14.4" x14ac:dyDescent="0.3">
      <c r="A2700"/>
      <c r="B2700"/>
      <c r="C2700"/>
      <c r="D2700"/>
      <c r="E2700"/>
      <c r="F2700"/>
      <c r="G2700"/>
      <c r="H2700"/>
      <c r="I2700"/>
    </row>
    <row r="2701" spans="1:9" s="47" customFormat="1" ht="14.4" x14ac:dyDescent="0.3">
      <c r="A2701"/>
      <c r="B2701"/>
      <c r="C2701"/>
      <c r="D2701"/>
      <c r="E2701"/>
      <c r="F2701"/>
      <c r="G2701"/>
      <c r="H2701"/>
      <c r="I2701"/>
    </row>
    <row r="2702" spans="1:9" s="47" customFormat="1" ht="14.4" x14ac:dyDescent="0.3">
      <c r="A2702"/>
      <c r="B2702"/>
      <c r="C2702"/>
      <c r="D2702"/>
      <c r="E2702"/>
      <c r="F2702"/>
      <c r="G2702"/>
      <c r="H2702"/>
      <c r="I2702"/>
    </row>
    <row r="2703" spans="1:9" s="47" customFormat="1" ht="14.4" x14ac:dyDescent="0.3">
      <c r="A2703"/>
      <c r="B2703"/>
      <c r="C2703"/>
      <c r="D2703"/>
      <c r="E2703"/>
      <c r="F2703"/>
      <c r="G2703"/>
      <c r="H2703"/>
      <c r="I2703"/>
    </row>
    <row r="2704" spans="1:9" s="47" customFormat="1" ht="14.4" x14ac:dyDescent="0.3">
      <c r="A2704"/>
      <c r="B2704"/>
      <c r="C2704"/>
      <c r="D2704"/>
      <c r="E2704"/>
      <c r="F2704"/>
      <c r="G2704"/>
      <c r="H2704"/>
      <c r="I2704"/>
    </row>
    <row r="2705" spans="1:9" s="47" customFormat="1" ht="14.4" x14ac:dyDescent="0.3">
      <c r="A2705"/>
      <c r="B2705"/>
      <c r="C2705"/>
      <c r="D2705"/>
      <c r="E2705"/>
      <c r="F2705"/>
      <c r="G2705"/>
      <c r="H2705"/>
      <c r="I2705"/>
    </row>
    <row r="2706" spans="1:9" s="47" customFormat="1" ht="14.4" x14ac:dyDescent="0.3">
      <c r="A2706"/>
      <c r="B2706"/>
      <c r="C2706"/>
      <c r="D2706"/>
      <c r="E2706"/>
      <c r="F2706"/>
      <c r="G2706"/>
      <c r="H2706"/>
      <c r="I2706"/>
    </row>
    <row r="2707" spans="1:9" s="47" customFormat="1" ht="14.4" x14ac:dyDescent="0.3">
      <c r="A2707"/>
      <c r="B2707"/>
      <c r="C2707"/>
      <c r="D2707"/>
      <c r="E2707"/>
      <c r="F2707"/>
      <c r="G2707"/>
      <c r="H2707"/>
      <c r="I2707"/>
    </row>
    <row r="2708" spans="1:9" s="47" customFormat="1" ht="14.4" x14ac:dyDescent="0.3">
      <c r="A2708"/>
      <c r="B2708"/>
      <c r="C2708"/>
      <c r="D2708"/>
      <c r="E2708"/>
      <c r="F2708"/>
      <c r="G2708"/>
      <c r="H2708"/>
      <c r="I2708"/>
    </row>
    <row r="2709" spans="1:9" s="47" customFormat="1" ht="14.4" x14ac:dyDescent="0.3">
      <c r="A2709"/>
      <c r="B2709"/>
      <c r="C2709"/>
      <c r="D2709"/>
      <c r="E2709"/>
      <c r="F2709"/>
      <c r="G2709"/>
      <c r="H2709"/>
      <c r="I2709"/>
    </row>
    <row r="2710" spans="1:9" s="47" customFormat="1" ht="14.4" x14ac:dyDescent="0.3">
      <c r="A2710"/>
      <c r="B2710"/>
      <c r="C2710"/>
      <c r="D2710"/>
      <c r="E2710"/>
      <c r="F2710"/>
      <c r="G2710"/>
      <c r="H2710"/>
      <c r="I2710"/>
    </row>
    <row r="2711" spans="1:9" s="47" customFormat="1" ht="14.4" x14ac:dyDescent="0.3">
      <c r="A2711"/>
      <c r="B2711"/>
      <c r="C2711"/>
      <c r="D2711"/>
      <c r="E2711"/>
      <c r="F2711"/>
      <c r="G2711"/>
      <c r="H2711"/>
      <c r="I2711"/>
    </row>
    <row r="2712" spans="1:9" s="47" customFormat="1" ht="14.4" x14ac:dyDescent="0.3">
      <c r="A2712"/>
      <c r="B2712"/>
      <c r="C2712"/>
      <c r="D2712"/>
      <c r="E2712"/>
      <c r="F2712"/>
      <c r="G2712"/>
      <c r="H2712"/>
      <c r="I2712"/>
    </row>
    <row r="2713" spans="1:9" s="47" customFormat="1" ht="14.4" x14ac:dyDescent="0.3">
      <c r="A2713"/>
      <c r="B2713"/>
      <c r="C2713"/>
      <c r="D2713"/>
      <c r="E2713"/>
      <c r="F2713"/>
      <c r="G2713"/>
      <c r="H2713"/>
      <c r="I2713"/>
    </row>
    <row r="2714" spans="1:9" s="47" customFormat="1" ht="14.4" x14ac:dyDescent="0.3">
      <c r="A2714"/>
      <c r="B2714"/>
      <c r="C2714"/>
      <c r="D2714"/>
      <c r="E2714"/>
      <c r="F2714"/>
      <c r="G2714"/>
      <c r="H2714"/>
      <c r="I2714"/>
    </row>
    <row r="2715" spans="1:9" s="47" customFormat="1" ht="14.4" x14ac:dyDescent="0.3">
      <c r="A2715"/>
      <c r="B2715"/>
      <c r="C2715"/>
      <c r="D2715"/>
      <c r="E2715"/>
      <c r="F2715"/>
      <c r="G2715"/>
      <c r="H2715"/>
      <c r="I2715"/>
    </row>
    <row r="2716" spans="1:9" s="47" customFormat="1" ht="14.4" x14ac:dyDescent="0.3">
      <c r="A2716"/>
      <c r="B2716"/>
      <c r="C2716"/>
      <c r="D2716"/>
      <c r="E2716"/>
      <c r="F2716"/>
      <c r="G2716"/>
      <c r="H2716"/>
      <c r="I2716"/>
    </row>
    <row r="2717" spans="1:9" s="47" customFormat="1" ht="14.4" x14ac:dyDescent="0.3">
      <c r="A2717"/>
      <c r="B2717"/>
      <c r="C2717"/>
      <c r="D2717"/>
      <c r="E2717"/>
      <c r="F2717"/>
      <c r="G2717"/>
      <c r="H2717"/>
      <c r="I2717"/>
    </row>
    <row r="2718" spans="1:9" s="47" customFormat="1" ht="14.4" x14ac:dyDescent="0.3">
      <c r="A2718"/>
      <c r="B2718"/>
      <c r="C2718"/>
      <c r="D2718"/>
      <c r="E2718"/>
      <c r="F2718"/>
      <c r="G2718"/>
      <c r="H2718"/>
      <c r="I2718"/>
    </row>
    <row r="2719" spans="1:9" s="47" customFormat="1" ht="14.4" x14ac:dyDescent="0.3">
      <c r="A2719"/>
      <c r="B2719"/>
      <c r="C2719"/>
      <c r="D2719"/>
      <c r="E2719"/>
      <c r="F2719"/>
      <c r="G2719"/>
      <c r="H2719"/>
      <c r="I2719"/>
    </row>
    <row r="2720" spans="1:9" s="47" customFormat="1" ht="14.4" x14ac:dyDescent="0.3">
      <c r="A2720"/>
      <c r="B2720"/>
      <c r="C2720"/>
      <c r="D2720"/>
      <c r="E2720"/>
      <c r="F2720"/>
      <c r="G2720"/>
      <c r="H2720"/>
      <c r="I2720"/>
    </row>
    <row r="2721" spans="1:9" s="47" customFormat="1" ht="14.4" x14ac:dyDescent="0.3">
      <c r="A2721"/>
      <c r="B2721"/>
      <c r="C2721"/>
      <c r="D2721"/>
      <c r="E2721"/>
      <c r="F2721"/>
      <c r="G2721"/>
      <c r="H2721"/>
      <c r="I2721"/>
    </row>
    <row r="2722" spans="1:9" s="47" customFormat="1" ht="14.4" x14ac:dyDescent="0.3">
      <c r="A2722"/>
      <c r="B2722"/>
      <c r="C2722"/>
      <c r="D2722"/>
      <c r="E2722"/>
      <c r="F2722"/>
      <c r="G2722"/>
      <c r="H2722"/>
      <c r="I2722"/>
    </row>
    <row r="2723" spans="1:9" s="47" customFormat="1" ht="14.4" x14ac:dyDescent="0.3">
      <c r="A2723"/>
      <c r="B2723"/>
      <c r="C2723"/>
      <c r="D2723"/>
      <c r="E2723"/>
      <c r="F2723"/>
      <c r="G2723"/>
      <c r="H2723"/>
      <c r="I2723"/>
    </row>
    <row r="2724" spans="1:9" s="47" customFormat="1" ht="14.4" x14ac:dyDescent="0.3">
      <c r="A2724"/>
      <c r="B2724"/>
      <c r="C2724"/>
      <c r="D2724"/>
      <c r="E2724"/>
      <c r="F2724"/>
      <c r="G2724"/>
      <c r="H2724"/>
      <c r="I2724"/>
    </row>
    <row r="2725" spans="1:9" s="47" customFormat="1" ht="14.4" x14ac:dyDescent="0.3">
      <c r="A2725"/>
      <c r="B2725"/>
      <c r="C2725"/>
      <c r="D2725"/>
      <c r="E2725"/>
      <c r="F2725"/>
      <c r="G2725"/>
      <c r="H2725"/>
      <c r="I2725"/>
    </row>
    <row r="2726" spans="1:9" s="47" customFormat="1" ht="14.4" x14ac:dyDescent="0.3">
      <c r="A2726"/>
      <c r="B2726"/>
      <c r="C2726"/>
      <c r="D2726"/>
      <c r="E2726"/>
      <c r="F2726"/>
      <c r="G2726"/>
      <c r="H2726"/>
      <c r="I2726"/>
    </row>
    <row r="2727" spans="1:9" s="47" customFormat="1" ht="14.4" x14ac:dyDescent="0.3">
      <c r="A2727"/>
      <c r="B2727"/>
      <c r="C2727"/>
      <c r="D2727"/>
      <c r="E2727"/>
      <c r="F2727"/>
      <c r="G2727"/>
      <c r="H2727"/>
      <c r="I2727"/>
    </row>
    <row r="2728" spans="1:9" s="47" customFormat="1" ht="14.4" x14ac:dyDescent="0.3">
      <c r="A2728"/>
      <c r="B2728"/>
      <c r="C2728"/>
      <c r="D2728"/>
      <c r="E2728"/>
      <c r="F2728"/>
      <c r="G2728"/>
      <c r="H2728"/>
      <c r="I2728"/>
    </row>
    <row r="2729" spans="1:9" s="47" customFormat="1" ht="14.4" x14ac:dyDescent="0.3">
      <c r="A2729"/>
      <c r="B2729"/>
      <c r="C2729"/>
      <c r="D2729"/>
      <c r="E2729"/>
      <c r="F2729"/>
      <c r="G2729"/>
      <c r="H2729"/>
      <c r="I2729"/>
    </row>
    <row r="2730" spans="1:9" s="47" customFormat="1" ht="14.4" x14ac:dyDescent="0.3">
      <c r="A2730"/>
      <c r="B2730"/>
      <c r="C2730"/>
      <c r="D2730"/>
      <c r="E2730"/>
      <c r="F2730"/>
      <c r="G2730"/>
      <c r="H2730"/>
      <c r="I2730"/>
    </row>
    <row r="2731" spans="1:9" s="47" customFormat="1" ht="14.4" x14ac:dyDescent="0.3">
      <c r="A2731"/>
      <c r="B2731"/>
      <c r="C2731"/>
      <c r="D2731"/>
      <c r="E2731"/>
      <c r="F2731"/>
      <c r="G2731"/>
      <c r="H2731"/>
      <c r="I2731"/>
    </row>
    <row r="2732" spans="1:9" s="47" customFormat="1" ht="14.4" x14ac:dyDescent="0.3">
      <c r="A2732"/>
      <c r="B2732"/>
      <c r="C2732"/>
      <c r="D2732"/>
      <c r="E2732"/>
      <c r="F2732"/>
      <c r="G2732"/>
      <c r="H2732"/>
      <c r="I2732"/>
    </row>
    <row r="2733" spans="1:9" s="47" customFormat="1" ht="14.4" x14ac:dyDescent="0.3">
      <c r="A2733"/>
      <c r="B2733"/>
      <c r="C2733"/>
      <c r="D2733"/>
      <c r="E2733"/>
      <c r="F2733"/>
      <c r="G2733"/>
      <c r="H2733"/>
      <c r="I2733"/>
    </row>
    <row r="2734" spans="1:9" s="47" customFormat="1" ht="14.4" x14ac:dyDescent="0.3">
      <c r="A2734"/>
      <c r="B2734"/>
      <c r="C2734"/>
      <c r="D2734"/>
      <c r="E2734"/>
      <c r="F2734"/>
      <c r="G2734"/>
      <c r="H2734"/>
      <c r="I2734"/>
    </row>
    <row r="2735" spans="1:9" s="47" customFormat="1" ht="14.4" x14ac:dyDescent="0.3">
      <c r="A2735"/>
      <c r="B2735"/>
      <c r="C2735"/>
      <c r="D2735"/>
      <c r="E2735"/>
      <c r="F2735"/>
      <c r="G2735"/>
      <c r="H2735"/>
      <c r="I2735"/>
    </row>
    <row r="2736" spans="1:9" s="47" customFormat="1" ht="14.4" x14ac:dyDescent="0.3">
      <c r="A2736"/>
      <c r="B2736"/>
      <c r="C2736"/>
      <c r="D2736"/>
      <c r="E2736"/>
      <c r="F2736"/>
      <c r="G2736"/>
      <c r="H2736"/>
      <c r="I2736"/>
    </row>
    <row r="2737" spans="1:9" s="47" customFormat="1" ht="14.4" x14ac:dyDescent="0.3">
      <c r="A2737"/>
      <c r="B2737"/>
      <c r="C2737"/>
      <c r="D2737"/>
      <c r="E2737"/>
      <c r="F2737"/>
      <c r="G2737"/>
      <c r="H2737"/>
      <c r="I2737"/>
    </row>
    <row r="2738" spans="1:9" s="47" customFormat="1" ht="14.4" x14ac:dyDescent="0.3">
      <c r="A2738"/>
      <c r="B2738"/>
      <c r="C2738"/>
      <c r="D2738"/>
      <c r="E2738"/>
      <c r="F2738"/>
      <c r="G2738"/>
      <c r="H2738"/>
      <c r="I2738"/>
    </row>
    <row r="2739" spans="1:9" s="47" customFormat="1" ht="14.4" x14ac:dyDescent="0.3">
      <c r="A2739"/>
      <c r="B2739"/>
      <c r="C2739"/>
      <c r="D2739"/>
      <c r="E2739"/>
      <c r="F2739"/>
      <c r="G2739"/>
      <c r="H2739"/>
      <c r="I2739"/>
    </row>
    <row r="2740" spans="1:9" s="47" customFormat="1" ht="14.4" x14ac:dyDescent="0.3">
      <c r="A2740"/>
      <c r="B2740"/>
      <c r="C2740"/>
      <c r="D2740"/>
      <c r="E2740"/>
      <c r="F2740"/>
      <c r="G2740"/>
      <c r="H2740"/>
      <c r="I2740"/>
    </row>
    <row r="2741" spans="1:9" s="47" customFormat="1" ht="14.4" x14ac:dyDescent="0.3">
      <c r="A2741"/>
      <c r="B2741"/>
      <c r="C2741"/>
      <c r="D2741"/>
      <c r="E2741"/>
      <c r="F2741"/>
      <c r="G2741"/>
      <c r="H2741"/>
      <c r="I2741"/>
    </row>
    <row r="2742" spans="1:9" s="47" customFormat="1" ht="14.4" x14ac:dyDescent="0.3">
      <c r="A2742"/>
      <c r="B2742"/>
      <c r="C2742"/>
      <c r="D2742"/>
      <c r="E2742"/>
      <c r="F2742"/>
      <c r="G2742"/>
      <c r="H2742"/>
      <c r="I2742"/>
    </row>
    <row r="2743" spans="1:9" s="47" customFormat="1" ht="14.4" x14ac:dyDescent="0.3">
      <c r="A2743"/>
      <c r="B2743"/>
      <c r="C2743"/>
      <c r="D2743"/>
      <c r="E2743"/>
      <c r="F2743"/>
      <c r="G2743"/>
      <c r="H2743"/>
      <c r="I2743"/>
    </row>
    <row r="2744" spans="1:9" s="47" customFormat="1" ht="14.4" x14ac:dyDescent="0.3">
      <c r="A2744"/>
      <c r="B2744"/>
      <c r="C2744"/>
      <c r="D2744"/>
      <c r="E2744"/>
      <c r="F2744"/>
      <c r="G2744"/>
      <c r="H2744"/>
      <c r="I2744"/>
    </row>
    <row r="2745" spans="1:9" s="47" customFormat="1" ht="14.4" x14ac:dyDescent="0.3">
      <c r="A2745"/>
      <c r="B2745"/>
      <c r="C2745"/>
      <c r="D2745"/>
      <c r="E2745"/>
      <c r="F2745"/>
      <c r="G2745"/>
      <c r="H2745"/>
      <c r="I2745"/>
    </row>
    <row r="2746" spans="1:9" s="47" customFormat="1" ht="14.4" x14ac:dyDescent="0.3">
      <c r="A2746"/>
      <c r="B2746"/>
      <c r="C2746"/>
      <c r="D2746"/>
      <c r="E2746"/>
      <c r="F2746"/>
      <c r="G2746"/>
      <c r="H2746"/>
      <c r="I2746"/>
    </row>
    <row r="2747" spans="1:9" s="47" customFormat="1" ht="14.4" x14ac:dyDescent="0.3">
      <c r="A2747"/>
      <c r="B2747"/>
      <c r="C2747"/>
      <c r="D2747"/>
      <c r="E2747"/>
      <c r="F2747"/>
      <c r="G2747"/>
      <c r="H2747"/>
      <c r="I2747"/>
    </row>
    <row r="2748" spans="1:9" s="47" customFormat="1" ht="14.4" x14ac:dyDescent="0.3">
      <c r="A2748"/>
      <c r="B2748"/>
      <c r="C2748"/>
      <c r="D2748"/>
      <c r="E2748"/>
      <c r="F2748"/>
      <c r="G2748"/>
      <c r="H2748"/>
      <c r="I2748"/>
    </row>
    <row r="2749" spans="1:9" s="47" customFormat="1" ht="14.4" x14ac:dyDescent="0.3">
      <c r="A2749"/>
      <c r="B2749"/>
      <c r="C2749"/>
      <c r="D2749"/>
      <c r="E2749"/>
      <c r="F2749"/>
      <c r="G2749"/>
      <c r="H2749"/>
      <c r="I2749"/>
    </row>
    <row r="2750" spans="1:9" s="47" customFormat="1" ht="14.4" x14ac:dyDescent="0.3">
      <c r="A2750"/>
      <c r="B2750"/>
      <c r="C2750"/>
      <c r="D2750"/>
      <c r="E2750"/>
      <c r="F2750"/>
      <c r="G2750"/>
      <c r="H2750"/>
      <c r="I2750"/>
    </row>
    <row r="2751" spans="1:9" s="47" customFormat="1" ht="14.4" x14ac:dyDescent="0.3">
      <c r="A2751"/>
      <c r="B2751"/>
      <c r="C2751"/>
      <c r="D2751"/>
      <c r="E2751"/>
      <c r="F2751"/>
      <c r="G2751"/>
      <c r="H2751"/>
      <c r="I2751"/>
    </row>
    <row r="2752" spans="1:9" s="47" customFormat="1" ht="14.4" x14ac:dyDescent="0.3">
      <c r="A2752"/>
      <c r="B2752"/>
      <c r="C2752"/>
      <c r="D2752"/>
      <c r="E2752"/>
      <c r="F2752"/>
      <c r="G2752"/>
      <c r="H2752"/>
      <c r="I2752"/>
    </row>
    <row r="2753" spans="1:9" s="47" customFormat="1" ht="14.4" x14ac:dyDescent="0.3">
      <c r="A2753"/>
      <c r="B2753"/>
      <c r="C2753"/>
      <c r="D2753"/>
      <c r="E2753"/>
      <c r="F2753"/>
      <c r="G2753"/>
      <c r="H2753"/>
      <c r="I2753"/>
    </row>
    <row r="2754" spans="1:9" s="47" customFormat="1" ht="14.4" x14ac:dyDescent="0.3">
      <c r="A2754"/>
      <c r="B2754"/>
      <c r="C2754"/>
      <c r="D2754"/>
      <c r="E2754"/>
      <c r="F2754"/>
      <c r="G2754"/>
      <c r="H2754"/>
      <c r="I2754"/>
    </row>
    <row r="2755" spans="1:9" s="47" customFormat="1" ht="14.4" x14ac:dyDescent="0.3">
      <c r="A2755"/>
      <c r="B2755"/>
      <c r="C2755"/>
      <c r="D2755"/>
      <c r="E2755"/>
      <c r="F2755"/>
      <c r="G2755"/>
      <c r="H2755"/>
      <c r="I2755"/>
    </row>
    <row r="2756" spans="1:9" s="47" customFormat="1" ht="14.4" x14ac:dyDescent="0.3">
      <c r="A2756"/>
      <c r="B2756"/>
      <c r="C2756"/>
      <c r="D2756"/>
      <c r="E2756"/>
      <c r="F2756"/>
      <c r="G2756"/>
      <c r="H2756"/>
      <c r="I2756"/>
    </row>
    <row r="2757" spans="1:9" s="47" customFormat="1" ht="14.4" x14ac:dyDescent="0.3">
      <c r="A2757"/>
      <c r="B2757"/>
      <c r="C2757"/>
      <c r="D2757"/>
      <c r="E2757"/>
      <c r="F2757"/>
      <c r="G2757"/>
      <c r="H2757"/>
      <c r="I2757"/>
    </row>
    <row r="2758" spans="1:9" s="47" customFormat="1" ht="14.4" x14ac:dyDescent="0.3">
      <c r="A2758"/>
      <c r="B2758"/>
      <c r="C2758"/>
      <c r="D2758"/>
      <c r="E2758"/>
      <c r="F2758"/>
      <c r="G2758"/>
      <c r="H2758"/>
      <c r="I2758"/>
    </row>
    <row r="2759" spans="1:9" s="47" customFormat="1" ht="14.4" x14ac:dyDescent="0.3">
      <c r="A2759"/>
      <c r="B2759"/>
      <c r="C2759"/>
      <c r="D2759"/>
      <c r="E2759"/>
      <c r="F2759"/>
      <c r="G2759"/>
      <c r="H2759"/>
      <c r="I2759"/>
    </row>
    <row r="2760" spans="1:9" s="47" customFormat="1" ht="14.4" x14ac:dyDescent="0.3">
      <c r="A2760"/>
      <c r="B2760"/>
      <c r="C2760"/>
      <c r="D2760"/>
      <c r="E2760"/>
      <c r="F2760"/>
      <c r="G2760"/>
      <c r="H2760"/>
      <c r="I2760"/>
    </row>
    <row r="2761" spans="1:9" s="47" customFormat="1" ht="14.4" x14ac:dyDescent="0.3">
      <c r="A2761"/>
      <c r="B2761"/>
      <c r="C2761"/>
      <c r="D2761"/>
      <c r="E2761"/>
      <c r="F2761"/>
      <c r="G2761"/>
      <c r="H2761"/>
      <c r="I2761"/>
    </row>
    <row r="2762" spans="1:9" s="47" customFormat="1" ht="14.4" x14ac:dyDescent="0.3">
      <c r="A2762"/>
      <c r="B2762"/>
      <c r="C2762"/>
      <c r="D2762"/>
      <c r="E2762"/>
      <c r="F2762"/>
      <c r="G2762"/>
      <c r="H2762"/>
      <c r="I2762"/>
    </row>
    <row r="2763" spans="1:9" s="47" customFormat="1" ht="14.4" x14ac:dyDescent="0.3">
      <c r="A2763"/>
      <c r="B2763"/>
      <c r="C2763"/>
      <c r="D2763"/>
      <c r="E2763"/>
      <c r="F2763"/>
      <c r="G2763"/>
      <c r="H2763"/>
      <c r="I2763"/>
    </row>
    <row r="2764" spans="1:9" s="47" customFormat="1" ht="14.4" x14ac:dyDescent="0.3">
      <c r="A2764"/>
      <c r="B2764"/>
      <c r="C2764"/>
      <c r="D2764"/>
      <c r="E2764"/>
      <c r="F2764"/>
      <c r="G2764"/>
      <c r="H2764"/>
      <c r="I2764"/>
    </row>
    <row r="2765" spans="1:9" s="47" customFormat="1" ht="14.4" x14ac:dyDescent="0.3">
      <c r="A2765"/>
      <c r="B2765"/>
      <c r="C2765"/>
      <c r="D2765"/>
      <c r="E2765"/>
      <c r="F2765"/>
      <c r="G2765"/>
      <c r="H2765"/>
      <c r="I2765"/>
    </row>
    <row r="2766" spans="1:9" s="47" customFormat="1" ht="14.4" x14ac:dyDescent="0.3">
      <c r="A2766"/>
      <c r="B2766"/>
      <c r="C2766"/>
      <c r="D2766"/>
      <c r="E2766"/>
      <c r="F2766"/>
      <c r="G2766"/>
      <c r="H2766"/>
      <c r="I2766"/>
    </row>
    <row r="2767" spans="1:9" s="47" customFormat="1" ht="14.4" x14ac:dyDescent="0.3">
      <c r="A2767"/>
      <c r="B2767"/>
      <c r="C2767"/>
      <c r="D2767"/>
      <c r="E2767"/>
      <c r="F2767"/>
      <c r="G2767"/>
      <c r="H2767"/>
      <c r="I2767"/>
    </row>
    <row r="2768" spans="1:9" s="47" customFormat="1" ht="14.4" x14ac:dyDescent="0.3">
      <c r="A2768"/>
      <c r="B2768"/>
      <c r="C2768"/>
      <c r="D2768"/>
      <c r="E2768"/>
      <c r="F2768"/>
      <c r="G2768"/>
      <c r="H2768"/>
      <c r="I2768"/>
    </row>
    <row r="2769" spans="1:9" s="47" customFormat="1" ht="14.4" x14ac:dyDescent="0.3">
      <c r="A2769"/>
      <c r="B2769"/>
      <c r="C2769"/>
      <c r="D2769"/>
      <c r="E2769"/>
      <c r="F2769"/>
      <c r="G2769"/>
      <c r="H2769"/>
      <c r="I2769"/>
    </row>
    <row r="2770" spans="1:9" s="47" customFormat="1" ht="14.4" x14ac:dyDescent="0.3">
      <c r="A2770"/>
      <c r="B2770"/>
      <c r="C2770"/>
      <c r="D2770"/>
      <c r="E2770"/>
      <c r="F2770"/>
      <c r="G2770"/>
      <c r="H2770"/>
      <c r="I2770"/>
    </row>
    <row r="2771" spans="1:9" s="47" customFormat="1" ht="14.4" x14ac:dyDescent="0.3">
      <c r="A2771"/>
      <c r="B2771"/>
      <c r="C2771"/>
      <c r="D2771"/>
      <c r="E2771"/>
      <c r="F2771"/>
      <c r="G2771"/>
      <c r="H2771"/>
      <c r="I2771"/>
    </row>
    <row r="2772" spans="1:9" s="47" customFormat="1" ht="14.4" x14ac:dyDescent="0.3">
      <c r="A2772"/>
      <c r="B2772"/>
      <c r="C2772"/>
      <c r="D2772"/>
      <c r="E2772"/>
      <c r="F2772"/>
      <c r="G2772"/>
      <c r="H2772"/>
      <c r="I2772"/>
    </row>
    <row r="2773" spans="1:9" s="47" customFormat="1" ht="14.4" x14ac:dyDescent="0.3">
      <c r="A2773"/>
      <c r="B2773"/>
      <c r="C2773"/>
      <c r="D2773"/>
      <c r="E2773"/>
      <c r="F2773"/>
      <c r="G2773"/>
      <c r="H2773"/>
      <c r="I2773"/>
    </row>
    <row r="2774" spans="1:9" s="47" customFormat="1" ht="14.4" x14ac:dyDescent="0.3">
      <c r="A2774"/>
      <c r="B2774"/>
      <c r="C2774"/>
      <c r="D2774"/>
      <c r="E2774"/>
      <c r="F2774"/>
      <c r="G2774"/>
      <c r="H2774"/>
      <c r="I2774"/>
    </row>
    <row r="2775" spans="1:9" s="47" customFormat="1" ht="14.4" x14ac:dyDescent="0.3">
      <c r="A2775"/>
      <c r="B2775"/>
      <c r="C2775"/>
      <c r="D2775"/>
      <c r="E2775"/>
      <c r="F2775"/>
      <c r="G2775"/>
      <c r="H2775"/>
      <c r="I2775"/>
    </row>
    <row r="2776" spans="1:9" s="47" customFormat="1" ht="14.4" x14ac:dyDescent="0.3">
      <c r="A2776"/>
      <c r="B2776"/>
      <c r="C2776"/>
      <c r="D2776"/>
      <c r="E2776"/>
      <c r="F2776"/>
      <c r="G2776"/>
      <c r="H2776"/>
      <c r="I2776"/>
    </row>
    <row r="2777" spans="1:9" s="47" customFormat="1" ht="14.4" x14ac:dyDescent="0.3">
      <c r="A2777"/>
      <c r="B2777"/>
      <c r="C2777"/>
      <c r="D2777"/>
      <c r="E2777"/>
      <c r="F2777"/>
      <c r="G2777"/>
      <c r="H2777"/>
      <c r="I2777"/>
    </row>
    <row r="2778" spans="1:9" s="47" customFormat="1" ht="14.4" x14ac:dyDescent="0.3">
      <c r="A2778"/>
      <c r="B2778"/>
      <c r="C2778"/>
      <c r="D2778"/>
      <c r="E2778"/>
      <c r="F2778"/>
      <c r="G2778"/>
      <c r="H2778"/>
      <c r="I2778"/>
    </row>
    <row r="2779" spans="1:9" s="47" customFormat="1" ht="14.4" x14ac:dyDescent="0.3">
      <c r="A2779"/>
      <c r="B2779"/>
      <c r="C2779"/>
      <c r="D2779"/>
      <c r="E2779"/>
      <c r="F2779"/>
      <c r="G2779"/>
      <c r="H2779"/>
      <c r="I2779"/>
    </row>
    <row r="2780" spans="1:9" s="47" customFormat="1" ht="14.4" x14ac:dyDescent="0.3">
      <c r="A2780"/>
      <c r="B2780"/>
      <c r="C2780"/>
      <c r="D2780"/>
      <c r="E2780"/>
      <c r="F2780"/>
      <c r="G2780"/>
      <c r="H2780"/>
      <c r="I2780"/>
    </row>
    <row r="2781" spans="1:9" s="47" customFormat="1" ht="14.4" x14ac:dyDescent="0.3">
      <c r="A2781"/>
      <c r="B2781"/>
      <c r="C2781"/>
      <c r="D2781"/>
      <c r="E2781"/>
      <c r="F2781"/>
      <c r="G2781"/>
      <c r="H2781"/>
      <c r="I2781"/>
    </row>
    <row r="2782" spans="1:9" s="47" customFormat="1" ht="14.4" x14ac:dyDescent="0.3">
      <c r="A2782"/>
      <c r="B2782"/>
      <c r="C2782"/>
      <c r="D2782"/>
      <c r="E2782"/>
      <c r="F2782"/>
      <c r="G2782"/>
      <c r="H2782"/>
      <c r="I2782"/>
    </row>
    <row r="2783" spans="1:9" s="47" customFormat="1" ht="14.4" x14ac:dyDescent="0.3">
      <c r="A2783"/>
      <c r="B2783"/>
      <c r="C2783"/>
      <c r="D2783"/>
      <c r="E2783"/>
      <c r="F2783"/>
      <c r="G2783"/>
      <c r="H2783"/>
      <c r="I2783"/>
    </row>
    <row r="2784" spans="1:9" s="47" customFormat="1" ht="14.4" x14ac:dyDescent="0.3">
      <c r="A2784"/>
      <c r="B2784"/>
      <c r="C2784"/>
      <c r="D2784"/>
      <c r="E2784"/>
      <c r="F2784"/>
      <c r="G2784"/>
      <c r="H2784"/>
      <c r="I2784"/>
    </row>
    <row r="2785" spans="1:9" s="47" customFormat="1" ht="14.4" x14ac:dyDescent="0.3">
      <c r="A2785"/>
      <c r="B2785"/>
      <c r="C2785"/>
      <c r="D2785"/>
      <c r="E2785"/>
      <c r="F2785"/>
      <c r="G2785"/>
      <c r="H2785"/>
      <c r="I2785"/>
    </row>
    <row r="2786" spans="1:9" s="47" customFormat="1" ht="14.4" x14ac:dyDescent="0.3">
      <c r="A2786"/>
      <c r="B2786"/>
      <c r="C2786"/>
      <c r="D2786"/>
      <c r="E2786"/>
      <c r="F2786"/>
      <c r="G2786"/>
      <c r="H2786"/>
      <c r="I2786"/>
    </row>
    <row r="2787" spans="1:9" s="47" customFormat="1" ht="14.4" x14ac:dyDescent="0.3">
      <c r="A2787"/>
      <c r="B2787"/>
      <c r="C2787"/>
      <c r="D2787"/>
      <c r="E2787"/>
      <c r="F2787"/>
      <c r="G2787"/>
      <c r="H2787"/>
      <c r="I2787"/>
    </row>
    <row r="2788" spans="1:9" s="47" customFormat="1" ht="14.4" x14ac:dyDescent="0.3">
      <c r="A2788"/>
      <c r="B2788"/>
      <c r="C2788"/>
      <c r="D2788"/>
      <c r="E2788"/>
      <c r="F2788"/>
      <c r="G2788"/>
      <c r="H2788"/>
      <c r="I2788"/>
    </row>
    <row r="2789" spans="1:9" s="47" customFormat="1" ht="14.4" x14ac:dyDescent="0.3">
      <c r="A2789"/>
      <c r="B2789"/>
      <c r="C2789"/>
      <c r="D2789"/>
      <c r="E2789"/>
      <c r="F2789"/>
      <c r="G2789"/>
      <c r="H2789"/>
      <c r="I2789"/>
    </row>
    <row r="2790" spans="1:9" s="47" customFormat="1" ht="14.4" x14ac:dyDescent="0.3">
      <c r="A2790"/>
      <c r="B2790"/>
      <c r="C2790"/>
      <c r="D2790"/>
      <c r="E2790"/>
      <c r="F2790"/>
      <c r="G2790"/>
      <c r="H2790"/>
      <c r="I2790"/>
    </row>
    <row r="2791" spans="1:9" s="47" customFormat="1" ht="14.4" x14ac:dyDescent="0.3">
      <c r="A2791"/>
      <c r="B2791"/>
      <c r="C2791"/>
      <c r="D2791"/>
      <c r="E2791"/>
      <c r="F2791"/>
      <c r="G2791"/>
      <c r="H2791"/>
      <c r="I2791"/>
    </row>
    <row r="2792" spans="1:9" s="47" customFormat="1" ht="14.4" x14ac:dyDescent="0.3">
      <c r="A2792"/>
      <c r="B2792"/>
      <c r="C2792"/>
      <c r="D2792"/>
      <c r="E2792"/>
      <c r="F2792"/>
      <c r="G2792"/>
      <c r="H2792"/>
      <c r="I2792"/>
    </row>
    <row r="2793" spans="1:9" s="47" customFormat="1" ht="14.4" x14ac:dyDescent="0.3">
      <c r="A2793"/>
      <c r="B2793"/>
      <c r="C2793"/>
      <c r="D2793"/>
      <c r="E2793"/>
      <c r="F2793"/>
      <c r="G2793"/>
      <c r="H2793"/>
      <c r="I2793"/>
    </row>
    <row r="2794" spans="1:9" s="47" customFormat="1" ht="14.4" x14ac:dyDescent="0.3">
      <c r="A2794"/>
      <c r="B2794"/>
      <c r="C2794"/>
      <c r="D2794"/>
      <c r="E2794"/>
      <c r="F2794"/>
      <c r="G2794"/>
      <c r="H2794"/>
      <c r="I2794"/>
    </row>
    <row r="2795" spans="1:9" s="47" customFormat="1" ht="14.4" x14ac:dyDescent="0.3">
      <c r="A2795"/>
      <c r="B2795"/>
      <c r="C2795"/>
      <c r="D2795"/>
      <c r="E2795"/>
      <c r="F2795"/>
      <c r="G2795"/>
      <c r="H2795"/>
      <c r="I2795"/>
    </row>
    <row r="2796" spans="1:9" s="47" customFormat="1" ht="14.4" x14ac:dyDescent="0.3">
      <c r="A2796"/>
      <c r="B2796"/>
      <c r="C2796"/>
      <c r="D2796"/>
      <c r="E2796"/>
      <c r="F2796"/>
      <c r="G2796"/>
      <c r="H2796"/>
      <c r="I2796"/>
    </row>
    <row r="2797" spans="1:9" s="47" customFormat="1" ht="14.4" x14ac:dyDescent="0.3">
      <c r="A2797"/>
      <c r="B2797"/>
      <c r="C2797"/>
      <c r="D2797"/>
      <c r="E2797"/>
      <c r="F2797"/>
      <c r="G2797"/>
      <c r="H2797"/>
      <c r="I2797"/>
    </row>
    <row r="2798" spans="1:9" s="47" customFormat="1" ht="14.4" x14ac:dyDescent="0.3">
      <c r="A2798"/>
      <c r="B2798"/>
      <c r="C2798"/>
      <c r="D2798"/>
      <c r="E2798"/>
      <c r="F2798"/>
      <c r="G2798"/>
      <c r="H2798"/>
      <c r="I2798"/>
    </row>
    <row r="2799" spans="1:9" s="47" customFormat="1" ht="14.4" x14ac:dyDescent="0.3">
      <c r="A2799"/>
      <c r="B2799"/>
      <c r="C2799"/>
      <c r="D2799"/>
      <c r="E2799"/>
      <c r="F2799"/>
      <c r="G2799"/>
      <c r="H2799"/>
      <c r="I2799"/>
    </row>
    <row r="2800" spans="1:9" s="47" customFormat="1" ht="14.4" x14ac:dyDescent="0.3">
      <c r="A2800"/>
      <c r="B2800"/>
      <c r="C2800"/>
      <c r="D2800"/>
      <c r="E2800"/>
      <c r="F2800"/>
      <c r="G2800"/>
      <c r="H2800"/>
      <c r="I2800"/>
    </row>
    <row r="2801" spans="1:9" s="47" customFormat="1" ht="14.4" x14ac:dyDescent="0.3">
      <c r="A2801"/>
      <c r="B2801"/>
      <c r="C2801"/>
      <c r="D2801"/>
      <c r="E2801"/>
      <c r="F2801"/>
      <c r="G2801"/>
      <c r="H2801"/>
      <c r="I2801"/>
    </row>
    <row r="2802" spans="1:9" s="47" customFormat="1" ht="14.4" x14ac:dyDescent="0.3">
      <c r="A2802"/>
      <c r="B2802"/>
      <c r="C2802"/>
      <c r="D2802"/>
      <c r="E2802"/>
      <c r="F2802"/>
      <c r="G2802"/>
      <c r="H2802"/>
      <c r="I2802"/>
    </row>
    <row r="2803" spans="1:9" s="47" customFormat="1" ht="14.4" x14ac:dyDescent="0.3">
      <c r="A2803"/>
      <c r="B2803"/>
      <c r="C2803"/>
      <c r="D2803"/>
      <c r="E2803"/>
      <c r="F2803"/>
      <c r="G2803"/>
      <c r="H2803"/>
      <c r="I2803"/>
    </row>
    <row r="2804" spans="1:9" s="47" customFormat="1" ht="14.4" x14ac:dyDescent="0.3">
      <c r="A2804"/>
      <c r="B2804"/>
      <c r="C2804"/>
      <c r="D2804"/>
      <c r="E2804"/>
      <c r="F2804"/>
      <c r="G2804"/>
      <c r="H2804"/>
      <c r="I2804"/>
    </row>
    <row r="2805" spans="1:9" s="47" customFormat="1" ht="14.4" x14ac:dyDescent="0.3">
      <c r="A2805"/>
      <c r="B2805"/>
      <c r="C2805"/>
      <c r="D2805"/>
      <c r="E2805"/>
      <c r="F2805"/>
      <c r="G2805"/>
      <c r="H2805"/>
      <c r="I2805"/>
    </row>
    <row r="2806" spans="1:9" s="47" customFormat="1" ht="14.4" x14ac:dyDescent="0.3">
      <c r="A2806"/>
      <c r="B2806"/>
      <c r="C2806"/>
      <c r="D2806"/>
      <c r="E2806"/>
      <c r="F2806"/>
      <c r="G2806"/>
      <c r="H2806"/>
      <c r="I2806"/>
    </row>
    <row r="2807" spans="1:9" s="47" customFormat="1" ht="14.4" x14ac:dyDescent="0.3">
      <c r="A2807"/>
      <c r="B2807"/>
      <c r="C2807"/>
      <c r="D2807"/>
      <c r="E2807"/>
      <c r="F2807"/>
      <c r="G2807"/>
      <c r="H2807"/>
      <c r="I2807"/>
    </row>
    <row r="2808" spans="1:9" s="47" customFormat="1" ht="14.4" x14ac:dyDescent="0.3">
      <c r="A2808"/>
      <c r="B2808"/>
      <c r="C2808"/>
      <c r="D2808"/>
      <c r="E2808"/>
      <c r="F2808"/>
      <c r="G2808"/>
      <c r="H2808"/>
      <c r="I2808"/>
    </row>
    <row r="2809" spans="1:9" s="47" customFormat="1" ht="14.4" x14ac:dyDescent="0.3">
      <c r="A2809"/>
      <c r="B2809"/>
      <c r="C2809"/>
      <c r="D2809"/>
      <c r="E2809"/>
      <c r="F2809"/>
      <c r="G2809"/>
      <c r="H2809"/>
      <c r="I2809"/>
    </row>
    <row r="2810" spans="1:9" s="47" customFormat="1" ht="14.4" x14ac:dyDescent="0.3">
      <c r="A2810"/>
      <c r="B2810"/>
      <c r="C2810"/>
      <c r="D2810"/>
      <c r="E2810"/>
      <c r="F2810"/>
      <c r="G2810"/>
      <c r="H2810"/>
      <c r="I2810"/>
    </row>
    <row r="2811" spans="1:9" s="47" customFormat="1" ht="14.4" x14ac:dyDescent="0.3">
      <c r="A2811"/>
      <c r="B2811"/>
      <c r="C2811"/>
      <c r="D2811"/>
      <c r="E2811"/>
      <c r="F2811"/>
      <c r="G2811"/>
      <c r="H2811"/>
      <c r="I2811"/>
    </row>
    <row r="2812" spans="1:9" s="47" customFormat="1" ht="14.4" x14ac:dyDescent="0.3">
      <c r="A2812"/>
      <c r="B2812"/>
      <c r="C2812"/>
      <c r="D2812"/>
      <c r="E2812"/>
      <c r="F2812"/>
      <c r="G2812"/>
      <c r="H2812"/>
      <c r="I2812"/>
    </row>
    <row r="2813" spans="1:9" s="47" customFormat="1" ht="14.4" x14ac:dyDescent="0.3">
      <c r="A2813"/>
      <c r="B2813"/>
      <c r="C2813"/>
      <c r="D2813"/>
      <c r="E2813"/>
      <c r="F2813"/>
      <c r="G2813"/>
      <c r="H2813"/>
      <c r="I2813"/>
    </row>
    <row r="2814" spans="1:9" s="47" customFormat="1" ht="14.4" x14ac:dyDescent="0.3">
      <c r="A2814"/>
      <c r="B2814"/>
      <c r="C2814"/>
      <c r="D2814"/>
      <c r="E2814"/>
      <c r="F2814"/>
      <c r="G2814"/>
      <c r="H2814"/>
      <c r="I2814"/>
    </row>
    <row r="2815" spans="1:9" s="47" customFormat="1" ht="14.4" x14ac:dyDescent="0.3">
      <c r="A2815"/>
      <c r="B2815"/>
      <c r="C2815"/>
      <c r="D2815"/>
      <c r="E2815"/>
      <c r="F2815"/>
      <c r="G2815"/>
      <c r="H2815"/>
      <c r="I2815"/>
    </row>
    <row r="2816" spans="1:9" s="47" customFormat="1" ht="14.4" x14ac:dyDescent="0.3">
      <c r="A2816"/>
      <c r="B2816"/>
      <c r="C2816"/>
      <c r="D2816"/>
      <c r="E2816"/>
      <c r="F2816"/>
      <c r="G2816"/>
      <c r="H2816"/>
      <c r="I2816"/>
    </row>
    <row r="2817" spans="1:9" s="47" customFormat="1" ht="14.4" x14ac:dyDescent="0.3">
      <c r="A2817"/>
      <c r="B2817"/>
      <c r="C2817"/>
      <c r="D2817"/>
      <c r="E2817"/>
      <c r="F2817"/>
      <c r="G2817"/>
      <c r="H2817"/>
      <c r="I2817"/>
    </row>
    <row r="2818" spans="1:9" s="47" customFormat="1" ht="14.4" x14ac:dyDescent="0.3">
      <c r="A2818"/>
      <c r="B2818"/>
      <c r="C2818"/>
      <c r="D2818"/>
      <c r="E2818"/>
      <c r="F2818"/>
      <c r="G2818"/>
      <c r="H2818"/>
      <c r="I2818"/>
    </row>
    <row r="2819" spans="1:9" s="47" customFormat="1" ht="14.4" x14ac:dyDescent="0.3">
      <c r="A2819"/>
      <c r="B2819"/>
      <c r="C2819"/>
      <c r="D2819"/>
      <c r="E2819"/>
      <c r="F2819"/>
      <c r="G2819"/>
      <c r="H2819"/>
      <c r="I2819"/>
    </row>
    <row r="2820" spans="1:9" s="47" customFormat="1" ht="14.4" x14ac:dyDescent="0.3">
      <c r="A2820"/>
      <c r="B2820"/>
      <c r="C2820"/>
      <c r="D2820"/>
      <c r="E2820"/>
      <c r="F2820"/>
      <c r="G2820"/>
      <c r="H2820"/>
      <c r="I2820"/>
    </row>
    <row r="2821" spans="1:9" s="47" customFormat="1" ht="14.4" x14ac:dyDescent="0.3">
      <c r="A2821"/>
      <c r="B2821"/>
      <c r="C2821"/>
      <c r="D2821"/>
      <c r="E2821"/>
      <c r="F2821"/>
      <c r="G2821"/>
      <c r="H2821"/>
      <c r="I2821"/>
    </row>
    <row r="2822" spans="1:9" s="47" customFormat="1" ht="14.4" x14ac:dyDescent="0.3">
      <c r="A2822"/>
      <c r="B2822"/>
      <c r="C2822"/>
      <c r="D2822"/>
      <c r="E2822"/>
      <c r="F2822"/>
      <c r="G2822"/>
      <c r="H2822"/>
      <c r="I2822"/>
    </row>
    <row r="2823" spans="1:9" s="47" customFormat="1" ht="14.4" x14ac:dyDescent="0.3">
      <c r="A2823"/>
      <c r="B2823"/>
      <c r="C2823"/>
      <c r="D2823"/>
      <c r="E2823"/>
      <c r="F2823"/>
      <c r="G2823"/>
      <c r="H2823"/>
      <c r="I2823"/>
    </row>
    <row r="2824" spans="1:9" s="47" customFormat="1" ht="14.4" x14ac:dyDescent="0.3">
      <c r="A2824"/>
      <c r="B2824"/>
      <c r="C2824"/>
      <c r="D2824"/>
      <c r="E2824"/>
      <c r="F2824"/>
      <c r="G2824"/>
      <c r="H2824"/>
      <c r="I2824"/>
    </row>
    <row r="2825" spans="1:9" s="47" customFormat="1" ht="14.4" x14ac:dyDescent="0.3">
      <c r="A2825"/>
      <c r="B2825"/>
      <c r="C2825"/>
      <c r="D2825"/>
      <c r="E2825"/>
      <c r="F2825"/>
      <c r="G2825"/>
      <c r="H2825"/>
      <c r="I2825"/>
    </row>
    <row r="2826" spans="1:9" s="47" customFormat="1" ht="14.4" x14ac:dyDescent="0.3">
      <c r="A2826"/>
      <c r="B2826"/>
      <c r="C2826"/>
      <c r="D2826"/>
      <c r="E2826"/>
      <c r="F2826"/>
      <c r="G2826"/>
      <c r="H2826"/>
      <c r="I2826"/>
    </row>
    <row r="2827" spans="1:9" s="47" customFormat="1" ht="14.4" x14ac:dyDescent="0.3">
      <c r="A2827"/>
      <c r="B2827"/>
      <c r="C2827"/>
      <c r="D2827"/>
      <c r="E2827"/>
      <c r="F2827"/>
      <c r="G2827"/>
      <c r="H2827"/>
      <c r="I2827"/>
    </row>
    <row r="2828" spans="1:9" s="47" customFormat="1" ht="14.4" x14ac:dyDescent="0.3">
      <c r="A2828"/>
      <c r="B2828"/>
      <c r="C2828"/>
      <c r="D2828"/>
      <c r="E2828"/>
      <c r="F2828"/>
      <c r="G2828"/>
      <c r="H2828"/>
      <c r="I2828"/>
    </row>
    <row r="2829" spans="1:9" s="47" customFormat="1" ht="14.4" x14ac:dyDescent="0.3">
      <c r="A2829"/>
      <c r="B2829"/>
      <c r="C2829"/>
      <c r="D2829"/>
      <c r="E2829"/>
      <c r="F2829"/>
      <c r="G2829"/>
      <c r="H2829"/>
      <c r="I2829"/>
    </row>
    <row r="2830" spans="1:9" s="47" customFormat="1" ht="14.4" x14ac:dyDescent="0.3">
      <c r="A2830"/>
      <c r="B2830"/>
      <c r="C2830"/>
      <c r="D2830"/>
      <c r="E2830"/>
      <c r="F2830"/>
      <c r="G2830"/>
      <c r="H2830"/>
      <c r="I2830"/>
    </row>
    <row r="2831" spans="1:9" s="47" customFormat="1" ht="14.4" x14ac:dyDescent="0.3">
      <c r="A2831"/>
      <c r="B2831"/>
      <c r="C2831"/>
      <c r="D2831"/>
      <c r="E2831"/>
      <c r="F2831"/>
      <c r="G2831"/>
      <c r="H2831"/>
      <c r="I2831"/>
    </row>
    <row r="2832" spans="1:9" s="47" customFormat="1" ht="14.4" x14ac:dyDescent="0.3">
      <c r="A2832"/>
      <c r="B2832"/>
      <c r="C2832"/>
      <c r="D2832"/>
      <c r="E2832"/>
      <c r="F2832"/>
      <c r="G2832"/>
      <c r="H2832"/>
      <c r="I2832"/>
    </row>
    <row r="2833" spans="1:9" s="47" customFormat="1" ht="14.4" x14ac:dyDescent="0.3">
      <c r="A2833"/>
      <c r="B2833"/>
      <c r="C2833"/>
      <c r="D2833"/>
      <c r="E2833"/>
      <c r="F2833"/>
      <c r="G2833"/>
      <c r="H2833"/>
      <c r="I2833"/>
    </row>
    <row r="2834" spans="1:9" s="47" customFormat="1" ht="14.4" x14ac:dyDescent="0.3">
      <c r="A2834"/>
      <c r="B2834"/>
      <c r="C2834"/>
      <c r="D2834"/>
      <c r="E2834"/>
      <c r="F2834"/>
      <c r="G2834"/>
      <c r="H2834"/>
      <c r="I2834"/>
    </row>
    <row r="2835" spans="1:9" s="47" customFormat="1" ht="14.4" x14ac:dyDescent="0.3">
      <c r="A2835"/>
      <c r="B2835"/>
      <c r="C2835"/>
      <c r="D2835"/>
      <c r="E2835"/>
      <c r="F2835"/>
      <c r="G2835"/>
      <c r="H2835"/>
      <c r="I2835"/>
    </row>
    <row r="2836" spans="1:9" s="47" customFormat="1" ht="14.4" x14ac:dyDescent="0.3">
      <c r="A2836"/>
      <c r="B2836"/>
      <c r="C2836"/>
      <c r="D2836"/>
      <c r="E2836"/>
      <c r="F2836"/>
      <c r="G2836"/>
      <c r="H2836"/>
      <c r="I2836"/>
    </row>
    <row r="2837" spans="1:9" s="47" customFormat="1" ht="14.4" x14ac:dyDescent="0.3">
      <c r="A2837"/>
      <c r="B2837"/>
      <c r="C2837"/>
      <c r="D2837"/>
      <c r="E2837"/>
      <c r="F2837"/>
      <c r="G2837"/>
      <c r="H2837"/>
      <c r="I2837"/>
    </row>
    <row r="2838" spans="1:9" s="47" customFormat="1" ht="14.4" x14ac:dyDescent="0.3">
      <c r="A2838"/>
      <c r="B2838"/>
      <c r="C2838"/>
      <c r="D2838"/>
      <c r="E2838"/>
      <c r="F2838"/>
      <c r="G2838"/>
      <c r="H2838"/>
      <c r="I2838"/>
    </row>
    <row r="2839" spans="1:9" s="47" customFormat="1" ht="14.4" x14ac:dyDescent="0.3">
      <c r="A2839"/>
      <c r="B2839"/>
      <c r="C2839"/>
      <c r="D2839"/>
      <c r="E2839"/>
      <c r="F2839"/>
      <c r="G2839"/>
      <c r="H2839"/>
      <c r="I2839"/>
    </row>
    <row r="2840" spans="1:9" s="47" customFormat="1" ht="14.4" x14ac:dyDescent="0.3">
      <c r="A2840"/>
      <c r="B2840"/>
      <c r="C2840"/>
      <c r="D2840"/>
      <c r="E2840"/>
      <c r="F2840"/>
      <c r="G2840"/>
      <c r="H2840"/>
      <c r="I2840"/>
    </row>
    <row r="2841" spans="1:9" s="47" customFormat="1" ht="14.4" x14ac:dyDescent="0.3">
      <c r="A2841"/>
      <c r="B2841"/>
      <c r="C2841"/>
      <c r="D2841"/>
      <c r="E2841"/>
      <c r="F2841"/>
      <c r="G2841"/>
      <c r="H2841"/>
      <c r="I2841"/>
    </row>
    <row r="2842" spans="1:9" s="47" customFormat="1" ht="14.4" x14ac:dyDescent="0.3">
      <c r="A2842"/>
      <c r="B2842"/>
      <c r="C2842"/>
      <c r="D2842"/>
      <c r="E2842"/>
      <c r="F2842"/>
      <c r="G2842"/>
      <c r="H2842"/>
      <c r="I2842"/>
    </row>
    <row r="2843" spans="1:9" s="47" customFormat="1" ht="14.4" x14ac:dyDescent="0.3">
      <c r="A2843"/>
      <c r="B2843"/>
      <c r="C2843"/>
      <c r="D2843"/>
      <c r="E2843"/>
      <c r="F2843"/>
      <c r="G2843"/>
      <c r="H2843"/>
      <c r="I2843"/>
    </row>
    <row r="2844" spans="1:9" s="47" customFormat="1" ht="14.4" x14ac:dyDescent="0.3">
      <c r="A2844"/>
      <c r="B2844"/>
      <c r="C2844"/>
      <c r="D2844"/>
      <c r="E2844"/>
      <c r="F2844"/>
      <c r="G2844"/>
      <c r="H2844"/>
      <c r="I2844"/>
    </row>
    <row r="2845" spans="1:9" s="47" customFormat="1" ht="14.4" x14ac:dyDescent="0.3">
      <c r="A2845"/>
      <c r="B2845"/>
      <c r="C2845"/>
      <c r="D2845"/>
      <c r="E2845"/>
      <c r="F2845"/>
      <c r="G2845"/>
      <c r="H2845"/>
      <c r="I2845"/>
    </row>
    <row r="2846" spans="1:9" s="47" customFormat="1" ht="14.4" x14ac:dyDescent="0.3">
      <c r="A2846"/>
      <c r="B2846"/>
      <c r="C2846"/>
      <c r="D2846"/>
      <c r="E2846"/>
      <c r="F2846"/>
      <c r="G2846"/>
      <c r="H2846"/>
      <c r="I2846"/>
    </row>
    <row r="2847" spans="1:9" s="47" customFormat="1" ht="14.4" x14ac:dyDescent="0.3">
      <c r="A2847"/>
      <c r="B2847"/>
      <c r="C2847"/>
      <c r="D2847"/>
      <c r="E2847"/>
      <c r="F2847"/>
      <c r="G2847"/>
      <c r="H2847"/>
      <c r="I2847"/>
    </row>
    <row r="2848" spans="1:9" s="47" customFormat="1" ht="14.4" x14ac:dyDescent="0.3">
      <c r="A2848"/>
      <c r="B2848"/>
      <c r="C2848"/>
      <c r="D2848"/>
      <c r="E2848"/>
      <c r="F2848"/>
      <c r="G2848"/>
      <c r="H2848"/>
      <c r="I2848"/>
    </row>
    <row r="2849" spans="1:9" s="47" customFormat="1" ht="14.4" x14ac:dyDescent="0.3">
      <c r="A2849"/>
      <c r="B2849"/>
      <c r="C2849"/>
      <c r="D2849"/>
      <c r="E2849"/>
      <c r="F2849"/>
      <c r="G2849"/>
      <c r="H2849"/>
      <c r="I2849"/>
    </row>
    <row r="2850" spans="1:9" s="47" customFormat="1" ht="14.4" x14ac:dyDescent="0.3">
      <c r="A2850"/>
      <c r="B2850"/>
      <c r="C2850"/>
      <c r="D2850"/>
      <c r="E2850"/>
      <c r="F2850"/>
      <c r="G2850"/>
      <c r="H2850"/>
      <c r="I2850"/>
    </row>
    <row r="2851" spans="1:9" s="47" customFormat="1" ht="14.4" x14ac:dyDescent="0.3">
      <c r="A2851"/>
      <c r="B2851"/>
      <c r="C2851"/>
      <c r="D2851"/>
      <c r="E2851"/>
      <c r="F2851"/>
      <c r="G2851"/>
      <c r="H2851"/>
      <c r="I2851"/>
    </row>
    <row r="2852" spans="1:9" s="47" customFormat="1" ht="14.4" x14ac:dyDescent="0.3">
      <c r="A2852"/>
      <c r="B2852"/>
      <c r="C2852"/>
      <c r="D2852"/>
      <c r="E2852"/>
      <c r="F2852"/>
      <c r="G2852"/>
      <c r="H2852"/>
      <c r="I2852"/>
    </row>
    <row r="2853" spans="1:9" s="47" customFormat="1" ht="14.4" x14ac:dyDescent="0.3">
      <c r="A2853"/>
      <c r="B2853"/>
      <c r="C2853"/>
      <c r="D2853"/>
      <c r="E2853"/>
      <c r="F2853"/>
      <c r="G2853"/>
      <c r="H2853"/>
      <c r="I2853"/>
    </row>
    <row r="2854" spans="1:9" s="47" customFormat="1" ht="14.4" x14ac:dyDescent="0.3">
      <c r="A2854"/>
      <c r="B2854"/>
      <c r="C2854"/>
      <c r="D2854"/>
      <c r="E2854"/>
      <c r="F2854"/>
      <c r="G2854"/>
      <c r="H2854"/>
      <c r="I2854"/>
    </row>
    <row r="2855" spans="1:9" s="47" customFormat="1" ht="14.4" x14ac:dyDescent="0.3">
      <c r="A2855"/>
      <c r="B2855"/>
      <c r="C2855"/>
      <c r="D2855"/>
      <c r="E2855"/>
      <c r="F2855"/>
      <c r="G2855"/>
      <c r="H2855"/>
      <c r="I2855"/>
    </row>
    <row r="2856" spans="1:9" s="47" customFormat="1" ht="14.4" x14ac:dyDescent="0.3">
      <c r="A2856"/>
      <c r="B2856"/>
      <c r="C2856"/>
      <c r="D2856"/>
      <c r="E2856"/>
      <c r="F2856"/>
      <c r="G2856"/>
      <c r="H2856"/>
      <c r="I2856"/>
    </row>
    <row r="2857" spans="1:9" s="47" customFormat="1" ht="14.4" x14ac:dyDescent="0.3">
      <c r="A2857"/>
      <c r="B2857"/>
      <c r="C2857"/>
      <c r="D2857"/>
      <c r="E2857"/>
      <c r="F2857"/>
      <c r="G2857"/>
      <c r="H2857"/>
      <c r="I2857"/>
    </row>
    <row r="2858" spans="1:9" s="47" customFormat="1" ht="14.4" x14ac:dyDescent="0.3">
      <c r="A2858"/>
      <c r="B2858"/>
      <c r="C2858"/>
      <c r="D2858"/>
      <c r="E2858"/>
      <c r="F2858"/>
      <c r="G2858"/>
      <c r="H2858"/>
      <c r="I2858"/>
    </row>
    <row r="2859" spans="1:9" s="47" customFormat="1" ht="14.4" x14ac:dyDescent="0.3">
      <c r="A2859"/>
      <c r="B2859"/>
      <c r="C2859"/>
      <c r="D2859"/>
      <c r="E2859"/>
      <c r="F2859"/>
      <c r="G2859"/>
      <c r="H2859"/>
      <c r="I2859"/>
    </row>
    <row r="2860" spans="1:9" s="47" customFormat="1" ht="14.4" x14ac:dyDescent="0.3">
      <c r="A2860"/>
      <c r="B2860"/>
      <c r="C2860"/>
      <c r="D2860"/>
      <c r="E2860"/>
      <c r="F2860"/>
      <c r="G2860"/>
      <c r="H2860"/>
      <c r="I2860"/>
    </row>
    <row r="2861" spans="1:9" s="47" customFormat="1" ht="14.4" x14ac:dyDescent="0.3">
      <c r="A2861"/>
      <c r="B2861"/>
      <c r="C2861"/>
      <c r="D2861"/>
      <c r="E2861"/>
      <c r="F2861"/>
      <c r="G2861"/>
      <c r="H2861"/>
      <c r="I2861"/>
    </row>
    <row r="2862" spans="1:9" s="47" customFormat="1" ht="14.4" x14ac:dyDescent="0.3">
      <c r="A2862"/>
      <c r="B2862"/>
      <c r="C2862"/>
      <c r="D2862"/>
      <c r="E2862"/>
      <c r="F2862"/>
      <c r="G2862"/>
      <c r="H2862"/>
      <c r="I2862"/>
    </row>
    <row r="2863" spans="1:9" s="47" customFormat="1" ht="14.4" x14ac:dyDescent="0.3">
      <c r="A2863"/>
      <c r="B2863"/>
      <c r="C2863"/>
      <c r="D2863"/>
      <c r="E2863"/>
      <c r="F2863"/>
      <c r="G2863"/>
      <c r="H2863"/>
      <c r="I2863"/>
    </row>
    <row r="2864" spans="1:9" s="47" customFormat="1" ht="14.4" x14ac:dyDescent="0.3">
      <c r="A2864"/>
      <c r="B2864"/>
      <c r="C2864"/>
      <c r="D2864"/>
      <c r="E2864"/>
      <c r="F2864"/>
      <c r="G2864"/>
      <c r="H2864"/>
      <c r="I2864"/>
    </row>
    <row r="2865" spans="1:9" s="47" customFormat="1" ht="14.4" x14ac:dyDescent="0.3">
      <c r="A2865"/>
      <c r="B2865"/>
      <c r="C2865"/>
      <c r="D2865"/>
      <c r="E2865"/>
      <c r="F2865"/>
      <c r="G2865"/>
      <c r="H2865"/>
      <c r="I2865"/>
    </row>
    <row r="2866" spans="1:9" s="47" customFormat="1" ht="14.4" x14ac:dyDescent="0.3">
      <c r="A2866"/>
      <c r="B2866"/>
      <c r="C2866"/>
      <c r="D2866"/>
      <c r="E2866"/>
      <c r="F2866"/>
      <c r="G2866"/>
      <c r="H2866"/>
      <c r="I2866"/>
    </row>
    <row r="2867" spans="1:9" s="47" customFormat="1" ht="14.4" x14ac:dyDescent="0.3">
      <c r="A2867"/>
      <c r="B2867"/>
      <c r="C2867"/>
      <c r="D2867"/>
      <c r="E2867"/>
      <c r="F2867"/>
      <c r="G2867"/>
      <c r="H2867"/>
      <c r="I2867"/>
    </row>
    <row r="2868" spans="1:9" s="47" customFormat="1" ht="14.4" x14ac:dyDescent="0.3">
      <c r="A2868"/>
      <c r="B2868"/>
      <c r="C2868"/>
      <c r="D2868"/>
      <c r="E2868"/>
      <c r="F2868"/>
      <c r="G2868"/>
      <c r="H2868"/>
      <c r="I2868"/>
    </row>
    <row r="2869" spans="1:9" s="47" customFormat="1" ht="14.4" x14ac:dyDescent="0.3">
      <c r="A2869"/>
      <c r="B2869"/>
      <c r="C2869"/>
      <c r="D2869"/>
      <c r="E2869"/>
      <c r="F2869"/>
      <c r="G2869"/>
      <c r="H2869"/>
      <c r="I2869"/>
    </row>
    <row r="2870" spans="1:9" s="47" customFormat="1" ht="14.4" x14ac:dyDescent="0.3">
      <c r="A2870"/>
      <c r="B2870"/>
      <c r="C2870"/>
      <c r="D2870"/>
      <c r="E2870"/>
      <c r="F2870"/>
      <c r="G2870"/>
      <c r="H2870"/>
      <c r="I2870"/>
    </row>
    <row r="2871" spans="1:9" s="47" customFormat="1" ht="14.4" x14ac:dyDescent="0.3">
      <c r="A2871"/>
      <c r="B2871"/>
      <c r="C2871"/>
      <c r="D2871"/>
      <c r="E2871"/>
      <c r="F2871"/>
      <c r="G2871"/>
      <c r="H2871"/>
      <c r="I2871"/>
    </row>
    <row r="2872" spans="1:9" s="47" customFormat="1" ht="14.4" x14ac:dyDescent="0.3">
      <c r="A2872"/>
      <c r="B2872"/>
      <c r="C2872"/>
      <c r="D2872"/>
      <c r="E2872"/>
      <c r="F2872"/>
      <c r="G2872"/>
      <c r="H2872"/>
      <c r="I2872"/>
    </row>
    <row r="2873" spans="1:9" s="47" customFormat="1" ht="14.4" x14ac:dyDescent="0.3">
      <c r="A2873"/>
      <c r="B2873"/>
      <c r="C2873"/>
      <c r="D2873"/>
      <c r="E2873"/>
      <c r="F2873"/>
      <c r="G2873"/>
      <c r="H2873"/>
      <c r="I2873"/>
    </row>
    <row r="2874" spans="1:9" s="47" customFormat="1" ht="14.4" x14ac:dyDescent="0.3">
      <c r="A2874"/>
      <c r="B2874"/>
      <c r="C2874"/>
      <c r="D2874"/>
      <c r="E2874"/>
      <c r="F2874"/>
      <c r="G2874"/>
      <c r="H2874"/>
      <c r="I2874"/>
    </row>
    <row r="2875" spans="1:9" s="47" customFormat="1" ht="14.4" x14ac:dyDescent="0.3">
      <c r="A2875"/>
      <c r="B2875"/>
      <c r="C2875"/>
      <c r="D2875"/>
      <c r="E2875"/>
      <c r="F2875"/>
      <c r="G2875"/>
      <c r="H2875"/>
      <c r="I2875"/>
    </row>
    <row r="2876" spans="1:9" s="47" customFormat="1" ht="14.4" x14ac:dyDescent="0.3">
      <c r="A2876"/>
      <c r="B2876"/>
      <c r="C2876"/>
      <c r="D2876"/>
      <c r="E2876"/>
      <c r="F2876"/>
      <c r="G2876"/>
      <c r="H2876"/>
      <c r="I2876"/>
    </row>
    <row r="2877" spans="1:9" s="47" customFormat="1" ht="14.4" x14ac:dyDescent="0.3">
      <c r="A2877"/>
      <c r="B2877"/>
      <c r="C2877"/>
      <c r="D2877"/>
      <c r="E2877"/>
      <c r="F2877"/>
      <c r="G2877"/>
      <c r="H2877"/>
      <c r="I2877"/>
    </row>
    <row r="2878" spans="1:9" s="47" customFormat="1" ht="14.4" x14ac:dyDescent="0.3">
      <c r="A2878"/>
      <c r="B2878"/>
      <c r="C2878"/>
      <c r="D2878"/>
      <c r="E2878"/>
      <c r="F2878"/>
      <c r="G2878"/>
      <c r="H2878"/>
      <c r="I2878"/>
    </row>
    <row r="2879" spans="1:9" s="47" customFormat="1" ht="14.4" x14ac:dyDescent="0.3">
      <c r="A2879"/>
      <c r="B2879"/>
      <c r="C2879"/>
      <c r="D2879"/>
      <c r="E2879"/>
      <c r="F2879"/>
      <c r="G2879"/>
      <c r="H2879"/>
      <c r="I2879"/>
    </row>
    <row r="2880" spans="1:9" s="47" customFormat="1" ht="14.4" x14ac:dyDescent="0.3">
      <c r="A2880"/>
      <c r="B2880"/>
      <c r="C2880"/>
      <c r="D2880"/>
      <c r="E2880"/>
      <c r="F2880"/>
      <c r="G2880"/>
      <c r="H2880"/>
      <c r="I2880"/>
    </row>
    <row r="2881" spans="1:9" s="47" customFormat="1" ht="14.4" x14ac:dyDescent="0.3">
      <c r="A2881"/>
      <c r="B2881"/>
      <c r="C2881"/>
      <c r="D2881"/>
      <c r="E2881"/>
      <c r="F2881"/>
      <c r="G2881"/>
      <c r="H2881"/>
      <c r="I2881"/>
    </row>
    <row r="2882" spans="1:9" s="47" customFormat="1" ht="14.4" x14ac:dyDescent="0.3">
      <c r="A2882"/>
      <c r="B2882"/>
      <c r="C2882"/>
      <c r="D2882"/>
      <c r="E2882"/>
      <c r="F2882"/>
      <c r="G2882"/>
      <c r="H2882"/>
      <c r="I2882"/>
    </row>
    <row r="2883" spans="1:9" s="47" customFormat="1" ht="14.4" x14ac:dyDescent="0.3">
      <c r="A2883"/>
      <c r="B2883"/>
      <c r="C2883"/>
      <c r="D2883"/>
      <c r="E2883"/>
      <c r="F2883"/>
      <c r="G2883"/>
      <c r="H2883"/>
      <c r="I2883"/>
    </row>
    <row r="2884" spans="1:9" s="47" customFormat="1" ht="14.4" x14ac:dyDescent="0.3">
      <c r="A2884"/>
      <c r="B2884"/>
      <c r="C2884"/>
      <c r="D2884"/>
      <c r="E2884"/>
      <c r="F2884"/>
      <c r="G2884"/>
      <c r="H2884"/>
      <c r="I2884"/>
    </row>
    <row r="2885" spans="1:9" s="47" customFormat="1" ht="14.4" x14ac:dyDescent="0.3">
      <c r="A2885"/>
      <c r="B2885"/>
      <c r="C2885"/>
      <c r="D2885"/>
      <c r="E2885"/>
      <c r="F2885"/>
      <c r="G2885"/>
      <c r="H2885"/>
      <c r="I2885"/>
    </row>
    <row r="2886" spans="1:9" s="47" customFormat="1" ht="14.4" x14ac:dyDescent="0.3">
      <c r="A2886"/>
      <c r="B2886"/>
      <c r="C2886"/>
      <c r="D2886"/>
      <c r="E2886"/>
      <c r="F2886"/>
      <c r="G2886"/>
      <c r="H2886"/>
      <c r="I2886"/>
    </row>
    <row r="2887" spans="1:9" s="47" customFormat="1" ht="14.4" x14ac:dyDescent="0.3">
      <c r="A2887"/>
      <c r="B2887"/>
      <c r="C2887"/>
      <c r="D2887"/>
      <c r="E2887"/>
      <c r="F2887"/>
      <c r="G2887"/>
      <c r="H2887"/>
      <c r="I2887"/>
    </row>
    <row r="2888" spans="1:9" s="47" customFormat="1" ht="14.4" x14ac:dyDescent="0.3">
      <c r="A2888"/>
      <c r="B2888"/>
      <c r="C2888"/>
      <c r="D2888"/>
      <c r="E2888"/>
      <c r="F2888"/>
      <c r="G2888"/>
      <c r="H2888"/>
      <c r="I2888"/>
    </row>
    <row r="2889" spans="1:9" s="47" customFormat="1" ht="14.4" x14ac:dyDescent="0.3">
      <c r="A2889"/>
      <c r="B2889"/>
      <c r="C2889"/>
      <c r="D2889"/>
      <c r="E2889"/>
      <c r="F2889"/>
      <c r="G2889"/>
      <c r="H2889"/>
      <c r="I2889"/>
    </row>
    <row r="2890" spans="1:9" s="47" customFormat="1" ht="14.4" x14ac:dyDescent="0.3">
      <c r="A2890"/>
      <c r="B2890"/>
      <c r="C2890"/>
      <c r="D2890"/>
      <c r="E2890"/>
      <c r="F2890"/>
      <c r="G2890"/>
      <c r="H2890"/>
      <c r="I2890"/>
    </row>
    <row r="2891" spans="1:9" s="47" customFormat="1" ht="14.4" x14ac:dyDescent="0.3">
      <c r="A2891"/>
      <c r="B2891"/>
      <c r="C2891"/>
      <c r="D2891"/>
      <c r="E2891"/>
      <c r="F2891"/>
      <c r="G2891"/>
      <c r="H2891"/>
      <c r="I2891"/>
    </row>
    <row r="2892" spans="1:9" s="47" customFormat="1" ht="14.4" x14ac:dyDescent="0.3">
      <c r="A2892"/>
      <c r="B2892"/>
      <c r="C2892"/>
      <c r="D2892"/>
      <c r="E2892"/>
      <c r="F2892"/>
      <c r="G2892"/>
      <c r="H2892"/>
      <c r="I2892"/>
    </row>
    <row r="2893" spans="1:9" s="47" customFormat="1" ht="14.4" x14ac:dyDescent="0.3">
      <c r="A2893"/>
      <c r="B2893"/>
      <c r="C2893"/>
      <c r="D2893"/>
      <c r="E2893"/>
      <c r="F2893"/>
      <c r="G2893"/>
      <c r="H2893"/>
      <c r="I2893"/>
    </row>
    <row r="2894" spans="1:9" s="47" customFormat="1" ht="14.4" x14ac:dyDescent="0.3">
      <c r="A2894"/>
      <c r="B2894"/>
      <c r="C2894"/>
      <c r="D2894"/>
      <c r="E2894"/>
      <c r="F2894"/>
      <c r="G2894"/>
      <c r="H2894"/>
      <c r="I2894"/>
    </row>
    <row r="2895" spans="1:9" s="47" customFormat="1" ht="14.4" x14ac:dyDescent="0.3">
      <c r="A2895"/>
      <c r="B2895"/>
      <c r="C2895"/>
      <c r="D2895"/>
      <c r="E2895"/>
      <c r="F2895"/>
      <c r="G2895"/>
      <c r="H2895"/>
      <c r="I2895"/>
    </row>
    <row r="2896" spans="1:9" s="47" customFormat="1" ht="14.4" x14ac:dyDescent="0.3">
      <c r="A2896"/>
      <c r="B2896"/>
      <c r="C2896"/>
      <c r="D2896"/>
      <c r="E2896"/>
      <c r="F2896"/>
      <c r="G2896"/>
      <c r="H2896"/>
      <c r="I2896"/>
    </row>
    <row r="2897" spans="1:9" s="47" customFormat="1" ht="14.4" x14ac:dyDescent="0.3">
      <c r="A2897"/>
      <c r="B2897"/>
      <c r="C2897"/>
      <c r="D2897"/>
      <c r="E2897"/>
      <c r="F2897"/>
      <c r="G2897"/>
      <c r="H2897"/>
      <c r="I2897"/>
    </row>
    <row r="2898" spans="1:9" s="47" customFormat="1" ht="14.4" x14ac:dyDescent="0.3">
      <c r="A2898"/>
      <c r="B2898"/>
      <c r="C2898"/>
      <c r="D2898"/>
      <c r="E2898"/>
      <c r="F2898"/>
      <c r="G2898"/>
      <c r="H2898"/>
      <c r="I2898"/>
    </row>
    <row r="2899" spans="1:9" s="47" customFormat="1" ht="14.4" x14ac:dyDescent="0.3">
      <c r="A2899"/>
      <c r="B2899"/>
      <c r="C2899"/>
      <c r="D2899"/>
      <c r="E2899"/>
      <c r="F2899"/>
      <c r="G2899"/>
      <c r="H2899"/>
      <c r="I2899"/>
    </row>
    <row r="2900" spans="1:9" s="47" customFormat="1" ht="14.4" x14ac:dyDescent="0.3">
      <c r="A2900"/>
      <c r="B2900"/>
      <c r="C2900"/>
      <c r="D2900"/>
      <c r="E2900"/>
      <c r="F2900"/>
      <c r="G2900"/>
      <c r="H2900"/>
      <c r="I2900"/>
    </row>
    <row r="2901" spans="1:9" s="47" customFormat="1" ht="14.4" x14ac:dyDescent="0.3">
      <c r="A2901"/>
      <c r="B2901"/>
      <c r="C2901"/>
      <c r="D2901"/>
      <c r="E2901"/>
      <c r="F2901"/>
      <c r="G2901"/>
      <c r="H2901"/>
      <c r="I2901"/>
    </row>
    <row r="2902" spans="1:9" s="47" customFormat="1" ht="14.4" x14ac:dyDescent="0.3">
      <c r="A2902"/>
      <c r="B2902"/>
      <c r="C2902"/>
      <c r="D2902"/>
      <c r="E2902"/>
      <c r="F2902"/>
      <c r="G2902"/>
      <c r="H2902"/>
      <c r="I2902"/>
    </row>
    <row r="2903" spans="1:9" s="47" customFormat="1" ht="14.4" x14ac:dyDescent="0.3">
      <c r="A2903"/>
      <c r="B2903"/>
      <c r="C2903"/>
      <c r="D2903"/>
      <c r="E2903"/>
      <c r="F2903"/>
      <c r="G2903"/>
      <c r="H2903"/>
      <c r="I2903"/>
    </row>
    <row r="2904" spans="1:9" s="47" customFormat="1" ht="14.4" x14ac:dyDescent="0.3">
      <c r="A2904"/>
      <c r="B2904"/>
      <c r="C2904"/>
      <c r="D2904"/>
      <c r="E2904"/>
      <c r="F2904"/>
      <c r="G2904"/>
      <c r="H2904"/>
      <c r="I2904"/>
    </row>
    <row r="2905" spans="1:9" s="47" customFormat="1" ht="14.4" x14ac:dyDescent="0.3">
      <c r="A2905"/>
      <c r="B2905"/>
      <c r="C2905"/>
      <c r="D2905"/>
      <c r="E2905"/>
      <c r="F2905"/>
      <c r="G2905"/>
      <c r="H2905"/>
      <c r="I2905"/>
    </row>
    <row r="2906" spans="1:9" s="47" customFormat="1" ht="14.4" x14ac:dyDescent="0.3">
      <c r="A2906"/>
      <c r="B2906"/>
      <c r="C2906"/>
      <c r="D2906"/>
      <c r="E2906"/>
      <c r="F2906"/>
      <c r="G2906"/>
      <c r="H2906"/>
      <c r="I2906"/>
    </row>
    <row r="2907" spans="1:9" s="47" customFormat="1" ht="14.4" x14ac:dyDescent="0.3">
      <c r="A2907"/>
      <c r="B2907"/>
      <c r="C2907"/>
      <c r="D2907"/>
      <c r="E2907"/>
      <c r="F2907"/>
      <c r="G2907"/>
      <c r="H2907"/>
      <c r="I2907"/>
    </row>
    <row r="2908" spans="1:9" s="47" customFormat="1" ht="14.4" x14ac:dyDescent="0.3">
      <c r="A2908"/>
      <c r="B2908"/>
      <c r="C2908"/>
      <c r="D2908"/>
      <c r="E2908"/>
      <c r="F2908"/>
      <c r="G2908"/>
      <c r="H2908"/>
      <c r="I2908"/>
    </row>
    <row r="2909" spans="1:9" s="47" customFormat="1" ht="14.4" x14ac:dyDescent="0.3">
      <c r="A2909"/>
      <c r="B2909"/>
      <c r="C2909"/>
      <c r="D2909"/>
      <c r="E2909"/>
      <c r="F2909"/>
      <c r="G2909"/>
      <c r="H2909"/>
      <c r="I2909"/>
    </row>
    <row r="2910" spans="1:9" s="47" customFormat="1" ht="14.4" x14ac:dyDescent="0.3">
      <c r="A2910"/>
      <c r="B2910"/>
      <c r="C2910"/>
      <c r="D2910"/>
      <c r="E2910"/>
      <c r="F2910"/>
      <c r="G2910"/>
      <c r="H2910"/>
      <c r="I2910"/>
    </row>
    <row r="2911" spans="1:9" s="47" customFormat="1" ht="14.4" x14ac:dyDescent="0.3">
      <c r="A2911"/>
      <c r="B2911"/>
      <c r="C2911"/>
      <c r="D2911"/>
      <c r="E2911"/>
      <c r="F2911"/>
      <c r="G2911"/>
      <c r="H2911"/>
      <c r="I2911"/>
    </row>
    <row r="2912" spans="1:9" s="47" customFormat="1" ht="14.4" x14ac:dyDescent="0.3">
      <c r="A2912"/>
      <c r="B2912"/>
      <c r="C2912"/>
      <c r="D2912"/>
      <c r="E2912"/>
      <c r="F2912"/>
      <c r="G2912"/>
      <c r="H2912"/>
      <c r="I2912"/>
    </row>
    <row r="2913" spans="1:9" s="47" customFormat="1" ht="14.4" x14ac:dyDescent="0.3">
      <c r="A2913"/>
      <c r="B2913"/>
      <c r="C2913"/>
      <c r="D2913"/>
      <c r="E2913"/>
      <c r="F2913"/>
      <c r="G2913"/>
      <c r="H2913"/>
      <c r="I2913"/>
    </row>
    <row r="2914" spans="1:9" s="47" customFormat="1" ht="14.4" x14ac:dyDescent="0.3">
      <c r="A2914"/>
      <c r="B2914"/>
      <c r="C2914"/>
      <c r="D2914"/>
      <c r="E2914"/>
      <c r="F2914"/>
      <c r="G2914"/>
      <c r="H2914"/>
      <c r="I2914"/>
    </row>
    <row r="2915" spans="1:9" s="47" customFormat="1" ht="14.4" x14ac:dyDescent="0.3">
      <c r="A2915"/>
      <c r="B2915"/>
      <c r="C2915"/>
      <c r="D2915"/>
      <c r="E2915"/>
      <c r="F2915"/>
      <c r="G2915"/>
      <c r="H2915"/>
      <c r="I2915"/>
    </row>
    <row r="2916" spans="1:9" s="47" customFormat="1" ht="14.4" x14ac:dyDescent="0.3">
      <c r="A2916"/>
      <c r="B2916"/>
      <c r="C2916"/>
      <c r="D2916"/>
      <c r="E2916"/>
      <c r="F2916"/>
      <c r="G2916"/>
      <c r="H2916"/>
      <c r="I2916"/>
    </row>
    <row r="2917" spans="1:9" s="47" customFormat="1" ht="14.4" x14ac:dyDescent="0.3">
      <c r="A2917"/>
      <c r="B2917"/>
      <c r="C2917"/>
      <c r="D2917"/>
      <c r="E2917"/>
      <c r="F2917"/>
      <c r="G2917"/>
      <c r="H2917"/>
      <c r="I2917"/>
    </row>
    <row r="2918" spans="1:9" s="47" customFormat="1" ht="14.4" x14ac:dyDescent="0.3">
      <c r="A2918"/>
      <c r="B2918"/>
      <c r="C2918"/>
      <c r="D2918"/>
      <c r="E2918"/>
      <c r="F2918"/>
      <c r="G2918"/>
      <c r="H2918"/>
      <c r="I2918"/>
    </row>
    <row r="2919" spans="1:9" s="47" customFormat="1" ht="14.4" x14ac:dyDescent="0.3">
      <c r="A2919"/>
      <c r="B2919"/>
      <c r="C2919"/>
      <c r="D2919"/>
      <c r="E2919"/>
      <c r="F2919"/>
      <c r="G2919"/>
      <c r="H2919"/>
      <c r="I2919"/>
    </row>
    <row r="2920" spans="1:9" s="47" customFormat="1" ht="14.4" x14ac:dyDescent="0.3">
      <c r="A2920"/>
      <c r="B2920"/>
      <c r="C2920"/>
      <c r="D2920"/>
      <c r="E2920"/>
      <c r="F2920"/>
      <c r="G2920"/>
      <c r="H2920"/>
      <c r="I2920"/>
    </row>
    <row r="2921" spans="1:9" s="47" customFormat="1" ht="14.4" x14ac:dyDescent="0.3">
      <c r="A2921"/>
      <c r="B2921"/>
      <c r="C2921"/>
      <c r="D2921"/>
      <c r="E2921"/>
      <c r="F2921"/>
      <c r="G2921"/>
      <c r="H2921"/>
      <c r="I2921"/>
    </row>
    <row r="2922" spans="1:9" s="47" customFormat="1" ht="14.4" x14ac:dyDescent="0.3">
      <c r="A2922"/>
      <c r="B2922"/>
      <c r="C2922"/>
      <c r="D2922"/>
      <c r="E2922"/>
      <c r="F2922"/>
      <c r="G2922"/>
      <c r="H2922"/>
      <c r="I2922"/>
    </row>
    <row r="2923" spans="1:9" s="47" customFormat="1" ht="14.4" x14ac:dyDescent="0.3">
      <c r="A2923"/>
      <c r="B2923"/>
      <c r="C2923"/>
      <c r="D2923"/>
      <c r="E2923"/>
      <c r="F2923"/>
      <c r="G2923"/>
      <c r="H2923"/>
      <c r="I2923"/>
    </row>
    <row r="2924" spans="1:9" s="47" customFormat="1" ht="14.4" x14ac:dyDescent="0.3">
      <c r="A2924"/>
      <c r="B2924"/>
      <c r="C2924"/>
      <c r="D2924"/>
      <c r="E2924"/>
      <c r="F2924"/>
      <c r="G2924"/>
      <c r="H2924"/>
      <c r="I2924"/>
    </row>
    <row r="2925" spans="1:9" s="47" customFormat="1" ht="14.4" x14ac:dyDescent="0.3">
      <c r="A2925"/>
      <c r="B2925"/>
      <c r="C2925"/>
      <c r="D2925"/>
      <c r="E2925"/>
      <c r="F2925"/>
      <c r="G2925"/>
      <c r="H2925"/>
      <c r="I2925"/>
    </row>
    <row r="2926" spans="1:9" s="47" customFormat="1" ht="14.4" x14ac:dyDescent="0.3">
      <c r="A2926"/>
      <c r="B2926"/>
      <c r="C2926"/>
      <c r="D2926"/>
      <c r="E2926"/>
      <c r="F2926"/>
      <c r="G2926"/>
      <c r="H2926"/>
      <c r="I2926"/>
    </row>
    <row r="2927" spans="1:9" s="47" customFormat="1" ht="14.4" x14ac:dyDescent="0.3">
      <c r="A2927"/>
      <c r="B2927"/>
      <c r="C2927"/>
      <c r="D2927"/>
      <c r="E2927"/>
      <c r="F2927"/>
      <c r="G2927"/>
      <c r="H2927"/>
      <c r="I2927"/>
    </row>
    <row r="2928" spans="1:9" s="47" customFormat="1" ht="14.4" x14ac:dyDescent="0.3">
      <c r="A2928"/>
      <c r="B2928"/>
      <c r="C2928"/>
      <c r="D2928"/>
      <c r="E2928"/>
      <c r="F2928"/>
      <c r="G2928"/>
      <c r="H2928"/>
      <c r="I2928"/>
    </row>
    <row r="2929" spans="1:9" s="47" customFormat="1" ht="14.4" x14ac:dyDescent="0.3">
      <c r="A2929"/>
      <c r="B2929"/>
      <c r="C2929"/>
      <c r="D2929"/>
      <c r="E2929"/>
      <c r="F2929"/>
      <c r="G2929"/>
      <c r="H2929"/>
      <c r="I2929"/>
    </row>
    <row r="2930" spans="1:9" s="47" customFormat="1" ht="14.4" x14ac:dyDescent="0.3">
      <c r="A2930"/>
      <c r="B2930"/>
      <c r="C2930"/>
      <c r="D2930"/>
      <c r="E2930"/>
      <c r="F2930"/>
      <c r="G2930"/>
      <c r="H2930"/>
      <c r="I2930"/>
    </row>
    <row r="2931" spans="1:9" s="47" customFormat="1" ht="14.4" x14ac:dyDescent="0.3">
      <c r="A2931"/>
      <c r="B2931"/>
      <c r="C2931"/>
      <c r="D2931"/>
      <c r="E2931"/>
      <c r="F2931"/>
      <c r="G2931"/>
      <c r="H2931"/>
      <c r="I2931"/>
    </row>
    <row r="2932" spans="1:9" s="47" customFormat="1" ht="14.4" x14ac:dyDescent="0.3">
      <c r="A2932"/>
      <c r="B2932"/>
      <c r="C2932"/>
      <c r="D2932"/>
      <c r="E2932"/>
      <c r="F2932"/>
      <c r="G2932"/>
      <c r="H2932"/>
      <c r="I2932"/>
    </row>
    <row r="2933" spans="1:9" s="47" customFormat="1" ht="14.4" x14ac:dyDescent="0.3">
      <c r="A2933"/>
      <c r="B2933"/>
      <c r="C2933"/>
      <c r="D2933"/>
      <c r="E2933"/>
      <c r="F2933"/>
      <c r="G2933"/>
      <c r="H2933"/>
      <c r="I2933"/>
    </row>
    <row r="2934" spans="1:9" s="47" customFormat="1" ht="14.4" x14ac:dyDescent="0.3">
      <c r="A2934"/>
      <c r="B2934"/>
      <c r="C2934"/>
      <c r="D2934"/>
      <c r="E2934"/>
      <c r="F2934"/>
      <c r="G2934"/>
      <c r="H2934"/>
      <c r="I2934"/>
    </row>
    <row r="2935" spans="1:9" s="47" customFormat="1" ht="14.4" x14ac:dyDescent="0.3">
      <c r="A2935"/>
      <c r="B2935"/>
      <c r="C2935"/>
      <c r="D2935"/>
      <c r="E2935"/>
      <c r="F2935"/>
      <c r="G2935"/>
      <c r="H2935"/>
      <c r="I2935"/>
    </row>
    <row r="2936" spans="1:9" s="47" customFormat="1" ht="14.4" x14ac:dyDescent="0.3">
      <c r="A2936"/>
      <c r="B2936"/>
      <c r="C2936"/>
      <c r="D2936"/>
      <c r="E2936"/>
      <c r="F2936"/>
      <c r="G2936"/>
      <c r="H2936"/>
      <c r="I2936"/>
    </row>
    <row r="2937" spans="1:9" s="47" customFormat="1" ht="14.4" x14ac:dyDescent="0.3">
      <c r="A2937"/>
      <c r="B2937"/>
      <c r="C2937"/>
      <c r="D2937"/>
      <c r="E2937"/>
      <c r="F2937"/>
      <c r="G2937"/>
      <c r="H2937"/>
      <c r="I2937"/>
    </row>
    <row r="2938" spans="1:9" s="47" customFormat="1" ht="14.4" x14ac:dyDescent="0.3">
      <c r="A2938"/>
      <c r="B2938"/>
      <c r="C2938"/>
      <c r="D2938"/>
      <c r="E2938"/>
      <c r="F2938"/>
      <c r="G2938"/>
      <c r="H2938"/>
      <c r="I2938"/>
    </row>
    <row r="2939" spans="1:9" s="47" customFormat="1" ht="14.4" x14ac:dyDescent="0.3">
      <c r="A2939"/>
      <c r="B2939"/>
      <c r="C2939"/>
      <c r="D2939"/>
      <c r="E2939"/>
      <c r="F2939"/>
      <c r="G2939"/>
      <c r="H2939"/>
      <c r="I2939"/>
    </row>
    <row r="2940" spans="1:9" s="47" customFormat="1" ht="14.4" x14ac:dyDescent="0.3">
      <c r="A2940"/>
      <c r="B2940"/>
      <c r="C2940"/>
      <c r="D2940"/>
      <c r="E2940"/>
      <c r="F2940"/>
      <c r="G2940"/>
      <c r="H2940"/>
      <c r="I2940"/>
    </row>
    <row r="2941" spans="1:9" s="47" customFormat="1" ht="14.4" x14ac:dyDescent="0.3">
      <c r="A2941"/>
      <c r="B2941"/>
      <c r="C2941"/>
      <c r="D2941"/>
      <c r="E2941"/>
      <c r="F2941"/>
      <c r="G2941"/>
      <c r="H2941"/>
      <c r="I2941"/>
    </row>
    <row r="2942" spans="1:9" s="47" customFormat="1" ht="14.4" x14ac:dyDescent="0.3">
      <c r="A2942"/>
      <c r="B2942"/>
      <c r="C2942"/>
      <c r="D2942"/>
      <c r="E2942"/>
      <c r="F2942"/>
      <c r="G2942"/>
      <c r="H2942"/>
      <c r="I2942"/>
    </row>
    <row r="2943" spans="1:9" s="47" customFormat="1" ht="14.4" x14ac:dyDescent="0.3">
      <c r="A2943"/>
      <c r="B2943"/>
      <c r="C2943"/>
      <c r="D2943"/>
      <c r="E2943"/>
      <c r="F2943"/>
      <c r="G2943"/>
      <c r="H2943"/>
      <c r="I2943"/>
    </row>
    <row r="2944" spans="1:9" s="47" customFormat="1" ht="14.4" x14ac:dyDescent="0.3">
      <c r="A2944"/>
      <c r="B2944"/>
      <c r="C2944"/>
      <c r="D2944"/>
      <c r="E2944"/>
      <c r="F2944"/>
      <c r="G2944"/>
      <c r="H2944"/>
      <c r="I2944"/>
    </row>
    <row r="2945" spans="1:9" s="47" customFormat="1" ht="14.4" x14ac:dyDescent="0.3">
      <c r="A2945"/>
      <c r="B2945"/>
      <c r="C2945"/>
      <c r="D2945"/>
      <c r="E2945"/>
      <c r="F2945"/>
      <c r="G2945"/>
      <c r="H2945"/>
      <c r="I2945"/>
    </row>
    <row r="2946" spans="1:9" s="47" customFormat="1" ht="14.4" x14ac:dyDescent="0.3">
      <c r="A2946"/>
      <c r="B2946"/>
      <c r="C2946"/>
      <c r="D2946"/>
      <c r="E2946"/>
      <c r="F2946"/>
      <c r="G2946"/>
      <c r="H2946"/>
      <c r="I2946"/>
    </row>
    <row r="2947" spans="1:9" s="47" customFormat="1" ht="14.4" x14ac:dyDescent="0.3">
      <c r="A2947"/>
      <c r="B2947"/>
      <c r="C2947"/>
      <c r="D2947"/>
      <c r="E2947"/>
      <c r="F2947"/>
      <c r="G2947"/>
      <c r="H2947"/>
      <c r="I2947"/>
    </row>
    <row r="2948" spans="1:9" s="47" customFormat="1" ht="14.4" x14ac:dyDescent="0.3">
      <c r="A2948"/>
      <c r="B2948"/>
      <c r="C2948"/>
      <c r="D2948"/>
      <c r="E2948"/>
      <c r="F2948"/>
      <c r="G2948"/>
      <c r="H2948"/>
      <c r="I2948"/>
    </row>
    <row r="2949" spans="1:9" s="47" customFormat="1" ht="14.4" x14ac:dyDescent="0.3">
      <c r="A2949"/>
      <c r="B2949"/>
      <c r="C2949"/>
      <c r="D2949"/>
      <c r="E2949"/>
      <c r="F2949"/>
      <c r="G2949"/>
      <c r="H2949"/>
      <c r="I2949"/>
    </row>
    <row r="2950" spans="1:9" s="47" customFormat="1" ht="14.4" x14ac:dyDescent="0.3">
      <c r="A2950"/>
      <c r="B2950"/>
      <c r="C2950"/>
      <c r="D2950"/>
      <c r="E2950"/>
      <c r="F2950"/>
      <c r="G2950"/>
      <c r="H2950"/>
      <c r="I2950"/>
    </row>
    <row r="2951" spans="1:9" s="47" customFormat="1" ht="14.4" x14ac:dyDescent="0.3">
      <c r="A2951"/>
      <c r="B2951"/>
      <c r="C2951"/>
      <c r="D2951"/>
      <c r="E2951"/>
      <c r="F2951"/>
      <c r="G2951"/>
      <c r="H2951"/>
      <c r="I2951"/>
    </row>
    <row r="2952" spans="1:9" s="47" customFormat="1" ht="14.4" x14ac:dyDescent="0.3">
      <c r="A2952"/>
      <c r="B2952"/>
      <c r="C2952"/>
      <c r="D2952"/>
      <c r="E2952"/>
      <c r="F2952"/>
      <c r="G2952"/>
      <c r="H2952"/>
      <c r="I2952"/>
    </row>
    <row r="2953" spans="1:9" s="47" customFormat="1" ht="14.4" x14ac:dyDescent="0.3">
      <c r="A2953"/>
      <c r="B2953"/>
      <c r="C2953"/>
      <c r="D2953"/>
      <c r="E2953"/>
      <c r="F2953"/>
      <c r="G2953"/>
      <c r="H2953"/>
      <c r="I2953"/>
    </row>
    <row r="2954" spans="1:9" s="47" customFormat="1" ht="14.4" x14ac:dyDescent="0.3">
      <c r="A2954"/>
      <c r="B2954"/>
      <c r="C2954"/>
      <c r="D2954"/>
      <c r="E2954"/>
      <c r="F2954"/>
      <c r="G2954"/>
      <c r="H2954"/>
      <c r="I2954"/>
    </row>
    <row r="2955" spans="1:9" s="47" customFormat="1" ht="14.4" x14ac:dyDescent="0.3">
      <c r="A2955"/>
      <c r="B2955"/>
      <c r="C2955"/>
      <c r="D2955"/>
      <c r="E2955"/>
      <c r="F2955"/>
      <c r="G2955"/>
      <c r="H2955"/>
      <c r="I2955"/>
    </row>
    <row r="2956" spans="1:9" s="47" customFormat="1" ht="14.4" x14ac:dyDescent="0.3">
      <c r="A2956"/>
      <c r="B2956"/>
      <c r="C2956"/>
      <c r="D2956"/>
      <c r="E2956"/>
      <c r="F2956"/>
      <c r="G2956"/>
      <c r="H2956"/>
      <c r="I2956"/>
    </row>
    <row r="2957" spans="1:9" s="47" customFormat="1" ht="14.4" x14ac:dyDescent="0.3">
      <c r="A2957"/>
      <c r="B2957"/>
      <c r="C2957"/>
      <c r="D2957"/>
      <c r="E2957"/>
      <c r="F2957"/>
      <c r="G2957"/>
      <c r="H2957"/>
      <c r="I2957"/>
    </row>
    <row r="2958" spans="1:9" s="47" customFormat="1" ht="14.4" x14ac:dyDescent="0.3">
      <c r="A2958"/>
      <c r="B2958"/>
      <c r="C2958"/>
      <c r="D2958"/>
      <c r="E2958"/>
      <c r="F2958"/>
      <c r="G2958"/>
      <c r="H2958"/>
      <c r="I2958"/>
    </row>
    <row r="2959" spans="1:9" s="47" customFormat="1" ht="14.4" x14ac:dyDescent="0.3">
      <c r="A2959"/>
      <c r="B2959"/>
      <c r="C2959"/>
      <c r="D2959"/>
      <c r="E2959"/>
      <c r="F2959"/>
      <c r="G2959"/>
      <c r="H2959"/>
      <c r="I2959"/>
    </row>
    <row r="2960" spans="1:9" s="47" customFormat="1" ht="14.4" x14ac:dyDescent="0.3">
      <c r="A2960"/>
      <c r="B2960"/>
      <c r="C2960"/>
      <c r="D2960"/>
      <c r="E2960"/>
      <c r="F2960"/>
      <c r="G2960"/>
      <c r="H2960"/>
      <c r="I2960"/>
    </row>
    <row r="2961" spans="1:9" s="47" customFormat="1" ht="14.4" x14ac:dyDescent="0.3">
      <c r="A2961"/>
      <c r="B2961"/>
      <c r="C2961"/>
      <c r="D2961"/>
      <c r="E2961"/>
      <c r="F2961"/>
      <c r="G2961"/>
      <c r="H2961"/>
      <c r="I2961"/>
    </row>
    <row r="2962" spans="1:9" s="47" customFormat="1" ht="14.4" x14ac:dyDescent="0.3">
      <c r="A2962"/>
      <c r="B2962"/>
      <c r="C2962"/>
      <c r="D2962"/>
      <c r="E2962"/>
      <c r="F2962"/>
      <c r="G2962"/>
      <c r="H2962"/>
      <c r="I2962"/>
    </row>
    <row r="2963" spans="1:9" s="47" customFormat="1" ht="14.4" x14ac:dyDescent="0.3">
      <c r="A2963"/>
      <c r="B2963"/>
      <c r="C2963"/>
      <c r="D2963"/>
      <c r="E2963"/>
      <c r="F2963"/>
      <c r="G2963"/>
      <c r="H2963"/>
      <c r="I2963"/>
    </row>
    <row r="2964" spans="1:9" s="47" customFormat="1" ht="14.4" x14ac:dyDescent="0.3">
      <c r="A2964"/>
      <c r="B2964"/>
      <c r="C2964"/>
      <c r="D2964"/>
      <c r="E2964"/>
      <c r="F2964"/>
      <c r="G2964"/>
      <c r="H2964"/>
      <c r="I2964"/>
    </row>
    <row r="2965" spans="1:9" s="47" customFormat="1" ht="14.4" x14ac:dyDescent="0.3">
      <c r="A2965"/>
      <c r="B2965"/>
      <c r="C2965"/>
      <c r="D2965"/>
      <c r="E2965"/>
      <c r="F2965"/>
      <c r="G2965"/>
      <c r="H2965"/>
      <c r="I2965"/>
    </row>
    <row r="2966" spans="1:9" s="47" customFormat="1" ht="14.4" x14ac:dyDescent="0.3">
      <c r="A2966"/>
      <c r="B2966"/>
      <c r="C2966"/>
      <c r="D2966"/>
      <c r="E2966"/>
      <c r="F2966"/>
      <c r="G2966"/>
      <c r="H2966"/>
      <c r="I2966"/>
    </row>
    <row r="2967" spans="1:9" s="47" customFormat="1" ht="14.4" x14ac:dyDescent="0.3">
      <c r="A2967"/>
      <c r="B2967"/>
      <c r="C2967"/>
      <c r="D2967"/>
      <c r="E2967"/>
      <c r="F2967"/>
      <c r="G2967"/>
      <c r="H2967"/>
      <c r="I2967"/>
    </row>
    <row r="2968" spans="1:9" s="47" customFormat="1" ht="14.4" x14ac:dyDescent="0.3">
      <c r="A2968"/>
      <c r="B2968"/>
      <c r="C2968"/>
      <c r="D2968"/>
      <c r="E2968"/>
      <c r="F2968"/>
      <c r="G2968"/>
      <c r="H2968"/>
      <c r="I2968"/>
    </row>
    <row r="2969" spans="1:9" s="47" customFormat="1" ht="14.4" x14ac:dyDescent="0.3">
      <c r="A2969"/>
      <c r="B2969"/>
      <c r="C2969"/>
      <c r="D2969"/>
      <c r="E2969"/>
      <c r="F2969"/>
      <c r="G2969"/>
      <c r="H2969"/>
      <c r="I2969"/>
    </row>
    <row r="2970" spans="1:9" s="47" customFormat="1" ht="14.4" x14ac:dyDescent="0.3">
      <c r="A2970"/>
      <c r="B2970"/>
      <c r="C2970"/>
      <c r="D2970"/>
      <c r="E2970"/>
      <c r="F2970"/>
      <c r="G2970"/>
      <c r="H2970"/>
      <c r="I2970"/>
    </row>
    <row r="2971" spans="1:9" s="47" customFormat="1" ht="14.4" x14ac:dyDescent="0.3">
      <c r="A2971"/>
      <c r="B2971"/>
      <c r="C2971"/>
      <c r="D2971"/>
      <c r="E2971"/>
      <c r="F2971"/>
      <c r="G2971"/>
      <c r="H2971"/>
      <c r="I2971"/>
    </row>
    <row r="2972" spans="1:9" s="47" customFormat="1" ht="14.4" x14ac:dyDescent="0.3">
      <c r="A2972"/>
      <c r="B2972"/>
      <c r="C2972"/>
      <c r="D2972"/>
      <c r="E2972"/>
      <c r="F2972"/>
      <c r="G2972"/>
      <c r="H2972"/>
      <c r="I2972"/>
    </row>
    <row r="2973" spans="1:9" s="47" customFormat="1" ht="14.4" x14ac:dyDescent="0.3">
      <c r="A2973"/>
      <c r="B2973"/>
      <c r="C2973"/>
      <c r="D2973"/>
      <c r="E2973"/>
      <c r="F2973"/>
      <c r="G2973"/>
      <c r="H2973"/>
      <c r="I2973"/>
    </row>
    <row r="2974" spans="1:9" s="47" customFormat="1" ht="14.4" x14ac:dyDescent="0.3">
      <c r="A2974"/>
      <c r="B2974"/>
      <c r="C2974"/>
      <c r="D2974"/>
      <c r="E2974"/>
      <c r="F2974"/>
      <c r="G2974"/>
      <c r="H2974"/>
      <c r="I2974"/>
    </row>
    <row r="2975" spans="1:9" s="47" customFormat="1" ht="14.4" x14ac:dyDescent="0.3">
      <c r="A2975"/>
      <c r="B2975"/>
      <c r="C2975"/>
      <c r="D2975"/>
      <c r="E2975"/>
      <c r="F2975"/>
      <c r="G2975"/>
      <c r="H2975"/>
      <c r="I2975"/>
    </row>
    <row r="2976" spans="1:9" s="47" customFormat="1" ht="14.4" x14ac:dyDescent="0.3">
      <c r="A2976"/>
      <c r="B2976"/>
      <c r="C2976"/>
      <c r="D2976"/>
      <c r="E2976"/>
      <c r="F2976"/>
      <c r="G2976"/>
      <c r="H2976"/>
      <c r="I2976"/>
    </row>
    <row r="2977" spans="1:9" s="47" customFormat="1" ht="14.4" x14ac:dyDescent="0.3">
      <c r="A2977"/>
      <c r="B2977"/>
      <c r="C2977"/>
      <c r="D2977"/>
      <c r="E2977"/>
      <c r="F2977"/>
      <c r="G2977"/>
      <c r="H2977"/>
      <c r="I2977"/>
    </row>
    <row r="2978" spans="1:9" s="47" customFormat="1" ht="14.4" x14ac:dyDescent="0.3">
      <c r="A2978"/>
      <c r="B2978"/>
      <c r="C2978"/>
      <c r="D2978"/>
      <c r="E2978"/>
      <c r="F2978"/>
      <c r="G2978"/>
      <c r="H2978"/>
      <c r="I2978"/>
    </row>
    <row r="2979" spans="1:9" s="47" customFormat="1" ht="14.4" x14ac:dyDescent="0.3">
      <c r="A2979"/>
      <c r="B2979"/>
      <c r="C2979"/>
      <c r="D2979"/>
      <c r="E2979"/>
      <c r="F2979"/>
      <c r="G2979"/>
      <c r="H2979"/>
      <c r="I2979"/>
    </row>
    <row r="2980" spans="1:9" s="47" customFormat="1" ht="14.4" x14ac:dyDescent="0.3">
      <c r="A2980"/>
      <c r="B2980"/>
      <c r="C2980"/>
      <c r="D2980"/>
      <c r="E2980"/>
      <c r="F2980"/>
      <c r="G2980"/>
      <c r="H2980"/>
      <c r="I2980"/>
    </row>
    <row r="2981" spans="1:9" s="47" customFormat="1" ht="14.4" x14ac:dyDescent="0.3">
      <c r="A2981"/>
      <c r="B2981"/>
      <c r="C2981"/>
      <c r="D2981"/>
      <c r="E2981"/>
      <c r="F2981"/>
      <c r="G2981"/>
      <c r="H2981"/>
      <c r="I2981"/>
    </row>
    <row r="2982" spans="1:9" s="47" customFormat="1" ht="14.4" x14ac:dyDescent="0.3">
      <c r="A2982"/>
      <c r="B2982"/>
      <c r="C2982"/>
      <c r="D2982"/>
      <c r="E2982"/>
      <c r="F2982"/>
      <c r="G2982"/>
      <c r="H2982"/>
      <c r="I2982"/>
    </row>
    <row r="2983" spans="1:9" s="47" customFormat="1" ht="14.4" x14ac:dyDescent="0.3">
      <c r="A2983"/>
      <c r="B2983"/>
      <c r="C2983"/>
      <c r="D2983"/>
      <c r="E2983"/>
      <c r="F2983"/>
      <c r="G2983"/>
      <c r="H2983"/>
      <c r="I2983"/>
    </row>
    <row r="2984" spans="1:9" s="47" customFormat="1" ht="14.4" x14ac:dyDescent="0.3">
      <c r="A2984"/>
      <c r="B2984"/>
      <c r="C2984"/>
      <c r="D2984"/>
      <c r="E2984"/>
      <c r="F2984"/>
      <c r="G2984"/>
      <c r="H2984"/>
      <c r="I2984"/>
    </row>
    <row r="2985" spans="1:9" s="47" customFormat="1" ht="14.4" x14ac:dyDescent="0.3">
      <c r="A2985"/>
      <c r="B2985"/>
      <c r="C2985"/>
      <c r="D2985"/>
      <c r="E2985"/>
      <c r="F2985"/>
      <c r="G2985"/>
      <c r="H2985"/>
      <c r="I2985"/>
    </row>
    <row r="2986" spans="1:9" s="47" customFormat="1" ht="14.4" x14ac:dyDescent="0.3">
      <c r="A2986"/>
      <c r="B2986"/>
      <c r="C2986"/>
      <c r="D2986"/>
      <c r="E2986"/>
      <c r="F2986"/>
      <c r="G2986"/>
      <c r="H2986"/>
      <c r="I2986"/>
    </row>
    <row r="2987" spans="1:9" s="47" customFormat="1" ht="14.4" x14ac:dyDescent="0.3">
      <c r="A2987"/>
      <c r="B2987"/>
      <c r="C2987"/>
      <c r="D2987"/>
      <c r="E2987"/>
      <c r="F2987"/>
      <c r="G2987"/>
      <c r="H2987"/>
      <c r="I2987"/>
    </row>
    <row r="2988" spans="1:9" s="47" customFormat="1" ht="14.4" x14ac:dyDescent="0.3">
      <c r="A2988"/>
      <c r="B2988"/>
      <c r="C2988"/>
      <c r="D2988"/>
      <c r="E2988"/>
      <c r="F2988"/>
      <c r="G2988"/>
      <c r="H2988"/>
      <c r="I2988"/>
    </row>
    <row r="2989" spans="1:9" s="47" customFormat="1" ht="14.4" x14ac:dyDescent="0.3">
      <c r="A2989"/>
      <c r="B2989"/>
      <c r="C2989"/>
      <c r="D2989"/>
      <c r="E2989"/>
      <c r="F2989"/>
      <c r="G2989"/>
      <c r="H2989"/>
      <c r="I2989"/>
    </row>
    <row r="2990" spans="1:9" s="47" customFormat="1" ht="14.4" x14ac:dyDescent="0.3">
      <c r="A2990"/>
      <c r="B2990"/>
      <c r="C2990"/>
      <c r="D2990"/>
      <c r="E2990"/>
      <c r="F2990"/>
      <c r="G2990"/>
      <c r="H2990"/>
      <c r="I2990"/>
    </row>
    <row r="2991" spans="1:9" s="47" customFormat="1" ht="14.4" x14ac:dyDescent="0.3">
      <c r="A2991"/>
      <c r="B2991"/>
      <c r="C2991"/>
      <c r="D2991"/>
      <c r="E2991"/>
      <c r="F2991"/>
      <c r="G2991"/>
      <c r="H2991"/>
      <c r="I2991"/>
    </row>
    <row r="2992" spans="1:9" s="47" customFormat="1" ht="14.4" x14ac:dyDescent="0.3">
      <c r="A2992"/>
      <c r="B2992"/>
      <c r="C2992"/>
      <c r="D2992"/>
      <c r="E2992"/>
      <c r="F2992"/>
      <c r="G2992"/>
      <c r="H2992"/>
      <c r="I2992"/>
    </row>
    <row r="2993" spans="1:9" s="47" customFormat="1" ht="14.4" x14ac:dyDescent="0.3">
      <c r="A2993"/>
      <c r="B2993"/>
      <c r="C2993"/>
      <c r="D2993"/>
      <c r="E2993"/>
      <c r="F2993"/>
      <c r="G2993"/>
      <c r="H2993"/>
      <c r="I2993"/>
    </row>
    <row r="2994" spans="1:9" s="47" customFormat="1" ht="14.4" x14ac:dyDescent="0.3">
      <c r="A2994"/>
      <c r="B2994"/>
      <c r="C2994"/>
      <c r="D2994"/>
      <c r="E2994"/>
      <c r="F2994"/>
      <c r="G2994"/>
      <c r="H2994"/>
      <c r="I2994"/>
    </row>
    <row r="2995" spans="1:9" s="47" customFormat="1" ht="14.4" x14ac:dyDescent="0.3">
      <c r="A2995"/>
      <c r="B2995"/>
      <c r="C2995"/>
      <c r="D2995"/>
      <c r="E2995"/>
      <c r="F2995"/>
      <c r="G2995"/>
      <c r="H2995"/>
      <c r="I2995"/>
    </row>
    <row r="2996" spans="1:9" s="47" customFormat="1" ht="14.4" x14ac:dyDescent="0.3">
      <c r="A2996"/>
      <c r="B2996"/>
      <c r="C2996"/>
      <c r="D2996"/>
      <c r="E2996"/>
      <c r="F2996"/>
      <c r="G2996"/>
      <c r="H2996"/>
      <c r="I2996"/>
    </row>
    <row r="2997" spans="1:9" s="47" customFormat="1" ht="14.4" x14ac:dyDescent="0.3">
      <c r="A2997"/>
      <c r="B2997"/>
      <c r="C2997"/>
      <c r="D2997"/>
      <c r="E2997"/>
      <c r="F2997"/>
      <c r="G2997"/>
      <c r="H2997"/>
      <c r="I2997"/>
    </row>
    <row r="2998" spans="1:9" s="47" customFormat="1" ht="14.4" x14ac:dyDescent="0.3">
      <c r="A2998"/>
      <c r="B2998"/>
      <c r="C2998"/>
      <c r="D2998"/>
      <c r="E2998"/>
      <c r="F2998"/>
      <c r="G2998"/>
      <c r="H2998"/>
      <c r="I2998"/>
    </row>
    <row r="2999" spans="1:9" s="47" customFormat="1" ht="14.4" x14ac:dyDescent="0.3">
      <c r="A2999"/>
      <c r="B2999"/>
      <c r="C2999"/>
      <c r="D2999"/>
      <c r="E2999"/>
      <c r="F2999"/>
      <c r="G2999"/>
      <c r="H2999"/>
      <c r="I2999"/>
    </row>
    <row r="3000" spans="1:9" s="47" customFormat="1" ht="14.4" x14ac:dyDescent="0.3">
      <c r="A3000"/>
      <c r="B3000"/>
      <c r="C3000"/>
      <c r="D3000"/>
      <c r="E3000"/>
      <c r="F3000"/>
      <c r="G3000"/>
      <c r="H3000"/>
      <c r="I3000"/>
    </row>
    <row r="3001" spans="1:9" s="47" customFormat="1" ht="14.4" x14ac:dyDescent="0.3">
      <c r="A3001"/>
      <c r="B3001"/>
      <c r="C3001"/>
      <c r="D3001"/>
      <c r="E3001"/>
      <c r="F3001"/>
      <c r="G3001"/>
      <c r="H3001"/>
      <c r="I3001"/>
    </row>
    <row r="3002" spans="1:9" s="47" customFormat="1" ht="14.4" x14ac:dyDescent="0.3">
      <c r="A3002"/>
      <c r="B3002"/>
      <c r="C3002"/>
      <c r="D3002"/>
      <c r="E3002"/>
      <c r="F3002"/>
      <c r="G3002"/>
      <c r="H3002"/>
      <c r="I3002"/>
    </row>
    <row r="3003" spans="1:9" s="47" customFormat="1" ht="14.4" x14ac:dyDescent="0.3">
      <c r="A3003"/>
      <c r="B3003"/>
      <c r="C3003"/>
      <c r="D3003"/>
      <c r="E3003"/>
      <c r="F3003"/>
      <c r="G3003"/>
      <c r="H3003"/>
      <c r="I3003"/>
    </row>
    <row r="3004" spans="1:9" s="47" customFormat="1" ht="14.4" x14ac:dyDescent="0.3">
      <c r="A3004"/>
      <c r="B3004"/>
      <c r="C3004"/>
      <c r="D3004"/>
      <c r="E3004"/>
      <c r="F3004"/>
      <c r="G3004"/>
      <c r="H3004"/>
      <c r="I3004"/>
    </row>
    <row r="3005" spans="1:9" s="47" customFormat="1" ht="14.4" x14ac:dyDescent="0.3">
      <c r="A3005"/>
      <c r="B3005"/>
      <c r="C3005"/>
      <c r="D3005"/>
      <c r="E3005"/>
      <c r="F3005"/>
      <c r="G3005"/>
      <c r="H3005"/>
      <c r="I3005"/>
    </row>
    <row r="3006" spans="1:9" s="47" customFormat="1" ht="14.4" x14ac:dyDescent="0.3">
      <c r="A3006"/>
      <c r="B3006"/>
      <c r="C3006"/>
      <c r="D3006"/>
      <c r="E3006"/>
      <c r="F3006"/>
      <c r="G3006"/>
      <c r="H3006"/>
      <c r="I3006"/>
    </row>
    <row r="3007" spans="1:9" s="47" customFormat="1" ht="14.4" x14ac:dyDescent="0.3">
      <c r="A3007"/>
      <c r="B3007"/>
      <c r="C3007"/>
      <c r="D3007"/>
      <c r="E3007"/>
      <c r="F3007"/>
      <c r="G3007"/>
      <c r="H3007"/>
      <c r="I3007"/>
    </row>
    <row r="3008" spans="1:9" s="47" customFormat="1" ht="14.4" x14ac:dyDescent="0.3">
      <c r="A3008"/>
      <c r="B3008"/>
      <c r="C3008"/>
      <c r="D3008"/>
      <c r="E3008"/>
      <c r="F3008"/>
      <c r="G3008"/>
      <c r="H3008"/>
      <c r="I3008"/>
    </row>
    <row r="3009" spans="1:9" s="47" customFormat="1" ht="14.4" x14ac:dyDescent="0.3">
      <c r="A3009"/>
      <c r="B3009"/>
      <c r="C3009"/>
      <c r="D3009"/>
      <c r="E3009"/>
      <c r="F3009"/>
      <c r="G3009"/>
      <c r="H3009"/>
      <c r="I3009"/>
    </row>
    <row r="3010" spans="1:9" s="47" customFormat="1" ht="14.4" x14ac:dyDescent="0.3">
      <c r="A3010"/>
      <c r="B3010"/>
      <c r="C3010"/>
      <c r="D3010"/>
      <c r="E3010"/>
      <c r="F3010"/>
      <c r="G3010"/>
      <c r="H3010"/>
      <c r="I3010"/>
    </row>
    <row r="3011" spans="1:9" s="47" customFormat="1" ht="14.4" x14ac:dyDescent="0.3">
      <c r="A3011"/>
      <c r="B3011"/>
      <c r="C3011"/>
      <c r="D3011"/>
      <c r="E3011"/>
      <c r="F3011"/>
      <c r="G3011"/>
      <c r="H3011"/>
      <c r="I3011"/>
    </row>
    <row r="3012" spans="1:9" s="47" customFormat="1" ht="14.4" x14ac:dyDescent="0.3">
      <c r="A3012"/>
      <c r="B3012"/>
      <c r="C3012"/>
      <c r="D3012"/>
      <c r="E3012"/>
      <c r="F3012"/>
      <c r="G3012"/>
      <c r="H3012"/>
      <c r="I3012"/>
    </row>
    <row r="3013" spans="1:9" s="47" customFormat="1" ht="14.4" x14ac:dyDescent="0.3">
      <c r="A3013"/>
      <c r="B3013"/>
      <c r="C3013"/>
      <c r="D3013"/>
      <c r="E3013"/>
      <c r="F3013"/>
      <c r="G3013"/>
      <c r="H3013"/>
      <c r="I3013"/>
    </row>
    <row r="3014" spans="1:9" s="47" customFormat="1" ht="14.4" x14ac:dyDescent="0.3">
      <c r="A3014"/>
      <c r="B3014"/>
      <c r="C3014"/>
      <c r="D3014"/>
      <c r="E3014"/>
      <c r="F3014"/>
      <c r="G3014"/>
      <c r="H3014"/>
      <c r="I3014"/>
    </row>
    <row r="3015" spans="1:9" s="47" customFormat="1" ht="14.4" x14ac:dyDescent="0.3">
      <c r="A3015"/>
      <c r="B3015"/>
      <c r="C3015"/>
      <c r="D3015"/>
      <c r="E3015"/>
      <c r="F3015"/>
      <c r="G3015"/>
      <c r="H3015"/>
      <c r="I3015"/>
    </row>
    <row r="3016" spans="1:9" s="47" customFormat="1" ht="14.4" x14ac:dyDescent="0.3">
      <c r="A3016"/>
      <c r="B3016"/>
      <c r="C3016"/>
      <c r="D3016"/>
      <c r="E3016"/>
      <c r="F3016"/>
      <c r="G3016"/>
      <c r="H3016"/>
      <c r="I3016"/>
    </row>
    <row r="3017" spans="1:9" s="47" customFormat="1" ht="14.4" x14ac:dyDescent="0.3">
      <c r="A3017"/>
      <c r="B3017"/>
      <c r="C3017"/>
      <c r="D3017"/>
      <c r="E3017"/>
      <c r="F3017"/>
      <c r="G3017"/>
      <c r="H3017"/>
      <c r="I3017"/>
    </row>
    <row r="3018" spans="1:9" s="47" customFormat="1" ht="14.4" x14ac:dyDescent="0.3">
      <c r="A3018"/>
      <c r="B3018"/>
      <c r="C3018"/>
      <c r="D3018"/>
      <c r="E3018"/>
      <c r="F3018"/>
      <c r="G3018"/>
      <c r="H3018"/>
      <c r="I3018"/>
    </row>
    <row r="3019" spans="1:9" s="47" customFormat="1" ht="14.4" x14ac:dyDescent="0.3">
      <c r="A3019"/>
      <c r="B3019"/>
      <c r="C3019"/>
      <c r="D3019"/>
      <c r="E3019"/>
      <c r="F3019"/>
      <c r="G3019"/>
      <c r="H3019"/>
      <c r="I3019"/>
    </row>
    <row r="3020" spans="1:9" s="47" customFormat="1" ht="14.4" x14ac:dyDescent="0.3">
      <c r="A3020"/>
      <c r="B3020"/>
      <c r="C3020"/>
      <c r="D3020"/>
      <c r="E3020"/>
      <c r="F3020"/>
      <c r="G3020"/>
      <c r="H3020"/>
      <c r="I3020"/>
    </row>
    <row r="3021" spans="1:9" s="47" customFormat="1" ht="14.4" x14ac:dyDescent="0.3">
      <c r="A3021"/>
      <c r="B3021"/>
      <c r="C3021"/>
      <c r="D3021"/>
      <c r="E3021"/>
      <c r="F3021"/>
      <c r="G3021"/>
      <c r="H3021"/>
      <c r="I3021"/>
    </row>
    <row r="3022" spans="1:9" s="47" customFormat="1" ht="14.4" x14ac:dyDescent="0.3">
      <c r="A3022"/>
      <c r="B3022"/>
      <c r="C3022"/>
      <c r="D3022"/>
      <c r="E3022"/>
      <c r="F3022"/>
      <c r="G3022"/>
      <c r="H3022"/>
      <c r="I3022"/>
    </row>
    <row r="3023" spans="1:9" s="47" customFormat="1" ht="14.4" x14ac:dyDescent="0.3">
      <c r="A3023"/>
      <c r="B3023"/>
      <c r="C3023"/>
      <c r="D3023"/>
      <c r="E3023"/>
      <c r="F3023"/>
      <c r="G3023"/>
      <c r="H3023"/>
      <c r="I3023"/>
    </row>
    <row r="3024" spans="1:9" s="47" customFormat="1" ht="14.4" x14ac:dyDescent="0.3">
      <c r="A3024"/>
      <c r="B3024"/>
      <c r="C3024"/>
      <c r="D3024"/>
      <c r="E3024"/>
      <c r="F3024"/>
      <c r="G3024"/>
      <c r="H3024"/>
      <c r="I3024"/>
    </row>
    <row r="3025" spans="1:9" s="47" customFormat="1" ht="14.4" x14ac:dyDescent="0.3">
      <c r="A3025"/>
      <c r="B3025"/>
      <c r="C3025"/>
      <c r="D3025"/>
      <c r="E3025"/>
      <c r="F3025"/>
      <c r="G3025"/>
      <c r="H3025"/>
      <c r="I3025"/>
    </row>
    <row r="3026" spans="1:9" s="47" customFormat="1" ht="14.4" x14ac:dyDescent="0.3">
      <c r="A3026"/>
      <c r="B3026"/>
      <c r="C3026"/>
      <c r="D3026"/>
      <c r="E3026"/>
      <c r="F3026"/>
      <c r="G3026"/>
      <c r="H3026"/>
      <c r="I3026"/>
    </row>
    <row r="3027" spans="1:9" s="47" customFormat="1" ht="14.4" x14ac:dyDescent="0.3">
      <c r="A3027"/>
      <c r="B3027"/>
      <c r="C3027"/>
      <c r="D3027"/>
      <c r="E3027"/>
      <c r="F3027"/>
      <c r="G3027"/>
      <c r="H3027"/>
      <c r="I3027"/>
    </row>
    <row r="3028" spans="1:9" s="47" customFormat="1" ht="14.4" x14ac:dyDescent="0.3">
      <c r="A3028"/>
      <c r="B3028"/>
      <c r="C3028"/>
      <c r="D3028"/>
      <c r="E3028"/>
      <c r="F3028"/>
      <c r="G3028"/>
      <c r="H3028"/>
      <c r="I3028"/>
    </row>
    <row r="3029" spans="1:9" s="47" customFormat="1" ht="14.4" x14ac:dyDescent="0.3">
      <c r="A3029"/>
      <c r="B3029"/>
      <c r="C3029"/>
      <c r="D3029"/>
      <c r="E3029"/>
      <c r="F3029"/>
      <c r="G3029"/>
      <c r="H3029"/>
      <c r="I3029"/>
    </row>
    <row r="3030" spans="1:9" s="47" customFormat="1" ht="14.4" x14ac:dyDescent="0.3">
      <c r="A3030"/>
      <c r="B3030"/>
      <c r="C3030"/>
      <c r="D3030"/>
      <c r="E3030"/>
      <c r="F3030"/>
      <c r="G3030"/>
      <c r="H3030"/>
      <c r="I3030"/>
    </row>
    <row r="3031" spans="1:9" s="47" customFormat="1" ht="14.4" x14ac:dyDescent="0.3">
      <c r="A3031"/>
      <c r="B3031"/>
      <c r="C3031"/>
      <c r="D3031"/>
      <c r="E3031"/>
      <c r="F3031"/>
      <c r="G3031"/>
      <c r="H3031"/>
      <c r="I3031"/>
    </row>
    <row r="3032" spans="1:9" s="47" customFormat="1" ht="14.4" x14ac:dyDescent="0.3">
      <c r="A3032"/>
      <c r="B3032"/>
      <c r="C3032"/>
      <c r="D3032"/>
      <c r="E3032"/>
      <c r="F3032"/>
      <c r="G3032"/>
      <c r="H3032"/>
      <c r="I3032"/>
    </row>
    <row r="3033" spans="1:9" s="47" customFormat="1" ht="14.4" x14ac:dyDescent="0.3">
      <c r="A3033"/>
      <c r="B3033"/>
      <c r="C3033"/>
      <c r="D3033"/>
      <c r="E3033"/>
      <c r="F3033"/>
      <c r="G3033"/>
      <c r="H3033"/>
      <c r="I3033"/>
    </row>
    <row r="3034" spans="1:9" s="47" customFormat="1" ht="14.4" x14ac:dyDescent="0.3">
      <c r="A3034"/>
      <c r="B3034"/>
      <c r="C3034"/>
      <c r="D3034"/>
      <c r="E3034"/>
      <c r="F3034"/>
      <c r="G3034"/>
      <c r="H3034"/>
      <c r="I3034"/>
    </row>
    <row r="3035" spans="1:9" s="47" customFormat="1" ht="14.4" x14ac:dyDescent="0.3">
      <c r="A3035"/>
      <c r="B3035"/>
      <c r="C3035"/>
      <c r="D3035"/>
      <c r="E3035"/>
      <c r="F3035"/>
      <c r="G3035"/>
      <c r="H3035"/>
      <c r="I3035"/>
    </row>
    <row r="3036" spans="1:9" s="47" customFormat="1" ht="14.4" x14ac:dyDescent="0.3">
      <c r="A3036"/>
      <c r="B3036"/>
      <c r="C3036"/>
      <c r="D3036"/>
      <c r="E3036"/>
      <c r="F3036"/>
      <c r="G3036"/>
      <c r="H3036"/>
      <c r="I3036"/>
    </row>
    <row r="3037" spans="1:9" s="47" customFormat="1" ht="14.4" x14ac:dyDescent="0.3">
      <c r="A3037"/>
      <c r="B3037"/>
      <c r="C3037"/>
      <c r="D3037"/>
      <c r="E3037"/>
      <c r="F3037"/>
      <c r="G3037"/>
      <c r="H3037"/>
      <c r="I3037"/>
    </row>
    <row r="3038" spans="1:9" s="47" customFormat="1" ht="14.4" x14ac:dyDescent="0.3">
      <c r="A3038"/>
      <c r="B3038"/>
      <c r="C3038"/>
      <c r="D3038"/>
      <c r="E3038"/>
      <c r="F3038"/>
      <c r="G3038"/>
      <c r="H3038"/>
      <c r="I3038"/>
    </row>
    <row r="3039" spans="1:9" s="47" customFormat="1" ht="14.4" x14ac:dyDescent="0.3">
      <c r="A3039"/>
      <c r="B3039"/>
      <c r="C3039"/>
      <c r="D3039"/>
      <c r="E3039"/>
      <c r="F3039"/>
      <c r="G3039"/>
      <c r="H3039"/>
      <c r="I3039"/>
    </row>
    <row r="3040" spans="1:9" s="47" customFormat="1" ht="14.4" x14ac:dyDescent="0.3">
      <c r="A3040"/>
      <c r="B3040"/>
      <c r="C3040"/>
      <c r="D3040"/>
      <c r="E3040"/>
      <c r="F3040"/>
      <c r="G3040"/>
      <c r="H3040"/>
      <c r="I3040"/>
    </row>
    <row r="3041" spans="1:9" s="47" customFormat="1" ht="14.4" x14ac:dyDescent="0.3">
      <c r="A3041"/>
      <c r="B3041"/>
      <c r="C3041"/>
      <c r="D3041"/>
      <c r="E3041"/>
      <c r="F3041"/>
      <c r="G3041"/>
      <c r="H3041"/>
      <c r="I3041"/>
    </row>
    <row r="3042" spans="1:9" s="47" customFormat="1" ht="14.4" x14ac:dyDescent="0.3">
      <c r="A3042"/>
      <c r="B3042"/>
      <c r="C3042"/>
      <c r="D3042"/>
      <c r="E3042"/>
      <c r="F3042"/>
      <c r="G3042"/>
      <c r="H3042"/>
      <c r="I3042"/>
    </row>
    <row r="3043" spans="1:9" s="47" customFormat="1" ht="14.4" x14ac:dyDescent="0.3">
      <c r="A3043"/>
      <c r="B3043"/>
      <c r="C3043"/>
      <c r="D3043"/>
      <c r="E3043"/>
      <c r="F3043"/>
      <c r="G3043"/>
      <c r="H3043"/>
      <c r="I3043"/>
    </row>
    <row r="3044" spans="1:9" s="47" customFormat="1" ht="14.4" x14ac:dyDescent="0.3">
      <c r="A3044"/>
      <c r="B3044"/>
      <c r="C3044"/>
      <c r="D3044"/>
      <c r="E3044"/>
      <c r="F3044"/>
      <c r="G3044"/>
      <c r="H3044"/>
      <c r="I3044"/>
    </row>
    <row r="3045" spans="1:9" s="47" customFormat="1" ht="14.4" x14ac:dyDescent="0.3">
      <c r="A3045"/>
      <c r="B3045"/>
      <c r="C3045"/>
      <c r="D3045"/>
      <c r="E3045"/>
      <c r="F3045"/>
      <c r="G3045"/>
      <c r="H3045"/>
      <c r="I3045"/>
    </row>
    <row r="3046" spans="1:9" s="47" customFormat="1" ht="14.4" x14ac:dyDescent="0.3">
      <c r="A3046"/>
      <c r="B3046"/>
      <c r="C3046"/>
      <c r="D3046"/>
      <c r="E3046"/>
      <c r="F3046"/>
      <c r="G3046"/>
      <c r="H3046"/>
      <c r="I3046"/>
    </row>
    <row r="3047" spans="1:9" s="47" customFormat="1" ht="14.4" x14ac:dyDescent="0.3">
      <c r="A3047"/>
      <c r="B3047"/>
      <c r="C3047"/>
      <c r="D3047"/>
      <c r="E3047"/>
      <c r="F3047"/>
      <c r="G3047"/>
      <c r="H3047"/>
      <c r="I3047"/>
    </row>
    <row r="3048" spans="1:9" s="47" customFormat="1" ht="14.4" x14ac:dyDescent="0.3">
      <c r="A3048"/>
      <c r="B3048"/>
      <c r="C3048"/>
      <c r="D3048"/>
      <c r="E3048"/>
      <c r="F3048"/>
      <c r="G3048"/>
      <c r="H3048"/>
      <c r="I3048"/>
    </row>
    <row r="3049" spans="1:9" s="47" customFormat="1" ht="14.4" x14ac:dyDescent="0.3">
      <c r="A3049"/>
      <c r="B3049"/>
      <c r="C3049"/>
      <c r="D3049"/>
      <c r="E3049"/>
      <c r="F3049"/>
      <c r="G3049"/>
      <c r="H3049"/>
      <c r="I3049"/>
    </row>
    <row r="3050" spans="1:9" s="47" customFormat="1" ht="14.4" x14ac:dyDescent="0.3">
      <c r="A3050"/>
      <c r="B3050"/>
      <c r="C3050"/>
      <c r="D3050"/>
      <c r="E3050"/>
      <c r="F3050"/>
      <c r="G3050"/>
      <c r="H3050"/>
      <c r="I3050"/>
    </row>
    <row r="3051" spans="1:9" s="47" customFormat="1" ht="14.4" x14ac:dyDescent="0.3">
      <c r="A3051"/>
      <c r="B3051"/>
      <c r="C3051"/>
      <c r="D3051"/>
      <c r="E3051"/>
      <c r="F3051"/>
      <c r="G3051"/>
      <c r="H3051"/>
      <c r="I3051"/>
    </row>
    <row r="3052" spans="1:9" s="47" customFormat="1" ht="14.4" x14ac:dyDescent="0.3">
      <c r="A3052"/>
      <c r="B3052"/>
      <c r="C3052"/>
      <c r="D3052"/>
      <c r="E3052"/>
      <c r="F3052"/>
      <c r="G3052"/>
      <c r="H3052"/>
      <c r="I3052"/>
    </row>
    <row r="3053" spans="1:9" s="47" customFormat="1" ht="14.4" x14ac:dyDescent="0.3">
      <c r="A3053"/>
      <c r="B3053"/>
      <c r="C3053"/>
      <c r="D3053"/>
      <c r="E3053"/>
      <c r="F3053"/>
      <c r="G3053"/>
      <c r="H3053"/>
      <c r="I3053"/>
    </row>
    <row r="3054" spans="1:9" s="47" customFormat="1" ht="14.4" x14ac:dyDescent="0.3">
      <c r="A3054"/>
      <c r="B3054"/>
      <c r="C3054"/>
      <c r="D3054"/>
      <c r="E3054"/>
      <c r="F3054"/>
      <c r="G3054"/>
      <c r="H3054"/>
      <c r="I3054"/>
    </row>
    <row r="3055" spans="1:9" s="47" customFormat="1" ht="14.4" x14ac:dyDescent="0.3">
      <c r="A3055"/>
      <c r="B3055"/>
      <c r="C3055"/>
      <c r="D3055"/>
      <c r="E3055"/>
      <c r="F3055"/>
      <c r="G3055"/>
      <c r="H3055"/>
      <c r="I3055"/>
    </row>
    <row r="3056" spans="1:9" s="47" customFormat="1" ht="14.4" x14ac:dyDescent="0.3">
      <c r="A3056"/>
      <c r="B3056"/>
      <c r="C3056"/>
      <c r="D3056"/>
      <c r="E3056"/>
      <c r="F3056"/>
      <c r="G3056"/>
      <c r="H3056"/>
      <c r="I3056"/>
    </row>
    <row r="3057" spans="1:9" s="47" customFormat="1" ht="14.4" x14ac:dyDescent="0.3">
      <c r="A3057"/>
      <c r="B3057"/>
      <c r="C3057"/>
      <c r="D3057"/>
      <c r="E3057"/>
      <c r="F3057"/>
      <c r="G3057"/>
      <c r="H3057"/>
      <c r="I3057"/>
    </row>
    <row r="3058" spans="1:9" s="47" customFormat="1" ht="14.4" x14ac:dyDescent="0.3">
      <c r="A3058"/>
      <c r="B3058"/>
      <c r="C3058"/>
      <c r="D3058"/>
      <c r="E3058"/>
      <c r="F3058"/>
      <c r="G3058"/>
      <c r="H3058"/>
      <c r="I3058"/>
    </row>
    <row r="3059" spans="1:9" s="47" customFormat="1" ht="14.4" x14ac:dyDescent="0.3">
      <c r="A3059"/>
      <c r="B3059"/>
      <c r="C3059"/>
      <c r="D3059"/>
      <c r="E3059"/>
      <c r="F3059"/>
      <c r="G3059"/>
      <c r="H3059"/>
      <c r="I3059"/>
    </row>
    <row r="3060" spans="1:9" s="47" customFormat="1" ht="14.4" x14ac:dyDescent="0.3">
      <c r="A3060"/>
      <c r="B3060"/>
      <c r="C3060"/>
      <c r="D3060"/>
      <c r="E3060"/>
      <c r="F3060"/>
      <c r="G3060"/>
      <c r="H3060"/>
      <c r="I3060"/>
    </row>
    <row r="3061" spans="1:9" s="47" customFormat="1" ht="14.4" x14ac:dyDescent="0.3">
      <c r="A3061"/>
      <c r="B3061"/>
      <c r="C3061"/>
      <c r="D3061"/>
      <c r="E3061"/>
      <c r="F3061"/>
      <c r="G3061"/>
      <c r="H3061"/>
      <c r="I3061"/>
    </row>
    <row r="3062" spans="1:9" s="47" customFormat="1" ht="14.4" x14ac:dyDescent="0.3">
      <c r="A3062"/>
      <c r="B3062"/>
      <c r="C3062"/>
      <c r="D3062"/>
      <c r="E3062"/>
      <c r="F3062"/>
      <c r="G3062"/>
      <c r="H3062"/>
      <c r="I3062"/>
    </row>
    <row r="3063" spans="1:9" s="47" customFormat="1" ht="14.4" x14ac:dyDescent="0.3">
      <c r="A3063"/>
      <c r="B3063"/>
      <c r="C3063"/>
      <c r="D3063"/>
      <c r="E3063"/>
      <c r="F3063"/>
      <c r="G3063"/>
      <c r="H3063"/>
      <c r="I3063"/>
    </row>
    <row r="3064" spans="1:9" s="47" customFormat="1" ht="14.4" x14ac:dyDescent="0.3">
      <c r="A3064"/>
      <c r="B3064"/>
      <c r="C3064"/>
      <c r="D3064"/>
      <c r="E3064"/>
      <c r="F3064"/>
      <c r="G3064"/>
      <c r="H3064"/>
      <c r="I3064"/>
    </row>
    <row r="3065" spans="1:9" s="47" customFormat="1" ht="14.4" x14ac:dyDescent="0.3">
      <c r="A3065"/>
      <c r="B3065"/>
      <c r="C3065"/>
      <c r="D3065"/>
      <c r="E3065"/>
      <c r="F3065"/>
      <c r="G3065"/>
      <c r="H3065"/>
      <c r="I3065"/>
    </row>
    <row r="3066" spans="1:9" s="47" customFormat="1" ht="14.4" x14ac:dyDescent="0.3">
      <c r="A3066"/>
      <c r="B3066"/>
      <c r="C3066"/>
      <c r="D3066"/>
      <c r="E3066"/>
      <c r="F3066"/>
      <c r="G3066"/>
      <c r="H3066"/>
      <c r="I3066"/>
    </row>
    <row r="3067" spans="1:9" s="47" customFormat="1" ht="14.4" x14ac:dyDescent="0.3">
      <c r="A3067"/>
      <c r="B3067"/>
      <c r="C3067"/>
      <c r="D3067"/>
      <c r="E3067"/>
      <c r="F3067"/>
      <c r="G3067"/>
      <c r="H3067"/>
      <c r="I3067"/>
    </row>
    <row r="3068" spans="1:9" s="47" customFormat="1" ht="14.4" x14ac:dyDescent="0.3">
      <c r="A3068"/>
      <c r="B3068"/>
      <c r="C3068"/>
      <c r="D3068"/>
      <c r="E3068"/>
      <c r="F3068"/>
      <c r="G3068"/>
      <c r="H3068"/>
      <c r="I3068"/>
    </row>
    <row r="3069" spans="1:9" s="47" customFormat="1" ht="14.4" x14ac:dyDescent="0.3">
      <c r="A3069"/>
      <c r="B3069"/>
      <c r="C3069"/>
      <c r="D3069"/>
      <c r="E3069"/>
      <c r="F3069"/>
      <c r="G3069"/>
      <c r="H3069"/>
      <c r="I3069"/>
    </row>
    <row r="3070" spans="1:9" s="47" customFormat="1" ht="14.4" x14ac:dyDescent="0.3">
      <c r="A3070"/>
      <c r="B3070"/>
      <c r="C3070"/>
      <c r="D3070"/>
      <c r="E3070"/>
      <c r="F3070"/>
      <c r="G3070"/>
      <c r="H3070"/>
      <c r="I3070"/>
    </row>
    <row r="3071" spans="1:9" s="47" customFormat="1" ht="14.4" x14ac:dyDescent="0.3">
      <c r="A3071"/>
      <c r="B3071"/>
      <c r="C3071"/>
      <c r="D3071"/>
      <c r="E3071"/>
      <c r="F3071"/>
      <c r="G3071"/>
      <c r="H3071"/>
      <c r="I3071"/>
    </row>
    <row r="3072" spans="1:9" s="47" customFormat="1" ht="14.4" x14ac:dyDescent="0.3">
      <c r="A3072"/>
      <c r="B3072"/>
      <c r="C3072"/>
      <c r="D3072"/>
      <c r="E3072"/>
      <c r="F3072"/>
      <c r="G3072"/>
      <c r="H3072"/>
      <c r="I3072"/>
    </row>
    <row r="3073" spans="1:9" s="47" customFormat="1" ht="14.4" x14ac:dyDescent="0.3">
      <c r="A3073"/>
      <c r="B3073"/>
      <c r="C3073"/>
      <c r="D3073"/>
      <c r="E3073"/>
      <c r="F3073"/>
      <c r="G3073"/>
      <c r="H3073"/>
      <c r="I3073"/>
    </row>
    <row r="3074" spans="1:9" s="47" customFormat="1" ht="14.4" x14ac:dyDescent="0.3">
      <c r="A3074"/>
      <c r="B3074"/>
      <c r="C3074"/>
      <c r="D3074"/>
      <c r="E3074"/>
      <c r="F3074"/>
      <c r="G3074"/>
      <c r="H3074"/>
      <c r="I3074"/>
    </row>
    <row r="3075" spans="1:9" s="47" customFormat="1" ht="14.4" x14ac:dyDescent="0.3">
      <c r="A3075"/>
      <c r="B3075"/>
      <c r="C3075"/>
      <c r="D3075"/>
      <c r="E3075"/>
      <c r="F3075"/>
      <c r="G3075"/>
      <c r="H3075"/>
      <c r="I3075"/>
    </row>
    <row r="3076" spans="1:9" s="47" customFormat="1" ht="14.4" x14ac:dyDescent="0.3">
      <c r="A3076"/>
      <c r="B3076"/>
      <c r="C3076"/>
      <c r="D3076"/>
      <c r="E3076"/>
      <c r="F3076"/>
      <c r="G3076"/>
      <c r="H3076"/>
      <c r="I3076"/>
    </row>
    <row r="3077" spans="1:9" s="47" customFormat="1" ht="14.4" x14ac:dyDescent="0.3">
      <c r="A3077"/>
      <c r="B3077"/>
      <c r="C3077"/>
      <c r="D3077"/>
      <c r="E3077"/>
      <c r="F3077"/>
      <c r="G3077"/>
      <c r="H3077"/>
      <c r="I3077"/>
    </row>
    <row r="3078" spans="1:9" s="47" customFormat="1" ht="14.4" x14ac:dyDescent="0.3">
      <c r="A3078"/>
      <c r="B3078"/>
      <c r="C3078"/>
      <c r="D3078"/>
      <c r="E3078"/>
      <c r="F3078"/>
      <c r="G3078"/>
      <c r="H3078"/>
      <c r="I3078"/>
    </row>
    <row r="3079" spans="1:9" s="47" customFormat="1" ht="14.4" x14ac:dyDescent="0.3">
      <c r="A3079"/>
      <c r="B3079"/>
      <c r="C3079"/>
      <c r="D3079"/>
      <c r="E3079"/>
      <c r="F3079"/>
      <c r="G3079"/>
      <c r="H3079"/>
      <c r="I3079"/>
    </row>
    <row r="3080" spans="1:9" s="47" customFormat="1" ht="14.4" x14ac:dyDescent="0.3">
      <c r="A3080"/>
      <c r="B3080"/>
      <c r="C3080"/>
      <c r="D3080"/>
      <c r="E3080"/>
      <c r="F3080"/>
      <c r="G3080"/>
      <c r="H3080"/>
      <c r="I3080"/>
    </row>
    <row r="3081" spans="1:9" s="47" customFormat="1" ht="14.4" x14ac:dyDescent="0.3">
      <c r="A3081"/>
      <c r="B3081"/>
      <c r="C3081"/>
      <c r="D3081"/>
      <c r="E3081"/>
      <c r="F3081"/>
      <c r="G3081"/>
      <c r="H3081"/>
      <c r="I3081"/>
    </row>
    <row r="3082" spans="1:9" s="47" customFormat="1" ht="14.4" x14ac:dyDescent="0.3">
      <c r="A3082"/>
      <c r="B3082"/>
      <c r="C3082"/>
      <c r="D3082"/>
      <c r="E3082"/>
      <c r="F3082"/>
      <c r="G3082"/>
      <c r="H3082"/>
      <c r="I3082"/>
    </row>
    <row r="3083" spans="1:9" s="47" customFormat="1" ht="14.4" x14ac:dyDescent="0.3">
      <c r="A3083"/>
      <c r="B3083"/>
      <c r="C3083"/>
      <c r="D3083"/>
      <c r="E3083"/>
      <c r="F3083"/>
      <c r="G3083"/>
      <c r="H3083"/>
      <c r="I3083"/>
    </row>
    <row r="3084" spans="1:9" s="47" customFormat="1" ht="14.4" x14ac:dyDescent="0.3">
      <c r="A3084"/>
      <c r="B3084"/>
      <c r="C3084"/>
      <c r="D3084"/>
      <c r="E3084"/>
      <c r="F3084"/>
      <c r="G3084"/>
      <c r="H3084"/>
      <c r="I3084"/>
    </row>
    <row r="3085" spans="1:9" s="47" customFormat="1" ht="14.4" x14ac:dyDescent="0.3">
      <c r="A3085"/>
      <c r="B3085"/>
      <c r="C3085"/>
      <c r="D3085"/>
      <c r="E3085"/>
      <c r="F3085"/>
      <c r="G3085"/>
      <c r="H3085"/>
      <c r="I3085"/>
    </row>
    <row r="3086" spans="1:9" s="47" customFormat="1" ht="14.4" x14ac:dyDescent="0.3">
      <c r="A3086"/>
      <c r="B3086"/>
      <c r="C3086"/>
      <c r="D3086"/>
      <c r="E3086"/>
      <c r="F3086"/>
      <c r="G3086"/>
      <c r="H3086"/>
      <c r="I3086"/>
    </row>
    <row r="3087" spans="1:9" s="47" customFormat="1" ht="14.4" x14ac:dyDescent="0.3">
      <c r="A3087"/>
      <c r="B3087"/>
      <c r="C3087"/>
      <c r="D3087"/>
      <c r="E3087"/>
      <c r="F3087"/>
      <c r="G3087"/>
      <c r="H3087"/>
      <c r="I3087"/>
    </row>
    <row r="3088" spans="1:9" s="47" customFormat="1" ht="14.4" x14ac:dyDescent="0.3">
      <c r="A3088"/>
      <c r="B3088"/>
      <c r="C3088"/>
      <c r="D3088"/>
      <c r="E3088"/>
      <c r="F3088"/>
      <c r="G3088"/>
      <c r="H3088"/>
      <c r="I3088"/>
    </row>
    <row r="3089" spans="1:9" s="47" customFormat="1" ht="14.4" x14ac:dyDescent="0.3">
      <c r="A3089"/>
      <c r="B3089"/>
      <c r="C3089"/>
      <c r="D3089"/>
      <c r="E3089"/>
      <c r="F3089"/>
      <c r="G3089"/>
      <c r="H3089"/>
      <c r="I3089"/>
    </row>
    <row r="3090" spans="1:9" s="47" customFormat="1" ht="14.4" x14ac:dyDescent="0.3">
      <c r="A3090"/>
      <c r="B3090"/>
      <c r="C3090"/>
      <c r="D3090"/>
      <c r="E3090"/>
      <c r="F3090"/>
      <c r="G3090"/>
      <c r="H3090"/>
      <c r="I3090"/>
    </row>
    <row r="3091" spans="1:9" s="47" customFormat="1" ht="14.4" x14ac:dyDescent="0.3">
      <c r="A3091"/>
      <c r="B3091"/>
      <c r="C3091"/>
      <c r="D3091"/>
      <c r="E3091"/>
      <c r="F3091"/>
      <c r="G3091"/>
      <c r="H3091"/>
      <c r="I3091"/>
    </row>
    <row r="3092" spans="1:9" s="47" customFormat="1" ht="14.4" x14ac:dyDescent="0.3">
      <c r="A3092"/>
      <c r="B3092"/>
      <c r="C3092"/>
      <c r="D3092"/>
      <c r="E3092"/>
      <c r="F3092"/>
      <c r="G3092"/>
      <c r="H3092"/>
      <c r="I3092"/>
    </row>
    <row r="3093" spans="1:9" s="47" customFormat="1" ht="14.4" x14ac:dyDescent="0.3">
      <c r="A3093"/>
      <c r="B3093"/>
      <c r="C3093"/>
      <c r="D3093"/>
      <c r="E3093"/>
      <c r="F3093"/>
      <c r="G3093"/>
      <c r="H3093"/>
      <c r="I3093"/>
    </row>
    <row r="3094" spans="1:9" s="47" customFormat="1" ht="14.4" x14ac:dyDescent="0.3">
      <c r="A3094"/>
      <c r="B3094"/>
      <c r="C3094"/>
      <c r="D3094"/>
      <c r="E3094"/>
      <c r="F3094"/>
      <c r="G3094"/>
      <c r="H3094"/>
      <c r="I3094"/>
    </row>
    <row r="3095" spans="1:9" s="47" customFormat="1" ht="14.4" x14ac:dyDescent="0.3">
      <c r="A3095"/>
      <c r="B3095"/>
      <c r="C3095"/>
      <c r="D3095"/>
      <c r="E3095"/>
      <c r="F3095"/>
      <c r="G3095"/>
      <c r="H3095"/>
      <c r="I3095"/>
    </row>
    <row r="3096" spans="1:9" s="47" customFormat="1" ht="14.4" x14ac:dyDescent="0.3">
      <c r="A3096"/>
      <c r="B3096"/>
      <c r="C3096"/>
      <c r="D3096"/>
      <c r="E3096"/>
      <c r="F3096"/>
      <c r="G3096"/>
      <c r="H3096"/>
      <c r="I3096"/>
    </row>
    <row r="3097" spans="1:9" s="47" customFormat="1" ht="14.4" x14ac:dyDescent="0.3">
      <c r="A3097"/>
      <c r="B3097"/>
      <c r="C3097"/>
      <c r="D3097"/>
      <c r="E3097"/>
      <c r="F3097"/>
      <c r="G3097"/>
      <c r="H3097"/>
      <c r="I3097"/>
    </row>
    <row r="3098" spans="1:9" s="47" customFormat="1" ht="14.4" x14ac:dyDescent="0.3">
      <c r="A3098"/>
      <c r="B3098"/>
      <c r="C3098"/>
      <c r="D3098"/>
      <c r="E3098"/>
      <c r="F3098"/>
      <c r="G3098"/>
      <c r="H3098"/>
      <c r="I3098"/>
    </row>
    <row r="3099" spans="1:9" s="47" customFormat="1" ht="14.4" x14ac:dyDescent="0.3">
      <c r="A3099"/>
      <c r="B3099"/>
      <c r="C3099"/>
      <c r="D3099"/>
      <c r="E3099"/>
      <c r="F3099"/>
      <c r="G3099"/>
      <c r="H3099"/>
      <c r="I3099"/>
    </row>
    <row r="3100" spans="1:9" s="47" customFormat="1" ht="14.4" x14ac:dyDescent="0.3">
      <c r="A3100"/>
      <c r="B3100"/>
      <c r="C3100"/>
      <c r="D3100"/>
      <c r="E3100"/>
      <c r="F3100"/>
      <c r="G3100"/>
      <c r="H3100"/>
      <c r="I3100"/>
    </row>
    <row r="3101" spans="1:9" s="47" customFormat="1" ht="14.4" x14ac:dyDescent="0.3">
      <c r="A3101"/>
      <c r="B3101"/>
      <c r="C3101"/>
      <c r="D3101"/>
      <c r="E3101"/>
      <c r="F3101"/>
      <c r="G3101"/>
      <c r="H3101"/>
      <c r="I3101"/>
    </row>
    <row r="3102" spans="1:9" s="47" customFormat="1" ht="14.4" x14ac:dyDescent="0.3">
      <c r="A3102"/>
      <c r="B3102"/>
      <c r="C3102"/>
      <c r="D3102"/>
      <c r="E3102"/>
      <c r="F3102"/>
      <c r="G3102"/>
      <c r="H3102"/>
      <c r="I3102"/>
    </row>
    <row r="3103" spans="1:9" s="47" customFormat="1" ht="14.4" x14ac:dyDescent="0.3">
      <c r="A3103"/>
      <c r="B3103"/>
      <c r="C3103"/>
      <c r="D3103"/>
      <c r="E3103"/>
      <c r="F3103"/>
      <c r="G3103"/>
      <c r="H3103"/>
      <c r="I3103"/>
    </row>
    <row r="3104" spans="1:9" s="47" customFormat="1" ht="14.4" x14ac:dyDescent="0.3">
      <c r="A3104"/>
      <c r="B3104"/>
      <c r="C3104"/>
      <c r="D3104"/>
      <c r="E3104"/>
      <c r="F3104"/>
      <c r="G3104"/>
      <c r="H3104"/>
      <c r="I3104"/>
    </row>
    <row r="3105" spans="1:9" s="47" customFormat="1" ht="14.4" x14ac:dyDescent="0.3">
      <c r="A3105"/>
      <c r="B3105"/>
      <c r="C3105"/>
      <c r="D3105"/>
      <c r="E3105"/>
      <c r="F3105"/>
      <c r="G3105"/>
      <c r="H3105"/>
      <c r="I3105"/>
    </row>
    <row r="3106" spans="1:9" s="47" customFormat="1" ht="14.4" x14ac:dyDescent="0.3">
      <c r="A3106"/>
      <c r="B3106"/>
      <c r="C3106"/>
      <c r="D3106"/>
      <c r="E3106"/>
      <c r="F3106"/>
      <c r="G3106"/>
      <c r="H3106"/>
      <c r="I3106"/>
    </row>
    <row r="3107" spans="1:9" s="47" customFormat="1" ht="14.4" x14ac:dyDescent="0.3">
      <c r="A3107"/>
      <c r="B3107"/>
      <c r="C3107"/>
      <c r="D3107"/>
      <c r="E3107"/>
      <c r="F3107"/>
      <c r="G3107"/>
      <c r="H3107"/>
      <c r="I3107"/>
    </row>
    <row r="3108" spans="1:9" s="47" customFormat="1" ht="14.4" x14ac:dyDescent="0.3">
      <c r="A3108"/>
      <c r="B3108"/>
      <c r="C3108"/>
      <c r="D3108"/>
      <c r="E3108"/>
      <c r="F3108"/>
      <c r="G3108"/>
      <c r="H3108"/>
      <c r="I3108"/>
    </row>
    <row r="3109" spans="1:9" s="47" customFormat="1" ht="14.4" x14ac:dyDescent="0.3">
      <c r="A3109"/>
      <c r="B3109"/>
      <c r="C3109"/>
      <c r="D3109"/>
      <c r="E3109"/>
      <c r="F3109"/>
      <c r="G3109"/>
      <c r="H3109"/>
      <c r="I3109"/>
    </row>
    <row r="3110" spans="1:9" s="47" customFormat="1" ht="14.4" x14ac:dyDescent="0.3">
      <c r="A3110"/>
      <c r="B3110"/>
      <c r="C3110"/>
      <c r="D3110"/>
      <c r="E3110"/>
      <c r="F3110"/>
      <c r="G3110"/>
      <c r="H3110"/>
      <c r="I3110"/>
    </row>
    <row r="3111" spans="1:9" s="47" customFormat="1" ht="14.4" x14ac:dyDescent="0.3">
      <c r="A3111"/>
      <c r="B3111"/>
      <c r="C3111"/>
      <c r="D3111"/>
      <c r="E3111"/>
      <c r="F3111"/>
      <c r="G3111"/>
      <c r="H3111"/>
      <c r="I3111"/>
    </row>
    <row r="3112" spans="1:9" s="47" customFormat="1" ht="14.4" x14ac:dyDescent="0.3">
      <c r="A3112"/>
      <c r="B3112"/>
      <c r="C3112"/>
      <c r="D3112"/>
      <c r="E3112"/>
      <c r="F3112"/>
      <c r="G3112"/>
      <c r="H3112"/>
      <c r="I3112"/>
    </row>
    <row r="3113" spans="1:9" s="47" customFormat="1" ht="14.4" x14ac:dyDescent="0.3">
      <c r="A3113"/>
      <c r="B3113"/>
      <c r="C3113"/>
      <c r="D3113"/>
      <c r="E3113"/>
      <c r="F3113"/>
      <c r="G3113"/>
      <c r="H3113"/>
      <c r="I3113"/>
    </row>
    <row r="3114" spans="1:9" s="47" customFormat="1" ht="14.4" x14ac:dyDescent="0.3">
      <c r="A3114"/>
      <c r="B3114"/>
      <c r="C3114"/>
      <c r="D3114"/>
      <c r="E3114"/>
      <c r="F3114"/>
      <c r="G3114"/>
      <c r="H3114"/>
      <c r="I3114"/>
    </row>
    <row r="3115" spans="1:9" s="47" customFormat="1" ht="14.4" x14ac:dyDescent="0.3">
      <c r="A3115"/>
      <c r="B3115"/>
      <c r="C3115"/>
      <c r="D3115"/>
      <c r="E3115"/>
      <c r="F3115"/>
      <c r="G3115"/>
      <c r="H3115"/>
      <c r="I3115"/>
    </row>
    <row r="3116" spans="1:9" s="47" customFormat="1" ht="14.4" x14ac:dyDescent="0.3">
      <c r="A3116"/>
      <c r="B3116"/>
      <c r="C3116"/>
      <c r="D3116"/>
      <c r="E3116"/>
      <c r="F3116"/>
      <c r="G3116"/>
      <c r="H3116"/>
      <c r="I3116"/>
    </row>
    <row r="3117" spans="1:9" s="47" customFormat="1" ht="14.4" x14ac:dyDescent="0.3">
      <c r="A3117"/>
      <c r="B3117"/>
      <c r="C3117"/>
      <c r="D3117"/>
      <c r="E3117"/>
      <c r="F3117"/>
      <c r="G3117"/>
      <c r="H3117"/>
      <c r="I3117"/>
    </row>
    <row r="3118" spans="1:9" s="47" customFormat="1" ht="14.4" x14ac:dyDescent="0.3">
      <c r="A3118"/>
      <c r="B3118"/>
      <c r="C3118"/>
      <c r="D3118"/>
      <c r="E3118"/>
      <c r="F3118"/>
      <c r="G3118"/>
      <c r="H3118"/>
      <c r="I3118"/>
    </row>
    <row r="3119" spans="1:9" s="47" customFormat="1" ht="14.4" x14ac:dyDescent="0.3">
      <c r="A3119"/>
      <c r="B3119"/>
      <c r="C3119"/>
      <c r="D3119"/>
      <c r="E3119"/>
      <c r="F3119"/>
      <c r="G3119"/>
      <c r="H3119"/>
      <c r="I3119"/>
    </row>
    <row r="3120" spans="1:9" s="47" customFormat="1" ht="14.4" x14ac:dyDescent="0.3">
      <c r="A3120"/>
      <c r="B3120"/>
      <c r="C3120"/>
      <c r="D3120"/>
      <c r="E3120"/>
      <c r="F3120"/>
      <c r="G3120"/>
      <c r="H3120"/>
      <c r="I3120"/>
    </row>
    <row r="3121" spans="1:9" s="47" customFormat="1" ht="14.4" x14ac:dyDescent="0.3">
      <c r="A3121"/>
      <c r="B3121"/>
      <c r="C3121"/>
      <c r="D3121"/>
      <c r="E3121"/>
      <c r="F3121"/>
      <c r="G3121"/>
      <c r="H3121"/>
      <c r="I3121"/>
    </row>
    <row r="3122" spans="1:9" s="47" customFormat="1" ht="14.4" x14ac:dyDescent="0.3">
      <c r="A3122"/>
      <c r="B3122"/>
      <c r="C3122"/>
      <c r="D3122"/>
      <c r="E3122"/>
      <c r="F3122"/>
      <c r="G3122"/>
      <c r="H3122"/>
      <c r="I3122"/>
    </row>
    <row r="3123" spans="1:9" s="47" customFormat="1" ht="14.4" x14ac:dyDescent="0.3">
      <c r="A3123"/>
      <c r="B3123"/>
      <c r="C3123"/>
      <c r="D3123"/>
      <c r="E3123"/>
      <c r="F3123"/>
      <c r="G3123"/>
      <c r="H3123"/>
      <c r="I3123"/>
    </row>
    <row r="3124" spans="1:9" s="47" customFormat="1" ht="14.4" x14ac:dyDescent="0.3">
      <c r="A3124"/>
      <c r="B3124"/>
      <c r="C3124"/>
      <c r="D3124"/>
      <c r="E3124"/>
      <c r="F3124"/>
      <c r="G3124"/>
      <c r="H3124"/>
      <c r="I3124"/>
    </row>
    <row r="3125" spans="1:9" s="47" customFormat="1" ht="14.4" x14ac:dyDescent="0.3">
      <c r="A3125"/>
      <c r="B3125"/>
      <c r="C3125"/>
      <c r="D3125"/>
      <c r="E3125"/>
      <c r="F3125"/>
      <c r="G3125"/>
      <c r="H3125"/>
      <c r="I3125"/>
    </row>
    <row r="3126" spans="1:9" s="47" customFormat="1" ht="14.4" x14ac:dyDescent="0.3">
      <c r="A3126"/>
      <c r="B3126"/>
      <c r="C3126"/>
      <c r="D3126"/>
      <c r="E3126"/>
      <c r="F3126"/>
      <c r="G3126"/>
      <c r="H3126"/>
      <c r="I3126"/>
    </row>
    <row r="3127" spans="1:9" s="47" customFormat="1" ht="14.4" x14ac:dyDescent="0.3">
      <c r="A3127"/>
      <c r="B3127"/>
      <c r="C3127"/>
      <c r="D3127"/>
      <c r="E3127"/>
      <c r="F3127"/>
      <c r="G3127"/>
      <c r="H3127"/>
      <c r="I3127"/>
    </row>
    <row r="3128" spans="1:9" s="47" customFormat="1" ht="14.4" x14ac:dyDescent="0.3">
      <c r="A3128"/>
      <c r="B3128"/>
      <c r="C3128"/>
      <c r="D3128"/>
      <c r="E3128"/>
      <c r="F3128"/>
      <c r="G3128"/>
      <c r="H3128"/>
      <c r="I3128"/>
    </row>
    <row r="3129" spans="1:9" s="47" customFormat="1" ht="14.4" x14ac:dyDescent="0.3">
      <c r="A3129"/>
      <c r="B3129"/>
      <c r="C3129"/>
      <c r="D3129"/>
      <c r="E3129"/>
      <c r="F3129"/>
      <c r="G3129"/>
      <c r="H3129"/>
      <c r="I3129"/>
    </row>
    <row r="3130" spans="1:9" s="47" customFormat="1" ht="14.4" x14ac:dyDescent="0.3">
      <c r="A3130"/>
      <c r="B3130"/>
      <c r="C3130"/>
      <c r="D3130"/>
      <c r="E3130"/>
      <c r="F3130"/>
      <c r="G3130"/>
      <c r="H3130"/>
      <c r="I3130"/>
    </row>
    <row r="3131" spans="1:9" s="47" customFormat="1" ht="14.4" x14ac:dyDescent="0.3">
      <c r="A3131"/>
      <c r="B3131"/>
      <c r="C3131"/>
      <c r="D3131"/>
      <c r="E3131"/>
      <c r="F3131"/>
      <c r="G3131"/>
      <c r="H3131"/>
      <c r="I3131"/>
    </row>
    <row r="3132" spans="1:9" s="47" customFormat="1" ht="14.4" x14ac:dyDescent="0.3">
      <c r="A3132"/>
      <c r="B3132"/>
      <c r="C3132"/>
      <c r="D3132"/>
      <c r="E3132"/>
      <c r="F3132"/>
      <c r="G3132"/>
      <c r="H3132"/>
      <c r="I3132"/>
    </row>
    <row r="3133" spans="1:9" s="47" customFormat="1" ht="14.4" x14ac:dyDescent="0.3">
      <c r="A3133"/>
      <c r="B3133"/>
      <c r="C3133"/>
      <c r="D3133"/>
      <c r="E3133"/>
      <c r="F3133"/>
      <c r="G3133"/>
      <c r="H3133"/>
      <c r="I3133"/>
    </row>
    <row r="3134" spans="1:9" s="47" customFormat="1" ht="14.4" x14ac:dyDescent="0.3">
      <c r="A3134"/>
      <c r="B3134"/>
      <c r="C3134"/>
      <c r="D3134"/>
      <c r="E3134"/>
      <c r="F3134"/>
      <c r="G3134"/>
      <c r="H3134"/>
      <c r="I3134"/>
    </row>
    <row r="3135" spans="1:9" s="47" customFormat="1" ht="14.4" x14ac:dyDescent="0.3">
      <c r="A3135"/>
      <c r="B3135"/>
      <c r="C3135"/>
      <c r="D3135"/>
      <c r="E3135"/>
      <c r="F3135"/>
      <c r="G3135"/>
      <c r="H3135"/>
      <c r="I3135"/>
    </row>
    <row r="3136" spans="1:9" s="47" customFormat="1" ht="14.4" x14ac:dyDescent="0.3">
      <c r="A3136"/>
      <c r="B3136"/>
      <c r="C3136"/>
      <c r="D3136"/>
      <c r="E3136"/>
      <c r="F3136"/>
      <c r="G3136"/>
      <c r="H3136"/>
      <c r="I3136"/>
    </row>
    <row r="3137" spans="1:9" s="47" customFormat="1" ht="14.4" x14ac:dyDescent="0.3">
      <c r="A3137"/>
      <c r="B3137"/>
      <c r="C3137"/>
      <c r="D3137"/>
      <c r="E3137"/>
      <c r="F3137"/>
      <c r="G3137"/>
      <c r="H3137"/>
      <c r="I3137"/>
    </row>
    <row r="3138" spans="1:9" s="47" customFormat="1" ht="14.4" x14ac:dyDescent="0.3">
      <c r="A3138"/>
      <c r="B3138"/>
      <c r="C3138"/>
      <c r="D3138"/>
      <c r="E3138"/>
      <c r="F3138"/>
      <c r="G3138"/>
      <c r="H3138"/>
      <c r="I3138"/>
    </row>
    <row r="3139" spans="1:9" s="47" customFormat="1" ht="14.4" x14ac:dyDescent="0.3">
      <c r="A3139"/>
      <c r="B3139"/>
      <c r="C3139"/>
      <c r="D3139"/>
      <c r="E3139"/>
      <c r="F3139"/>
      <c r="G3139"/>
      <c r="H3139"/>
      <c r="I3139"/>
    </row>
    <row r="3140" spans="1:9" s="47" customFormat="1" ht="14.4" x14ac:dyDescent="0.3">
      <c r="A3140"/>
      <c r="B3140"/>
      <c r="C3140"/>
      <c r="D3140"/>
      <c r="E3140"/>
      <c r="F3140"/>
      <c r="G3140"/>
      <c r="H3140"/>
      <c r="I3140"/>
    </row>
    <row r="3141" spans="1:9" s="47" customFormat="1" ht="14.4" x14ac:dyDescent="0.3">
      <c r="A3141"/>
      <c r="B3141"/>
      <c r="C3141"/>
      <c r="D3141"/>
      <c r="E3141"/>
      <c r="F3141"/>
      <c r="G3141"/>
      <c r="H3141"/>
      <c r="I3141"/>
    </row>
    <row r="3142" spans="1:9" s="47" customFormat="1" ht="14.4" x14ac:dyDescent="0.3">
      <c r="A3142"/>
      <c r="B3142"/>
      <c r="C3142"/>
      <c r="D3142"/>
      <c r="E3142"/>
      <c r="F3142"/>
      <c r="G3142"/>
      <c r="H3142"/>
      <c r="I3142"/>
    </row>
    <row r="3143" spans="1:9" s="47" customFormat="1" ht="14.4" x14ac:dyDescent="0.3">
      <c r="A3143"/>
      <c r="B3143"/>
      <c r="C3143"/>
      <c r="D3143"/>
      <c r="E3143"/>
      <c r="F3143"/>
      <c r="G3143"/>
      <c r="H3143"/>
      <c r="I3143"/>
    </row>
    <row r="3144" spans="1:9" s="47" customFormat="1" ht="14.4" x14ac:dyDescent="0.3">
      <c r="A3144"/>
      <c r="B3144"/>
      <c r="C3144"/>
      <c r="D3144"/>
      <c r="E3144"/>
      <c r="F3144"/>
      <c r="G3144"/>
      <c r="H3144"/>
      <c r="I3144"/>
    </row>
    <row r="3145" spans="1:9" s="47" customFormat="1" ht="14.4" x14ac:dyDescent="0.3">
      <c r="A3145"/>
      <c r="B3145"/>
      <c r="C3145"/>
      <c r="D3145"/>
      <c r="E3145"/>
      <c r="F3145"/>
      <c r="G3145"/>
      <c r="H3145"/>
      <c r="I3145"/>
    </row>
    <row r="3146" spans="1:9" s="47" customFormat="1" ht="14.4" x14ac:dyDescent="0.3">
      <c r="A3146"/>
      <c r="B3146"/>
      <c r="C3146"/>
      <c r="D3146"/>
      <c r="E3146"/>
      <c r="F3146"/>
      <c r="G3146"/>
      <c r="H3146"/>
      <c r="I3146"/>
    </row>
    <row r="3147" spans="1:9" s="47" customFormat="1" ht="14.4" x14ac:dyDescent="0.3">
      <c r="A3147"/>
      <c r="B3147"/>
      <c r="C3147"/>
      <c r="D3147"/>
      <c r="E3147"/>
      <c r="F3147"/>
      <c r="G3147"/>
      <c r="H3147"/>
      <c r="I3147"/>
    </row>
    <row r="3148" spans="1:9" s="47" customFormat="1" ht="14.4" x14ac:dyDescent="0.3">
      <c r="A3148"/>
      <c r="B3148"/>
      <c r="C3148"/>
      <c r="D3148"/>
      <c r="E3148"/>
      <c r="F3148"/>
      <c r="G3148"/>
      <c r="H3148"/>
      <c r="I3148"/>
    </row>
    <row r="3149" spans="1:9" s="47" customFormat="1" ht="14.4" x14ac:dyDescent="0.3">
      <c r="A3149"/>
      <c r="B3149"/>
      <c r="C3149"/>
      <c r="D3149"/>
      <c r="E3149"/>
      <c r="F3149"/>
      <c r="G3149"/>
      <c r="H3149"/>
      <c r="I3149"/>
    </row>
    <row r="3150" spans="1:9" s="47" customFormat="1" ht="14.4" x14ac:dyDescent="0.3">
      <c r="A3150"/>
      <c r="B3150"/>
      <c r="C3150"/>
      <c r="D3150"/>
      <c r="E3150"/>
      <c r="F3150"/>
      <c r="G3150"/>
      <c r="H3150"/>
      <c r="I3150"/>
    </row>
    <row r="3151" spans="1:9" s="47" customFormat="1" ht="14.4" x14ac:dyDescent="0.3">
      <c r="A3151"/>
      <c r="B3151"/>
      <c r="C3151"/>
      <c r="D3151"/>
      <c r="E3151"/>
      <c r="F3151"/>
      <c r="G3151"/>
      <c r="H3151"/>
      <c r="I3151"/>
    </row>
    <row r="3152" spans="1:9" s="47" customFormat="1" ht="14.4" x14ac:dyDescent="0.3">
      <c r="A3152"/>
      <c r="B3152"/>
      <c r="C3152"/>
      <c r="D3152"/>
      <c r="E3152"/>
      <c r="F3152"/>
      <c r="G3152"/>
      <c r="H3152"/>
      <c r="I3152"/>
    </row>
    <row r="3153" spans="1:9" s="47" customFormat="1" ht="14.4" x14ac:dyDescent="0.3">
      <c r="A3153"/>
      <c r="B3153"/>
      <c r="C3153"/>
      <c r="D3153"/>
      <c r="E3153"/>
      <c r="F3153"/>
      <c r="G3153"/>
      <c r="H3153"/>
      <c r="I3153"/>
    </row>
    <row r="3154" spans="1:9" s="47" customFormat="1" ht="14.4" x14ac:dyDescent="0.3">
      <c r="A3154"/>
      <c r="B3154"/>
      <c r="C3154"/>
      <c r="D3154"/>
      <c r="E3154"/>
      <c r="F3154"/>
      <c r="G3154"/>
      <c r="H3154"/>
      <c r="I3154"/>
    </row>
    <row r="3155" spans="1:9" s="47" customFormat="1" ht="14.4" x14ac:dyDescent="0.3">
      <c r="A3155"/>
      <c r="B3155"/>
      <c r="C3155"/>
      <c r="D3155"/>
      <c r="E3155"/>
      <c r="F3155"/>
      <c r="G3155"/>
      <c r="H3155"/>
      <c r="I3155"/>
    </row>
    <row r="3156" spans="1:9" s="47" customFormat="1" ht="14.4" x14ac:dyDescent="0.3">
      <c r="A3156"/>
      <c r="B3156"/>
      <c r="C3156"/>
      <c r="D3156"/>
      <c r="E3156"/>
      <c r="F3156"/>
      <c r="G3156"/>
      <c r="H3156"/>
      <c r="I3156"/>
    </row>
    <row r="3157" spans="1:9" s="47" customFormat="1" ht="14.4" x14ac:dyDescent="0.3">
      <c r="A3157"/>
      <c r="B3157"/>
      <c r="C3157"/>
      <c r="D3157"/>
      <c r="E3157"/>
      <c r="F3157"/>
      <c r="G3157"/>
      <c r="H3157"/>
      <c r="I3157"/>
    </row>
    <row r="3158" spans="1:9" s="47" customFormat="1" ht="14.4" x14ac:dyDescent="0.3">
      <c r="A3158"/>
      <c r="B3158"/>
      <c r="C3158"/>
      <c r="D3158"/>
      <c r="E3158"/>
      <c r="F3158"/>
      <c r="G3158"/>
      <c r="H3158"/>
      <c r="I3158"/>
    </row>
    <row r="3159" spans="1:9" s="47" customFormat="1" ht="14.4" x14ac:dyDescent="0.3">
      <c r="A3159"/>
      <c r="B3159"/>
      <c r="C3159"/>
      <c r="D3159"/>
      <c r="E3159"/>
      <c r="F3159"/>
      <c r="G3159"/>
      <c r="H3159"/>
      <c r="I3159"/>
    </row>
    <row r="3160" spans="1:9" s="47" customFormat="1" ht="14.4" x14ac:dyDescent="0.3">
      <c r="A3160"/>
      <c r="B3160"/>
      <c r="C3160"/>
      <c r="D3160"/>
      <c r="E3160"/>
      <c r="F3160"/>
      <c r="G3160"/>
      <c r="H3160"/>
      <c r="I3160"/>
    </row>
    <row r="3161" spans="1:9" s="47" customFormat="1" ht="14.4" x14ac:dyDescent="0.3">
      <c r="A3161"/>
      <c r="B3161"/>
      <c r="C3161"/>
      <c r="D3161"/>
      <c r="E3161"/>
      <c r="F3161"/>
      <c r="G3161"/>
      <c r="H3161"/>
      <c r="I3161"/>
    </row>
    <row r="3162" spans="1:9" s="47" customFormat="1" ht="14.4" x14ac:dyDescent="0.3">
      <c r="A3162"/>
      <c r="B3162"/>
      <c r="C3162"/>
      <c r="D3162"/>
      <c r="E3162"/>
      <c r="F3162"/>
      <c r="G3162"/>
      <c r="H3162"/>
      <c r="I3162"/>
    </row>
    <row r="3163" spans="1:9" s="47" customFormat="1" ht="14.4" x14ac:dyDescent="0.3">
      <c r="A3163"/>
      <c r="B3163"/>
      <c r="C3163"/>
      <c r="D3163"/>
      <c r="E3163"/>
      <c r="F3163"/>
      <c r="G3163"/>
      <c r="H3163"/>
      <c r="I3163"/>
    </row>
    <row r="3164" spans="1:9" s="47" customFormat="1" ht="14.4" x14ac:dyDescent="0.3">
      <c r="A3164"/>
      <c r="B3164"/>
      <c r="C3164"/>
      <c r="D3164"/>
      <c r="E3164"/>
      <c r="F3164"/>
      <c r="G3164"/>
      <c r="H3164"/>
      <c r="I3164"/>
    </row>
    <row r="3165" spans="1:9" s="47" customFormat="1" ht="14.4" x14ac:dyDescent="0.3">
      <c r="A3165"/>
      <c r="B3165"/>
      <c r="C3165"/>
      <c r="D3165"/>
      <c r="E3165"/>
      <c r="F3165"/>
      <c r="G3165"/>
      <c r="H3165"/>
      <c r="I3165"/>
    </row>
    <row r="3166" spans="1:9" s="47" customFormat="1" ht="14.4" x14ac:dyDescent="0.3">
      <c r="A3166"/>
      <c r="B3166"/>
      <c r="C3166"/>
      <c r="D3166"/>
      <c r="E3166"/>
      <c r="F3166"/>
      <c r="G3166"/>
      <c r="H3166"/>
      <c r="I3166"/>
    </row>
    <row r="3167" spans="1:9" s="47" customFormat="1" ht="14.4" x14ac:dyDescent="0.3">
      <c r="A3167"/>
      <c r="B3167"/>
      <c r="C3167"/>
      <c r="D3167"/>
      <c r="E3167"/>
      <c r="F3167"/>
      <c r="G3167"/>
      <c r="H3167"/>
      <c r="I3167"/>
    </row>
    <row r="3168" spans="1:9" s="47" customFormat="1" ht="14.4" x14ac:dyDescent="0.3">
      <c r="A3168"/>
      <c r="B3168"/>
      <c r="C3168"/>
      <c r="D3168"/>
      <c r="E3168"/>
      <c r="F3168"/>
      <c r="G3168"/>
      <c r="H3168"/>
      <c r="I3168"/>
    </row>
    <row r="3169" spans="1:9" s="47" customFormat="1" ht="14.4" x14ac:dyDescent="0.3">
      <c r="A3169"/>
      <c r="B3169"/>
      <c r="C3169"/>
      <c r="D3169"/>
      <c r="E3169"/>
      <c r="F3169"/>
      <c r="G3169"/>
      <c r="H3169"/>
      <c r="I3169"/>
    </row>
    <row r="3170" spans="1:9" s="47" customFormat="1" ht="14.4" x14ac:dyDescent="0.3">
      <c r="A3170"/>
      <c r="B3170"/>
      <c r="C3170"/>
      <c r="D3170"/>
      <c r="E3170"/>
      <c r="F3170"/>
      <c r="G3170"/>
      <c r="H3170"/>
      <c r="I3170"/>
    </row>
    <row r="3171" spans="1:9" s="47" customFormat="1" ht="14.4" x14ac:dyDescent="0.3">
      <c r="A3171"/>
      <c r="B3171"/>
      <c r="C3171"/>
      <c r="D3171"/>
      <c r="E3171"/>
      <c r="F3171"/>
      <c r="G3171"/>
      <c r="H3171"/>
      <c r="I3171"/>
    </row>
    <row r="3172" spans="1:9" s="47" customFormat="1" ht="14.4" x14ac:dyDescent="0.3">
      <c r="A3172"/>
      <c r="B3172"/>
      <c r="C3172"/>
      <c r="D3172"/>
      <c r="E3172"/>
      <c r="F3172"/>
      <c r="G3172"/>
      <c r="H3172"/>
      <c r="I3172"/>
    </row>
    <row r="3173" spans="1:9" s="47" customFormat="1" ht="14.4" x14ac:dyDescent="0.3">
      <c r="A3173"/>
      <c r="B3173"/>
      <c r="C3173"/>
      <c r="D3173"/>
      <c r="E3173"/>
      <c r="F3173"/>
      <c r="G3173"/>
      <c r="H3173"/>
      <c r="I3173"/>
    </row>
    <row r="3174" spans="1:9" s="47" customFormat="1" ht="14.4" x14ac:dyDescent="0.3">
      <c r="A3174"/>
      <c r="B3174"/>
      <c r="C3174"/>
      <c r="D3174"/>
      <c r="E3174"/>
      <c r="F3174"/>
      <c r="G3174"/>
      <c r="H3174"/>
      <c r="I3174"/>
    </row>
    <row r="3175" spans="1:9" s="47" customFormat="1" ht="14.4" x14ac:dyDescent="0.3">
      <c r="A3175"/>
      <c r="B3175"/>
      <c r="C3175"/>
      <c r="D3175"/>
      <c r="E3175"/>
      <c r="F3175"/>
      <c r="G3175"/>
      <c r="H3175"/>
      <c r="I3175"/>
    </row>
    <row r="3176" spans="1:9" s="47" customFormat="1" ht="14.4" x14ac:dyDescent="0.3">
      <c r="A3176"/>
      <c r="B3176"/>
      <c r="C3176"/>
      <c r="D3176"/>
      <c r="E3176"/>
      <c r="F3176"/>
      <c r="G3176"/>
      <c r="H3176"/>
      <c r="I3176"/>
    </row>
    <row r="3177" spans="1:9" s="47" customFormat="1" ht="14.4" x14ac:dyDescent="0.3">
      <c r="A3177"/>
      <c r="B3177"/>
      <c r="C3177"/>
      <c r="D3177"/>
      <c r="E3177"/>
      <c r="F3177"/>
      <c r="G3177"/>
      <c r="H3177"/>
      <c r="I3177"/>
    </row>
    <row r="3178" spans="1:9" s="47" customFormat="1" ht="14.4" x14ac:dyDescent="0.3">
      <c r="A3178"/>
      <c r="B3178"/>
      <c r="C3178"/>
      <c r="D3178"/>
      <c r="E3178"/>
      <c r="F3178"/>
      <c r="G3178"/>
      <c r="H3178"/>
      <c r="I3178"/>
    </row>
    <row r="3179" spans="1:9" s="47" customFormat="1" ht="14.4" x14ac:dyDescent="0.3">
      <c r="A3179"/>
      <c r="B3179"/>
      <c r="C3179"/>
      <c r="D3179"/>
      <c r="E3179"/>
      <c r="F3179"/>
      <c r="G3179"/>
      <c r="H3179"/>
      <c r="I3179"/>
    </row>
    <row r="3180" spans="1:9" s="47" customFormat="1" ht="14.4" x14ac:dyDescent="0.3">
      <c r="A3180"/>
      <c r="B3180"/>
      <c r="C3180"/>
      <c r="D3180"/>
      <c r="E3180"/>
      <c r="F3180"/>
      <c r="G3180"/>
      <c r="H3180"/>
      <c r="I3180"/>
    </row>
    <row r="3181" spans="1:9" s="47" customFormat="1" ht="14.4" x14ac:dyDescent="0.3">
      <c r="A3181"/>
      <c r="B3181"/>
      <c r="C3181"/>
      <c r="D3181"/>
      <c r="E3181"/>
      <c r="F3181"/>
      <c r="G3181"/>
      <c r="H3181"/>
      <c r="I3181"/>
    </row>
    <row r="3182" spans="1:9" s="47" customFormat="1" ht="14.4" x14ac:dyDescent="0.3">
      <c r="A3182"/>
      <c r="B3182"/>
      <c r="C3182"/>
      <c r="D3182"/>
      <c r="E3182"/>
      <c r="F3182"/>
      <c r="G3182"/>
      <c r="H3182"/>
      <c r="I3182"/>
    </row>
    <row r="3183" spans="1:9" s="47" customFormat="1" ht="14.4" x14ac:dyDescent="0.3">
      <c r="A3183"/>
      <c r="B3183"/>
      <c r="C3183"/>
      <c r="D3183"/>
      <c r="E3183"/>
      <c r="F3183"/>
      <c r="G3183"/>
      <c r="H3183"/>
      <c r="I3183"/>
    </row>
    <row r="3184" spans="1:9" s="47" customFormat="1" ht="14.4" x14ac:dyDescent="0.3">
      <c r="A3184"/>
      <c r="B3184"/>
      <c r="C3184"/>
      <c r="D3184"/>
      <c r="E3184"/>
      <c r="F3184"/>
      <c r="G3184"/>
      <c r="H3184"/>
      <c r="I3184"/>
    </row>
    <row r="3185" spans="1:9" s="47" customFormat="1" ht="14.4" x14ac:dyDescent="0.3">
      <c r="A3185"/>
      <c r="B3185"/>
      <c r="C3185"/>
      <c r="D3185"/>
      <c r="E3185"/>
      <c r="F3185"/>
      <c r="G3185"/>
      <c r="H3185"/>
      <c r="I3185"/>
    </row>
    <row r="3186" spans="1:9" s="47" customFormat="1" ht="14.4" x14ac:dyDescent="0.3">
      <c r="A3186"/>
      <c r="B3186"/>
      <c r="C3186"/>
      <c r="D3186"/>
      <c r="E3186"/>
      <c r="F3186"/>
      <c r="G3186"/>
      <c r="H3186"/>
      <c r="I3186"/>
    </row>
    <row r="3187" spans="1:9" s="47" customFormat="1" ht="14.4" x14ac:dyDescent="0.3">
      <c r="A3187"/>
      <c r="B3187"/>
      <c r="C3187"/>
      <c r="D3187"/>
      <c r="E3187"/>
      <c r="F3187"/>
      <c r="G3187"/>
      <c r="H3187"/>
      <c r="I3187"/>
    </row>
    <row r="3188" spans="1:9" s="47" customFormat="1" ht="14.4" x14ac:dyDescent="0.3">
      <c r="A3188"/>
      <c r="B3188"/>
      <c r="C3188"/>
      <c r="D3188"/>
      <c r="E3188"/>
      <c r="F3188"/>
      <c r="G3188"/>
      <c r="H3188"/>
      <c r="I3188"/>
    </row>
    <row r="3189" spans="1:9" s="47" customFormat="1" ht="14.4" x14ac:dyDescent="0.3">
      <c r="A3189"/>
      <c r="B3189"/>
      <c r="C3189"/>
      <c r="D3189"/>
      <c r="E3189"/>
      <c r="F3189"/>
      <c r="G3189"/>
      <c r="H3189"/>
      <c r="I3189"/>
    </row>
    <row r="3190" spans="1:9" s="47" customFormat="1" ht="14.4" x14ac:dyDescent="0.3">
      <c r="A3190"/>
      <c r="B3190"/>
      <c r="C3190"/>
      <c r="D3190"/>
      <c r="E3190"/>
      <c r="F3190"/>
      <c r="G3190"/>
      <c r="H3190"/>
      <c r="I3190"/>
    </row>
    <row r="3191" spans="1:9" s="47" customFormat="1" ht="14.4" x14ac:dyDescent="0.3">
      <c r="A3191"/>
      <c r="B3191"/>
      <c r="C3191"/>
      <c r="D3191"/>
      <c r="E3191"/>
      <c r="F3191"/>
      <c r="G3191"/>
      <c r="H3191"/>
      <c r="I3191"/>
    </row>
    <row r="3192" spans="1:9" s="47" customFormat="1" ht="14.4" x14ac:dyDescent="0.3">
      <c r="A3192"/>
      <c r="B3192"/>
      <c r="C3192"/>
      <c r="D3192"/>
      <c r="E3192"/>
      <c r="F3192"/>
      <c r="G3192"/>
      <c r="H3192"/>
      <c r="I3192"/>
    </row>
    <row r="3193" spans="1:9" s="47" customFormat="1" ht="14.4" x14ac:dyDescent="0.3">
      <c r="A3193"/>
      <c r="B3193"/>
      <c r="C3193"/>
      <c r="D3193"/>
      <c r="E3193"/>
      <c r="F3193"/>
      <c r="G3193"/>
      <c r="H3193"/>
      <c r="I3193"/>
    </row>
    <row r="3194" spans="1:9" s="47" customFormat="1" ht="14.4" x14ac:dyDescent="0.3">
      <c r="A3194"/>
      <c r="B3194"/>
      <c r="C3194"/>
      <c r="D3194"/>
      <c r="E3194"/>
      <c r="F3194"/>
      <c r="G3194"/>
      <c r="H3194"/>
      <c r="I3194"/>
    </row>
    <row r="3195" spans="1:9" s="47" customFormat="1" ht="14.4" x14ac:dyDescent="0.3">
      <c r="A3195"/>
      <c r="B3195"/>
      <c r="C3195"/>
      <c r="D3195"/>
      <c r="E3195"/>
      <c r="F3195"/>
      <c r="G3195"/>
      <c r="H3195"/>
      <c r="I3195"/>
    </row>
    <row r="3196" spans="1:9" s="47" customFormat="1" ht="14.4" x14ac:dyDescent="0.3">
      <c r="A3196"/>
      <c r="B3196"/>
      <c r="C3196"/>
      <c r="D3196"/>
      <c r="E3196"/>
      <c r="F3196"/>
      <c r="G3196"/>
      <c r="H3196"/>
      <c r="I3196"/>
    </row>
    <row r="3197" spans="1:9" s="47" customFormat="1" ht="14.4" x14ac:dyDescent="0.3">
      <c r="A3197"/>
      <c r="B3197"/>
      <c r="C3197"/>
      <c r="D3197"/>
      <c r="E3197"/>
      <c r="F3197"/>
      <c r="G3197"/>
      <c r="H3197"/>
      <c r="I3197"/>
    </row>
    <row r="3198" spans="1:9" s="47" customFormat="1" ht="14.4" x14ac:dyDescent="0.3">
      <c r="A3198"/>
      <c r="B3198"/>
      <c r="C3198"/>
      <c r="D3198"/>
      <c r="E3198"/>
      <c r="F3198"/>
      <c r="G3198"/>
      <c r="H3198"/>
      <c r="I3198"/>
    </row>
    <row r="3199" spans="1:9" s="47" customFormat="1" ht="14.4" x14ac:dyDescent="0.3">
      <c r="A3199"/>
      <c r="B3199"/>
      <c r="C3199"/>
      <c r="D3199"/>
      <c r="E3199"/>
      <c r="F3199"/>
      <c r="G3199"/>
      <c r="H3199"/>
      <c r="I3199"/>
    </row>
    <row r="3200" spans="1:9" s="47" customFormat="1" ht="14.4" x14ac:dyDescent="0.3">
      <c r="A3200"/>
      <c r="B3200"/>
      <c r="C3200"/>
      <c r="D3200"/>
      <c r="E3200"/>
      <c r="F3200"/>
      <c r="G3200"/>
      <c r="H3200"/>
      <c r="I3200"/>
    </row>
    <row r="3201" spans="1:9" s="47" customFormat="1" ht="14.4" x14ac:dyDescent="0.3">
      <c r="A3201"/>
      <c r="B3201"/>
      <c r="C3201"/>
      <c r="D3201"/>
      <c r="E3201"/>
      <c r="F3201"/>
      <c r="G3201"/>
      <c r="H3201"/>
      <c r="I3201"/>
    </row>
    <row r="3202" spans="1:9" s="47" customFormat="1" ht="14.4" x14ac:dyDescent="0.3">
      <c r="A3202"/>
      <c r="B3202"/>
      <c r="C3202"/>
      <c r="D3202"/>
      <c r="E3202"/>
      <c r="F3202"/>
      <c r="G3202"/>
      <c r="H3202"/>
      <c r="I3202"/>
    </row>
    <row r="3203" spans="1:9" s="47" customFormat="1" ht="14.4" x14ac:dyDescent="0.3">
      <c r="A3203"/>
      <c r="B3203"/>
      <c r="C3203"/>
      <c r="D3203"/>
      <c r="E3203"/>
      <c r="F3203"/>
      <c r="G3203"/>
      <c r="H3203"/>
      <c r="I3203"/>
    </row>
    <row r="3204" spans="1:9" s="47" customFormat="1" ht="14.4" x14ac:dyDescent="0.3">
      <c r="A3204"/>
      <c r="B3204"/>
      <c r="C3204"/>
      <c r="D3204"/>
      <c r="E3204"/>
      <c r="F3204"/>
      <c r="G3204"/>
      <c r="H3204"/>
      <c r="I3204"/>
    </row>
    <row r="3205" spans="1:9" s="47" customFormat="1" ht="14.4" x14ac:dyDescent="0.3">
      <c r="A3205"/>
      <c r="B3205"/>
      <c r="C3205"/>
      <c r="D3205"/>
      <c r="E3205"/>
      <c r="F3205"/>
      <c r="G3205"/>
      <c r="H3205"/>
      <c r="I3205"/>
    </row>
    <row r="3206" spans="1:9" s="47" customFormat="1" ht="14.4" x14ac:dyDescent="0.3">
      <c r="A3206"/>
      <c r="B3206"/>
      <c r="C3206"/>
      <c r="D3206"/>
      <c r="E3206"/>
      <c r="F3206"/>
      <c r="G3206"/>
      <c r="H3206"/>
      <c r="I3206"/>
    </row>
    <row r="3207" spans="1:9" s="47" customFormat="1" ht="14.4" x14ac:dyDescent="0.3">
      <c r="A3207"/>
      <c r="B3207"/>
      <c r="C3207"/>
      <c r="D3207"/>
      <c r="E3207"/>
      <c r="F3207"/>
      <c r="G3207"/>
      <c r="H3207"/>
      <c r="I3207"/>
    </row>
    <row r="3208" spans="1:9" s="47" customFormat="1" ht="14.4" x14ac:dyDescent="0.3">
      <c r="A3208"/>
      <c r="B3208"/>
      <c r="C3208"/>
      <c r="D3208"/>
      <c r="E3208"/>
      <c r="F3208"/>
      <c r="G3208"/>
      <c r="H3208"/>
      <c r="I3208"/>
    </row>
    <row r="3209" spans="1:9" s="47" customFormat="1" ht="14.4" x14ac:dyDescent="0.3">
      <c r="A3209"/>
      <c r="B3209"/>
      <c r="C3209"/>
      <c r="D3209"/>
      <c r="E3209"/>
      <c r="F3209"/>
      <c r="G3209"/>
      <c r="H3209"/>
      <c r="I3209"/>
    </row>
    <row r="3210" spans="1:9" s="47" customFormat="1" ht="14.4" x14ac:dyDescent="0.3">
      <c r="A3210"/>
      <c r="B3210"/>
      <c r="C3210"/>
      <c r="D3210"/>
      <c r="E3210"/>
      <c r="F3210"/>
      <c r="G3210"/>
      <c r="H3210"/>
      <c r="I3210"/>
    </row>
    <row r="3211" spans="1:9" s="47" customFormat="1" ht="14.4" x14ac:dyDescent="0.3">
      <c r="A3211"/>
      <c r="B3211"/>
      <c r="C3211"/>
      <c r="D3211"/>
      <c r="E3211"/>
      <c r="F3211"/>
      <c r="G3211"/>
      <c r="H3211"/>
      <c r="I3211"/>
    </row>
    <row r="3212" spans="1:9" s="47" customFormat="1" ht="14.4" x14ac:dyDescent="0.3">
      <c r="A3212"/>
      <c r="B3212"/>
      <c r="C3212"/>
      <c r="D3212"/>
      <c r="E3212"/>
      <c r="F3212"/>
      <c r="G3212"/>
      <c r="H3212"/>
      <c r="I3212"/>
    </row>
    <row r="3213" spans="1:9" s="47" customFormat="1" ht="14.4" x14ac:dyDescent="0.3">
      <c r="A3213"/>
      <c r="B3213"/>
      <c r="C3213"/>
      <c r="D3213"/>
      <c r="E3213"/>
      <c r="F3213"/>
      <c r="G3213"/>
      <c r="H3213"/>
      <c r="I3213"/>
    </row>
    <row r="3214" spans="1:9" s="47" customFormat="1" ht="14.4" x14ac:dyDescent="0.3">
      <c r="A3214"/>
      <c r="B3214"/>
      <c r="C3214"/>
      <c r="D3214"/>
      <c r="E3214"/>
      <c r="F3214"/>
      <c r="G3214"/>
      <c r="H3214"/>
      <c r="I3214"/>
    </row>
    <row r="3215" spans="1:9" s="47" customFormat="1" ht="14.4" x14ac:dyDescent="0.3">
      <c r="A3215"/>
      <c r="B3215"/>
      <c r="C3215"/>
      <c r="D3215"/>
      <c r="E3215"/>
      <c r="F3215"/>
      <c r="G3215"/>
      <c r="H3215"/>
      <c r="I3215"/>
    </row>
    <row r="3216" spans="1:9" s="47" customFormat="1" ht="14.4" x14ac:dyDescent="0.3">
      <c r="A3216"/>
      <c r="B3216"/>
      <c r="C3216"/>
      <c r="D3216"/>
      <c r="E3216"/>
      <c r="F3216"/>
      <c r="G3216"/>
      <c r="H3216"/>
      <c r="I3216"/>
    </row>
    <row r="3217" spans="1:9" s="47" customFormat="1" ht="14.4" x14ac:dyDescent="0.3">
      <c r="A3217"/>
      <c r="B3217"/>
      <c r="C3217"/>
      <c r="D3217"/>
      <c r="E3217"/>
      <c r="F3217"/>
      <c r="G3217"/>
      <c r="H3217"/>
      <c r="I3217"/>
    </row>
    <row r="3218" spans="1:9" s="47" customFormat="1" ht="14.4" x14ac:dyDescent="0.3">
      <c r="A3218"/>
      <c r="B3218"/>
      <c r="C3218"/>
      <c r="D3218"/>
      <c r="E3218"/>
      <c r="F3218"/>
      <c r="G3218"/>
      <c r="H3218"/>
      <c r="I3218"/>
    </row>
    <row r="3219" spans="1:9" s="47" customFormat="1" ht="14.4" x14ac:dyDescent="0.3">
      <c r="A3219"/>
      <c r="B3219"/>
      <c r="C3219"/>
      <c r="D3219"/>
      <c r="E3219"/>
      <c r="F3219"/>
      <c r="G3219"/>
      <c r="H3219"/>
      <c r="I3219"/>
    </row>
    <row r="3220" spans="1:9" s="47" customFormat="1" ht="14.4" x14ac:dyDescent="0.3">
      <c r="A3220"/>
      <c r="B3220"/>
      <c r="C3220"/>
      <c r="D3220"/>
      <c r="E3220"/>
      <c r="F3220"/>
      <c r="G3220"/>
      <c r="H3220"/>
      <c r="I3220"/>
    </row>
    <row r="3221" spans="1:9" s="47" customFormat="1" ht="14.4" x14ac:dyDescent="0.3">
      <c r="A3221"/>
      <c r="B3221"/>
      <c r="C3221"/>
      <c r="D3221"/>
      <c r="E3221"/>
      <c r="F3221"/>
      <c r="G3221"/>
      <c r="H3221"/>
      <c r="I3221"/>
    </row>
    <row r="3222" spans="1:9" s="47" customFormat="1" ht="14.4" x14ac:dyDescent="0.3">
      <c r="A3222"/>
      <c r="B3222"/>
      <c r="C3222"/>
      <c r="D3222"/>
      <c r="E3222"/>
      <c r="F3222"/>
      <c r="G3222"/>
      <c r="H3222"/>
      <c r="I3222"/>
    </row>
    <row r="3223" spans="1:9" s="47" customFormat="1" ht="14.4" x14ac:dyDescent="0.3">
      <c r="A3223"/>
      <c r="B3223"/>
      <c r="C3223"/>
      <c r="D3223"/>
      <c r="E3223"/>
      <c r="F3223"/>
      <c r="G3223"/>
      <c r="H3223"/>
      <c r="I3223"/>
    </row>
    <row r="3224" spans="1:9" s="47" customFormat="1" ht="14.4" x14ac:dyDescent="0.3">
      <c r="A3224"/>
      <c r="B3224"/>
      <c r="C3224"/>
      <c r="D3224"/>
      <c r="E3224"/>
      <c r="F3224"/>
      <c r="G3224"/>
      <c r="H3224"/>
      <c r="I3224"/>
    </row>
    <row r="3225" spans="1:9" s="47" customFormat="1" ht="14.4" x14ac:dyDescent="0.3">
      <c r="A3225"/>
      <c r="B3225"/>
      <c r="C3225"/>
      <c r="D3225"/>
      <c r="E3225"/>
      <c r="F3225"/>
      <c r="G3225"/>
      <c r="H3225"/>
      <c r="I3225"/>
    </row>
    <row r="3226" spans="1:9" s="47" customFormat="1" ht="14.4" x14ac:dyDescent="0.3">
      <c r="A3226"/>
      <c r="B3226"/>
      <c r="C3226"/>
      <c r="D3226"/>
      <c r="E3226"/>
      <c r="F3226"/>
      <c r="G3226"/>
      <c r="H3226"/>
      <c r="I3226"/>
    </row>
    <row r="3227" spans="1:9" s="47" customFormat="1" ht="14.4" x14ac:dyDescent="0.3">
      <c r="A3227"/>
      <c r="B3227"/>
      <c r="C3227"/>
      <c r="D3227"/>
      <c r="E3227"/>
      <c r="F3227"/>
      <c r="G3227"/>
      <c r="H3227"/>
      <c r="I3227"/>
    </row>
    <row r="3228" spans="1:9" s="47" customFormat="1" ht="14.4" x14ac:dyDescent="0.3">
      <c r="A3228"/>
      <c r="B3228"/>
      <c r="C3228"/>
      <c r="D3228"/>
      <c r="E3228"/>
      <c r="F3228"/>
      <c r="G3228"/>
      <c r="H3228"/>
      <c r="I3228"/>
    </row>
    <row r="3229" spans="1:9" s="47" customFormat="1" ht="14.4" x14ac:dyDescent="0.3">
      <c r="A3229"/>
      <c r="B3229"/>
      <c r="C3229"/>
      <c r="D3229"/>
      <c r="E3229"/>
      <c r="F3229"/>
      <c r="G3229"/>
      <c r="H3229"/>
      <c r="I3229"/>
    </row>
    <row r="3230" spans="1:9" s="47" customFormat="1" ht="14.4" x14ac:dyDescent="0.3">
      <c r="A3230"/>
      <c r="B3230"/>
      <c r="C3230"/>
      <c r="D3230"/>
      <c r="E3230"/>
      <c r="F3230"/>
      <c r="G3230"/>
      <c r="H3230"/>
      <c r="I3230"/>
    </row>
    <row r="3231" spans="1:9" s="47" customFormat="1" ht="14.4" x14ac:dyDescent="0.3">
      <c r="A3231"/>
      <c r="B3231"/>
      <c r="C3231"/>
      <c r="D3231"/>
      <c r="E3231"/>
      <c r="F3231"/>
      <c r="G3231"/>
      <c r="H3231"/>
      <c r="I3231"/>
    </row>
    <row r="3232" spans="1:9" s="47" customFormat="1" ht="14.4" x14ac:dyDescent="0.3">
      <c r="A3232"/>
      <c r="B3232"/>
      <c r="C3232"/>
      <c r="D3232"/>
      <c r="E3232"/>
      <c r="F3232"/>
      <c r="G3232"/>
      <c r="H3232"/>
      <c r="I3232"/>
    </row>
    <row r="3233" spans="1:9" s="47" customFormat="1" ht="14.4" x14ac:dyDescent="0.3">
      <c r="A3233"/>
      <c r="B3233"/>
      <c r="C3233"/>
      <c r="D3233"/>
      <c r="E3233"/>
      <c r="F3233"/>
      <c r="G3233"/>
      <c r="H3233"/>
      <c r="I3233"/>
    </row>
    <row r="3234" spans="1:9" s="47" customFormat="1" ht="14.4" x14ac:dyDescent="0.3">
      <c r="A3234"/>
      <c r="B3234"/>
      <c r="C3234"/>
      <c r="D3234"/>
      <c r="E3234"/>
      <c r="F3234"/>
      <c r="G3234"/>
      <c r="H3234"/>
      <c r="I3234"/>
    </row>
    <row r="3235" spans="1:9" s="47" customFormat="1" ht="14.4" x14ac:dyDescent="0.3">
      <c r="A3235"/>
      <c r="B3235"/>
      <c r="C3235"/>
      <c r="D3235"/>
      <c r="E3235"/>
      <c r="F3235"/>
      <c r="G3235"/>
      <c r="H3235"/>
      <c r="I3235"/>
    </row>
    <row r="3236" spans="1:9" s="47" customFormat="1" ht="14.4" x14ac:dyDescent="0.3">
      <c r="A3236"/>
      <c r="B3236"/>
      <c r="C3236"/>
      <c r="D3236"/>
      <c r="E3236"/>
      <c r="F3236"/>
      <c r="G3236"/>
      <c r="H3236"/>
      <c r="I3236"/>
    </row>
    <row r="3237" spans="1:9" s="47" customFormat="1" ht="14.4" x14ac:dyDescent="0.3">
      <c r="A3237"/>
      <c r="B3237"/>
      <c r="C3237"/>
      <c r="D3237"/>
      <c r="E3237"/>
      <c r="F3237"/>
      <c r="G3237"/>
      <c r="H3237"/>
      <c r="I3237"/>
    </row>
    <row r="3238" spans="1:9" s="47" customFormat="1" ht="14.4" x14ac:dyDescent="0.3">
      <c r="A3238"/>
      <c r="B3238"/>
      <c r="C3238"/>
      <c r="D3238"/>
      <c r="E3238"/>
      <c r="F3238"/>
      <c r="G3238"/>
      <c r="H3238"/>
      <c r="I3238"/>
    </row>
    <row r="3239" spans="1:9" s="47" customFormat="1" ht="14.4" x14ac:dyDescent="0.3">
      <c r="A3239"/>
      <c r="B3239"/>
      <c r="C3239"/>
      <c r="D3239"/>
      <c r="E3239"/>
      <c r="F3239"/>
      <c r="G3239"/>
      <c r="H3239"/>
      <c r="I3239"/>
    </row>
    <row r="3240" spans="1:9" s="47" customFormat="1" ht="14.4" x14ac:dyDescent="0.3">
      <c r="A3240"/>
      <c r="B3240"/>
      <c r="C3240"/>
      <c r="D3240"/>
      <c r="E3240"/>
      <c r="F3240"/>
      <c r="G3240"/>
      <c r="H3240"/>
      <c r="I3240"/>
    </row>
    <row r="3241" spans="1:9" s="47" customFormat="1" ht="14.4" x14ac:dyDescent="0.3">
      <c r="A3241"/>
      <c r="B3241"/>
      <c r="C3241"/>
      <c r="D3241"/>
      <c r="E3241"/>
      <c r="F3241"/>
      <c r="G3241"/>
      <c r="H3241"/>
      <c r="I3241"/>
    </row>
    <row r="3242" spans="1:9" s="47" customFormat="1" ht="14.4" x14ac:dyDescent="0.3">
      <c r="A3242"/>
      <c r="B3242"/>
      <c r="C3242"/>
      <c r="D3242"/>
      <c r="E3242"/>
      <c r="F3242"/>
      <c r="G3242"/>
      <c r="H3242"/>
      <c r="I3242"/>
    </row>
    <row r="3243" spans="1:9" s="47" customFormat="1" ht="14.4" x14ac:dyDescent="0.3">
      <c r="A3243"/>
      <c r="B3243"/>
      <c r="C3243"/>
      <c r="D3243"/>
      <c r="E3243"/>
      <c r="F3243"/>
      <c r="G3243"/>
      <c r="H3243"/>
      <c r="I3243"/>
    </row>
    <row r="3244" spans="1:9" s="47" customFormat="1" ht="14.4" x14ac:dyDescent="0.3">
      <c r="A3244"/>
      <c r="B3244"/>
      <c r="C3244"/>
      <c r="D3244"/>
      <c r="E3244"/>
      <c r="F3244"/>
      <c r="G3244"/>
      <c r="H3244"/>
      <c r="I3244"/>
    </row>
    <row r="3245" spans="1:9" s="47" customFormat="1" ht="14.4" x14ac:dyDescent="0.3">
      <c r="A3245"/>
      <c r="B3245"/>
      <c r="C3245"/>
      <c r="D3245"/>
      <c r="E3245"/>
      <c r="F3245"/>
      <c r="G3245"/>
      <c r="H3245"/>
      <c r="I3245"/>
    </row>
    <row r="3246" spans="1:9" s="47" customFormat="1" ht="14.4" x14ac:dyDescent="0.3">
      <c r="A3246"/>
      <c r="B3246"/>
      <c r="C3246"/>
      <c r="D3246"/>
      <c r="E3246"/>
      <c r="F3246"/>
      <c r="G3246"/>
      <c r="H3246"/>
      <c r="I3246"/>
    </row>
    <row r="3247" spans="1:9" s="47" customFormat="1" ht="14.4" x14ac:dyDescent="0.3">
      <c r="A3247"/>
      <c r="B3247"/>
      <c r="C3247"/>
      <c r="D3247"/>
      <c r="E3247"/>
      <c r="F3247"/>
      <c r="G3247"/>
      <c r="H3247"/>
      <c r="I3247"/>
    </row>
    <row r="3248" spans="1:9" s="47" customFormat="1" ht="14.4" x14ac:dyDescent="0.3">
      <c r="A3248"/>
      <c r="B3248"/>
      <c r="C3248"/>
      <c r="D3248"/>
      <c r="E3248"/>
      <c r="F3248"/>
      <c r="G3248"/>
      <c r="H3248"/>
      <c r="I3248"/>
    </row>
    <row r="3249" spans="1:9" s="47" customFormat="1" ht="14.4" x14ac:dyDescent="0.3">
      <c r="A3249"/>
      <c r="B3249"/>
      <c r="C3249"/>
      <c r="D3249"/>
      <c r="E3249"/>
      <c r="F3249"/>
      <c r="G3249"/>
      <c r="H3249"/>
      <c r="I3249"/>
    </row>
    <row r="3250" spans="1:9" s="47" customFormat="1" ht="14.4" x14ac:dyDescent="0.3">
      <c r="A3250"/>
      <c r="B3250"/>
      <c r="C3250"/>
      <c r="D3250"/>
      <c r="E3250"/>
      <c r="F3250"/>
      <c r="G3250"/>
      <c r="H3250"/>
      <c r="I3250"/>
    </row>
    <row r="3251" spans="1:9" s="47" customFormat="1" ht="14.4" x14ac:dyDescent="0.3">
      <c r="A3251"/>
      <c r="B3251"/>
      <c r="C3251"/>
      <c r="D3251"/>
      <c r="E3251"/>
      <c r="F3251"/>
      <c r="G3251"/>
      <c r="H3251"/>
      <c r="I3251"/>
    </row>
    <row r="3252" spans="1:9" s="47" customFormat="1" ht="14.4" x14ac:dyDescent="0.3">
      <c r="A3252"/>
      <c r="B3252"/>
      <c r="C3252"/>
      <c r="D3252"/>
      <c r="E3252"/>
      <c r="F3252"/>
      <c r="G3252"/>
      <c r="H3252"/>
      <c r="I3252"/>
    </row>
    <row r="3253" spans="1:9" s="47" customFormat="1" ht="14.4" x14ac:dyDescent="0.3">
      <c r="A3253"/>
      <c r="B3253"/>
      <c r="C3253"/>
      <c r="D3253"/>
      <c r="E3253"/>
      <c r="F3253"/>
      <c r="G3253"/>
      <c r="H3253"/>
      <c r="I3253"/>
    </row>
    <row r="3254" spans="1:9" s="47" customFormat="1" ht="14.4" x14ac:dyDescent="0.3">
      <c r="A3254"/>
      <c r="B3254"/>
      <c r="C3254"/>
      <c r="D3254"/>
      <c r="E3254"/>
      <c r="F3254"/>
      <c r="G3254"/>
      <c r="H3254"/>
      <c r="I3254"/>
    </row>
    <row r="3255" spans="1:9" s="47" customFormat="1" ht="14.4" x14ac:dyDescent="0.3">
      <c r="A3255"/>
      <c r="B3255"/>
      <c r="C3255"/>
      <c r="D3255"/>
      <c r="E3255"/>
      <c r="F3255"/>
      <c r="G3255"/>
      <c r="H3255"/>
      <c r="I3255"/>
    </row>
    <row r="3256" spans="1:9" s="47" customFormat="1" ht="14.4" x14ac:dyDescent="0.3">
      <c r="A3256"/>
      <c r="B3256"/>
      <c r="C3256"/>
      <c r="D3256"/>
      <c r="E3256"/>
      <c r="F3256"/>
      <c r="G3256"/>
      <c r="H3256"/>
      <c r="I3256"/>
    </row>
    <row r="3257" spans="1:9" s="47" customFormat="1" ht="14.4" x14ac:dyDescent="0.3">
      <c r="A3257"/>
      <c r="B3257"/>
      <c r="C3257"/>
      <c r="D3257"/>
      <c r="E3257"/>
      <c r="F3257"/>
      <c r="G3257"/>
      <c r="H3257"/>
      <c r="I3257"/>
    </row>
    <row r="3258" spans="1:9" s="47" customFormat="1" ht="14.4" x14ac:dyDescent="0.3">
      <c r="A3258"/>
      <c r="B3258"/>
      <c r="C3258"/>
      <c r="D3258"/>
      <c r="E3258"/>
      <c r="F3258"/>
      <c r="G3258"/>
      <c r="H3258"/>
      <c r="I3258"/>
    </row>
    <row r="3259" spans="1:9" s="47" customFormat="1" ht="14.4" x14ac:dyDescent="0.3">
      <c r="A3259"/>
      <c r="B3259"/>
      <c r="C3259"/>
      <c r="D3259"/>
      <c r="E3259"/>
      <c r="F3259"/>
      <c r="G3259"/>
      <c r="H3259"/>
      <c r="I3259"/>
    </row>
    <row r="3260" spans="1:9" s="47" customFormat="1" ht="14.4" x14ac:dyDescent="0.3">
      <c r="A3260"/>
      <c r="B3260"/>
      <c r="C3260"/>
      <c r="D3260"/>
      <c r="E3260"/>
      <c r="F3260"/>
      <c r="G3260"/>
      <c r="H3260"/>
      <c r="I3260"/>
    </row>
    <row r="3261" spans="1:9" s="47" customFormat="1" ht="14.4" x14ac:dyDescent="0.3">
      <c r="A3261"/>
      <c r="B3261"/>
      <c r="C3261"/>
      <c r="D3261"/>
      <c r="E3261"/>
      <c r="F3261"/>
      <c r="G3261"/>
      <c r="H3261"/>
      <c r="I3261"/>
    </row>
    <row r="3262" spans="1:9" s="47" customFormat="1" ht="14.4" x14ac:dyDescent="0.3">
      <c r="A3262"/>
      <c r="B3262"/>
      <c r="C3262"/>
      <c r="D3262"/>
      <c r="E3262"/>
      <c r="F3262"/>
      <c r="G3262"/>
      <c r="H3262"/>
      <c r="I3262"/>
    </row>
    <row r="3263" spans="1:9" s="47" customFormat="1" ht="14.4" x14ac:dyDescent="0.3">
      <c r="A3263"/>
      <c r="B3263"/>
      <c r="C3263"/>
      <c r="D3263"/>
      <c r="E3263"/>
      <c r="F3263"/>
      <c r="G3263"/>
      <c r="H3263"/>
      <c r="I3263"/>
    </row>
    <row r="3264" spans="1:9" s="47" customFormat="1" ht="14.4" x14ac:dyDescent="0.3">
      <c r="A3264"/>
      <c r="B3264"/>
      <c r="C3264"/>
      <c r="D3264"/>
      <c r="E3264"/>
      <c r="F3264"/>
      <c r="G3264"/>
      <c r="H3264"/>
      <c r="I3264"/>
    </row>
    <row r="3265" spans="1:9" s="47" customFormat="1" ht="14.4" x14ac:dyDescent="0.3">
      <c r="A3265"/>
      <c r="B3265"/>
      <c r="C3265"/>
      <c r="D3265"/>
      <c r="E3265"/>
      <c r="F3265"/>
      <c r="G3265"/>
      <c r="H3265"/>
      <c r="I3265"/>
    </row>
    <row r="3266" spans="1:9" s="47" customFormat="1" ht="14.4" x14ac:dyDescent="0.3">
      <c r="A3266"/>
      <c r="B3266"/>
      <c r="C3266"/>
      <c r="D3266"/>
      <c r="E3266"/>
      <c r="F3266"/>
      <c r="G3266"/>
      <c r="H3266"/>
      <c r="I3266"/>
    </row>
    <row r="3267" spans="1:9" s="47" customFormat="1" ht="14.4" x14ac:dyDescent="0.3">
      <c r="A3267"/>
      <c r="B3267"/>
      <c r="C3267"/>
      <c r="D3267"/>
      <c r="E3267"/>
      <c r="F3267"/>
      <c r="G3267"/>
      <c r="H3267"/>
      <c r="I3267"/>
    </row>
    <row r="3268" spans="1:9" s="47" customFormat="1" ht="14.4" x14ac:dyDescent="0.3">
      <c r="A3268"/>
      <c r="B3268"/>
      <c r="C3268"/>
      <c r="D3268"/>
      <c r="E3268"/>
      <c r="F3268"/>
      <c r="G3268"/>
      <c r="H3268"/>
      <c r="I3268"/>
    </row>
    <row r="3269" spans="1:9" s="47" customFormat="1" ht="14.4" x14ac:dyDescent="0.3">
      <c r="A3269"/>
      <c r="B3269"/>
      <c r="C3269"/>
      <c r="D3269"/>
      <c r="E3269"/>
      <c r="F3269"/>
      <c r="G3269"/>
      <c r="H3269"/>
      <c r="I3269"/>
    </row>
    <row r="3270" spans="1:9" s="47" customFormat="1" ht="14.4" x14ac:dyDescent="0.3">
      <c r="A3270"/>
      <c r="B3270"/>
      <c r="C3270"/>
      <c r="D3270"/>
      <c r="E3270"/>
      <c r="F3270"/>
      <c r="G3270"/>
      <c r="H3270"/>
      <c r="I3270"/>
    </row>
    <row r="3271" spans="1:9" s="47" customFormat="1" ht="14.4" x14ac:dyDescent="0.3">
      <c r="A3271"/>
      <c r="B3271"/>
      <c r="C3271"/>
      <c r="D3271"/>
      <c r="E3271"/>
      <c r="F3271"/>
      <c r="G3271"/>
      <c r="H3271"/>
      <c r="I3271"/>
    </row>
    <row r="3272" spans="1:9" s="47" customFormat="1" ht="14.4" x14ac:dyDescent="0.3">
      <c r="A3272"/>
      <c r="B3272"/>
      <c r="C3272"/>
      <c r="D3272"/>
      <c r="E3272"/>
      <c r="F3272"/>
      <c r="G3272"/>
      <c r="H3272"/>
      <c r="I3272"/>
    </row>
    <row r="3273" spans="1:9" s="47" customFormat="1" ht="14.4" x14ac:dyDescent="0.3">
      <c r="A3273"/>
      <c r="B3273"/>
      <c r="C3273"/>
      <c r="D3273"/>
      <c r="E3273"/>
      <c r="F3273"/>
      <c r="G3273"/>
      <c r="H3273"/>
      <c r="I3273"/>
    </row>
    <row r="3274" spans="1:9" s="47" customFormat="1" ht="14.4" x14ac:dyDescent="0.3">
      <c r="A3274"/>
      <c r="B3274"/>
      <c r="C3274"/>
      <c r="D3274"/>
      <c r="E3274"/>
      <c r="F3274"/>
      <c r="G3274"/>
      <c r="H3274"/>
      <c r="I3274"/>
    </row>
    <row r="3275" spans="1:9" s="47" customFormat="1" ht="14.4" x14ac:dyDescent="0.3">
      <c r="A3275"/>
      <c r="B3275"/>
      <c r="C3275"/>
      <c r="D3275"/>
      <c r="E3275"/>
      <c r="F3275"/>
      <c r="G3275"/>
      <c r="H3275"/>
      <c r="I3275"/>
    </row>
    <row r="3276" spans="1:9" s="47" customFormat="1" ht="14.4" x14ac:dyDescent="0.3">
      <c r="A3276"/>
      <c r="B3276"/>
      <c r="C3276"/>
      <c r="D3276"/>
      <c r="E3276"/>
      <c r="F3276"/>
      <c r="G3276"/>
      <c r="H3276"/>
      <c r="I3276"/>
    </row>
    <row r="3277" spans="1:9" s="47" customFormat="1" ht="14.4" x14ac:dyDescent="0.3">
      <c r="A3277"/>
      <c r="B3277"/>
      <c r="C3277"/>
      <c r="D3277"/>
      <c r="E3277"/>
      <c r="F3277"/>
      <c r="G3277"/>
      <c r="H3277"/>
      <c r="I3277"/>
    </row>
    <row r="3278" spans="1:9" s="47" customFormat="1" ht="14.4" x14ac:dyDescent="0.3">
      <c r="A3278"/>
      <c r="B3278"/>
      <c r="C3278"/>
      <c r="D3278"/>
      <c r="E3278"/>
      <c r="F3278"/>
      <c r="G3278"/>
      <c r="H3278"/>
      <c r="I3278"/>
    </row>
    <row r="3279" spans="1:9" s="47" customFormat="1" ht="14.4" x14ac:dyDescent="0.3">
      <c r="A3279"/>
      <c r="B3279"/>
      <c r="C3279"/>
      <c r="D3279"/>
      <c r="E3279"/>
      <c r="F3279"/>
      <c r="G3279"/>
      <c r="H3279"/>
      <c r="I3279"/>
    </row>
    <row r="3280" spans="1:9" s="47" customFormat="1" ht="14.4" x14ac:dyDescent="0.3">
      <c r="A3280"/>
      <c r="B3280"/>
      <c r="C3280"/>
      <c r="D3280"/>
      <c r="E3280"/>
      <c r="F3280"/>
      <c r="G3280"/>
      <c r="H3280"/>
      <c r="I3280"/>
    </row>
    <row r="3281" spans="1:9" s="47" customFormat="1" ht="14.4" x14ac:dyDescent="0.3">
      <c r="A3281"/>
      <c r="B3281"/>
      <c r="C3281"/>
      <c r="D3281"/>
      <c r="E3281"/>
      <c r="F3281"/>
      <c r="G3281"/>
      <c r="H3281"/>
      <c r="I3281"/>
    </row>
    <row r="3282" spans="1:9" s="47" customFormat="1" ht="14.4" x14ac:dyDescent="0.3">
      <c r="A3282"/>
      <c r="B3282"/>
      <c r="C3282"/>
      <c r="D3282"/>
      <c r="E3282"/>
      <c r="F3282"/>
      <c r="G3282"/>
      <c r="H3282"/>
      <c r="I3282"/>
    </row>
    <row r="3283" spans="1:9" s="47" customFormat="1" ht="14.4" x14ac:dyDescent="0.3">
      <c r="A3283"/>
      <c r="B3283"/>
      <c r="C3283"/>
      <c r="D3283"/>
      <c r="E3283"/>
      <c r="F3283"/>
      <c r="G3283"/>
      <c r="H3283"/>
      <c r="I3283"/>
    </row>
    <row r="3284" spans="1:9" s="47" customFormat="1" ht="14.4" x14ac:dyDescent="0.3">
      <c r="A3284"/>
      <c r="B3284"/>
      <c r="C3284"/>
      <c r="D3284"/>
      <c r="E3284"/>
      <c r="F3284"/>
      <c r="G3284"/>
      <c r="H3284"/>
      <c r="I3284"/>
    </row>
    <row r="3285" spans="1:9" s="47" customFormat="1" ht="14.4" x14ac:dyDescent="0.3">
      <c r="A3285"/>
      <c r="B3285"/>
      <c r="C3285"/>
      <c r="D3285"/>
      <c r="E3285"/>
      <c r="F3285"/>
      <c r="G3285"/>
      <c r="H3285"/>
      <c r="I3285"/>
    </row>
    <row r="3286" spans="1:9" s="47" customFormat="1" ht="14.4" x14ac:dyDescent="0.3">
      <c r="A3286"/>
      <c r="B3286"/>
      <c r="C3286"/>
      <c r="D3286"/>
      <c r="E3286"/>
      <c r="F3286"/>
      <c r="G3286"/>
      <c r="H3286"/>
      <c r="I3286"/>
    </row>
    <row r="3287" spans="1:9" s="47" customFormat="1" ht="14.4" x14ac:dyDescent="0.3">
      <c r="A3287"/>
      <c r="B3287"/>
      <c r="C3287"/>
      <c r="D3287"/>
      <c r="E3287"/>
      <c r="F3287"/>
      <c r="G3287"/>
      <c r="H3287"/>
      <c r="I3287"/>
    </row>
    <row r="3288" spans="1:9" s="47" customFormat="1" ht="14.4" x14ac:dyDescent="0.3">
      <c r="A3288"/>
      <c r="B3288"/>
      <c r="C3288"/>
      <c r="D3288"/>
      <c r="E3288"/>
      <c r="F3288"/>
      <c r="G3288"/>
      <c r="H3288"/>
      <c r="I3288"/>
    </row>
    <row r="3289" spans="1:9" s="47" customFormat="1" ht="14.4" x14ac:dyDescent="0.3">
      <c r="A3289"/>
      <c r="B3289"/>
      <c r="C3289"/>
      <c r="D3289"/>
      <c r="E3289"/>
      <c r="F3289"/>
      <c r="G3289"/>
      <c r="H3289"/>
      <c r="I3289"/>
    </row>
    <row r="3290" spans="1:9" s="47" customFormat="1" ht="14.4" x14ac:dyDescent="0.3">
      <c r="A3290"/>
      <c r="B3290"/>
      <c r="C3290"/>
      <c r="D3290"/>
      <c r="E3290"/>
      <c r="F3290"/>
      <c r="G3290"/>
      <c r="H3290"/>
      <c r="I3290"/>
    </row>
    <row r="3291" spans="1:9" s="47" customFormat="1" ht="14.4" x14ac:dyDescent="0.3">
      <c r="A3291"/>
      <c r="B3291"/>
      <c r="C3291"/>
      <c r="D3291"/>
      <c r="E3291"/>
      <c r="F3291"/>
      <c r="G3291"/>
      <c r="H3291"/>
      <c r="I3291"/>
    </row>
    <row r="3292" spans="1:9" s="47" customFormat="1" ht="14.4" x14ac:dyDescent="0.3">
      <c r="A3292"/>
      <c r="B3292"/>
      <c r="C3292"/>
      <c r="D3292"/>
      <c r="E3292"/>
      <c r="F3292"/>
      <c r="G3292"/>
      <c r="H3292"/>
      <c r="I3292"/>
    </row>
    <row r="3293" spans="1:9" s="47" customFormat="1" ht="14.4" x14ac:dyDescent="0.3">
      <c r="A3293"/>
      <c r="B3293"/>
      <c r="C3293"/>
      <c r="D3293"/>
      <c r="E3293"/>
      <c r="F3293"/>
      <c r="G3293"/>
      <c r="H3293"/>
      <c r="I3293"/>
    </row>
    <row r="3294" spans="1:9" s="47" customFormat="1" ht="14.4" x14ac:dyDescent="0.3">
      <c r="A3294"/>
      <c r="B3294"/>
      <c r="C3294"/>
      <c r="D3294"/>
      <c r="E3294"/>
      <c r="F3294"/>
      <c r="G3294"/>
      <c r="H3294"/>
      <c r="I3294"/>
    </row>
    <row r="3295" spans="1:9" s="47" customFormat="1" ht="14.4" x14ac:dyDescent="0.3">
      <c r="A3295"/>
      <c r="B3295"/>
      <c r="C3295"/>
      <c r="D3295"/>
      <c r="E3295"/>
      <c r="F3295"/>
      <c r="G3295"/>
      <c r="H3295"/>
      <c r="I3295"/>
    </row>
    <row r="3296" spans="1:9" s="47" customFormat="1" ht="14.4" x14ac:dyDescent="0.3">
      <c r="A3296"/>
      <c r="B3296"/>
      <c r="C3296"/>
      <c r="D3296"/>
      <c r="E3296"/>
      <c r="F3296"/>
      <c r="G3296"/>
      <c r="H3296"/>
      <c r="I3296"/>
    </row>
    <row r="3297" spans="1:9" s="47" customFormat="1" ht="14.4" x14ac:dyDescent="0.3">
      <c r="A3297"/>
      <c r="B3297"/>
      <c r="C3297"/>
      <c r="D3297"/>
      <c r="E3297"/>
      <c r="F3297"/>
      <c r="G3297"/>
      <c r="H3297"/>
      <c r="I3297"/>
    </row>
    <row r="3298" spans="1:9" s="47" customFormat="1" ht="14.4" x14ac:dyDescent="0.3">
      <c r="A3298"/>
      <c r="B3298"/>
      <c r="C3298"/>
      <c r="D3298"/>
      <c r="E3298"/>
      <c r="F3298"/>
      <c r="G3298"/>
      <c r="H3298"/>
      <c r="I3298"/>
    </row>
    <row r="3299" spans="1:9" s="47" customFormat="1" ht="14.4" x14ac:dyDescent="0.3">
      <c r="A3299"/>
      <c r="B3299"/>
      <c r="C3299"/>
      <c r="D3299"/>
      <c r="E3299"/>
      <c r="F3299"/>
      <c r="G3299"/>
      <c r="H3299"/>
      <c r="I3299"/>
    </row>
    <row r="3300" spans="1:9" s="47" customFormat="1" ht="14.4" x14ac:dyDescent="0.3">
      <c r="A3300"/>
      <c r="B3300"/>
      <c r="C3300"/>
      <c r="D3300"/>
      <c r="E3300"/>
      <c r="F3300"/>
      <c r="G3300"/>
      <c r="H3300"/>
      <c r="I3300"/>
    </row>
    <row r="3301" spans="1:9" s="47" customFormat="1" ht="14.4" x14ac:dyDescent="0.3">
      <c r="A3301"/>
      <c r="B3301"/>
      <c r="C3301"/>
      <c r="D3301"/>
      <c r="E3301"/>
      <c r="F3301"/>
      <c r="G3301"/>
      <c r="H3301"/>
      <c r="I3301"/>
    </row>
    <row r="3302" spans="1:9" s="47" customFormat="1" ht="14.4" x14ac:dyDescent="0.3">
      <c r="A3302"/>
      <c r="B3302"/>
      <c r="C3302"/>
      <c r="D3302"/>
      <c r="E3302"/>
      <c r="F3302"/>
      <c r="G3302"/>
      <c r="H3302"/>
      <c r="I3302"/>
    </row>
    <row r="3303" spans="1:9" s="47" customFormat="1" ht="14.4" x14ac:dyDescent="0.3">
      <c r="A3303"/>
      <c r="B3303"/>
      <c r="C3303"/>
      <c r="D3303"/>
      <c r="E3303"/>
      <c r="F3303"/>
      <c r="G3303"/>
      <c r="H3303"/>
      <c r="I3303"/>
    </row>
    <row r="3304" spans="1:9" s="47" customFormat="1" ht="14.4" x14ac:dyDescent="0.3">
      <c r="A3304"/>
      <c r="B3304"/>
      <c r="C3304"/>
      <c r="D3304"/>
      <c r="E3304"/>
      <c r="F3304"/>
      <c r="G3304"/>
      <c r="H3304"/>
      <c r="I3304"/>
    </row>
    <row r="3305" spans="1:9" s="47" customFormat="1" ht="14.4" x14ac:dyDescent="0.3">
      <c r="A3305"/>
      <c r="B3305"/>
      <c r="C3305"/>
      <c r="D3305"/>
      <c r="E3305"/>
      <c r="F3305"/>
      <c r="G3305"/>
      <c r="H3305"/>
      <c r="I3305"/>
    </row>
    <row r="3306" spans="1:9" s="47" customFormat="1" ht="14.4" x14ac:dyDescent="0.3">
      <c r="A3306"/>
      <c r="B3306"/>
      <c r="C3306"/>
      <c r="D3306"/>
      <c r="E3306"/>
      <c r="F3306"/>
      <c r="G3306"/>
      <c r="H3306"/>
      <c r="I3306"/>
    </row>
    <row r="3307" spans="1:9" s="47" customFormat="1" ht="14.4" x14ac:dyDescent="0.3">
      <c r="A3307"/>
      <c r="B3307"/>
      <c r="C3307"/>
      <c r="D3307"/>
      <c r="E3307"/>
      <c r="F3307"/>
      <c r="G3307"/>
      <c r="H3307"/>
      <c r="I3307"/>
    </row>
    <row r="3308" spans="1:9" s="47" customFormat="1" ht="14.4" x14ac:dyDescent="0.3">
      <c r="A3308"/>
      <c r="B3308"/>
      <c r="C3308"/>
      <c r="D3308"/>
      <c r="E3308"/>
      <c r="F3308"/>
      <c r="G3308"/>
      <c r="H3308"/>
      <c r="I3308"/>
    </row>
    <row r="3309" spans="1:9" s="47" customFormat="1" ht="14.4" x14ac:dyDescent="0.3">
      <c r="A3309"/>
      <c r="B3309"/>
      <c r="C3309"/>
      <c r="D3309"/>
      <c r="E3309"/>
      <c r="F3309"/>
      <c r="G3309"/>
      <c r="H3309"/>
      <c r="I3309"/>
    </row>
    <row r="3310" spans="1:9" s="47" customFormat="1" ht="14.4" x14ac:dyDescent="0.3">
      <c r="A3310"/>
      <c r="B3310"/>
      <c r="C3310"/>
      <c r="D3310"/>
      <c r="E3310"/>
      <c r="F3310"/>
      <c r="G3310"/>
      <c r="H3310"/>
      <c r="I3310"/>
    </row>
    <row r="3311" spans="1:9" s="47" customFormat="1" ht="14.4" x14ac:dyDescent="0.3">
      <c r="A3311"/>
      <c r="B3311"/>
      <c r="C3311"/>
      <c r="D3311"/>
      <c r="E3311"/>
      <c r="F3311"/>
      <c r="G3311"/>
      <c r="H3311"/>
      <c r="I3311"/>
    </row>
    <row r="3312" spans="1:9" s="47" customFormat="1" ht="14.4" x14ac:dyDescent="0.3">
      <c r="A3312"/>
      <c r="B3312"/>
      <c r="C3312"/>
      <c r="D3312"/>
      <c r="E3312"/>
      <c r="F3312"/>
      <c r="G3312"/>
      <c r="H3312"/>
      <c r="I3312"/>
    </row>
    <row r="3313" spans="1:9" s="47" customFormat="1" ht="14.4" x14ac:dyDescent="0.3">
      <c r="A3313"/>
      <c r="B3313"/>
      <c r="C3313"/>
      <c r="D3313"/>
      <c r="E3313"/>
      <c r="F3313"/>
      <c r="G3313"/>
      <c r="H3313"/>
      <c r="I3313"/>
    </row>
    <row r="3314" spans="1:9" s="47" customFormat="1" ht="14.4" x14ac:dyDescent="0.3">
      <c r="A3314"/>
      <c r="B3314"/>
      <c r="C3314"/>
      <c r="D3314"/>
      <c r="E3314"/>
      <c r="F3314"/>
      <c r="G3314"/>
      <c r="H3314"/>
      <c r="I3314"/>
    </row>
    <row r="3315" spans="1:9" s="47" customFormat="1" ht="14.4" x14ac:dyDescent="0.3">
      <c r="A3315"/>
      <c r="B3315"/>
      <c r="C3315"/>
      <c r="D3315"/>
      <c r="E3315"/>
      <c r="F3315"/>
      <c r="G3315"/>
      <c r="H3315"/>
      <c r="I3315"/>
    </row>
    <row r="3316" spans="1:9" s="47" customFormat="1" ht="14.4" x14ac:dyDescent="0.3">
      <c r="A3316"/>
      <c r="B3316"/>
      <c r="C3316"/>
      <c r="D3316"/>
      <c r="E3316"/>
      <c r="F3316"/>
      <c r="G3316"/>
      <c r="H3316"/>
      <c r="I3316"/>
    </row>
    <row r="3317" spans="1:9" s="47" customFormat="1" ht="14.4" x14ac:dyDescent="0.3">
      <c r="A3317"/>
      <c r="B3317"/>
      <c r="C3317"/>
      <c r="D3317"/>
      <c r="E3317"/>
      <c r="F3317"/>
      <c r="G3317"/>
      <c r="H3317"/>
      <c r="I3317"/>
    </row>
    <row r="3318" spans="1:9" s="47" customFormat="1" ht="14.4" x14ac:dyDescent="0.3">
      <c r="A3318"/>
      <c r="B3318"/>
      <c r="C3318"/>
      <c r="D3318"/>
      <c r="E3318"/>
      <c r="F3318"/>
      <c r="G3318"/>
      <c r="H3318"/>
      <c r="I3318"/>
    </row>
    <row r="3319" spans="1:9" s="47" customFormat="1" ht="14.4" x14ac:dyDescent="0.3">
      <c r="A3319"/>
      <c r="B3319"/>
      <c r="C3319"/>
      <c r="D3319"/>
      <c r="E3319"/>
      <c r="F3319"/>
      <c r="G3319"/>
      <c r="H3319"/>
      <c r="I3319"/>
    </row>
    <row r="3320" spans="1:9" s="47" customFormat="1" ht="14.4" x14ac:dyDescent="0.3">
      <c r="A3320"/>
      <c r="B3320"/>
      <c r="C3320"/>
      <c r="D3320"/>
      <c r="E3320"/>
      <c r="F3320"/>
      <c r="G3320"/>
      <c r="H3320"/>
      <c r="I3320"/>
    </row>
    <row r="3321" spans="1:9" s="47" customFormat="1" ht="14.4" x14ac:dyDescent="0.3">
      <c r="A3321"/>
      <c r="B3321"/>
      <c r="C3321"/>
      <c r="D3321"/>
      <c r="E3321"/>
      <c r="F3321"/>
      <c r="G3321"/>
      <c r="H3321"/>
      <c r="I3321"/>
    </row>
    <row r="3322" spans="1:9" s="47" customFormat="1" ht="14.4" x14ac:dyDescent="0.3">
      <c r="A3322"/>
      <c r="B3322"/>
      <c r="C3322"/>
      <c r="D3322"/>
      <c r="E3322"/>
      <c r="F3322"/>
      <c r="G3322"/>
      <c r="H3322"/>
      <c r="I3322"/>
    </row>
    <row r="3323" spans="1:9" s="47" customFormat="1" ht="14.4" x14ac:dyDescent="0.3">
      <c r="A3323"/>
      <c r="B3323"/>
      <c r="C3323"/>
      <c r="D3323"/>
      <c r="E3323"/>
      <c r="F3323"/>
      <c r="G3323"/>
      <c r="H3323"/>
      <c r="I3323"/>
    </row>
    <row r="3324" spans="1:9" s="47" customFormat="1" ht="14.4" x14ac:dyDescent="0.3">
      <c r="A3324"/>
      <c r="B3324"/>
      <c r="C3324"/>
      <c r="D3324"/>
      <c r="E3324"/>
      <c r="F3324"/>
      <c r="G3324"/>
      <c r="H3324"/>
      <c r="I3324"/>
    </row>
    <row r="3325" spans="1:9" s="47" customFormat="1" ht="14.4" x14ac:dyDescent="0.3">
      <c r="A3325"/>
      <c r="B3325"/>
      <c r="C3325"/>
      <c r="D3325"/>
      <c r="E3325"/>
      <c r="F3325"/>
      <c r="G3325"/>
      <c r="H3325"/>
      <c r="I3325"/>
    </row>
    <row r="3326" spans="1:9" s="47" customFormat="1" ht="14.4" x14ac:dyDescent="0.3">
      <c r="A3326"/>
      <c r="B3326"/>
      <c r="C3326"/>
      <c r="D3326"/>
      <c r="E3326"/>
      <c r="F3326"/>
      <c r="G3326"/>
      <c r="H3326"/>
      <c r="I3326"/>
    </row>
    <row r="3327" spans="1:9" s="47" customFormat="1" ht="14.4" x14ac:dyDescent="0.3">
      <c r="A3327"/>
      <c r="B3327"/>
      <c r="C3327"/>
      <c r="D3327"/>
      <c r="E3327"/>
      <c r="F3327"/>
      <c r="G3327"/>
      <c r="H3327"/>
      <c r="I3327"/>
    </row>
    <row r="3328" spans="1:9" s="47" customFormat="1" ht="14.4" x14ac:dyDescent="0.3">
      <c r="A3328"/>
      <c r="B3328"/>
      <c r="C3328"/>
      <c r="D3328"/>
      <c r="E3328"/>
      <c r="F3328"/>
      <c r="G3328"/>
      <c r="H3328"/>
      <c r="I3328"/>
    </row>
    <row r="3329" spans="1:9" s="47" customFormat="1" ht="14.4" x14ac:dyDescent="0.3">
      <c r="A3329"/>
      <c r="B3329"/>
      <c r="C3329"/>
      <c r="D3329"/>
      <c r="E3329"/>
      <c r="F3329"/>
      <c r="G3329"/>
      <c r="H3329"/>
      <c r="I3329"/>
    </row>
    <row r="3330" spans="1:9" s="47" customFormat="1" ht="14.4" x14ac:dyDescent="0.3">
      <c r="A3330"/>
      <c r="B3330"/>
      <c r="C3330"/>
      <c r="D3330"/>
      <c r="E3330"/>
      <c r="F3330"/>
      <c r="G3330"/>
      <c r="H3330"/>
      <c r="I3330"/>
    </row>
    <row r="3331" spans="1:9" s="47" customFormat="1" ht="14.4" x14ac:dyDescent="0.3">
      <c r="A3331"/>
      <c r="B3331"/>
      <c r="C3331"/>
      <c r="D3331"/>
      <c r="E3331"/>
      <c r="F3331"/>
      <c r="G3331"/>
      <c r="H3331"/>
      <c r="I3331"/>
    </row>
    <row r="3332" spans="1:9" s="47" customFormat="1" ht="14.4" x14ac:dyDescent="0.3">
      <c r="A3332"/>
      <c r="B3332"/>
      <c r="C3332"/>
      <c r="D3332"/>
      <c r="E3332"/>
      <c r="F3332"/>
      <c r="G3332"/>
      <c r="H3332"/>
      <c r="I3332"/>
    </row>
    <row r="3333" spans="1:9" s="47" customFormat="1" ht="14.4" x14ac:dyDescent="0.3">
      <c r="A3333"/>
      <c r="B3333"/>
      <c r="C3333"/>
      <c r="D3333"/>
      <c r="E3333"/>
      <c r="F3333"/>
      <c r="G3333"/>
      <c r="H3333"/>
      <c r="I3333"/>
    </row>
    <row r="3334" spans="1:9" s="47" customFormat="1" ht="14.4" x14ac:dyDescent="0.3">
      <c r="A3334"/>
      <c r="B3334"/>
      <c r="C3334"/>
      <c r="D3334"/>
      <c r="E3334"/>
      <c r="F3334"/>
      <c r="G3334"/>
      <c r="H3334"/>
      <c r="I3334"/>
    </row>
    <row r="3335" spans="1:9" s="47" customFormat="1" ht="14.4" x14ac:dyDescent="0.3">
      <c r="A3335"/>
      <c r="B3335"/>
      <c r="C3335"/>
      <c r="D3335"/>
      <c r="E3335"/>
      <c r="F3335"/>
      <c r="G3335"/>
      <c r="H3335"/>
      <c r="I3335"/>
    </row>
    <row r="3336" spans="1:9" s="47" customFormat="1" ht="14.4" x14ac:dyDescent="0.3">
      <c r="A3336"/>
      <c r="B3336"/>
      <c r="C3336"/>
      <c r="D3336"/>
      <c r="E3336"/>
      <c r="F3336"/>
      <c r="G3336"/>
      <c r="H3336"/>
      <c r="I3336"/>
    </row>
    <row r="3337" spans="1:9" s="47" customFormat="1" ht="14.4" x14ac:dyDescent="0.3">
      <c r="A3337"/>
      <c r="B3337"/>
      <c r="C3337"/>
      <c r="D3337"/>
      <c r="E3337"/>
      <c r="F3337"/>
      <c r="G3337"/>
      <c r="H3337"/>
      <c r="I3337"/>
    </row>
    <row r="3338" spans="1:9" s="47" customFormat="1" ht="14.4" x14ac:dyDescent="0.3">
      <c r="A3338"/>
      <c r="B3338"/>
      <c r="C3338"/>
      <c r="D3338"/>
      <c r="E3338"/>
      <c r="F3338"/>
      <c r="G3338"/>
      <c r="H3338"/>
      <c r="I3338"/>
    </row>
    <row r="3339" spans="1:9" s="47" customFormat="1" ht="14.4" x14ac:dyDescent="0.3">
      <c r="A3339"/>
      <c r="B3339"/>
      <c r="C3339"/>
      <c r="D3339"/>
      <c r="E3339"/>
      <c r="F3339"/>
      <c r="G3339"/>
      <c r="H3339"/>
      <c r="I3339"/>
    </row>
    <row r="3340" spans="1:9" s="47" customFormat="1" ht="14.4" x14ac:dyDescent="0.3">
      <c r="A3340"/>
      <c r="B3340"/>
      <c r="C3340"/>
      <c r="D3340"/>
      <c r="E3340"/>
      <c r="F3340"/>
      <c r="G3340"/>
      <c r="H3340"/>
      <c r="I3340"/>
    </row>
    <row r="3341" spans="1:9" s="47" customFormat="1" ht="14.4" x14ac:dyDescent="0.3">
      <c r="A3341"/>
      <c r="B3341"/>
      <c r="C3341"/>
      <c r="D3341"/>
      <c r="E3341"/>
      <c r="F3341"/>
      <c r="G3341"/>
      <c r="H3341"/>
      <c r="I3341"/>
    </row>
    <row r="3342" spans="1:9" s="47" customFormat="1" ht="14.4" x14ac:dyDescent="0.3">
      <c r="A3342"/>
      <c r="B3342"/>
      <c r="C3342"/>
      <c r="D3342"/>
      <c r="E3342"/>
      <c r="F3342"/>
      <c r="G3342"/>
      <c r="H3342"/>
      <c r="I3342"/>
    </row>
    <row r="3343" spans="1:9" s="47" customFormat="1" ht="14.4" x14ac:dyDescent="0.3">
      <c r="A3343"/>
      <c r="B3343"/>
      <c r="C3343"/>
      <c r="D3343"/>
      <c r="E3343"/>
      <c r="F3343"/>
      <c r="G3343"/>
      <c r="H3343"/>
      <c r="I3343"/>
    </row>
    <row r="3344" spans="1:9" s="47" customFormat="1" ht="14.4" x14ac:dyDescent="0.3">
      <c r="A3344"/>
      <c r="B3344"/>
      <c r="C3344"/>
      <c r="D3344"/>
      <c r="E3344"/>
      <c r="F3344"/>
      <c r="G3344"/>
      <c r="H3344"/>
      <c r="I3344"/>
    </row>
    <row r="3345" spans="1:9" s="47" customFormat="1" ht="14.4" x14ac:dyDescent="0.3">
      <c r="A3345"/>
      <c r="B3345"/>
      <c r="C3345"/>
      <c r="D3345"/>
      <c r="E3345"/>
      <c r="F3345"/>
      <c r="G3345"/>
      <c r="H3345"/>
      <c r="I3345"/>
    </row>
    <row r="3346" spans="1:9" s="47" customFormat="1" ht="14.4" x14ac:dyDescent="0.3">
      <c r="A3346"/>
      <c r="B3346"/>
      <c r="C3346"/>
      <c r="D3346"/>
      <c r="E3346"/>
      <c r="F3346"/>
      <c r="G3346"/>
      <c r="H3346"/>
      <c r="I3346"/>
    </row>
    <row r="3347" spans="1:9" s="47" customFormat="1" ht="14.4" x14ac:dyDescent="0.3">
      <c r="A3347"/>
      <c r="B3347"/>
      <c r="C3347"/>
      <c r="D3347"/>
      <c r="E3347"/>
      <c r="F3347"/>
      <c r="G3347"/>
      <c r="H3347"/>
      <c r="I3347"/>
    </row>
    <row r="3348" spans="1:9" s="47" customFormat="1" ht="14.4" x14ac:dyDescent="0.3">
      <c r="A3348"/>
      <c r="B3348"/>
      <c r="C3348"/>
      <c r="D3348"/>
      <c r="E3348"/>
      <c r="F3348"/>
      <c r="G3348"/>
      <c r="H3348"/>
      <c r="I3348"/>
    </row>
    <row r="3349" spans="1:9" s="47" customFormat="1" ht="14.4" x14ac:dyDescent="0.3">
      <c r="A3349"/>
      <c r="B3349"/>
      <c r="C3349"/>
      <c r="D3349"/>
      <c r="E3349"/>
      <c r="F3349"/>
      <c r="G3349"/>
      <c r="H3349"/>
      <c r="I3349"/>
    </row>
    <row r="3350" spans="1:9" s="47" customFormat="1" ht="14.4" x14ac:dyDescent="0.3">
      <c r="A3350"/>
      <c r="B3350"/>
      <c r="C3350"/>
      <c r="D3350"/>
      <c r="E3350"/>
      <c r="F3350"/>
      <c r="G3350"/>
      <c r="H3350"/>
      <c r="I3350"/>
    </row>
    <row r="3351" spans="1:9" s="47" customFormat="1" ht="14.4" x14ac:dyDescent="0.3">
      <c r="A3351"/>
      <c r="B3351"/>
      <c r="C3351"/>
      <c r="D3351"/>
      <c r="E3351"/>
      <c r="F3351"/>
      <c r="G3351"/>
      <c r="H3351"/>
      <c r="I3351"/>
    </row>
    <row r="3352" spans="1:9" s="47" customFormat="1" ht="14.4" x14ac:dyDescent="0.3">
      <c r="A3352"/>
      <c r="B3352"/>
      <c r="C3352"/>
      <c r="D3352"/>
      <c r="E3352"/>
      <c r="F3352"/>
      <c r="G3352"/>
      <c r="H3352"/>
      <c r="I3352"/>
    </row>
    <row r="3353" spans="1:9" s="47" customFormat="1" ht="14.4" x14ac:dyDescent="0.3">
      <c r="A3353"/>
      <c r="B3353"/>
      <c r="C3353"/>
      <c r="D3353"/>
      <c r="E3353"/>
      <c r="F3353"/>
      <c r="G3353"/>
      <c r="H3353"/>
      <c r="I3353"/>
    </row>
    <row r="3354" spans="1:9" s="47" customFormat="1" ht="14.4" x14ac:dyDescent="0.3">
      <c r="A3354"/>
      <c r="B3354"/>
      <c r="C3354"/>
      <c r="D3354"/>
      <c r="E3354"/>
      <c r="F3354"/>
      <c r="G3354"/>
      <c r="H3354"/>
      <c r="I3354"/>
    </row>
    <row r="3355" spans="1:9" s="47" customFormat="1" ht="14.4" x14ac:dyDescent="0.3">
      <c r="A3355"/>
      <c r="B3355"/>
      <c r="C3355"/>
      <c r="D3355"/>
      <c r="E3355"/>
      <c r="F3355"/>
      <c r="G3355"/>
      <c r="H3355"/>
      <c r="I3355"/>
    </row>
    <row r="3356" spans="1:9" s="47" customFormat="1" ht="14.4" x14ac:dyDescent="0.3">
      <c r="A3356"/>
      <c r="B3356"/>
      <c r="C3356"/>
      <c r="D3356"/>
      <c r="E3356"/>
      <c r="F3356"/>
      <c r="G3356"/>
      <c r="H3356"/>
      <c r="I3356"/>
    </row>
    <row r="3357" spans="1:9" s="47" customFormat="1" ht="14.4" x14ac:dyDescent="0.3">
      <c r="A3357"/>
      <c r="B3357"/>
      <c r="C3357"/>
      <c r="D3357"/>
      <c r="E3357"/>
      <c r="F3357"/>
      <c r="G3357"/>
      <c r="H3357"/>
      <c r="I3357"/>
    </row>
    <row r="3358" spans="1:9" s="47" customFormat="1" ht="14.4" x14ac:dyDescent="0.3">
      <c r="A3358"/>
      <c r="B3358"/>
      <c r="C3358"/>
      <c r="D3358"/>
      <c r="E3358"/>
      <c r="F3358"/>
      <c r="G3358"/>
      <c r="H3358"/>
      <c r="I3358"/>
    </row>
    <row r="3359" spans="1:9" s="47" customFormat="1" ht="14.4" x14ac:dyDescent="0.3">
      <c r="A3359"/>
      <c r="B3359"/>
      <c r="C3359"/>
      <c r="D3359"/>
      <c r="E3359"/>
      <c r="F3359"/>
      <c r="G3359"/>
      <c r="H3359"/>
      <c r="I3359"/>
    </row>
    <row r="3360" spans="1:9" s="47" customFormat="1" ht="14.4" x14ac:dyDescent="0.3">
      <c r="A3360"/>
      <c r="B3360"/>
      <c r="C3360"/>
      <c r="D3360"/>
      <c r="E3360"/>
      <c r="F3360"/>
      <c r="G3360"/>
      <c r="H3360"/>
      <c r="I3360"/>
    </row>
    <row r="3361" spans="1:9" s="47" customFormat="1" ht="14.4" x14ac:dyDescent="0.3">
      <c r="A3361"/>
      <c r="B3361"/>
      <c r="C3361"/>
      <c r="D3361"/>
      <c r="E3361"/>
      <c r="F3361"/>
      <c r="G3361"/>
      <c r="H3361"/>
      <c r="I3361"/>
    </row>
    <row r="3362" spans="1:9" s="47" customFormat="1" ht="14.4" x14ac:dyDescent="0.3">
      <c r="A3362"/>
      <c r="B3362"/>
      <c r="C3362"/>
      <c r="D3362"/>
      <c r="E3362"/>
      <c r="F3362"/>
      <c r="G3362"/>
      <c r="H3362"/>
      <c r="I3362"/>
    </row>
    <row r="3363" spans="1:9" s="47" customFormat="1" ht="14.4" x14ac:dyDescent="0.3">
      <c r="A3363"/>
      <c r="B3363"/>
      <c r="C3363"/>
      <c r="D3363"/>
      <c r="E3363"/>
      <c r="F3363"/>
      <c r="G3363"/>
      <c r="H3363"/>
      <c r="I3363"/>
    </row>
    <row r="3364" spans="1:9" s="47" customFormat="1" ht="14.4" x14ac:dyDescent="0.3">
      <c r="A3364"/>
      <c r="B3364"/>
      <c r="C3364"/>
      <c r="D3364"/>
      <c r="E3364"/>
      <c r="F3364"/>
      <c r="G3364"/>
      <c r="H3364"/>
      <c r="I3364"/>
    </row>
    <row r="3365" spans="1:9" s="47" customFormat="1" ht="14.4" x14ac:dyDescent="0.3">
      <c r="A3365"/>
      <c r="B3365"/>
      <c r="C3365"/>
      <c r="D3365"/>
      <c r="E3365"/>
      <c r="F3365"/>
      <c r="G3365"/>
      <c r="H3365"/>
      <c r="I3365"/>
    </row>
    <row r="3366" spans="1:9" s="47" customFormat="1" ht="14.4" x14ac:dyDescent="0.3">
      <c r="A3366"/>
      <c r="B3366"/>
      <c r="C3366"/>
      <c r="D3366"/>
      <c r="E3366"/>
      <c r="F3366"/>
      <c r="G3366"/>
      <c r="H3366"/>
      <c r="I3366"/>
    </row>
    <row r="3367" spans="1:9" s="47" customFormat="1" ht="14.4" x14ac:dyDescent="0.3">
      <c r="A3367"/>
      <c r="B3367"/>
      <c r="C3367"/>
      <c r="D3367"/>
      <c r="E3367"/>
      <c r="F3367"/>
      <c r="G3367"/>
      <c r="H3367"/>
      <c r="I3367"/>
    </row>
    <row r="3368" spans="1:9" s="47" customFormat="1" ht="14.4" x14ac:dyDescent="0.3">
      <c r="A3368"/>
      <c r="B3368"/>
      <c r="C3368"/>
      <c r="D3368"/>
      <c r="E3368"/>
      <c r="F3368"/>
      <c r="G3368"/>
      <c r="H3368"/>
      <c r="I3368"/>
    </row>
    <row r="3369" spans="1:9" s="47" customFormat="1" ht="14.4" x14ac:dyDescent="0.3">
      <c r="A3369"/>
      <c r="B3369"/>
      <c r="C3369"/>
      <c r="D3369"/>
      <c r="E3369"/>
      <c r="F3369"/>
      <c r="G3369"/>
      <c r="H3369"/>
      <c r="I3369"/>
    </row>
    <row r="3370" spans="1:9" s="47" customFormat="1" ht="14.4" x14ac:dyDescent="0.3">
      <c r="A3370"/>
      <c r="B3370"/>
      <c r="C3370"/>
      <c r="D3370"/>
      <c r="E3370"/>
      <c r="F3370"/>
      <c r="G3370"/>
      <c r="H3370"/>
      <c r="I3370"/>
    </row>
    <row r="3371" spans="1:9" s="47" customFormat="1" ht="14.4" x14ac:dyDescent="0.3">
      <c r="A3371"/>
      <c r="B3371"/>
      <c r="C3371"/>
      <c r="D3371"/>
      <c r="E3371"/>
      <c r="F3371"/>
      <c r="G3371"/>
      <c r="H3371"/>
      <c r="I3371"/>
    </row>
    <row r="3372" spans="1:9" s="47" customFormat="1" ht="14.4" x14ac:dyDescent="0.3">
      <c r="A3372"/>
      <c r="B3372"/>
      <c r="C3372"/>
      <c r="D3372"/>
      <c r="E3372"/>
      <c r="F3372"/>
      <c r="G3372"/>
      <c r="H3372"/>
      <c r="I3372"/>
    </row>
    <row r="3373" spans="1:9" s="47" customFormat="1" ht="14.4" x14ac:dyDescent="0.3">
      <c r="A3373"/>
      <c r="B3373"/>
      <c r="C3373"/>
      <c r="D3373"/>
      <c r="E3373"/>
      <c r="F3373"/>
      <c r="G3373"/>
      <c r="H3373"/>
      <c r="I3373"/>
    </row>
    <row r="3374" spans="1:9" s="47" customFormat="1" ht="14.4" x14ac:dyDescent="0.3">
      <c r="A3374"/>
      <c r="B3374"/>
      <c r="C3374"/>
      <c r="D3374"/>
      <c r="E3374"/>
      <c r="F3374"/>
      <c r="G3374"/>
      <c r="H3374"/>
      <c r="I3374"/>
    </row>
    <row r="3375" spans="1:9" s="47" customFormat="1" ht="14.4" x14ac:dyDescent="0.3">
      <c r="A3375"/>
      <c r="B3375"/>
      <c r="C3375"/>
      <c r="D3375"/>
      <c r="E3375"/>
      <c r="F3375"/>
      <c r="G3375"/>
      <c r="H3375"/>
      <c r="I3375"/>
    </row>
    <row r="3376" spans="1:9" s="47" customFormat="1" ht="14.4" x14ac:dyDescent="0.3">
      <c r="A3376"/>
      <c r="B3376"/>
      <c r="C3376"/>
      <c r="D3376"/>
      <c r="E3376"/>
      <c r="F3376"/>
      <c r="G3376"/>
      <c r="H3376"/>
      <c r="I3376"/>
    </row>
    <row r="3377" spans="1:9" s="47" customFormat="1" ht="14.4" x14ac:dyDescent="0.3">
      <c r="A3377"/>
      <c r="B3377"/>
      <c r="C3377"/>
      <c r="D3377"/>
      <c r="E3377"/>
      <c r="F3377"/>
      <c r="G3377"/>
      <c r="H3377"/>
      <c r="I3377"/>
    </row>
    <row r="3378" spans="1:9" s="47" customFormat="1" ht="14.4" x14ac:dyDescent="0.3">
      <c r="A3378"/>
      <c r="B3378"/>
      <c r="C3378"/>
      <c r="D3378"/>
      <c r="E3378"/>
      <c r="F3378"/>
      <c r="G3378"/>
      <c r="H3378"/>
      <c r="I3378"/>
    </row>
    <row r="3379" spans="1:9" s="47" customFormat="1" ht="14.4" x14ac:dyDescent="0.3">
      <c r="A3379"/>
      <c r="B3379"/>
      <c r="C3379"/>
      <c r="D3379"/>
      <c r="E3379"/>
      <c r="F3379"/>
      <c r="G3379"/>
      <c r="H3379"/>
      <c r="I3379"/>
    </row>
    <row r="3380" spans="1:9" s="47" customFormat="1" ht="14.4" x14ac:dyDescent="0.3">
      <c r="A3380"/>
      <c r="B3380"/>
      <c r="C3380"/>
      <c r="D3380"/>
      <c r="E3380"/>
      <c r="F3380"/>
      <c r="G3380"/>
      <c r="H3380"/>
      <c r="I3380"/>
    </row>
    <row r="3381" spans="1:9" s="47" customFormat="1" ht="14.4" x14ac:dyDescent="0.3">
      <c r="A3381"/>
      <c r="B3381"/>
      <c r="C3381"/>
      <c r="D3381"/>
      <c r="E3381"/>
      <c r="F3381"/>
      <c r="G3381"/>
      <c r="H3381"/>
      <c r="I3381"/>
    </row>
    <row r="3382" spans="1:9" s="47" customFormat="1" ht="14.4" x14ac:dyDescent="0.3">
      <c r="A3382"/>
      <c r="B3382"/>
      <c r="C3382"/>
      <c r="D3382"/>
      <c r="E3382"/>
      <c r="F3382"/>
      <c r="G3382"/>
      <c r="H3382"/>
      <c r="I3382"/>
    </row>
    <row r="3383" spans="1:9" s="47" customFormat="1" ht="14.4" x14ac:dyDescent="0.3">
      <c r="A3383"/>
      <c r="B3383"/>
      <c r="C3383"/>
      <c r="D3383"/>
      <c r="E3383"/>
      <c r="F3383"/>
      <c r="G3383"/>
      <c r="H3383"/>
      <c r="I3383"/>
    </row>
    <row r="3384" spans="1:9" s="47" customFormat="1" ht="14.4" x14ac:dyDescent="0.3">
      <c r="A3384"/>
      <c r="B3384"/>
      <c r="C3384"/>
      <c r="D3384"/>
      <c r="E3384"/>
      <c r="F3384"/>
      <c r="G3384"/>
      <c r="H3384"/>
      <c r="I3384"/>
    </row>
    <row r="3385" spans="1:9" s="47" customFormat="1" ht="14.4" x14ac:dyDescent="0.3">
      <c r="A3385"/>
      <c r="B3385"/>
      <c r="C3385"/>
      <c r="D3385"/>
      <c r="E3385"/>
      <c r="F3385"/>
      <c r="G3385"/>
      <c r="H3385"/>
      <c r="I3385"/>
    </row>
    <row r="3386" spans="1:9" s="47" customFormat="1" ht="14.4" x14ac:dyDescent="0.3">
      <c r="A3386"/>
      <c r="B3386"/>
      <c r="C3386"/>
      <c r="D3386"/>
      <c r="E3386"/>
      <c r="F3386"/>
      <c r="G3386"/>
      <c r="H3386"/>
      <c r="I3386"/>
    </row>
    <row r="3387" spans="1:9" s="47" customFormat="1" ht="14.4" x14ac:dyDescent="0.3">
      <c r="A3387"/>
      <c r="B3387"/>
      <c r="C3387"/>
      <c r="D3387"/>
      <c r="E3387"/>
      <c r="F3387"/>
      <c r="G3387"/>
      <c r="H3387"/>
      <c r="I3387"/>
    </row>
    <row r="3388" spans="1:9" s="47" customFormat="1" ht="14.4" x14ac:dyDescent="0.3">
      <c r="A3388"/>
      <c r="B3388"/>
      <c r="C3388"/>
      <c r="D3388"/>
      <c r="E3388"/>
      <c r="F3388"/>
      <c r="G3388"/>
      <c r="H3388"/>
      <c r="I3388"/>
    </row>
    <row r="3389" spans="1:9" s="47" customFormat="1" ht="14.4" x14ac:dyDescent="0.3">
      <c r="A3389"/>
      <c r="B3389"/>
      <c r="C3389"/>
      <c r="D3389"/>
      <c r="E3389"/>
      <c r="F3389"/>
      <c r="G3389"/>
      <c r="H3389"/>
      <c r="I3389"/>
    </row>
    <row r="3390" spans="1:9" s="47" customFormat="1" ht="14.4" x14ac:dyDescent="0.3">
      <c r="A3390"/>
      <c r="B3390"/>
      <c r="C3390"/>
      <c r="D3390"/>
      <c r="E3390"/>
      <c r="F3390"/>
      <c r="G3390"/>
      <c r="H3390"/>
      <c r="I3390"/>
    </row>
    <row r="3391" spans="1:9" s="47" customFormat="1" ht="14.4" x14ac:dyDescent="0.3">
      <c r="A3391"/>
      <c r="B3391"/>
      <c r="C3391"/>
      <c r="D3391"/>
      <c r="E3391"/>
      <c r="F3391"/>
      <c r="G3391"/>
      <c r="H3391"/>
      <c r="I3391"/>
    </row>
    <row r="3392" spans="1:9" s="47" customFormat="1" ht="14.4" x14ac:dyDescent="0.3">
      <c r="A3392"/>
      <c r="B3392"/>
      <c r="C3392"/>
      <c r="D3392"/>
      <c r="E3392"/>
      <c r="F3392"/>
      <c r="G3392"/>
      <c r="H3392"/>
      <c r="I3392"/>
    </row>
    <row r="3393" spans="1:9" s="47" customFormat="1" ht="14.4" x14ac:dyDescent="0.3">
      <c r="A3393"/>
      <c r="B3393"/>
      <c r="C3393"/>
      <c r="D3393"/>
      <c r="E3393"/>
      <c r="F3393"/>
      <c r="G3393"/>
      <c r="H3393"/>
      <c r="I3393"/>
    </row>
    <row r="3394" spans="1:9" s="47" customFormat="1" ht="14.4" x14ac:dyDescent="0.3">
      <c r="A3394"/>
      <c r="B3394"/>
      <c r="C3394"/>
      <c r="D3394"/>
      <c r="E3394"/>
      <c r="F3394"/>
      <c r="G3394"/>
      <c r="H3394"/>
      <c r="I3394"/>
    </row>
    <row r="3395" spans="1:9" s="47" customFormat="1" ht="14.4" x14ac:dyDescent="0.3">
      <c r="A3395"/>
      <c r="B3395"/>
      <c r="C3395"/>
      <c r="D3395"/>
      <c r="E3395"/>
      <c r="F3395"/>
      <c r="G3395"/>
      <c r="H3395"/>
      <c r="I3395"/>
    </row>
    <row r="3396" spans="1:9" s="47" customFormat="1" ht="14.4" x14ac:dyDescent="0.3">
      <c r="A3396"/>
      <c r="B3396"/>
      <c r="C3396"/>
      <c r="D3396"/>
      <c r="E3396"/>
      <c r="F3396"/>
      <c r="G3396"/>
      <c r="H3396"/>
      <c r="I3396"/>
    </row>
    <row r="3397" spans="1:9" s="47" customFormat="1" ht="14.4" x14ac:dyDescent="0.3">
      <c r="A3397"/>
      <c r="B3397"/>
      <c r="C3397"/>
      <c r="D3397"/>
      <c r="E3397"/>
      <c r="F3397"/>
      <c r="G3397"/>
      <c r="H3397"/>
      <c r="I3397"/>
    </row>
    <row r="3398" spans="1:9" s="47" customFormat="1" ht="14.4" x14ac:dyDescent="0.3">
      <c r="A3398"/>
      <c r="B3398"/>
      <c r="C3398"/>
      <c r="D3398"/>
      <c r="E3398"/>
      <c r="F3398"/>
      <c r="G3398"/>
      <c r="H3398"/>
      <c r="I3398"/>
    </row>
    <row r="3399" spans="1:9" s="47" customFormat="1" ht="14.4" x14ac:dyDescent="0.3">
      <c r="A3399"/>
      <c r="B3399"/>
      <c r="C3399"/>
      <c r="D3399"/>
      <c r="E3399"/>
      <c r="F3399"/>
      <c r="G3399"/>
      <c r="H3399"/>
      <c r="I3399"/>
    </row>
    <row r="3400" spans="1:9" s="47" customFormat="1" ht="14.4" x14ac:dyDescent="0.3">
      <c r="A3400"/>
      <c r="B3400"/>
      <c r="C3400"/>
      <c r="D3400"/>
      <c r="E3400"/>
      <c r="F3400"/>
      <c r="G3400"/>
      <c r="H3400"/>
      <c r="I3400"/>
    </row>
    <row r="3401" spans="1:9" s="47" customFormat="1" ht="14.4" x14ac:dyDescent="0.3">
      <c r="A3401"/>
      <c r="B3401"/>
      <c r="C3401"/>
      <c r="D3401"/>
      <c r="E3401"/>
      <c r="F3401"/>
      <c r="G3401"/>
      <c r="H3401"/>
      <c r="I3401"/>
    </row>
    <row r="3402" spans="1:9" s="47" customFormat="1" ht="14.4" x14ac:dyDescent="0.3">
      <c r="A3402"/>
      <c r="B3402"/>
      <c r="C3402"/>
      <c r="D3402"/>
      <c r="E3402"/>
      <c r="F3402"/>
      <c r="G3402"/>
      <c r="H3402"/>
      <c r="I3402"/>
    </row>
    <row r="3403" spans="1:9" s="47" customFormat="1" ht="14.4" x14ac:dyDescent="0.3">
      <c r="A3403"/>
      <c r="B3403"/>
      <c r="C3403"/>
      <c r="D3403"/>
      <c r="E3403"/>
      <c r="F3403"/>
      <c r="G3403"/>
      <c r="H3403"/>
      <c r="I3403"/>
    </row>
    <row r="3404" spans="1:9" s="47" customFormat="1" ht="14.4" x14ac:dyDescent="0.3">
      <c r="A3404"/>
      <c r="B3404"/>
      <c r="C3404"/>
      <c r="D3404"/>
      <c r="E3404"/>
      <c r="F3404"/>
      <c r="G3404"/>
      <c r="H3404"/>
      <c r="I3404"/>
    </row>
    <row r="3405" spans="1:9" s="47" customFormat="1" ht="14.4" x14ac:dyDescent="0.3">
      <c r="A3405"/>
      <c r="B3405"/>
      <c r="C3405"/>
      <c r="D3405"/>
      <c r="E3405"/>
      <c r="F3405"/>
      <c r="G3405"/>
      <c r="H3405"/>
      <c r="I3405"/>
    </row>
    <row r="3406" spans="1:9" s="47" customFormat="1" ht="14.4" x14ac:dyDescent="0.3">
      <c r="A3406"/>
      <c r="B3406"/>
      <c r="C3406"/>
      <c r="D3406"/>
      <c r="E3406"/>
      <c r="F3406"/>
      <c r="G3406"/>
      <c r="H3406"/>
      <c r="I3406"/>
    </row>
    <row r="3407" spans="1:9" s="47" customFormat="1" ht="14.4" x14ac:dyDescent="0.3">
      <c r="A3407"/>
      <c r="B3407"/>
      <c r="C3407"/>
      <c r="D3407"/>
      <c r="E3407"/>
      <c r="F3407"/>
      <c r="G3407"/>
      <c r="H3407"/>
      <c r="I3407"/>
    </row>
    <row r="3408" spans="1:9" s="47" customFormat="1" ht="14.4" x14ac:dyDescent="0.3">
      <c r="A3408"/>
      <c r="B3408"/>
      <c r="C3408"/>
      <c r="D3408"/>
      <c r="E3408"/>
      <c r="F3408"/>
      <c r="G3408"/>
      <c r="H3408"/>
      <c r="I3408"/>
    </row>
    <row r="3409" spans="1:9" s="47" customFormat="1" ht="14.4" x14ac:dyDescent="0.3">
      <c r="A3409"/>
      <c r="B3409"/>
      <c r="C3409"/>
      <c r="D3409"/>
      <c r="E3409"/>
      <c r="F3409"/>
      <c r="G3409"/>
      <c r="H3409"/>
      <c r="I3409"/>
    </row>
    <row r="3410" spans="1:9" s="47" customFormat="1" ht="14.4" x14ac:dyDescent="0.3">
      <c r="A3410"/>
      <c r="B3410"/>
      <c r="C3410"/>
      <c r="D3410"/>
      <c r="E3410"/>
      <c r="F3410"/>
      <c r="G3410"/>
      <c r="H3410"/>
      <c r="I3410"/>
    </row>
    <row r="3411" spans="1:9" s="47" customFormat="1" ht="14.4" x14ac:dyDescent="0.3">
      <c r="A3411"/>
      <c r="B3411"/>
      <c r="C3411"/>
      <c r="D3411"/>
      <c r="E3411"/>
      <c r="F3411"/>
      <c r="G3411"/>
      <c r="H3411"/>
      <c r="I3411"/>
    </row>
    <row r="3412" spans="1:9" s="47" customFormat="1" ht="14.4" x14ac:dyDescent="0.3">
      <c r="A3412"/>
      <c r="B3412"/>
      <c r="C3412"/>
      <c r="D3412"/>
      <c r="E3412"/>
      <c r="F3412"/>
      <c r="G3412"/>
      <c r="H3412"/>
      <c r="I3412"/>
    </row>
    <row r="3413" spans="1:9" s="47" customFormat="1" ht="14.4" x14ac:dyDescent="0.3">
      <c r="A3413"/>
      <c r="B3413"/>
      <c r="C3413"/>
      <c r="D3413"/>
      <c r="E3413"/>
      <c r="F3413"/>
      <c r="G3413"/>
      <c r="H3413"/>
      <c r="I3413"/>
    </row>
    <row r="3414" spans="1:9" s="47" customFormat="1" ht="14.4" x14ac:dyDescent="0.3">
      <c r="A3414"/>
      <c r="B3414"/>
      <c r="C3414"/>
      <c r="D3414"/>
      <c r="E3414"/>
      <c r="F3414"/>
      <c r="G3414"/>
      <c r="H3414"/>
      <c r="I3414"/>
    </row>
    <row r="3415" spans="1:9" s="47" customFormat="1" ht="14.4" x14ac:dyDescent="0.3">
      <c r="A3415"/>
      <c r="B3415"/>
      <c r="C3415"/>
      <c r="D3415"/>
      <c r="E3415"/>
      <c r="F3415"/>
      <c r="G3415"/>
      <c r="H3415"/>
      <c r="I3415"/>
    </row>
    <row r="3416" spans="1:9" s="47" customFormat="1" ht="14.4" x14ac:dyDescent="0.3">
      <c r="A3416"/>
      <c r="B3416"/>
      <c r="C3416"/>
      <c r="D3416"/>
      <c r="E3416"/>
      <c r="F3416"/>
      <c r="G3416"/>
      <c r="H3416"/>
      <c r="I3416"/>
    </row>
    <row r="3417" spans="1:9" s="47" customFormat="1" ht="14.4" x14ac:dyDescent="0.3">
      <c r="A3417"/>
      <c r="B3417"/>
      <c r="C3417"/>
      <c r="D3417"/>
      <c r="E3417"/>
      <c r="F3417"/>
      <c r="G3417"/>
      <c r="H3417"/>
      <c r="I3417"/>
    </row>
    <row r="3418" spans="1:9" s="47" customFormat="1" ht="14.4" x14ac:dyDescent="0.3">
      <c r="A3418"/>
      <c r="B3418"/>
      <c r="C3418"/>
      <c r="D3418"/>
      <c r="E3418"/>
      <c r="F3418"/>
      <c r="G3418"/>
      <c r="H3418"/>
      <c r="I3418"/>
    </row>
    <row r="3419" spans="1:9" s="47" customFormat="1" ht="14.4" x14ac:dyDescent="0.3">
      <c r="A3419"/>
      <c r="B3419"/>
      <c r="C3419"/>
      <c r="D3419"/>
      <c r="E3419"/>
      <c r="F3419"/>
      <c r="G3419"/>
      <c r="H3419"/>
      <c r="I3419"/>
    </row>
    <row r="3420" spans="1:9" s="47" customFormat="1" ht="14.4" x14ac:dyDescent="0.3">
      <c r="A3420"/>
      <c r="B3420"/>
      <c r="C3420"/>
      <c r="D3420"/>
      <c r="E3420"/>
      <c r="F3420"/>
      <c r="G3420"/>
      <c r="H3420"/>
      <c r="I3420"/>
    </row>
    <row r="3421" spans="1:9" s="47" customFormat="1" ht="14.4" x14ac:dyDescent="0.3">
      <c r="A3421"/>
      <c r="B3421"/>
      <c r="C3421"/>
      <c r="D3421"/>
      <c r="E3421"/>
      <c r="F3421"/>
      <c r="G3421"/>
      <c r="H3421"/>
      <c r="I3421"/>
    </row>
    <row r="3422" spans="1:9" s="47" customFormat="1" ht="14.4" x14ac:dyDescent="0.3">
      <c r="A3422"/>
      <c r="B3422"/>
      <c r="C3422"/>
      <c r="D3422"/>
      <c r="E3422"/>
      <c r="F3422"/>
      <c r="G3422"/>
      <c r="H3422"/>
      <c r="I3422"/>
    </row>
    <row r="3423" spans="1:9" s="47" customFormat="1" ht="14.4" x14ac:dyDescent="0.3">
      <c r="A3423"/>
      <c r="B3423"/>
      <c r="C3423"/>
      <c r="D3423"/>
      <c r="E3423"/>
      <c r="F3423"/>
      <c r="G3423"/>
      <c r="H3423"/>
      <c r="I3423"/>
    </row>
    <row r="3424" spans="1:9" s="47" customFormat="1" ht="14.4" x14ac:dyDescent="0.3">
      <c r="A3424"/>
      <c r="B3424"/>
      <c r="C3424"/>
      <c r="D3424"/>
      <c r="E3424"/>
      <c r="F3424"/>
      <c r="G3424"/>
      <c r="H3424"/>
      <c r="I3424"/>
    </row>
    <row r="3425" spans="1:9" s="47" customFormat="1" ht="14.4" x14ac:dyDescent="0.3">
      <c r="A3425"/>
      <c r="B3425"/>
      <c r="C3425"/>
      <c r="D3425"/>
      <c r="E3425"/>
      <c r="F3425"/>
      <c r="G3425"/>
      <c r="H3425"/>
      <c r="I3425"/>
    </row>
    <row r="3426" spans="1:9" s="47" customFormat="1" ht="14.4" x14ac:dyDescent="0.3">
      <c r="A3426"/>
      <c r="B3426"/>
      <c r="C3426"/>
      <c r="D3426"/>
      <c r="E3426"/>
      <c r="F3426"/>
      <c r="G3426"/>
      <c r="H3426"/>
      <c r="I3426"/>
    </row>
    <row r="3427" spans="1:9" s="47" customFormat="1" ht="14.4" x14ac:dyDescent="0.3">
      <c r="A3427"/>
      <c r="B3427"/>
      <c r="C3427"/>
      <c r="D3427"/>
      <c r="E3427"/>
      <c r="F3427"/>
      <c r="G3427"/>
      <c r="H3427"/>
      <c r="I3427"/>
    </row>
    <row r="3428" spans="1:9" s="47" customFormat="1" ht="14.4" x14ac:dyDescent="0.3">
      <c r="A3428"/>
      <c r="B3428"/>
      <c r="C3428"/>
      <c r="D3428"/>
      <c r="E3428"/>
      <c r="F3428"/>
      <c r="G3428"/>
      <c r="H3428"/>
      <c r="I3428"/>
    </row>
    <row r="3429" spans="1:9" s="47" customFormat="1" ht="14.4" x14ac:dyDescent="0.3">
      <c r="A3429"/>
      <c r="B3429"/>
      <c r="C3429"/>
      <c r="D3429"/>
      <c r="E3429"/>
      <c r="F3429"/>
      <c r="G3429"/>
      <c r="H3429"/>
      <c r="I3429"/>
    </row>
    <row r="3430" spans="1:9" s="47" customFormat="1" ht="14.4" x14ac:dyDescent="0.3">
      <c r="A3430"/>
      <c r="B3430"/>
      <c r="C3430"/>
      <c r="D3430"/>
      <c r="E3430"/>
      <c r="F3430"/>
      <c r="G3430"/>
      <c r="H3430"/>
      <c r="I3430"/>
    </row>
    <row r="3431" spans="1:9" s="47" customFormat="1" ht="14.4" x14ac:dyDescent="0.3">
      <c r="A3431"/>
      <c r="B3431"/>
      <c r="C3431"/>
      <c r="D3431"/>
      <c r="E3431"/>
      <c r="F3431"/>
      <c r="G3431"/>
      <c r="H3431"/>
      <c r="I3431"/>
    </row>
    <row r="3432" spans="1:9" s="47" customFormat="1" ht="14.4" x14ac:dyDescent="0.3">
      <c r="A3432"/>
      <c r="B3432"/>
      <c r="C3432"/>
      <c r="D3432"/>
      <c r="E3432"/>
      <c r="F3432"/>
      <c r="G3432"/>
      <c r="H3432"/>
      <c r="I3432"/>
    </row>
    <row r="3433" spans="1:9" s="47" customFormat="1" ht="14.4" x14ac:dyDescent="0.3">
      <c r="A3433"/>
      <c r="B3433"/>
      <c r="C3433"/>
      <c r="D3433"/>
      <c r="E3433"/>
      <c r="F3433"/>
      <c r="G3433"/>
      <c r="H3433"/>
      <c r="I3433"/>
    </row>
    <row r="3434" spans="1:9" s="47" customFormat="1" ht="14.4" x14ac:dyDescent="0.3">
      <c r="A3434"/>
      <c r="B3434"/>
      <c r="C3434"/>
      <c r="D3434"/>
      <c r="E3434"/>
      <c r="F3434"/>
      <c r="G3434"/>
      <c r="H3434"/>
      <c r="I3434"/>
    </row>
    <row r="3435" spans="1:9" s="47" customFormat="1" ht="14.4" x14ac:dyDescent="0.3">
      <c r="A3435"/>
      <c r="B3435"/>
      <c r="C3435"/>
      <c r="D3435"/>
      <c r="E3435"/>
      <c r="F3435"/>
      <c r="G3435"/>
      <c r="H3435"/>
      <c r="I3435"/>
    </row>
    <row r="3436" spans="1:9" s="47" customFormat="1" ht="14.4" x14ac:dyDescent="0.3">
      <c r="A3436"/>
      <c r="B3436"/>
      <c r="C3436"/>
      <c r="D3436"/>
      <c r="E3436"/>
      <c r="F3436"/>
      <c r="G3436"/>
      <c r="H3436"/>
      <c r="I3436"/>
    </row>
    <row r="3437" spans="1:9" s="47" customFormat="1" ht="14.4" x14ac:dyDescent="0.3">
      <c r="A3437"/>
      <c r="B3437"/>
      <c r="C3437"/>
      <c r="D3437"/>
      <c r="E3437"/>
      <c r="F3437"/>
      <c r="G3437"/>
      <c r="H3437"/>
      <c r="I3437"/>
    </row>
    <row r="3438" spans="1:9" s="47" customFormat="1" ht="14.4" x14ac:dyDescent="0.3">
      <c r="A3438"/>
      <c r="B3438"/>
      <c r="C3438"/>
      <c r="D3438"/>
      <c r="E3438"/>
      <c r="F3438"/>
      <c r="G3438"/>
      <c r="H3438"/>
      <c r="I3438"/>
    </row>
    <row r="3439" spans="1:9" s="47" customFormat="1" ht="14.4" x14ac:dyDescent="0.3">
      <c r="A3439"/>
      <c r="B3439"/>
      <c r="C3439"/>
      <c r="D3439"/>
      <c r="E3439"/>
      <c r="F3439"/>
      <c r="G3439"/>
      <c r="H3439"/>
      <c r="I3439"/>
    </row>
    <row r="3440" spans="1:9" s="47" customFormat="1" ht="14.4" x14ac:dyDescent="0.3">
      <c r="A3440"/>
      <c r="B3440"/>
      <c r="C3440"/>
      <c r="D3440"/>
      <c r="E3440"/>
      <c r="F3440"/>
      <c r="G3440"/>
      <c r="H3440"/>
      <c r="I3440"/>
    </row>
    <row r="3441" spans="1:9" s="47" customFormat="1" ht="14.4" x14ac:dyDescent="0.3">
      <c r="A3441"/>
      <c r="B3441"/>
      <c r="C3441"/>
      <c r="D3441"/>
      <c r="E3441"/>
      <c r="F3441"/>
      <c r="G3441"/>
      <c r="H3441"/>
      <c r="I3441"/>
    </row>
    <row r="3442" spans="1:9" s="47" customFormat="1" ht="14.4" x14ac:dyDescent="0.3">
      <c r="A3442"/>
      <c r="B3442"/>
      <c r="C3442"/>
      <c r="D3442"/>
      <c r="E3442"/>
      <c r="F3442"/>
      <c r="G3442"/>
      <c r="H3442"/>
      <c r="I3442"/>
    </row>
    <row r="3443" spans="1:9" s="47" customFormat="1" ht="14.4" x14ac:dyDescent="0.3">
      <c r="A3443"/>
      <c r="B3443"/>
      <c r="C3443"/>
      <c r="D3443"/>
      <c r="E3443"/>
      <c r="F3443"/>
      <c r="G3443"/>
      <c r="H3443"/>
      <c r="I3443"/>
    </row>
    <row r="3444" spans="1:9" s="47" customFormat="1" ht="14.4" x14ac:dyDescent="0.3">
      <c r="A3444"/>
      <c r="B3444"/>
      <c r="C3444"/>
      <c r="D3444"/>
      <c r="E3444"/>
      <c r="F3444"/>
      <c r="G3444"/>
      <c r="H3444"/>
      <c r="I3444"/>
    </row>
    <row r="3445" spans="1:9" s="47" customFormat="1" ht="14.4" x14ac:dyDescent="0.3">
      <c r="A3445"/>
      <c r="B3445"/>
      <c r="C3445"/>
      <c r="D3445"/>
      <c r="E3445"/>
      <c r="F3445"/>
      <c r="G3445"/>
      <c r="H3445"/>
      <c r="I3445"/>
    </row>
    <row r="3446" spans="1:9" s="47" customFormat="1" ht="14.4" x14ac:dyDescent="0.3">
      <c r="A3446"/>
      <c r="B3446"/>
      <c r="C3446"/>
      <c r="D3446"/>
      <c r="E3446"/>
      <c r="F3446"/>
      <c r="G3446"/>
      <c r="H3446"/>
      <c r="I3446"/>
    </row>
    <row r="3447" spans="1:9" s="47" customFormat="1" ht="14.4" x14ac:dyDescent="0.3">
      <c r="A3447"/>
      <c r="B3447"/>
      <c r="C3447"/>
      <c r="D3447"/>
      <c r="E3447"/>
      <c r="F3447"/>
      <c r="G3447"/>
      <c r="H3447"/>
      <c r="I3447"/>
    </row>
    <row r="3448" spans="1:9" s="47" customFormat="1" ht="14.4" x14ac:dyDescent="0.3">
      <c r="A3448"/>
      <c r="B3448"/>
      <c r="C3448"/>
      <c r="D3448"/>
      <c r="E3448"/>
      <c r="F3448"/>
      <c r="G3448"/>
      <c r="H3448"/>
      <c r="I3448"/>
    </row>
    <row r="3449" spans="1:9" s="47" customFormat="1" ht="14.4" x14ac:dyDescent="0.3">
      <c r="A3449"/>
      <c r="B3449"/>
      <c r="C3449"/>
      <c r="D3449"/>
      <c r="E3449"/>
      <c r="F3449"/>
      <c r="G3449"/>
      <c r="H3449"/>
      <c r="I3449"/>
    </row>
    <row r="3450" spans="1:9" s="47" customFormat="1" ht="14.4" x14ac:dyDescent="0.3">
      <c r="A3450"/>
      <c r="B3450"/>
      <c r="C3450"/>
      <c r="D3450"/>
      <c r="E3450"/>
      <c r="F3450"/>
      <c r="G3450"/>
      <c r="H3450"/>
      <c r="I3450"/>
    </row>
    <row r="3451" spans="1:9" s="47" customFormat="1" ht="14.4" x14ac:dyDescent="0.3">
      <c r="A3451"/>
      <c r="B3451"/>
      <c r="C3451"/>
      <c r="D3451"/>
      <c r="E3451"/>
      <c r="F3451"/>
      <c r="G3451"/>
      <c r="H3451"/>
      <c r="I3451"/>
    </row>
    <row r="3452" spans="1:9" s="47" customFormat="1" ht="14.4" x14ac:dyDescent="0.3">
      <c r="A3452"/>
      <c r="B3452"/>
      <c r="C3452"/>
      <c r="D3452"/>
      <c r="E3452"/>
      <c r="F3452"/>
      <c r="G3452"/>
      <c r="H3452"/>
      <c r="I3452"/>
    </row>
    <row r="3453" spans="1:9" s="47" customFormat="1" ht="14.4" x14ac:dyDescent="0.3">
      <c r="A3453"/>
      <c r="B3453"/>
      <c r="C3453"/>
      <c r="D3453"/>
      <c r="E3453"/>
      <c r="F3453"/>
      <c r="G3453"/>
      <c r="H3453"/>
      <c r="I3453"/>
    </row>
    <row r="3454" spans="1:9" s="47" customFormat="1" ht="14.4" x14ac:dyDescent="0.3">
      <c r="A3454"/>
      <c r="B3454"/>
      <c r="C3454"/>
      <c r="D3454"/>
      <c r="E3454"/>
      <c r="F3454"/>
      <c r="G3454"/>
      <c r="H3454"/>
      <c r="I3454"/>
    </row>
    <row r="3455" spans="1:9" s="47" customFormat="1" ht="14.4" x14ac:dyDescent="0.3">
      <c r="A3455"/>
      <c r="B3455"/>
      <c r="C3455"/>
      <c r="D3455"/>
      <c r="E3455"/>
      <c r="F3455"/>
      <c r="G3455"/>
      <c r="H3455"/>
      <c r="I3455"/>
    </row>
    <row r="3456" spans="1:9" s="47" customFormat="1" ht="14.4" x14ac:dyDescent="0.3">
      <c r="A3456"/>
      <c r="B3456"/>
      <c r="C3456"/>
      <c r="D3456"/>
      <c r="E3456"/>
      <c r="F3456"/>
      <c r="G3456"/>
      <c r="H3456"/>
      <c r="I3456"/>
    </row>
    <row r="3457" spans="1:9" s="47" customFormat="1" ht="14.4" x14ac:dyDescent="0.3">
      <c r="A3457"/>
      <c r="B3457"/>
      <c r="C3457"/>
      <c r="D3457"/>
      <c r="E3457"/>
      <c r="F3457"/>
      <c r="G3457"/>
      <c r="H3457"/>
      <c r="I3457"/>
    </row>
    <row r="3458" spans="1:9" s="47" customFormat="1" ht="14.4" x14ac:dyDescent="0.3">
      <c r="A3458"/>
      <c r="B3458"/>
      <c r="C3458"/>
      <c r="D3458"/>
      <c r="E3458"/>
      <c r="F3458"/>
      <c r="G3458"/>
      <c r="H3458"/>
      <c r="I3458"/>
    </row>
    <row r="3459" spans="1:9" s="47" customFormat="1" ht="14.4" x14ac:dyDescent="0.3">
      <c r="A3459"/>
      <c r="B3459"/>
      <c r="C3459"/>
      <c r="D3459"/>
      <c r="E3459"/>
      <c r="F3459"/>
      <c r="G3459"/>
      <c r="H3459"/>
      <c r="I3459"/>
    </row>
    <row r="3460" spans="1:9" s="47" customFormat="1" ht="14.4" x14ac:dyDescent="0.3">
      <c r="A3460"/>
      <c r="B3460"/>
      <c r="C3460"/>
      <c r="D3460"/>
      <c r="E3460"/>
      <c r="F3460"/>
      <c r="G3460"/>
      <c r="H3460"/>
      <c r="I3460"/>
    </row>
    <row r="3461" spans="1:9" s="47" customFormat="1" ht="14.4" x14ac:dyDescent="0.3">
      <c r="A3461"/>
      <c r="B3461"/>
      <c r="C3461"/>
      <c r="D3461"/>
      <c r="E3461"/>
      <c r="F3461"/>
      <c r="G3461"/>
      <c r="H3461"/>
      <c r="I3461"/>
    </row>
    <row r="3462" spans="1:9" s="47" customFormat="1" ht="14.4" x14ac:dyDescent="0.3">
      <c r="A3462"/>
      <c r="B3462"/>
      <c r="C3462"/>
      <c r="D3462"/>
      <c r="E3462"/>
      <c r="F3462"/>
      <c r="G3462"/>
      <c r="H3462"/>
      <c r="I3462"/>
    </row>
    <row r="3463" spans="1:9" s="47" customFormat="1" ht="14.4" x14ac:dyDescent="0.3">
      <c r="A3463"/>
      <c r="B3463"/>
      <c r="C3463"/>
      <c r="D3463"/>
      <c r="E3463"/>
      <c r="F3463"/>
      <c r="G3463"/>
      <c r="H3463"/>
      <c r="I3463"/>
    </row>
    <row r="3464" spans="1:9" s="47" customFormat="1" ht="14.4" x14ac:dyDescent="0.3">
      <c r="A3464"/>
      <c r="B3464"/>
      <c r="C3464"/>
      <c r="D3464"/>
      <c r="E3464"/>
      <c r="F3464"/>
      <c r="G3464"/>
      <c r="H3464"/>
      <c r="I3464"/>
    </row>
    <row r="3465" spans="1:9" s="47" customFormat="1" ht="14.4" x14ac:dyDescent="0.3">
      <c r="A3465"/>
      <c r="B3465"/>
      <c r="C3465"/>
      <c r="D3465"/>
      <c r="E3465"/>
      <c r="F3465"/>
      <c r="G3465"/>
      <c r="H3465"/>
      <c r="I3465"/>
    </row>
    <row r="3466" spans="1:9" s="47" customFormat="1" ht="14.4" x14ac:dyDescent="0.3">
      <c r="A3466"/>
      <c r="B3466"/>
      <c r="C3466"/>
      <c r="D3466"/>
      <c r="E3466"/>
      <c r="F3466"/>
      <c r="G3466"/>
      <c r="H3466"/>
      <c r="I3466"/>
    </row>
    <row r="3467" spans="1:9" s="47" customFormat="1" ht="14.4" x14ac:dyDescent="0.3">
      <c r="A3467"/>
      <c r="B3467"/>
      <c r="C3467"/>
      <c r="D3467"/>
      <c r="E3467"/>
      <c r="F3467"/>
      <c r="G3467"/>
      <c r="H3467"/>
      <c r="I3467"/>
    </row>
    <row r="3468" spans="1:9" s="47" customFormat="1" ht="14.4" x14ac:dyDescent="0.3">
      <c r="A3468"/>
      <c r="B3468"/>
      <c r="C3468"/>
      <c r="D3468"/>
      <c r="E3468"/>
      <c r="F3468"/>
      <c r="G3468"/>
      <c r="H3468"/>
      <c r="I3468"/>
    </row>
    <row r="3469" spans="1:9" s="47" customFormat="1" ht="14.4" x14ac:dyDescent="0.3">
      <c r="A3469"/>
      <c r="B3469"/>
      <c r="C3469"/>
      <c r="D3469"/>
      <c r="E3469"/>
      <c r="F3469"/>
      <c r="G3469"/>
      <c r="H3469"/>
      <c r="I3469"/>
    </row>
    <row r="3470" spans="1:9" s="47" customFormat="1" ht="14.4" x14ac:dyDescent="0.3">
      <c r="A3470"/>
      <c r="B3470"/>
      <c r="C3470"/>
      <c r="D3470"/>
      <c r="E3470"/>
      <c r="F3470"/>
      <c r="G3470"/>
      <c r="H3470"/>
      <c r="I3470"/>
    </row>
    <row r="3471" spans="1:9" s="47" customFormat="1" ht="14.4" x14ac:dyDescent="0.3">
      <c r="A3471"/>
      <c r="B3471"/>
      <c r="C3471"/>
      <c r="D3471"/>
      <c r="E3471"/>
      <c r="F3471"/>
      <c r="G3471"/>
      <c r="H3471"/>
      <c r="I3471"/>
    </row>
    <row r="3472" spans="1:9" s="47" customFormat="1" ht="14.4" x14ac:dyDescent="0.3">
      <c r="A3472"/>
      <c r="B3472"/>
      <c r="C3472"/>
      <c r="D3472"/>
      <c r="E3472"/>
      <c r="F3472"/>
      <c r="G3472"/>
      <c r="H3472"/>
      <c r="I3472"/>
    </row>
    <row r="3473" spans="1:9" s="47" customFormat="1" ht="14.4" x14ac:dyDescent="0.3">
      <c r="A3473"/>
      <c r="B3473"/>
      <c r="C3473"/>
      <c r="D3473"/>
      <c r="E3473"/>
      <c r="F3473"/>
      <c r="G3473"/>
      <c r="H3473"/>
      <c r="I3473"/>
    </row>
    <row r="3474" spans="1:9" s="47" customFormat="1" ht="14.4" x14ac:dyDescent="0.3">
      <c r="A3474"/>
      <c r="B3474"/>
      <c r="C3474"/>
      <c r="D3474"/>
      <c r="E3474"/>
      <c r="F3474"/>
      <c r="G3474"/>
      <c r="H3474"/>
      <c r="I3474"/>
    </row>
    <row r="3475" spans="1:9" s="47" customFormat="1" ht="14.4" x14ac:dyDescent="0.3">
      <c r="A3475"/>
      <c r="B3475"/>
      <c r="C3475"/>
      <c r="D3475"/>
      <c r="E3475"/>
      <c r="F3475"/>
      <c r="G3475"/>
      <c r="H3475"/>
      <c r="I3475"/>
    </row>
    <row r="3476" spans="1:9" s="47" customFormat="1" ht="14.4" x14ac:dyDescent="0.3">
      <c r="A3476"/>
      <c r="B3476"/>
      <c r="C3476"/>
      <c r="D3476"/>
      <c r="E3476"/>
      <c r="F3476"/>
      <c r="G3476"/>
      <c r="H3476"/>
      <c r="I3476"/>
    </row>
    <row r="3477" spans="1:9" s="47" customFormat="1" ht="14.4" x14ac:dyDescent="0.3">
      <c r="A3477"/>
      <c r="B3477"/>
      <c r="C3477"/>
      <c r="D3477"/>
      <c r="E3477"/>
      <c r="F3477"/>
      <c r="G3477"/>
      <c r="H3477"/>
      <c r="I3477"/>
    </row>
    <row r="3478" spans="1:9" s="47" customFormat="1" ht="14.4" x14ac:dyDescent="0.3">
      <c r="A3478"/>
      <c r="B3478"/>
      <c r="C3478"/>
      <c r="D3478"/>
      <c r="E3478"/>
      <c r="F3478"/>
      <c r="G3478"/>
      <c r="H3478"/>
      <c r="I3478"/>
    </row>
    <row r="3479" spans="1:9" s="47" customFormat="1" ht="14.4" x14ac:dyDescent="0.3">
      <c r="A3479"/>
      <c r="B3479"/>
      <c r="C3479"/>
      <c r="D3479"/>
      <c r="E3479"/>
      <c r="F3479"/>
      <c r="G3479"/>
      <c r="H3479"/>
      <c r="I3479"/>
    </row>
    <row r="3480" spans="1:9" s="47" customFormat="1" ht="14.4" x14ac:dyDescent="0.3">
      <c r="A3480"/>
      <c r="B3480"/>
      <c r="C3480"/>
      <c r="D3480"/>
      <c r="E3480"/>
      <c r="F3480"/>
      <c r="G3480"/>
      <c r="H3480"/>
      <c r="I3480"/>
    </row>
    <row r="3481" spans="1:9" s="47" customFormat="1" ht="14.4" x14ac:dyDescent="0.3">
      <c r="A3481"/>
      <c r="B3481"/>
      <c r="C3481"/>
      <c r="D3481"/>
      <c r="E3481"/>
      <c r="F3481"/>
      <c r="G3481"/>
      <c r="H3481"/>
      <c r="I3481"/>
    </row>
    <row r="3482" spans="1:9" s="47" customFormat="1" ht="14.4" x14ac:dyDescent="0.3">
      <c r="A3482"/>
      <c r="B3482"/>
      <c r="C3482"/>
      <c r="D3482"/>
      <c r="E3482"/>
      <c r="F3482"/>
      <c r="G3482"/>
      <c r="H3482"/>
      <c r="I3482"/>
    </row>
    <row r="3483" spans="1:9" s="47" customFormat="1" ht="14.4" x14ac:dyDescent="0.3">
      <c r="A3483"/>
      <c r="B3483"/>
      <c r="C3483"/>
      <c r="D3483"/>
      <c r="E3483"/>
      <c r="F3483"/>
      <c r="G3483"/>
      <c r="H3483"/>
      <c r="I3483"/>
    </row>
    <row r="3484" spans="1:9" s="47" customFormat="1" ht="14.4" x14ac:dyDescent="0.3">
      <c r="A3484"/>
      <c r="B3484"/>
      <c r="C3484"/>
      <c r="D3484"/>
      <c r="E3484"/>
      <c r="F3484"/>
      <c r="G3484"/>
      <c r="H3484"/>
      <c r="I3484"/>
    </row>
    <row r="3485" spans="1:9" s="47" customFormat="1" ht="14.4" x14ac:dyDescent="0.3">
      <c r="A3485"/>
      <c r="B3485"/>
      <c r="C3485"/>
      <c r="D3485"/>
      <c r="E3485"/>
      <c r="F3485"/>
      <c r="G3485"/>
      <c r="H3485"/>
      <c r="I3485"/>
    </row>
    <row r="3486" spans="1:9" s="47" customFormat="1" ht="14.4" x14ac:dyDescent="0.3">
      <c r="A3486"/>
      <c r="B3486"/>
      <c r="C3486"/>
      <c r="D3486"/>
      <c r="E3486"/>
      <c r="F3486"/>
      <c r="G3486"/>
      <c r="H3486"/>
      <c r="I3486"/>
    </row>
    <row r="3487" spans="1:9" s="47" customFormat="1" ht="14.4" x14ac:dyDescent="0.3">
      <c r="A3487"/>
      <c r="B3487"/>
      <c r="C3487"/>
      <c r="D3487"/>
      <c r="E3487"/>
      <c r="F3487"/>
      <c r="G3487"/>
      <c r="H3487"/>
      <c r="I3487"/>
    </row>
    <row r="3488" spans="1:9" s="47" customFormat="1" ht="14.4" x14ac:dyDescent="0.3">
      <c r="A3488"/>
      <c r="B3488"/>
      <c r="C3488"/>
      <c r="D3488"/>
      <c r="E3488"/>
      <c r="F3488"/>
      <c r="G3488"/>
      <c r="H3488"/>
      <c r="I3488"/>
    </row>
    <row r="3489" spans="1:9" s="47" customFormat="1" ht="14.4" x14ac:dyDescent="0.3">
      <c r="A3489"/>
      <c r="B3489"/>
      <c r="C3489"/>
      <c r="D3489"/>
      <c r="E3489"/>
      <c r="F3489"/>
      <c r="G3489"/>
      <c r="H3489"/>
      <c r="I3489"/>
    </row>
    <row r="3490" spans="1:9" s="47" customFormat="1" ht="14.4" x14ac:dyDescent="0.3">
      <c r="A3490"/>
      <c r="B3490"/>
      <c r="C3490"/>
      <c r="D3490"/>
      <c r="E3490"/>
      <c r="F3490"/>
      <c r="G3490"/>
      <c r="H3490"/>
      <c r="I3490"/>
    </row>
    <row r="3491" spans="1:9" s="47" customFormat="1" ht="14.4" x14ac:dyDescent="0.3">
      <c r="A3491"/>
      <c r="B3491"/>
      <c r="C3491"/>
      <c r="D3491"/>
      <c r="E3491"/>
      <c r="F3491"/>
      <c r="G3491"/>
      <c r="H3491"/>
      <c r="I3491"/>
    </row>
    <row r="3492" spans="1:9" s="47" customFormat="1" ht="14.4" x14ac:dyDescent="0.3">
      <c r="A3492"/>
      <c r="B3492"/>
      <c r="C3492"/>
      <c r="D3492"/>
      <c r="E3492"/>
      <c r="F3492"/>
      <c r="G3492"/>
      <c r="H3492"/>
      <c r="I3492"/>
    </row>
    <row r="3493" spans="1:9" s="47" customFormat="1" ht="14.4" x14ac:dyDescent="0.3">
      <c r="A3493"/>
      <c r="B3493"/>
      <c r="C3493"/>
      <c r="D3493"/>
      <c r="E3493"/>
      <c r="F3493"/>
      <c r="G3493"/>
      <c r="H3493"/>
      <c r="I3493"/>
    </row>
    <row r="3494" spans="1:9" s="47" customFormat="1" ht="14.4" x14ac:dyDescent="0.3">
      <c r="A3494"/>
      <c r="B3494"/>
      <c r="C3494"/>
      <c r="D3494"/>
      <c r="E3494"/>
      <c r="F3494"/>
      <c r="G3494"/>
      <c r="H3494"/>
      <c r="I3494"/>
    </row>
    <row r="3495" spans="1:9" s="47" customFormat="1" ht="14.4" x14ac:dyDescent="0.3">
      <c r="A3495"/>
      <c r="B3495"/>
      <c r="C3495"/>
      <c r="D3495"/>
      <c r="E3495"/>
      <c r="F3495"/>
      <c r="G3495"/>
      <c r="H3495"/>
      <c r="I3495"/>
    </row>
    <row r="3496" spans="1:9" s="47" customFormat="1" ht="14.4" x14ac:dyDescent="0.3">
      <c r="A3496"/>
      <c r="B3496"/>
      <c r="C3496"/>
      <c r="D3496"/>
      <c r="E3496"/>
      <c r="F3496"/>
      <c r="G3496"/>
      <c r="H3496"/>
      <c r="I3496"/>
    </row>
    <row r="3497" spans="1:9" s="47" customFormat="1" ht="14.4" x14ac:dyDescent="0.3">
      <c r="A3497"/>
      <c r="B3497"/>
      <c r="C3497"/>
      <c r="D3497"/>
      <c r="E3497"/>
      <c r="F3497"/>
      <c r="G3497"/>
      <c r="H3497"/>
      <c r="I3497"/>
    </row>
    <row r="3498" spans="1:9" s="47" customFormat="1" ht="14.4" x14ac:dyDescent="0.3">
      <c r="A3498"/>
      <c r="B3498"/>
      <c r="C3498"/>
      <c r="D3498"/>
      <c r="E3498"/>
      <c r="F3498"/>
      <c r="G3498"/>
      <c r="H3498"/>
      <c r="I3498"/>
    </row>
    <row r="3499" spans="1:9" s="47" customFormat="1" ht="14.4" x14ac:dyDescent="0.3">
      <c r="A3499"/>
      <c r="B3499"/>
      <c r="C3499"/>
      <c r="D3499"/>
      <c r="E3499"/>
      <c r="F3499"/>
      <c r="G3499"/>
      <c r="H3499"/>
      <c r="I3499"/>
    </row>
    <row r="3500" spans="1:9" s="47" customFormat="1" ht="14.4" x14ac:dyDescent="0.3">
      <c r="A3500"/>
      <c r="B3500"/>
      <c r="C3500"/>
      <c r="D3500"/>
      <c r="E3500"/>
      <c r="F3500"/>
      <c r="G3500"/>
      <c r="H3500"/>
      <c r="I3500"/>
    </row>
    <row r="3501" spans="1:9" s="47" customFormat="1" ht="14.4" x14ac:dyDescent="0.3">
      <c r="A3501"/>
      <c r="B3501"/>
      <c r="C3501"/>
      <c r="D3501"/>
      <c r="E3501"/>
      <c r="F3501"/>
      <c r="G3501"/>
      <c r="H3501"/>
      <c r="I3501"/>
    </row>
    <row r="3502" spans="1:9" s="47" customFormat="1" ht="14.4" x14ac:dyDescent="0.3">
      <c r="A3502"/>
      <c r="B3502"/>
      <c r="C3502"/>
      <c r="D3502"/>
      <c r="E3502"/>
      <c r="F3502"/>
      <c r="G3502"/>
      <c r="H3502"/>
      <c r="I3502"/>
    </row>
    <row r="3503" spans="1:9" s="47" customFormat="1" ht="14.4" x14ac:dyDescent="0.3">
      <c r="A3503"/>
      <c r="B3503"/>
      <c r="C3503"/>
      <c r="D3503"/>
      <c r="E3503"/>
      <c r="F3503"/>
      <c r="G3503"/>
      <c r="H3503"/>
      <c r="I3503"/>
    </row>
    <row r="3504" spans="1:9" s="47" customFormat="1" ht="14.4" x14ac:dyDescent="0.3">
      <c r="A3504"/>
      <c r="B3504"/>
      <c r="C3504"/>
      <c r="D3504"/>
      <c r="E3504"/>
      <c r="F3504"/>
      <c r="G3504"/>
      <c r="H3504"/>
      <c r="I3504"/>
    </row>
    <row r="3505" spans="1:9" s="47" customFormat="1" ht="14.4" x14ac:dyDescent="0.3">
      <c r="A3505"/>
      <c r="B3505"/>
      <c r="C3505"/>
      <c r="D3505"/>
      <c r="E3505"/>
      <c r="F3505"/>
      <c r="G3505"/>
      <c r="H3505"/>
      <c r="I3505"/>
    </row>
    <row r="3506" spans="1:9" s="47" customFormat="1" ht="14.4" x14ac:dyDescent="0.3">
      <c r="A3506"/>
      <c r="B3506"/>
      <c r="C3506"/>
      <c r="D3506"/>
      <c r="E3506"/>
      <c r="F3506"/>
      <c r="G3506"/>
      <c r="H3506"/>
      <c r="I3506"/>
    </row>
    <row r="3507" spans="1:9" s="47" customFormat="1" ht="14.4" x14ac:dyDescent="0.3">
      <c r="A3507"/>
      <c r="B3507"/>
      <c r="C3507"/>
      <c r="D3507"/>
      <c r="E3507"/>
      <c r="F3507"/>
      <c r="G3507"/>
      <c r="H3507"/>
      <c r="I3507"/>
    </row>
    <row r="3508" spans="1:9" s="47" customFormat="1" ht="14.4" x14ac:dyDescent="0.3">
      <c r="A3508"/>
      <c r="B3508"/>
      <c r="C3508"/>
      <c r="D3508"/>
      <c r="E3508"/>
      <c r="F3508"/>
      <c r="G3508"/>
      <c r="H3508"/>
      <c r="I3508"/>
    </row>
    <row r="3509" spans="1:9" s="47" customFormat="1" ht="14.4" x14ac:dyDescent="0.3">
      <c r="A3509"/>
      <c r="B3509"/>
      <c r="C3509"/>
      <c r="D3509"/>
      <c r="E3509"/>
      <c r="F3509"/>
      <c r="G3509"/>
      <c r="H3509"/>
      <c r="I3509"/>
    </row>
    <row r="3510" spans="1:9" s="47" customFormat="1" ht="14.4" x14ac:dyDescent="0.3">
      <c r="A3510"/>
      <c r="B3510"/>
      <c r="C3510"/>
      <c r="D3510"/>
      <c r="E3510"/>
      <c r="F3510"/>
      <c r="G3510"/>
      <c r="H3510"/>
      <c r="I3510"/>
    </row>
    <row r="3511" spans="1:9" s="47" customFormat="1" ht="14.4" x14ac:dyDescent="0.3">
      <c r="A3511"/>
      <c r="B3511"/>
      <c r="C3511"/>
      <c r="D3511"/>
      <c r="E3511"/>
      <c r="F3511"/>
      <c r="G3511"/>
      <c r="H3511"/>
      <c r="I3511"/>
    </row>
    <row r="3512" spans="1:9" s="47" customFormat="1" ht="14.4" x14ac:dyDescent="0.3">
      <c r="A3512"/>
      <c r="B3512"/>
      <c r="C3512"/>
      <c r="D3512"/>
      <c r="E3512"/>
      <c r="F3512"/>
      <c r="G3512"/>
      <c r="H3512"/>
      <c r="I3512"/>
    </row>
    <row r="3513" spans="1:9" s="47" customFormat="1" ht="14.4" x14ac:dyDescent="0.3">
      <c r="A3513"/>
      <c r="B3513"/>
      <c r="C3513"/>
      <c r="D3513"/>
      <c r="E3513"/>
      <c r="F3513"/>
      <c r="G3513"/>
      <c r="H3513"/>
      <c r="I3513"/>
    </row>
    <row r="3514" spans="1:9" s="47" customFormat="1" ht="14.4" x14ac:dyDescent="0.3">
      <c r="A3514"/>
      <c r="B3514"/>
      <c r="C3514"/>
      <c r="D3514"/>
      <c r="E3514"/>
      <c r="F3514"/>
      <c r="G3514"/>
      <c r="H3514"/>
      <c r="I3514"/>
    </row>
    <row r="3515" spans="1:9" s="47" customFormat="1" ht="14.4" x14ac:dyDescent="0.3">
      <c r="A3515"/>
      <c r="B3515"/>
      <c r="C3515"/>
      <c r="D3515"/>
      <c r="E3515"/>
      <c r="F3515"/>
      <c r="G3515"/>
      <c r="H3515"/>
      <c r="I3515"/>
    </row>
    <row r="3516" spans="1:9" s="47" customFormat="1" ht="14.4" x14ac:dyDescent="0.3">
      <c r="A3516"/>
      <c r="B3516"/>
      <c r="C3516"/>
      <c r="D3516"/>
      <c r="E3516"/>
      <c r="F3516"/>
      <c r="G3516"/>
      <c r="H3516"/>
      <c r="I3516"/>
    </row>
    <row r="3517" spans="1:9" s="47" customFormat="1" ht="14.4" x14ac:dyDescent="0.3">
      <c r="A3517"/>
      <c r="B3517"/>
      <c r="C3517"/>
      <c r="D3517"/>
      <c r="E3517"/>
      <c r="F3517"/>
      <c r="G3517"/>
      <c r="H3517"/>
      <c r="I3517"/>
    </row>
    <row r="3518" spans="1:9" s="47" customFormat="1" ht="14.4" x14ac:dyDescent="0.3">
      <c r="A3518"/>
      <c r="B3518"/>
      <c r="C3518"/>
      <c r="D3518"/>
      <c r="E3518"/>
      <c r="F3518"/>
      <c r="G3518"/>
      <c r="H3518"/>
      <c r="I3518"/>
    </row>
    <row r="3519" spans="1:9" s="47" customFormat="1" ht="14.4" x14ac:dyDescent="0.3">
      <c r="A3519"/>
      <c r="B3519"/>
      <c r="C3519"/>
      <c r="D3519"/>
      <c r="E3519"/>
      <c r="F3519"/>
      <c r="G3519"/>
      <c r="H3519"/>
      <c r="I3519"/>
    </row>
    <row r="3520" spans="1:9" s="47" customFormat="1" ht="14.4" x14ac:dyDescent="0.3">
      <c r="A3520"/>
      <c r="B3520"/>
      <c r="C3520"/>
      <c r="D3520"/>
      <c r="E3520"/>
      <c r="F3520"/>
      <c r="G3520"/>
      <c r="H3520"/>
      <c r="I3520"/>
    </row>
    <row r="3521" spans="1:9" s="47" customFormat="1" ht="14.4" x14ac:dyDescent="0.3">
      <c r="A3521"/>
      <c r="B3521"/>
      <c r="C3521"/>
      <c r="D3521"/>
      <c r="E3521"/>
      <c r="F3521"/>
      <c r="G3521"/>
      <c r="H3521"/>
      <c r="I3521"/>
    </row>
    <row r="3522" spans="1:9" s="47" customFormat="1" ht="14.4" x14ac:dyDescent="0.3">
      <c r="A3522"/>
      <c r="B3522"/>
      <c r="C3522"/>
      <c r="D3522"/>
      <c r="E3522"/>
      <c r="F3522"/>
      <c r="G3522"/>
      <c r="H3522"/>
      <c r="I3522"/>
    </row>
    <row r="3523" spans="1:9" s="47" customFormat="1" ht="14.4" x14ac:dyDescent="0.3">
      <c r="A3523"/>
      <c r="B3523"/>
      <c r="C3523"/>
      <c r="D3523"/>
      <c r="E3523"/>
      <c r="F3523"/>
      <c r="G3523"/>
      <c r="H3523"/>
      <c r="I3523"/>
    </row>
    <row r="3524" spans="1:9" s="47" customFormat="1" ht="14.4" x14ac:dyDescent="0.3">
      <c r="A3524"/>
      <c r="B3524"/>
      <c r="C3524"/>
      <c r="D3524"/>
      <c r="E3524"/>
      <c r="F3524"/>
      <c r="G3524"/>
      <c r="H3524"/>
      <c r="I3524"/>
    </row>
    <row r="3525" spans="1:9" s="47" customFormat="1" ht="14.4" x14ac:dyDescent="0.3">
      <c r="A3525"/>
      <c r="B3525"/>
      <c r="C3525"/>
      <c r="D3525"/>
      <c r="E3525"/>
      <c r="F3525"/>
      <c r="G3525"/>
      <c r="H3525"/>
      <c r="I3525"/>
    </row>
    <row r="3526" spans="1:9" s="47" customFormat="1" ht="14.4" x14ac:dyDescent="0.3">
      <c r="A3526"/>
      <c r="B3526"/>
      <c r="C3526"/>
      <c r="D3526"/>
      <c r="E3526"/>
      <c r="F3526"/>
      <c r="G3526"/>
      <c r="H3526"/>
      <c r="I3526"/>
    </row>
    <row r="3527" spans="1:9" s="47" customFormat="1" ht="14.4" x14ac:dyDescent="0.3">
      <c r="A3527"/>
      <c r="B3527"/>
      <c r="C3527"/>
      <c r="D3527"/>
      <c r="E3527"/>
      <c r="F3527"/>
      <c r="G3527"/>
      <c r="H3527"/>
      <c r="I3527"/>
    </row>
    <row r="3528" spans="1:9" s="47" customFormat="1" ht="14.4" x14ac:dyDescent="0.3">
      <c r="A3528"/>
      <c r="B3528"/>
      <c r="C3528"/>
      <c r="D3528"/>
      <c r="E3528"/>
      <c r="F3528"/>
      <c r="G3528"/>
      <c r="H3528"/>
      <c r="I3528"/>
    </row>
    <row r="3529" spans="1:9" s="47" customFormat="1" ht="14.4" x14ac:dyDescent="0.3">
      <c r="A3529"/>
      <c r="B3529"/>
      <c r="C3529"/>
      <c r="D3529"/>
      <c r="E3529"/>
      <c r="F3529"/>
      <c r="G3529"/>
      <c r="H3529"/>
      <c r="I3529"/>
    </row>
    <row r="3530" spans="1:9" s="47" customFormat="1" ht="14.4" x14ac:dyDescent="0.3">
      <c r="A3530"/>
      <c r="B3530"/>
      <c r="C3530"/>
      <c r="D3530"/>
      <c r="E3530"/>
      <c r="F3530"/>
      <c r="G3530"/>
      <c r="H3530"/>
      <c r="I3530"/>
    </row>
    <row r="3531" spans="1:9" s="47" customFormat="1" ht="14.4" x14ac:dyDescent="0.3">
      <c r="A3531"/>
      <c r="B3531"/>
      <c r="C3531"/>
      <c r="D3531"/>
      <c r="E3531"/>
      <c r="F3531"/>
      <c r="G3531"/>
      <c r="H3531"/>
      <c r="I3531"/>
    </row>
    <row r="3532" spans="1:9" s="47" customFormat="1" ht="14.4" x14ac:dyDescent="0.3">
      <c r="A3532"/>
      <c r="B3532"/>
      <c r="C3532"/>
      <c r="D3532"/>
      <c r="E3532"/>
      <c r="F3532"/>
      <c r="G3532"/>
      <c r="H3532"/>
      <c r="I3532"/>
    </row>
    <row r="3533" spans="1:9" s="47" customFormat="1" ht="14.4" x14ac:dyDescent="0.3">
      <c r="A3533"/>
      <c r="B3533"/>
      <c r="C3533"/>
      <c r="D3533"/>
      <c r="E3533"/>
      <c r="F3533"/>
      <c r="G3533"/>
      <c r="H3533"/>
      <c r="I3533"/>
    </row>
    <row r="3534" spans="1:9" s="47" customFormat="1" ht="14.4" x14ac:dyDescent="0.3">
      <c r="A3534"/>
      <c r="B3534"/>
      <c r="C3534"/>
      <c r="D3534"/>
      <c r="E3534"/>
      <c r="F3534"/>
      <c r="G3534"/>
      <c r="H3534"/>
      <c r="I3534"/>
    </row>
    <row r="3535" spans="1:9" s="47" customFormat="1" ht="14.4" x14ac:dyDescent="0.3">
      <c r="A3535"/>
      <c r="B3535"/>
      <c r="C3535"/>
      <c r="D3535"/>
      <c r="E3535"/>
      <c r="F3535"/>
      <c r="G3535"/>
      <c r="H3535"/>
      <c r="I3535"/>
    </row>
    <row r="3536" spans="1:9" s="47" customFormat="1" ht="14.4" x14ac:dyDescent="0.3">
      <c r="A3536"/>
      <c r="B3536"/>
      <c r="C3536"/>
      <c r="D3536"/>
      <c r="E3536"/>
      <c r="F3536"/>
      <c r="G3536"/>
      <c r="H3536"/>
      <c r="I3536"/>
    </row>
    <row r="3537" spans="1:9" s="47" customFormat="1" ht="14.4" x14ac:dyDescent="0.3">
      <c r="A3537"/>
      <c r="B3537"/>
      <c r="C3537"/>
      <c r="D3537"/>
      <c r="E3537"/>
      <c r="F3537"/>
      <c r="G3537"/>
      <c r="H3537"/>
      <c r="I3537"/>
    </row>
    <row r="3538" spans="1:9" s="47" customFormat="1" ht="14.4" x14ac:dyDescent="0.3">
      <c r="A3538"/>
      <c r="B3538"/>
      <c r="C3538"/>
      <c r="D3538"/>
      <c r="E3538"/>
      <c r="F3538"/>
      <c r="G3538"/>
      <c r="H3538"/>
      <c r="I3538"/>
    </row>
    <row r="3539" spans="1:9" s="47" customFormat="1" ht="14.4" x14ac:dyDescent="0.3">
      <c r="A3539"/>
      <c r="B3539"/>
      <c r="C3539"/>
      <c r="D3539"/>
      <c r="E3539"/>
      <c r="F3539"/>
      <c r="G3539"/>
      <c r="H3539"/>
      <c r="I3539"/>
    </row>
    <row r="3540" spans="1:9" s="47" customFormat="1" ht="14.4" x14ac:dyDescent="0.3">
      <c r="A3540"/>
      <c r="B3540"/>
      <c r="C3540"/>
      <c r="D3540"/>
      <c r="E3540"/>
      <c r="F3540"/>
      <c r="G3540"/>
      <c r="H3540"/>
      <c r="I3540"/>
    </row>
    <row r="3541" spans="1:9" s="47" customFormat="1" ht="14.4" x14ac:dyDescent="0.3">
      <c r="A3541"/>
      <c r="B3541"/>
      <c r="C3541"/>
      <c r="D3541"/>
      <c r="E3541"/>
      <c r="F3541"/>
      <c r="G3541"/>
      <c r="H3541"/>
      <c r="I3541"/>
    </row>
    <row r="3542" spans="1:9" s="47" customFormat="1" ht="14.4" x14ac:dyDescent="0.3">
      <c r="A3542"/>
      <c r="B3542"/>
      <c r="C3542"/>
      <c r="D3542"/>
      <c r="E3542"/>
      <c r="F3542"/>
      <c r="G3542"/>
      <c r="H3542"/>
      <c r="I3542"/>
    </row>
    <row r="3543" spans="1:9" s="47" customFormat="1" ht="14.4" x14ac:dyDescent="0.3">
      <c r="A3543"/>
      <c r="B3543"/>
      <c r="C3543"/>
      <c r="D3543"/>
      <c r="E3543"/>
      <c r="F3543"/>
      <c r="G3543"/>
      <c r="H3543"/>
      <c r="I3543"/>
    </row>
    <row r="3544" spans="1:9" s="47" customFormat="1" ht="14.4" x14ac:dyDescent="0.3">
      <c r="A3544"/>
      <c r="B3544"/>
      <c r="C3544"/>
      <c r="D3544"/>
      <c r="E3544"/>
      <c r="F3544"/>
      <c r="G3544"/>
      <c r="H3544"/>
      <c r="I3544"/>
    </row>
    <row r="3545" spans="1:9" s="47" customFormat="1" ht="14.4" x14ac:dyDescent="0.3">
      <c r="A3545"/>
      <c r="B3545"/>
      <c r="C3545"/>
      <c r="D3545"/>
      <c r="E3545"/>
      <c r="F3545"/>
      <c r="G3545"/>
      <c r="H3545"/>
      <c r="I3545"/>
    </row>
    <row r="3546" spans="1:9" s="47" customFormat="1" ht="14.4" x14ac:dyDescent="0.3">
      <c r="A3546"/>
      <c r="B3546"/>
      <c r="C3546"/>
      <c r="D3546"/>
      <c r="E3546"/>
      <c r="F3546"/>
      <c r="G3546"/>
      <c r="H3546"/>
      <c r="I3546"/>
    </row>
    <row r="3547" spans="1:9" s="47" customFormat="1" ht="14.4" x14ac:dyDescent="0.3">
      <c r="A3547"/>
      <c r="B3547"/>
      <c r="C3547"/>
      <c r="D3547"/>
      <c r="E3547"/>
      <c r="F3547"/>
      <c r="G3547"/>
      <c r="H3547"/>
      <c r="I3547"/>
    </row>
    <row r="3548" spans="1:9" s="47" customFormat="1" ht="14.4" x14ac:dyDescent="0.3">
      <c r="A3548"/>
      <c r="B3548"/>
      <c r="C3548"/>
      <c r="D3548"/>
      <c r="E3548"/>
      <c r="F3548"/>
      <c r="G3548"/>
      <c r="H3548"/>
      <c r="I3548"/>
    </row>
    <row r="3549" spans="1:9" s="47" customFormat="1" ht="14.4" x14ac:dyDescent="0.3">
      <c r="A3549"/>
      <c r="B3549"/>
      <c r="C3549"/>
      <c r="D3549"/>
      <c r="E3549"/>
      <c r="F3549"/>
      <c r="G3549"/>
      <c r="H3549"/>
      <c r="I3549"/>
    </row>
    <row r="3550" spans="1:9" s="47" customFormat="1" ht="14.4" x14ac:dyDescent="0.3">
      <c r="A3550"/>
      <c r="B3550"/>
      <c r="C3550"/>
      <c r="D3550"/>
      <c r="E3550"/>
      <c r="F3550"/>
      <c r="G3550"/>
      <c r="H3550"/>
      <c r="I3550"/>
    </row>
    <row r="3551" spans="1:9" s="47" customFormat="1" ht="14.4" x14ac:dyDescent="0.3">
      <c r="A3551"/>
      <c r="B3551"/>
      <c r="C3551"/>
      <c r="D3551"/>
      <c r="E3551"/>
      <c r="F3551"/>
      <c r="G3551"/>
      <c r="H3551"/>
      <c r="I3551"/>
    </row>
    <row r="3552" spans="1:9" s="47" customFormat="1" ht="14.4" x14ac:dyDescent="0.3">
      <c r="A3552"/>
      <c r="B3552"/>
      <c r="C3552"/>
      <c r="D3552"/>
      <c r="E3552"/>
      <c r="F3552"/>
      <c r="G3552"/>
      <c r="H3552"/>
      <c r="I3552"/>
    </row>
    <row r="3553" spans="1:9" s="47" customFormat="1" ht="14.4" x14ac:dyDescent="0.3">
      <c r="A3553"/>
      <c r="B3553"/>
      <c r="C3553"/>
      <c r="D3553"/>
      <c r="E3553"/>
      <c r="F3553"/>
      <c r="G3553"/>
      <c r="H3553"/>
      <c r="I3553"/>
    </row>
    <row r="3554" spans="1:9" s="47" customFormat="1" ht="14.4" x14ac:dyDescent="0.3">
      <c r="A3554"/>
      <c r="B3554"/>
      <c r="C3554"/>
      <c r="D3554"/>
      <c r="E3554"/>
      <c r="F3554"/>
      <c r="G3554"/>
      <c r="H3554"/>
      <c r="I3554"/>
    </row>
    <row r="3555" spans="1:9" s="47" customFormat="1" ht="14.4" x14ac:dyDescent="0.3">
      <c r="A3555"/>
      <c r="B3555"/>
      <c r="C3555"/>
      <c r="D3555"/>
      <c r="E3555"/>
      <c r="F3555"/>
      <c r="G3555"/>
      <c r="H3555"/>
      <c r="I3555"/>
    </row>
    <row r="3556" spans="1:9" s="47" customFormat="1" ht="14.4" x14ac:dyDescent="0.3">
      <c r="A3556"/>
      <c r="B3556"/>
      <c r="C3556"/>
      <c r="D3556"/>
      <c r="E3556"/>
      <c r="F3556"/>
      <c r="G3556"/>
      <c r="H3556"/>
      <c r="I3556"/>
    </row>
    <row r="3557" spans="1:9" s="47" customFormat="1" ht="14.4" x14ac:dyDescent="0.3">
      <c r="A3557"/>
      <c r="B3557"/>
      <c r="C3557"/>
      <c r="D3557"/>
      <c r="E3557"/>
      <c r="F3557"/>
      <c r="G3557"/>
      <c r="H3557"/>
      <c r="I3557"/>
    </row>
    <row r="3558" spans="1:9" s="47" customFormat="1" ht="14.4" x14ac:dyDescent="0.3">
      <c r="A3558"/>
      <c r="B3558"/>
      <c r="C3558"/>
      <c r="D3558"/>
      <c r="E3558"/>
      <c r="F3558"/>
      <c r="G3558"/>
      <c r="H3558"/>
      <c r="I3558"/>
    </row>
    <row r="3559" spans="1:9" s="47" customFormat="1" ht="14.4" x14ac:dyDescent="0.3">
      <c r="A3559"/>
      <c r="B3559"/>
      <c r="C3559"/>
      <c r="D3559"/>
      <c r="E3559"/>
      <c r="F3559"/>
      <c r="G3559"/>
      <c r="H3559"/>
      <c r="I3559"/>
    </row>
    <row r="3560" spans="1:9" s="47" customFormat="1" ht="14.4" x14ac:dyDescent="0.3">
      <c r="A3560"/>
      <c r="B3560"/>
      <c r="C3560"/>
      <c r="D3560"/>
      <c r="E3560"/>
      <c r="F3560"/>
      <c r="G3560"/>
      <c r="H3560"/>
      <c r="I3560"/>
    </row>
    <row r="3561" spans="1:9" s="47" customFormat="1" ht="14.4" x14ac:dyDescent="0.3">
      <c r="A3561"/>
      <c r="B3561"/>
      <c r="C3561"/>
      <c r="D3561"/>
      <c r="E3561"/>
      <c r="F3561"/>
      <c r="G3561"/>
      <c r="H3561"/>
      <c r="I3561"/>
    </row>
    <row r="3562" spans="1:9" s="47" customFormat="1" ht="14.4" x14ac:dyDescent="0.3">
      <c r="A3562"/>
      <c r="B3562"/>
      <c r="C3562"/>
      <c r="D3562"/>
      <c r="E3562"/>
      <c r="F3562"/>
      <c r="G3562"/>
      <c r="H3562"/>
      <c r="I3562"/>
    </row>
    <row r="3563" spans="1:9" s="47" customFormat="1" ht="14.4" x14ac:dyDescent="0.3">
      <c r="A3563"/>
      <c r="B3563"/>
      <c r="C3563"/>
      <c r="D3563"/>
      <c r="E3563"/>
      <c r="F3563"/>
      <c r="G3563"/>
      <c r="H3563"/>
      <c r="I3563"/>
    </row>
    <row r="3564" spans="1:9" s="47" customFormat="1" ht="14.4" x14ac:dyDescent="0.3">
      <c r="A3564"/>
      <c r="B3564"/>
      <c r="C3564"/>
      <c r="D3564"/>
      <c r="E3564"/>
      <c r="F3564"/>
      <c r="G3564"/>
      <c r="H3564"/>
      <c r="I3564"/>
    </row>
    <row r="3565" spans="1:9" s="47" customFormat="1" ht="14.4" x14ac:dyDescent="0.3">
      <c r="A3565"/>
      <c r="B3565"/>
      <c r="C3565"/>
      <c r="D3565"/>
      <c r="E3565"/>
      <c r="F3565"/>
      <c r="G3565"/>
      <c r="H3565"/>
      <c r="I3565"/>
    </row>
    <row r="3566" spans="1:9" s="47" customFormat="1" ht="14.4" x14ac:dyDescent="0.3">
      <c r="A3566"/>
      <c r="B3566"/>
      <c r="C3566"/>
      <c r="D3566"/>
      <c r="E3566"/>
      <c r="F3566"/>
      <c r="G3566"/>
      <c r="H3566"/>
      <c r="I3566"/>
    </row>
    <row r="3567" spans="1:9" s="47" customFormat="1" ht="14.4" x14ac:dyDescent="0.3">
      <c r="A3567"/>
      <c r="B3567"/>
      <c r="C3567"/>
      <c r="D3567"/>
      <c r="E3567"/>
      <c r="F3567"/>
      <c r="G3567"/>
      <c r="H3567"/>
      <c r="I3567"/>
    </row>
    <row r="3568" spans="1:9" s="47" customFormat="1" ht="14.4" x14ac:dyDescent="0.3">
      <c r="A3568"/>
      <c r="B3568"/>
      <c r="C3568"/>
      <c r="D3568"/>
      <c r="E3568"/>
      <c r="F3568"/>
      <c r="G3568"/>
      <c r="H3568"/>
      <c r="I3568"/>
    </row>
    <row r="3569" spans="1:9" s="47" customFormat="1" ht="14.4" x14ac:dyDescent="0.3">
      <c r="A3569"/>
      <c r="B3569"/>
      <c r="C3569"/>
      <c r="D3569"/>
      <c r="E3569"/>
      <c r="F3569"/>
      <c r="G3569"/>
      <c r="H3569"/>
      <c r="I3569"/>
    </row>
    <row r="3570" spans="1:9" s="47" customFormat="1" ht="14.4" x14ac:dyDescent="0.3">
      <c r="A3570"/>
      <c r="B3570"/>
      <c r="C3570"/>
      <c r="D3570"/>
      <c r="E3570"/>
      <c r="F3570"/>
      <c r="G3570"/>
      <c r="H3570"/>
      <c r="I3570"/>
    </row>
    <row r="3571" spans="1:9" s="47" customFormat="1" ht="14.4" x14ac:dyDescent="0.3">
      <c r="A3571"/>
      <c r="B3571"/>
      <c r="C3571"/>
      <c r="D3571"/>
      <c r="E3571"/>
      <c r="F3571"/>
      <c r="G3571"/>
      <c r="H3571"/>
      <c r="I3571"/>
    </row>
    <row r="3572" spans="1:9" s="47" customFormat="1" ht="14.4" x14ac:dyDescent="0.3">
      <c r="A3572"/>
      <c r="B3572"/>
      <c r="C3572"/>
      <c r="D3572"/>
      <c r="E3572"/>
      <c r="F3572"/>
      <c r="G3572"/>
      <c r="H3572"/>
      <c r="I3572"/>
    </row>
    <row r="3573" spans="1:9" s="47" customFormat="1" ht="14.4" x14ac:dyDescent="0.3">
      <c r="A3573"/>
      <c r="B3573"/>
      <c r="C3573"/>
      <c r="D3573"/>
      <c r="E3573"/>
      <c r="F3573"/>
      <c r="G3573"/>
      <c r="H3573"/>
      <c r="I3573"/>
    </row>
    <row r="3574" spans="1:9" s="47" customFormat="1" ht="14.4" x14ac:dyDescent="0.3">
      <c r="A3574"/>
      <c r="B3574"/>
      <c r="C3574"/>
      <c r="D3574"/>
      <c r="E3574"/>
      <c r="F3574"/>
      <c r="G3574"/>
      <c r="H3574"/>
      <c r="I3574"/>
    </row>
    <row r="3575" spans="1:9" s="47" customFormat="1" ht="14.4" x14ac:dyDescent="0.3">
      <c r="A3575"/>
      <c r="B3575"/>
      <c r="C3575"/>
      <c r="D3575"/>
      <c r="E3575"/>
      <c r="F3575"/>
      <c r="G3575"/>
      <c r="H3575"/>
      <c r="I3575"/>
    </row>
    <row r="3576" spans="1:9" s="47" customFormat="1" ht="14.4" x14ac:dyDescent="0.3">
      <c r="A3576"/>
      <c r="B3576"/>
      <c r="C3576"/>
      <c r="D3576"/>
      <c r="E3576"/>
      <c r="F3576"/>
      <c r="G3576"/>
      <c r="H3576"/>
      <c r="I3576"/>
    </row>
    <row r="3577" spans="1:9" s="47" customFormat="1" ht="14.4" x14ac:dyDescent="0.3">
      <c r="A3577"/>
      <c r="B3577"/>
      <c r="C3577"/>
      <c r="D3577"/>
      <c r="E3577"/>
      <c r="F3577"/>
      <c r="G3577"/>
      <c r="H3577"/>
      <c r="I3577"/>
    </row>
    <row r="3578" spans="1:9" s="47" customFormat="1" ht="14.4" x14ac:dyDescent="0.3">
      <c r="A3578"/>
      <c r="B3578"/>
      <c r="C3578"/>
      <c r="D3578"/>
      <c r="E3578"/>
      <c r="F3578"/>
      <c r="G3578"/>
      <c r="H3578"/>
      <c r="I3578"/>
    </row>
    <row r="3579" spans="1:9" s="47" customFormat="1" ht="14.4" x14ac:dyDescent="0.3">
      <c r="A3579"/>
      <c r="B3579"/>
      <c r="C3579"/>
      <c r="D3579"/>
      <c r="E3579"/>
      <c r="F3579"/>
      <c r="G3579"/>
      <c r="H3579"/>
      <c r="I3579"/>
    </row>
    <row r="3580" spans="1:9" s="47" customFormat="1" ht="14.4" x14ac:dyDescent="0.3">
      <c r="A3580"/>
      <c r="B3580"/>
      <c r="C3580"/>
      <c r="D3580"/>
      <c r="E3580"/>
      <c r="F3580"/>
      <c r="G3580"/>
      <c r="H3580"/>
      <c r="I3580"/>
    </row>
    <row r="3581" spans="1:9" s="47" customFormat="1" ht="14.4" x14ac:dyDescent="0.3">
      <c r="A3581"/>
      <c r="B3581"/>
      <c r="C3581"/>
      <c r="D3581"/>
      <c r="E3581"/>
      <c r="F3581"/>
      <c r="G3581"/>
      <c r="H3581"/>
      <c r="I3581"/>
    </row>
    <row r="3582" spans="1:9" s="47" customFormat="1" ht="14.4" x14ac:dyDescent="0.3">
      <c r="A3582"/>
      <c r="B3582"/>
      <c r="C3582"/>
      <c r="D3582"/>
      <c r="E3582"/>
      <c r="F3582"/>
      <c r="G3582"/>
      <c r="H3582"/>
      <c r="I3582"/>
    </row>
    <row r="3583" spans="1:9" s="47" customFormat="1" ht="14.4" x14ac:dyDescent="0.3">
      <c r="A3583"/>
      <c r="B3583"/>
      <c r="C3583"/>
      <c r="D3583"/>
      <c r="E3583"/>
      <c r="F3583"/>
      <c r="G3583"/>
      <c r="H3583"/>
      <c r="I3583"/>
    </row>
    <row r="3584" spans="1:9" s="47" customFormat="1" ht="14.4" x14ac:dyDescent="0.3">
      <c r="A3584"/>
      <c r="B3584"/>
      <c r="C3584"/>
      <c r="D3584"/>
      <c r="E3584"/>
      <c r="F3584"/>
      <c r="G3584"/>
      <c r="H3584"/>
      <c r="I3584"/>
    </row>
    <row r="3585" spans="1:9" s="47" customFormat="1" ht="14.4" x14ac:dyDescent="0.3">
      <c r="A3585"/>
      <c r="B3585"/>
      <c r="C3585"/>
      <c r="D3585"/>
      <c r="E3585"/>
      <c r="F3585"/>
      <c r="G3585"/>
      <c r="H3585"/>
      <c r="I3585"/>
    </row>
    <row r="3586" spans="1:9" s="47" customFormat="1" ht="14.4" x14ac:dyDescent="0.3">
      <c r="A3586"/>
      <c r="B3586"/>
      <c r="C3586"/>
      <c r="D3586"/>
      <c r="E3586"/>
      <c r="F3586"/>
      <c r="G3586"/>
      <c r="H3586"/>
      <c r="I3586"/>
    </row>
    <row r="3587" spans="1:9" s="47" customFormat="1" ht="14.4" x14ac:dyDescent="0.3">
      <c r="A3587"/>
      <c r="B3587"/>
      <c r="C3587"/>
      <c r="D3587"/>
      <c r="E3587"/>
      <c r="F3587"/>
      <c r="G3587"/>
      <c r="H3587"/>
      <c r="I3587"/>
    </row>
    <row r="3588" spans="1:9" s="47" customFormat="1" ht="14.4" x14ac:dyDescent="0.3">
      <c r="A3588"/>
      <c r="B3588"/>
      <c r="C3588"/>
      <c r="D3588"/>
      <c r="E3588"/>
      <c r="F3588"/>
      <c r="G3588"/>
      <c r="H3588"/>
      <c r="I3588"/>
    </row>
    <row r="3589" spans="1:9" s="47" customFormat="1" ht="14.4" x14ac:dyDescent="0.3">
      <c r="A3589"/>
      <c r="B3589"/>
      <c r="C3589"/>
      <c r="D3589"/>
      <c r="E3589"/>
      <c r="F3589"/>
      <c r="G3589"/>
      <c r="H3589"/>
      <c r="I3589"/>
    </row>
    <row r="3590" spans="1:9" s="47" customFormat="1" ht="14.4" x14ac:dyDescent="0.3">
      <c r="A3590"/>
      <c r="B3590"/>
      <c r="C3590"/>
      <c r="D3590"/>
      <c r="E3590"/>
      <c r="F3590"/>
      <c r="G3590"/>
      <c r="H3590"/>
      <c r="I3590"/>
    </row>
    <row r="3591" spans="1:9" s="47" customFormat="1" ht="14.4" x14ac:dyDescent="0.3">
      <c r="A3591"/>
      <c r="B3591"/>
      <c r="C3591"/>
      <c r="D3591"/>
      <c r="E3591"/>
      <c r="F3591"/>
      <c r="G3591"/>
      <c r="H3591"/>
      <c r="I3591"/>
    </row>
    <row r="3592" spans="1:9" s="47" customFormat="1" ht="14.4" x14ac:dyDescent="0.3">
      <c r="A3592"/>
      <c r="B3592"/>
      <c r="C3592"/>
      <c r="D3592"/>
      <c r="E3592"/>
      <c r="F3592"/>
      <c r="G3592"/>
      <c r="H3592"/>
      <c r="I3592"/>
    </row>
    <row r="3593" spans="1:9" s="47" customFormat="1" ht="14.4" x14ac:dyDescent="0.3">
      <c r="A3593"/>
      <c r="B3593"/>
      <c r="C3593"/>
      <c r="D3593"/>
      <c r="E3593"/>
      <c r="F3593"/>
      <c r="G3593"/>
      <c r="H3593"/>
      <c r="I3593"/>
    </row>
    <row r="3594" spans="1:9" s="47" customFormat="1" ht="14.4" x14ac:dyDescent="0.3">
      <c r="A3594"/>
      <c r="B3594"/>
      <c r="C3594"/>
      <c r="D3594"/>
      <c r="E3594"/>
      <c r="F3594"/>
      <c r="G3594"/>
      <c r="H3594"/>
      <c r="I3594"/>
    </row>
    <row r="3595" spans="1:9" s="47" customFormat="1" ht="14.4" x14ac:dyDescent="0.3">
      <c r="A3595"/>
      <c r="B3595"/>
      <c r="C3595"/>
      <c r="D3595"/>
      <c r="E3595"/>
      <c r="F3595"/>
      <c r="G3595"/>
      <c r="H3595"/>
      <c r="I3595"/>
    </row>
    <row r="3596" spans="1:9" s="47" customFormat="1" ht="14.4" x14ac:dyDescent="0.3">
      <c r="A3596"/>
      <c r="B3596"/>
      <c r="C3596"/>
      <c r="D3596"/>
      <c r="E3596"/>
      <c r="F3596"/>
      <c r="G3596"/>
      <c r="H3596"/>
      <c r="I3596"/>
    </row>
    <row r="3597" spans="1:9" s="47" customFormat="1" ht="14.4" x14ac:dyDescent="0.3">
      <c r="A3597"/>
      <c r="B3597"/>
      <c r="C3597"/>
      <c r="D3597"/>
      <c r="E3597"/>
      <c r="F3597"/>
      <c r="G3597"/>
      <c r="H3597"/>
      <c r="I3597"/>
    </row>
    <row r="3598" spans="1:9" s="47" customFormat="1" ht="14.4" x14ac:dyDescent="0.3">
      <c r="A3598"/>
      <c r="B3598"/>
      <c r="C3598"/>
      <c r="D3598"/>
      <c r="E3598"/>
      <c r="F3598"/>
      <c r="G3598"/>
      <c r="H3598"/>
      <c r="I3598"/>
    </row>
    <row r="3599" spans="1:9" s="47" customFormat="1" ht="14.4" x14ac:dyDescent="0.3">
      <c r="A3599"/>
      <c r="B3599"/>
      <c r="C3599"/>
      <c r="D3599"/>
      <c r="E3599"/>
      <c r="F3599"/>
      <c r="G3599"/>
      <c r="H3599"/>
      <c r="I3599"/>
    </row>
    <row r="3600" spans="1:9" s="47" customFormat="1" ht="14.4" x14ac:dyDescent="0.3">
      <c r="A3600"/>
      <c r="B3600"/>
      <c r="C3600"/>
      <c r="D3600"/>
      <c r="E3600"/>
      <c r="F3600"/>
      <c r="G3600"/>
      <c r="H3600"/>
      <c r="I3600"/>
    </row>
    <row r="3601" spans="1:9" s="47" customFormat="1" ht="14.4" x14ac:dyDescent="0.3">
      <c r="A3601"/>
      <c r="B3601"/>
      <c r="C3601"/>
      <c r="D3601"/>
      <c r="E3601"/>
      <c r="F3601"/>
      <c r="G3601"/>
      <c r="H3601"/>
      <c r="I3601"/>
    </row>
    <row r="3602" spans="1:9" s="47" customFormat="1" ht="14.4" x14ac:dyDescent="0.3">
      <c r="A3602"/>
      <c r="B3602"/>
      <c r="C3602"/>
      <c r="D3602"/>
      <c r="E3602"/>
      <c r="F3602"/>
      <c r="G3602"/>
      <c r="H3602"/>
      <c r="I3602"/>
    </row>
    <row r="3603" spans="1:9" s="47" customFormat="1" ht="14.4" x14ac:dyDescent="0.3">
      <c r="A3603"/>
      <c r="B3603"/>
      <c r="C3603"/>
      <c r="D3603"/>
      <c r="E3603"/>
      <c r="F3603"/>
      <c r="G3603"/>
      <c r="H3603"/>
      <c r="I3603"/>
    </row>
    <row r="3604" spans="1:9" s="47" customFormat="1" ht="14.4" x14ac:dyDescent="0.3">
      <c r="A3604"/>
      <c r="B3604"/>
      <c r="C3604"/>
      <c r="D3604"/>
      <c r="E3604"/>
      <c r="F3604"/>
      <c r="G3604"/>
      <c r="H3604"/>
      <c r="I3604"/>
    </row>
    <row r="3605" spans="1:9" s="47" customFormat="1" ht="14.4" x14ac:dyDescent="0.3">
      <c r="A3605"/>
      <c r="B3605"/>
      <c r="C3605"/>
      <c r="D3605"/>
      <c r="E3605"/>
      <c r="F3605"/>
      <c r="G3605"/>
      <c r="H3605"/>
      <c r="I3605"/>
    </row>
    <row r="3606" spans="1:9" s="47" customFormat="1" ht="14.4" x14ac:dyDescent="0.3">
      <c r="A3606"/>
      <c r="B3606"/>
      <c r="C3606"/>
      <c r="D3606"/>
      <c r="E3606"/>
      <c r="F3606"/>
      <c r="G3606"/>
      <c r="H3606"/>
      <c r="I3606"/>
    </row>
    <row r="3607" spans="1:9" s="47" customFormat="1" ht="14.4" x14ac:dyDescent="0.3">
      <c r="A3607"/>
      <c r="B3607"/>
      <c r="C3607"/>
      <c r="D3607"/>
      <c r="E3607"/>
      <c r="F3607"/>
      <c r="G3607"/>
      <c r="H3607"/>
      <c r="I3607"/>
    </row>
    <row r="3608" spans="1:9" s="47" customFormat="1" ht="14.4" x14ac:dyDescent="0.3">
      <c r="A3608"/>
      <c r="B3608"/>
      <c r="C3608"/>
      <c r="D3608"/>
      <c r="E3608"/>
      <c r="F3608"/>
      <c r="G3608"/>
      <c r="H3608"/>
      <c r="I3608"/>
    </row>
    <row r="3609" spans="1:9" s="47" customFormat="1" ht="14.4" x14ac:dyDescent="0.3">
      <c r="A3609"/>
      <c r="B3609"/>
      <c r="C3609"/>
      <c r="D3609"/>
      <c r="E3609"/>
      <c r="F3609"/>
      <c r="G3609"/>
      <c r="H3609"/>
      <c r="I3609"/>
    </row>
    <row r="3610" spans="1:9" s="47" customFormat="1" ht="14.4" x14ac:dyDescent="0.3">
      <c r="A3610"/>
      <c r="B3610"/>
      <c r="C3610"/>
      <c r="D3610"/>
      <c r="E3610"/>
      <c r="F3610"/>
      <c r="G3610"/>
      <c r="H3610"/>
      <c r="I3610"/>
    </row>
    <row r="3611" spans="1:9" s="47" customFormat="1" ht="14.4" x14ac:dyDescent="0.3">
      <c r="A3611"/>
      <c r="B3611"/>
      <c r="C3611"/>
      <c r="D3611"/>
      <c r="E3611"/>
      <c r="F3611"/>
      <c r="G3611"/>
      <c r="H3611"/>
      <c r="I3611"/>
    </row>
    <row r="3612" spans="1:9" s="47" customFormat="1" ht="14.4" x14ac:dyDescent="0.3">
      <c r="A3612"/>
      <c r="B3612"/>
      <c r="C3612"/>
      <c r="D3612"/>
      <c r="E3612"/>
      <c r="F3612"/>
      <c r="G3612"/>
      <c r="H3612"/>
      <c r="I3612"/>
    </row>
    <row r="3613" spans="1:9" s="47" customFormat="1" ht="14.4" x14ac:dyDescent="0.3">
      <c r="A3613"/>
      <c r="B3613"/>
      <c r="C3613"/>
      <c r="D3613"/>
      <c r="E3613"/>
      <c r="F3613"/>
      <c r="G3613"/>
      <c r="H3613"/>
      <c r="I3613"/>
    </row>
    <row r="3614" spans="1:9" s="47" customFormat="1" ht="14.4" x14ac:dyDescent="0.3">
      <c r="A3614"/>
      <c r="B3614"/>
      <c r="C3614"/>
      <c r="D3614"/>
      <c r="E3614"/>
      <c r="F3614"/>
      <c r="G3614"/>
      <c r="H3614"/>
      <c r="I3614"/>
    </row>
    <row r="3615" spans="1:9" s="47" customFormat="1" ht="14.4" x14ac:dyDescent="0.3">
      <c r="A3615"/>
      <c r="B3615"/>
      <c r="C3615"/>
      <c r="D3615"/>
      <c r="E3615"/>
      <c r="F3615"/>
      <c r="G3615"/>
      <c r="H3615"/>
      <c r="I3615"/>
    </row>
    <row r="3616" spans="1:9" s="47" customFormat="1" ht="14.4" x14ac:dyDescent="0.3">
      <c r="A3616"/>
      <c r="B3616"/>
      <c r="C3616"/>
      <c r="D3616"/>
      <c r="E3616"/>
      <c r="F3616"/>
      <c r="G3616"/>
      <c r="H3616"/>
      <c r="I3616"/>
    </row>
    <row r="3617" spans="1:9" s="47" customFormat="1" ht="14.4" x14ac:dyDescent="0.3">
      <c r="A3617"/>
      <c r="B3617"/>
      <c r="C3617"/>
      <c r="D3617"/>
      <c r="E3617"/>
      <c r="F3617"/>
      <c r="G3617"/>
      <c r="H3617"/>
      <c r="I3617"/>
    </row>
    <row r="3618" spans="1:9" s="47" customFormat="1" ht="14.4" x14ac:dyDescent="0.3">
      <c r="A3618"/>
      <c r="B3618"/>
      <c r="C3618"/>
      <c r="D3618"/>
      <c r="E3618"/>
      <c r="F3618"/>
      <c r="G3618"/>
      <c r="H3618"/>
      <c r="I3618"/>
    </row>
    <row r="3619" spans="1:9" s="47" customFormat="1" ht="14.4" x14ac:dyDescent="0.3">
      <c r="A3619"/>
      <c r="B3619"/>
      <c r="C3619"/>
      <c r="D3619"/>
      <c r="E3619"/>
      <c r="F3619"/>
      <c r="G3619"/>
      <c r="H3619"/>
      <c r="I3619"/>
    </row>
    <row r="3620" spans="1:9" s="47" customFormat="1" ht="14.4" x14ac:dyDescent="0.3">
      <c r="A3620"/>
      <c r="B3620"/>
      <c r="C3620"/>
      <c r="D3620"/>
      <c r="E3620"/>
      <c r="F3620"/>
      <c r="G3620"/>
      <c r="H3620"/>
      <c r="I3620"/>
    </row>
    <row r="3621" spans="1:9" s="47" customFormat="1" ht="14.4" x14ac:dyDescent="0.3">
      <c r="A3621"/>
      <c r="B3621"/>
      <c r="C3621"/>
      <c r="D3621"/>
      <c r="E3621"/>
      <c r="F3621"/>
      <c r="G3621"/>
      <c r="H3621"/>
      <c r="I3621"/>
    </row>
    <row r="3622" spans="1:9" s="47" customFormat="1" ht="14.4" x14ac:dyDescent="0.3">
      <c r="A3622"/>
      <c r="B3622"/>
      <c r="C3622"/>
      <c r="D3622"/>
      <c r="E3622"/>
      <c r="F3622"/>
      <c r="G3622"/>
      <c r="H3622"/>
      <c r="I3622"/>
    </row>
    <row r="3623" spans="1:9" s="47" customFormat="1" ht="14.4" x14ac:dyDescent="0.3">
      <c r="A3623"/>
      <c r="B3623"/>
      <c r="C3623"/>
      <c r="D3623"/>
      <c r="E3623"/>
      <c r="F3623"/>
      <c r="G3623"/>
      <c r="H3623"/>
      <c r="I3623"/>
    </row>
    <row r="3624" spans="1:9" s="47" customFormat="1" ht="14.4" x14ac:dyDescent="0.3">
      <c r="A3624"/>
      <c r="B3624"/>
      <c r="C3624"/>
      <c r="D3624"/>
      <c r="E3624"/>
      <c r="F3624"/>
      <c r="G3624"/>
      <c r="H3624"/>
      <c r="I3624"/>
    </row>
    <row r="3625" spans="1:9" s="47" customFormat="1" ht="14.4" x14ac:dyDescent="0.3">
      <c r="A3625"/>
      <c r="B3625"/>
      <c r="C3625"/>
      <c r="D3625"/>
      <c r="E3625"/>
      <c r="F3625"/>
      <c r="G3625"/>
      <c r="H3625"/>
      <c r="I3625"/>
    </row>
    <row r="3626" spans="1:9" s="47" customFormat="1" ht="14.4" x14ac:dyDescent="0.3">
      <c r="A3626"/>
      <c r="B3626"/>
      <c r="C3626"/>
      <c r="D3626"/>
      <c r="E3626"/>
      <c r="F3626"/>
      <c r="G3626"/>
      <c r="H3626"/>
      <c r="I3626"/>
    </row>
    <row r="3627" spans="1:9" s="47" customFormat="1" ht="14.4" x14ac:dyDescent="0.3">
      <c r="A3627"/>
      <c r="B3627"/>
      <c r="C3627"/>
      <c r="D3627"/>
      <c r="E3627"/>
      <c r="F3627"/>
      <c r="G3627"/>
      <c r="H3627"/>
      <c r="I3627"/>
    </row>
    <row r="3628" spans="1:9" s="47" customFormat="1" ht="14.4" x14ac:dyDescent="0.3">
      <c r="A3628"/>
      <c r="B3628"/>
      <c r="C3628"/>
      <c r="D3628"/>
      <c r="E3628"/>
      <c r="F3628"/>
      <c r="G3628"/>
      <c r="H3628"/>
      <c r="I3628"/>
    </row>
    <row r="3629" spans="1:9" s="47" customFormat="1" ht="14.4" x14ac:dyDescent="0.3">
      <c r="A3629"/>
      <c r="B3629"/>
      <c r="C3629"/>
      <c r="D3629"/>
      <c r="E3629"/>
      <c r="F3629"/>
      <c r="G3629"/>
      <c r="H3629"/>
      <c r="I3629"/>
    </row>
    <row r="3630" spans="1:9" s="47" customFormat="1" ht="14.4" x14ac:dyDescent="0.3">
      <c r="A3630"/>
      <c r="B3630"/>
      <c r="C3630"/>
      <c r="D3630"/>
      <c r="E3630"/>
      <c r="F3630"/>
      <c r="G3630"/>
      <c r="H3630"/>
      <c r="I3630"/>
    </row>
    <row r="3631" spans="1:9" s="47" customFormat="1" ht="14.4" x14ac:dyDescent="0.3">
      <c r="A3631"/>
      <c r="B3631"/>
      <c r="C3631"/>
      <c r="D3631"/>
      <c r="E3631"/>
      <c r="F3631"/>
      <c r="G3631"/>
      <c r="H3631"/>
      <c r="I3631"/>
    </row>
    <row r="3632" spans="1:9" s="47" customFormat="1" ht="14.4" x14ac:dyDescent="0.3">
      <c r="A3632"/>
      <c r="B3632"/>
      <c r="C3632"/>
      <c r="D3632"/>
      <c r="E3632"/>
      <c r="F3632"/>
      <c r="G3632"/>
      <c r="H3632"/>
      <c r="I3632"/>
    </row>
    <row r="3633" spans="1:9" s="47" customFormat="1" ht="14.4" x14ac:dyDescent="0.3">
      <c r="A3633"/>
      <c r="B3633"/>
      <c r="C3633"/>
      <c r="D3633"/>
      <c r="E3633"/>
      <c r="F3633"/>
      <c r="G3633"/>
      <c r="H3633"/>
      <c r="I3633"/>
    </row>
    <row r="3634" spans="1:9" s="47" customFormat="1" ht="14.4" x14ac:dyDescent="0.3">
      <c r="A3634"/>
      <c r="B3634"/>
      <c r="C3634"/>
      <c r="D3634"/>
      <c r="E3634"/>
      <c r="F3634"/>
      <c r="G3634"/>
      <c r="H3634"/>
      <c r="I3634"/>
    </row>
    <row r="3635" spans="1:9" s="47" customFormat="1" ht="14.4" x14ac:dyDescent="0.3">
      <c r="A3635"/>
      <c r="B3635"/>
      <c r="C3635"/>
      <c r="D3635"/>
      <c r="E3635"/>
      <c r="F3635"/>
      <c r="G3635"/>
      <c r="H3635"/>
      <c r="I3635"/>
    </row>
    <row r="3636" spans="1:9" s="47" customFormat="1" ht="14.4" x14ac:dyDescent="0.3">
      <c r="A3636"/>
      <c r="B3636"/>
      <c r="C3636"/>
      <c r="D3636"/>
      <c r="E3636"/>
      <c r="F3636"/>
      <c r="G3636"/>
      <c r="H3636"/>
      <c r="I3636"/>
    </row>
    <row r="3637" spans="1:9" s="47" customFormat="1" ht="14.4" x14ac:dyDescent="0.3">
      <c r="A3637"/>
      <c r="B3637"/>
      <c r="C3637"/>
      <c r="D3637"/>
      <c r="E3637"/>
      <c r="F3637"/>
      <c r="G3637"/>
      <c r="H3637"/>
      <c r="I3637"/>
    </row>
    <row r="3638" spans="1:9" s="47" customFormat="1" ht="14.4" x14ac:dyDescent="0.3">
      <c r="A3638"/>
      <c r="B3638"/>
      <c r="C3638"/>
      <c r="D3638"/>
      <c r="E3638"/>
      <c r="F3638"/>
      <c r="G3638"/>
      <c r="H3638"/>
      <c r="I3638"/>
    </row>
    <row r="3639" spans="1:9" s="47" customFormat="1" ht="14.4" x14ac:dyDescent="0.3">
      <c r="A3639"/>
      <c r="B3639"/>
      <c r="C3639"/>
      <c r="D3639"/>
      <c r="E3639"/>
      <c r="F3639"/>
      <c r="G3639"/>
      <c r="H3639"/>
      <c r="I3639"/>
    </row>
    <row r="3640" spans="1:9" s="47" customFormat="1" ht="14.4" x14ac:dyDescent="0.3">
      <c r="A3640"/>
      <c r="B3640"/>
      <c r="C3640"/>
      <c r="D3640"/>
      <c r="E3640"/>
      <c r="F3640"/>
      <c r="G3640"/>
      <c r="H3640"/>
      <c r="I3640"/>
    </row>
    <row r="3641" spans="1:9" s="47" customFormat="1" ht="14.4" x14ac:dyDescent="0.3">
      <c r="A3641"/>
      <c r="B3641"/>
      <c r="C3641"/>
      <c r="D3641"/>
      <c r="E3641"/>
      <c r="F3641"/>
      <c r="G3641"/>
      <c r="H3641"/>
      <c r="I3641"/>
    </row>
    <row r="3642" spans="1:9" s="47" customFormat="1" ht="14.4" x14ac:dyDescent="0.3">
      <c r="A3642"/>
      <c r="B3642"/>
      <c r="C3642"/>
      <c r="D3642"/>
      <c r="E3642"/>
      <c r="F3642"/>
      <c r="G3642"/>
      <c r="H3642"/>
      <c r="I3642"/>
    </row>
    <row r="3643" spans="1:9" s="47" customFormat="1" ht="14.4" x14ac:dyDescent="0.3">
      <c r="A3643"/>
      <c r="B3643"/>
      <c r="C3643"/>
      <c r="D3643"/>
      <c r="E3643"/>
      <c r="F3643"/>
      <c r="G3643"/>
      <c r="H3643"/>
      <c r="I3643"/>
    </row>
    <row r="3644" spans="1:9" s="47" customFormat="1" ht="14.4" x14ac:dyDescent="0.3">
      <c r="A3644"/>
      <c r="B3644"/>
      <c r="C3644"/>
      <c r="D3644"/>
      <c r="E3644"/>
      <c r="F3644"/>
      <c r="G3644"/>
      <c r="H3644"/>
      <c r="I3644"/>
    </row>
    <row r="3645" spans="1:9" s="47" customFormat="1" ht="14.4" x14ac:dyDescent="0.3">
      <c r="A3645"/>
      <c r="B3645"/>
      <c r="C3645"/>
      <c r="D3645"/>
      <c r="E3645"/>
      <c r="F3645"/>
      <c r="G3645"/>
      <c r="H3645"/>
      <c r="I3645"/>
    </row>
    <row r="3646" spans="1:9" s="47" customFormat="1" ht="14.4" x14ac:dyDescent="0.3">
      <c r="A3646"/>
      <c r="B3646"/>
      <c r="C3646"/>
      <c r="D3646"/>
      <c r="E3646"/>
      <c r="F3646"/>
      <c r="G3646"/>
      <c r="H3646"/>
      <c r="I3646"/>
    </row>
    <row r="3647" spans="1:9" s="47" customFormat="1" ht="14.4" x14ac:dyDescent="0.3">
      <c r="A3647"/>
      <c r="B3647"/>
      <c r="C3647"/>
      <c r="D3647"/>
      <c r="E3647"/>
      <c r="F3647"/>
      <c r="G3647"/>
      <c r="H3647"/>
      <c r="I3647"/>
    </row>
    <row r="3648" spans="1:9" s="47" customFormat="1" ht="14.4" x14ac:dyDescent="0.3">
      <c r="A3648"/>
      <c r="B3648"/>
      <c r="C3648"/>
      <c r="D3648"/>
      <c r="E3648"/>
      <c r="F3648"/>
      <c r="G3648"/>
      <c r="H3648"/>
      <c r="I3648"/>
    </row>
    <row r="3649" spans="1:9" s="47" customFormat="1" ht="14.4" x14ac:dyDescent="0.3">
      <c r="A3649"/>
      <c r="B3649"/>
      <c r="C3649"/>
      <c r="D3649"/>
      <c r="E3649"/>
      <c r="F3649"/>
      <c r="G3649"/>
      <c r="H3649"/>
      <c r="I3649"/>
    </row>
    <row r="3650" spans="1:9" s="47" customFormat="1" ht="14.4" x14ac:dyDescent="0.3">
      <c r="A3650"/>
      <c r="B3650"/>
      <c r="C3650"/>
      <c r="D3650"/>
      <c r="E3650"/>
      <c r="F3650"/>
      <c r="G3650"/>
      <c r="H3650"/>
      <c r="I3650"/>
    </row>
    <row r="3651" spans="1:9" s="47" customFormat="1" ht="14.4" x14ac:dyDescent="0.3">
      <c r="A3651"/>
      <c r="B3651"/>
      <c r="C3651"/>
      <c r="D3651"/>
      <c r="E3651"/>
      <c r="F3651"/>
      <c r="G3651"/>
      <c r="H3651"/>
      <c r="I3651"/>
    </row>
    <row r="3652" spans="1:9" s="47" customFormat="1" ht="14.4" x14ac:dyDescent="0.3">
      <c r="A3652"/>
      <c r="B3652"/>
      <c r="C3652"/>
      <c r="D3652"/>
      <c r="E3652"/>
      <c r="F3652"/>
      <c r="G3652"/>
      <c r="H3652"/>
      <c r="I3652"/>
    </row>
    <row r="3653" spans="1:9" s="47" customFormat="1" ht="14.4" x14ac:dyDescent="0.3">
      <c r="A3653"/>
      <c r="B3653"/>
      <c r="C3653"/>
      <c r="D3653"/>
      <c r="E3653"/>
      <c r="F3653"/>
      <c r="G3653"/>
      <c r="H3653"/>
      <c r="I3653"/>
    </row>
    <row r="3654" spans="1:9" s="47" customFormat="1" ht="14.4" x14ac:dyDescent="0.3">
      <c r="A3654"/>
      <c r="B3654"/>
      <c r="C3654"/>
      <c r="D3654"/>
      <c r="E3654"/>
      <c r="F3654"/>
      <c r="G3654"/>
      <c r="H3654"/>
      <c r="I3654"/>
    </row>
    <row r="3655" spans="1:9" s="47" customFormat="1" ht="14.4" x14ac:dyDescent="0.3">
      <c r="A3655"/>
      <c r="B3655"/>
      <c r="C3655"/>
      <c r="D3655"/>
      <c r="E3655"/>
      <c r="F3655"/>
      <c r="G3655"/>
      <c r="H3655"/>
      <c r="I3655"/>
    </row>
    <row r="3656" spans="1:9" s="47" customFormat="1" ht="14.4" x14ac:dyDescent="0.3">
      <c r="A3656"/>
      <c r="B3656"/>
      <c r="C3656"/>
      <c r="D3656"/>
      <c r="E3656"/>
      <c r="F3656"/>
      <c r="G3656"/>
      <c r="H3656"/>
      <c r="I3656"/>
    </row>
    <row r="3657" spans="1:9" s="47" customFormat="1" ht="14.4" x14ac:dyDescent="0.3">
      <c r="A3657"/>
      <c r="B3657"/>
      <c r="C3657"/>
      <c r="D3657"/>
      <c r="E3657"/>
      <c r="F3657"/>
      <c r="G3657"/>
      <c r="H3657"/>
      <c r="I3657"/>
    </row>
    <row r="3658" spans="1:9" s="47" customFormat="1" ht="14.4" x14ac:dyDescent="0.3">
      <c r="A3658"/>
      <c r="B3658"/>
      <c r="C3658"/>
      <c r="D3658"/>
      <c r="E3658"/>
      <c r="F3658"/>
      <c r="G3658"/>
      <c r="H3658"/>
      <c r="I3658"/>
    </row>
    <row r="3659" spans="1:9" s="47" customFormat="1" ht="14.4" x14ac:dyDescent="0.3">
      <c r="A3659"/>
      <c r="B3659"/>
      <c r="C3659"/>
      <c r="D3659"/>
      <c r="E3659"/>
      <c r="F3659"/>
      <c r="G3659"/>
      <c r="H3659"/>
      <c r="I3659"/>
    </row>
    <row r="3660" spans="1:9" s="47" customFormat="1" ht="14.4" x14ac:dyDescent="0.3">
      <c r="A3660"/>
      <c r="B3660"/>
      <c r="C3660"/>
      <c r="D3660"/>
      <c r="E3660"/>
      <c r="F3660"/>
      <c r="G3660"/>
      <c r="H3660"/>
      <c r="I3660"/>
    </row>
    <row r="3661" spans="1:9" s="47" customFormat="1" ht="14.4" x14ac:dyDescent="0.3">
      <c r="A3661"/>
      <c r="B3661"/>
      <c r="C3661"/>
      <c r="D3661"/>
      <c r="E3661"/>
      <c r="F3661"/>
      <c r="G3661"/>
      <c r="H3661"/>
      <c r="I3661"/>
    </row>
    <row r="3662" spans="1:9" s="47" customFormat="1" ht="14.4" x14ac:dyDescent="0.3">
      <c r="A3662"/>
      <c r="B3662"/>
      <c r="C3662"/>
      <c r="D3662"/>
      <c r="E3662"/>
      <c r="F3662"/>
      <c r="G3662"/>
      <c r="H3662"/>
      <c r="I3662"/>
    </row>
    <row r="3663" spans="1:9" s="47" customFormat="1" ht="14.4" x14ac:dyDescent="0.3">
      <c r="A3663"/>
      <c r="B3663"/>
      <c r="C3663"/>
      <c r="D3663"/>
      <c r="E3663"/>
      <c r="F3663"/>
      <c r="G3663"/>
      <c r="H3663"/>
      <c r="I3663"/>
    </row>
    <row r="3664" spans="1:9" s="47" customFormat="1" ht="14.4" x14ac:dyDescent="0.3">
      <c r="A3664"/>
      <c r="B3664"/>
      <c r="C3664"/>
      <c r="D3664"/>
      <c r="E3664"/>
      <c r="F3664"/>
      <c r="G3664"/>
      <c r="H3664"/>
      <c r="I3664"/>
    </row>
    <row r="3665" spans="1:9" s="47" customFormat="1" ht="14.4" x14ac:dyDescent="0.3">
      <c r="A3665"/>
      <c r="B3665"/>
      <c r="C3665"/>
      <c r="D3665"/>
      <c r="E3665"/>
      <c r="F3665"/>
      <c r="G3665"/>
      <c r="H3665"/>
      <c r="I3665"/>
    </row>
    <row r="3666" spans="1:9" s="47" customFormat="1" ht="14.4" x14ac:dyDescent="0.3">
      <c r="A3666"/>
      <c r="B3666"/>
      <c r="C3666"/>
      <c r="D3666"/>
      <c r="E3666"/>
      <c r="F3666"/>
      <c r="G3666"/>
      <c r="H3666"/>
      <c r="I3666"/>
    </row>
    <row r="3667" spans="1:9" s="47" customFormat="1" ht="14.4" x14ac:dyDescent="0.3">
      <c r="A3667"/>
      <c r="B3667"/>
      <c r="C3667"/>
      <c r="D3667"/>
      <c r="E3667"/>
      <c r="F3667"/>
      <c r="G3667"/>
      <c r="H3667"/>
      <c r="I3667"/>
    </row>
    <row r="3668" spans="1:9" s="47" customFormat="1" ht="14.4" x14ac:dyDescent="0.3">
      <c r="A3668"/>
      <c r="B3668"/>
      <c r="C3668"/>
      <c r="D3668"/>
      <c r="E3668"/>
      <c r="F3668"/>
      <c r="G3668"/>
      <c r="H3668"/>
      <c r="I3668"/>
    </row>
    <row r="3669" spans="1:9" s="47" customFormat="1" ht="14.4" x14ac:dyDescent="0.3">
      <c r="A3669"/>
      <c r="B3669"/>
      <c r="C3669"/>
      <c r="D3669"/>
      <c r="E3669"/>
      <c r="F3669"/>
      <c r="G3669"/>
      <c r="H3669"/>
      <c r="I3669"/>
    </row>
    <row r="3670" spans="1:9" s="47" customFormat="1" ht="14.4" x14ac:dyDescent="0.3">
      <c r="A3670"/>
      <c r="B3670"/>
      <c r="C3670"/>
      <c r="D3670"/>
      <c r="E3670"/>
      <c r="F3670"/>
      <c r="G3670"/>
      <c r="H3670"/>
      <c r="I3670"/>
    </row>
    <row r="3671" spans="1:9" s="47" customFormat="1" ht="14.4" x14ac:dyDescent="0.3">
      <c r="A3671"/>
      <c r="B3671"/>
      <c r="C3671"/>
      <c r="D3671"/>
      <c r="E3671"/>
      <c r="F3671"/>
      <c r="G3671"/>
      <c r="H3671"/>
      <c r="I3671"/>
    </row>
    <row r="3672" spans="1:9" s="47" customFormat="1" ht="14.4" x14ac:dyDescent="0.3">
      <c r="A3672"/>
      <c r="B3672"/>
      <c r="C3672"/>
      <c r="D3672"/>
      <c r="E3672"/>
      <c r="F3672"/>
      <c r="G3672"/>
      <c r="H3672"/>
      <c r="I3672"/>
    </row>
    <row r="3673" spans="1:9" s="47" customFormat="1" ht="14.4" x14ac:dyDescent="0.3">
      <c r="A3673"/>
      <c r="B3673"/>
      <c r="C3673"/>
      <c r="D3673"/>
      <c r="E3673"/>
      <c r="F3673"/>
      <c r="G3673"/>
      <c r="H3673"/>
      <c r="I3673"/>
    </row>
    <row r="3674" spans="1:9" s="47" customFormat="1" ht="14.4" x14ac:dyDescent="0.3">
      <c r="A3674"/>
      <c r="B3674"/>
      <c r="C3674"/>
      <c r="D3674"/>
      <c r="E3674"/>
      <c r="F3674"/>
      <c r="G3674"/>
      <c r="H3674"/>
      <c r="I3674"/>
    </row>
    <row r="3675" spans="1:9" s="47" customFormat="1" ht="14.4" x14ac:dyDescent="0.3">
      <c r="A3675"/>
      <c r="B3675"/>
      <c r="C3675"/>
      <c r="D3675"/>
      <c r="E3675"/>
      <c r="F3675"/>
      <c r="G3675"/>
      <c r="H3675"/>
      <c r="I3675"/>
    </row>
    <row r="3676" spans="1:9" s="47" customFormat="1" ht="14.4" x14ac:dyDescent="0.3">
      <c r="A3676"/>
      <c r="B3676"/>
      <c r="C3676"/>
      <c r="D3676"/>
      <c r="E3676"/>
      <c r="F3676"/>
      <c r="G3676"/>
      <c r="H3676"/>
      <c r="I3676"/>
    </row>
    <row r="3677" spans="1:9" s="47" customFormat="1" ht="14.4" x14ac:dyDescent="0.3">
      <c r="A3677"/>
      <c r="B3677"/>
      <c r="C3677"/>
      <c r="D3677"/>
      <c r="E3677"/>
      <c r="F3677"/>
      <c r="G3677"/>
      <c r="H3677"/>
      <c r="I3677"/>
    </row>
    <row r="3678" spans="1:9" s="47" customFormat="1" ht="14.4" x14ac:dyDescent="0.3">
      <c r="A3678"/>
      <c r="B3678"/>
      <c r="C3678"/>
      <c r="D3678"/>
      <c r="E3678"/>
      <c r="F3678"/>
      <c r="G3678"/>
      <c r="H3678"/>
      <c r="I3678"/>
    </row>
    <row r="3679" spans="1:9" s="47" customFormat="1" ht="14.4" x14ac:dyDescent="0.3">
      <c r="A3679"/>
      <c r="B3679"/>
      <c r="C3679"/>
      <c r="D3679"/>
      <c r="E3679"/>
      <c r="F3679"/>
      <c r="G3679"/>
      <c r="H3679"/>
      <c r="I3679"/>
    </row>
    <row r="3680" spans="1:9" s="47" customFormat="1" ht="14.4" x14ac:dyDescent="0.3">
      <c r="A3680"/>
      <c r="B3680"/>
      <c r="C3680"/>
      <c r="D3680"/>
      <c r="E3680"/>
      <c r="F3680"/>
      <c r="G3680"/>
      <c r="H3680"/>
      <c r="I3680"/>
    </row>
    <row r="3681" spans="1:9" s="47" customFormat="1" ht="14.4" x14ac:dyDescent="0.3">
      <c r="A3681"/>
      <c r="B3681"/>
      <c r="C3681"/>
      <c r="D3681"/>
      <c r="E3681"/>
      <c r="F3681"/>
      <c r="G3681"/>
      <c r="H3681"/>
      <c r="I3681"/>
    </row>
    <row r="3682" spans="1:9" s="47" customFormat="1" ht="14.4" x14ac:dyDescent="0.3">
      <c r="A3682"/>
      <c r="B3682"/>
      <c r="C3682"/>
      <c r="D3682"/>
      <c r="E3682"/>
      <c r="F3682"/>
      <c r="G3682"/>
      <c r="H3682"/>
      <c r="I3682"/>
    </row>
    <row r="3683" spans="1:9" s="47" customFormat="1" ht="14.4" x14ac:dyDescent="0.3">
      <c r="A3683"/>
      <c r="B3683"/>
      <c r="C3683"/>
      <c r="D3683"/>
      <c r="E3683"/>
      <c r="F3683"/>
      <c r="G3683"/>
      <c r="H3683"/>
      <c r="I3683"/>
    </row>
    <row r="3684" spans="1:9" s="47" customFormat="1" ht="14.4" x14ac:dyDescent="0.3">
      <c r="A3684"/>
      <c r="B3684"/>
      <c r="C3684"/>
      <c r="D3684"/>
      <c r="E3684"/>
      <c r="F3684"/>
      <c r="G3684"/>
      <c r="H3684"/>
      <c r="I3684"/>
    </row>
    <row r="3685" spans="1:9" s="47" customFormat="1" ht="14.4" x14ac:dyDescent="0.3">
      <c r="A3685"/>
      <c r="B3685"/>
      <c r="C3685"/>
      <c r="D3685"/>
      <c r="E3685"/>
      <c r="F3685"/>
      <c r="G3685"/>
      <c r="H3685"/>
      <c r="I3685"/>
    </row>
    <row r="3686" spans="1:9" s="47" customFormat="1" ht="14.4" x14ac:dyDescent="0.3">
      <c r="A3686"/>
      <c r="B3686"/>
      <c r="C3686"/>
      <c r="D3686"/>
      <c r="E3686"/>
      <c r="F3686"/>
      <c r="G3686"/>
      <c r="H3686"/>
      <c r="I3686"/>
    </row>
    <row r="3687" spans="1:9" s="47" customFormat="1" ht="14.4" x14ac:dyDescent="0.3">
      <c r="A3687"/>
      <c r="B3687"/>
      <c r="C3687"/>
      <c r="D3687"/>
      <c r="E3687"/>
      <c r="F3687"/>
      <c r="G3687"/>
      <c r="H3687"/>
      <c r="I3687"/>
    </row>
    <row r="3688" spans="1:9" s="47" customFormat="1" ht="14.4" x14ac:dyDescent="0.3">
      <c r="A3688"/>
      <c r="B3688"/>
      <c r="C3688"/>
      <c r="D3688"/>
      <c r="E3688"/>
      <c r="F3688"/>
      <c r="G3688"/>
      <c r="H3688"/>
      <c r="I3688"/>
    </row>
    <row r="3689" spans="1:9" s="47" customFormat="1" ht="14.4" x14ac:dyDescent="0.3">
      <c r="A3689"/>
      <c r="B3689"/>
      <c r="C3689"/>
      <c r="D3689"/>
      <c r="E3689"/>
      <c r="F3689"/>
      <c r="G3689"/>
      <c r="H3689"/>
      <c r="I3689"/>
    </row>
    <row r="3690" spans="1:9" s="47" customFormat="1" ht="14.4" x14ac:dyDescent="0.3">
      <c r="A3690"/>
      <c r="B3690"/>
      <c r="C3690"/>
      <c r="D3690"/>
      <c r="E3690"/>
      <c r="F3690"/>
      <c r="G3690"/>
      <c r="H3690"/>
      <c r="I3690"/>
    </row>
    <row r="3691" spans="1:9" s="47" customFormat="1" ht="14.4" x14ac:dyDescent="0.3">
      <c r="A3691"/>
      <c r="B3691"/>
      <c r="C3691"/>
      <c r="D3691"/>
      <c r="E3691"/>
      <c r="F3691"/>
      <c r="G3691"/>
      <c r="H3691"/>
      <c r="I3691"/>
    </row>
    <row r="3692" spans="1:9" s="47" customFormat="1" ht="14.4" x14ac:dyDescent="0.3">
      <c r="A3692"/>
      <c r="B3692"/>
      <c r="C3692"/>
      <c r="D3692"/>
      <c r="E3692"/>
      <c r="F3692"/>
      <c r="G3692"/>
      <c r="H3692"/>
      <c r="I3692"/>
    </row>
    <row r="3693" spans="1:9" s="47" customFormat="1" ht="14.4" x14ac:dyDescent="0.3">
      <c r="A3693"/>
      <c r="B3693"/>
      <c r="C3693"/>
      <c r="D3693"/>
      <c r="E3693"/>
      <c r="F3693"/>
      <c r="G3693"/>
      <c r="H3693"/>
      <c r="I3693"/>
    </row>
    <row r="3694" spans="1:9" s="47" customFormat="1" ht="14.4" x14ac:dyDescent="0.3">
      <c r="A3694"/>
      <c r="B3694"/>
      <c r="C3694"/>
      <c r="D3694"/>
      <c r="E3694"/>
      <c r="F3694"/>
      <c r="G3694"/>
      <c r="H3694"/>
      <c r="I3694"/>
    </row>
    <row r="3695" spans="1:9" s="47" customFormat="1" ht="14.4" x14ac:dyDescent="0.3">
      <c r="A3695"/>
      <c r="B3695"/>
      <c r="C3695"/>
      <c r="D3695"/>
      <c r="E3695"/>
      <c r="F3695"/>
      <c r="G3695"/>
      <c r="H3695"/>
      <c r="I3695"/>
    </row>
    <row r="3696" spans="1:9" s="47" customFormat="1" ht="14.4" x14ac:dyDescent="0.3">
      <c r="A3696"/>
      <c r="B3696"/>
      <c r="C3696"/>
      <c r="D3696"/>
      <c r="E3696"/>
      <c r="F3696"/>
      <c r="G3696"/>
      <c r="H3696"/>
      <c r="I3696"/>
    </row>
    <row r="3697" spans="1:9" s="47" customFormat="1" ht="14.4" x14ac:dyDescent="0.3">
      <c r="A3697"/>
      <c r="B3697"/>
      <c r="C3697"/>
      <c r="D3697"/>
      <c r="E3697"/>
      <c r="F3697"/>
      <c r="G3697"/>
      <c r="H3697"/>
      <c r="I3697"/>
    </row>
    <row r="3698" spans="1:9" s="47" customFormat="1" ht="14.4" x14ac:dyDescent="0.3">
      <c r="A3698"/>
      <c r="B3698"/>
      <c r="C3698"/>
      <c r="D3698"/>
      <c r="E3698"/>
      <c r="F3698"/>
      <c r="G3698"/>
      <c r="H3698"/>
      <c r="I3698"/>
    </row>
    <row r="3699" spans="1:9" s="47" customFormat="1" ht="14.4" x14ac:dyDescent="0.3">
      <c r="A3699"/>
      <c r="B3699"/>
      <c r="C3699"/>
      <c r="D3699"/>
      <c r="E3699"/>
      <c r="F3699"/>
      <c r="G3699"/>
      <c r="H3699"/>
      <c r="I3699"/>
    </row>
    <row r="3700" spans="1:9" s="47" customFormat="1" ht="14.4" x14ac:dyDescent="0.3">
      <c r="A3700"/>
      <c r="B3700"/>
      <c r="C3700"/>
      <c r="D3700"/>
      <c r="E3700"/>
      <c r="F3700"/>
      <c r="G3700"/>
      <c r="H3700"/>
      <c r="I3700"/>
    </row>
    <row r="3701" spans="1:9" s="47" customFormat="1" ht="14.4" x14ac:dyDescent="0.3">
      <c r="A3701"/>
      <c r="B3701"/>
      <c r="C3701"/>
      <c r="D3701"/>
      <c r="E3701"/>
      <c r="F3701"/>
      <c r="G3701"/>
      <c r="H3701"/>
      <c r="I3701"/>
    </row>
    <row r="3702" spans="1:9" s="47" customFormat="1" ht="14.4" x14ac:dyDescent="0.3">
      <c r="A3702"/>
      <c r="B3702"/>
      <c r="C3702"/>
      <c r="D3702"/>
      <c r="E3702"/>
      <c r="F3702"/>
      <c r="G3702"/>
      <c r="H3702"/>
      <c r="I3702"/>
    </row>
    <row r="3703" spans="1:9" s="47" customFormat="1" ht="14.4" x14ac:dyDescent="0.3">
      <c r="A3703"/>
      <c r="B3703"/>
      <c r="C3703"/>
      <c r="D3703"/>
      <c r="E3703"/>
      <c r="F3703"/>
      <c r="G3703"/>
      <c r="H3703"/>
      <c r="I3703"/>
    </row>
    <row r="3704" spans="1:9" s="47" customFormat="1" ht="14.4" x14ac:dyDescent="0.3">
      <c r="A3704"/>
      <c r="B3704"/>
      <c r="C3704"/>
      <c r="D3704"/>
      <c r="E3704"/>
      <c r="F3704"/>
      <c r="G3704"/>
      <c r="H3704"/>
      <c r="I3704"/>
    </row>
    <row r="3705" spans="1:9" s="47" customFormat="1" ht="14.4" x14ac:dyDescent="0.3">
      <c r="A3705"/>
      <c r="B3705"/>
      <c r="C3705"/>
      <c r="D3705"/>
      <c r="E3705"/>
      <c r="F3705"/>
      <c r="G3705"/>
      <c r="H3705"/>
      <c r="I3705"/>
    </row>
    <row r="3706" spans="1:9" s="47" customFormat="1" ht="14.4" x14ac:dyDescent="0.3">
      <c r="A3706"/>
      <c r="B3706"/>
      <c r="C3706"/>
      <c r="D3706"/>
      <c r="E3706"/>
      <c r="F3706"/>
      <c r="G3706"/>
      <c r="H3706"/>
      <c r="I3706"/>
    </row>
    <row r="3707" spans="1:9" s="47" customFormat="1" ht="14.4" x14ac:dyDescent="0.3">
      <c r="A3707"/>
      <c r="B3707"/>
      <c r="C3707"/>
      <c r="D3707"/>
      <c r="E3707"/>
      <c r="F3707"/>
      <c r="G3707"/>
      <c r="H3707"/>
      <c r="I3707"/>
    </row>
    <row r="3708" spans="1:9" s="47" customFormat="1" ht="14.4" x14ac:dyDescent="0.3">
      <c r="A3708"/>
      <c r="B3708"/>
      <c r="C3708"/>
      <c r="D3708"/>
      <c r="E3708"/>
      <c r="F3708"/>
      <c r="G3708"/>
      <c r="H3708"/>
      <c r="I3708"/>
    </row>
    <row r="3709" spans="1:9" s="47" customFormat="1" ht="14.4" x14ac:dyDescent="0.3">
      <c r="A3709"/>
      <c r="B3709"/>
      <c r="C3709"/>
      <c r="D3709"/>
      <c r="E3709"/>
      <c r="F3709"/>
      <c r="G3709"/>
      <c r="H3709"/>
      <c r="I3709"/>
    </row>
    <row r="3710" spans="1:9" s="47" customFormat="1" ht="14.4" x14ac:dyDescent="0.3">
      <c r="A3710"/>
      <c r="B3710"/>
      <c r="C3710"/>
      <c r="D3710"/>
      <c r="E3710"/>
      <c r="F3710"/>
      <c r="G3710"/>
      <c r="H3710"/>
      <c r="I3710"/>
    </row>
    <row r="3711" spans="1:9" s="47" customFormat="1" ht="14.4" x14ac:dyDescent="0.3">
      <c r="A3711"/>
      <c r="B3711"/>
      <c r="C3711"/>
      <c r="D3711"/>
      <c r="E3711"/>
      <c r="F3711"/>
      <c r="G3711"/>
      <c r="H3711"/>
      <c r="I3711"/>
    </row>
    <row r="3712" spans="1:9" s="47" customFormat="1" ht="14.4" x14ac:dyDescent="0.3">
      <c r="A3712"/>
      <c r="B3712"/>
      <c r="C3712"/>
      <c r="D3712"/>
      <c r="E3712"/>
      <c r="F3712"/>
      <c r="G3712"/>
      <c r="H3712"/>
      <c r="I3712"/>
    </row>
    <row r="3713" spans="1:9" s="47" customFormat="1" ht="14.4" x14ac:dyDescent="0.3">
      <c r="A3713"/>
      <c r="B3713"/>
      <c r="C3713"/>
      <c r="D3713"/>
      <c r="E3713"/>
      <c r="F3713"/>
      <c r="G3713"/>
      <c r="H3713"/>
      <c r="I3713"/>
    </row>
    <row r="3714" spans="1:9" s="47" customFormat="1" ht="14.4" x14ac:dyDescent="0.3">
      <c r="A3714"/>
      <c r="B3714"/>
      <c r="C3714"/>
      <c r="D3714"/>
      <c r="E3714"/>
      <c r="F3714"/>
      <c r="G3714"/>
      <c r="H3714"/>
      <c r="I3714"/>
    </row>
    <row r="3715" spans="1:9" s="47" customFormat="1" ht="14.4" x14ac:dyDescent="0.3">
      <c r="A3715"/>
      <c r="B3715"/>
      <c r="C3715"/>
      <c r="D3715"/>
      <c r="E3715"/>
      <c r="F3715"/>
      <c r="G3715"/>
      <c r="H3715"/>
      <c r="I3715"/>
    </row>
    <row r="3716" spans="1:9" s="47" customFormat="1" ht="14.4" x14ac:dyDescent="0.3">
      <c r="A3716"/>
      <c r="B3716"/>
      <c r="C3716"/>
      <c r="D3716"/>
      <c r="E3716"/>
      <c r="F3716"/>
      <c r="G3716"/>
      <c r="H3716"/>
      <c r="I3716"/>
    </row>
    <row r="3717" spans="1:9" s="47" customFormat="1" ht="14.4" x14ac:dyDescent="0.3">
      <c r="A3717"/>
      <c r="B3717"/>
      <c r="C3717"/>
      <c r="D3717"/>
      <c r="E3717"/>
      <c r="F3717"/>
      <c r="G3717"/>
      <c r="H3717"/>
      <c r="I3717"/>
    </row>
    <row r="3718" spans="1:9" s="47" customFormat="1" ht="14.4" x14ac:dyDescent="0.3">
      <c r="A3718"/>
      <c r="B3718"/>
      <c r="C3718"/>
      <c r="D3718"/>
      <c r="E3718"/>
      <c r="F3718"/>
      <c r="G3718"/>
      <c r="H3718"/>
      <c r="I3718"/>
    </row>
    <row r="3719" spans="1:9" s="47" customFormat="1" ht="14.4" x14ac:dyDescent="0.3">
      <c r="A3719"/>
      <c r="B3719"/>
      <c r="C3719"/>
      <c r="D3719"/>
      <c r="E3719"/>
      <c r="F3719"/>
      <c r="G3719"/>
      <c r="H3719"/>
      <c r="I3719"/>
    </row>
    <row r="3720" spans="1:9" s="47" customFormat="1" ht="14.4" x14ac:dyDescent="0.3">
      <c r="A3720"/>
      <c r="B3720"/>
      <c r="C3720"/>
      <c r="D3720"/>
      <c r="E3720"/>
      <c r="F3720"/>
      <c r="G3720"/>
      <c r="H3720"/>
      <c r="I3720"/>
    </row>
    <row r="3721" spans="1:9" s="47" customFormat="1" ht="14.4" x14ac:dyDescent="0.3">
      <c r="A3721"/>
      <c r="B3721"/>
      <c r="C3721"/>
      <c r="D3721"/>
      <c r="E3721"/>
      <c r="F3721"/>
      <c r="G3721"/>
      <c r="H3721"/>
      <c r="I3721"/>
    </row>
    <row r="3722" spans="1:9" s="47" customFormat="1" ht="14.4" x14ac:dyDescent="0.3">
      <c r="A3722"/>
      <c r="B3722"/>
      <c r="C3722"/>
      <c r="D3722"/>
      <c r="E3722"/>
      <c r="F3722"/>
      <c r="G3722"/>
      <c r="H3722"/>
      <c r="I3722"/>
    </row>
    <row r="3723" spans="1:9" s="47" customFormat="1" ht="14.4" x14ac:dyDescent="0.3">
      <c r="A3723"/>
      <c r="B3723"/>
      <c r="C3723"/>
      <c r="D3723"/>
      <c r="E3723"/>
      <c r="F3723"/>
      <c r="G3723"/>
      <c r="H3723"/>
      <c r="I3723"/>
    </row>
    <row r="3724" spans="1:9" s="47" customFormat="1" ht="14.4" x14ac:dyDescent="0.3">
      <c r="A3724"/>
      <c r="B3724"/>
      <c r="C3724"/>
      <c r="D3724"/>
      <c r="E3724"/>
      <c r="F3724"/>
      <c r="G3724"/>
      <c r="H3724"/>
      <c r="I3724"/>
    </row>
    <row r="3725" spans="1:9" s="47" customFormat="1" ht="14.4" x14ac:dyDescent="0.3">
      <c r="A3725"/>
      <c r="B3725"/>
      <c r="C3725"/>
      <c r="D3725"/>
      <c r="E3725"/>
      <c r="F3725"/>
      <c r="G3725"/>
      <c r="H3725"/>
      <c r="I3725"/>
    </row>
    <row r="3726" spans="1:9" s="47" customFormat="1" ht="14.4" x14ac:dyDescent="0.3">
      <c r="A3726"/>
      <c r="B3726"/>
      <c r="C3726"/>
      <c r="D3726"/>
      <c r="E3726"/>
      <c r="F3726"/>
      <c r="G3726"/>
      <c r="H3726"/>
      <c r="I3726"/>
    </row>
    <row r="3727" spans="1:9" s="47" customFormat="1" ht="14.4" x14ac:dyDescent="0.3">
      <c r="A3727"/>
      <c r="B3727"/>
      <c r="C3727"/>
      <c r="D3727"/>
      <c r="E3727"/>
      <c r="F3727"/>
      <c r="G3727"/>
      <c r="H3727"/>
      <c r="I3727"/>
    </row>
    <row r="3728" spans="1:9" s="47" customFormat="1" ht="14.4" x14ac:dyDescent="0.3">
      <c r="A3728"/>
      <c r="B3728"/>
      <c r="C3728"/>
      <c r="D3728"/>
      <c r="E3728"/>
      <c r="F3728"/>
      <c r="G3728"/>
      <c r="H3728"/>
      <c r="I3728"/>
    </row>
    <row r="3729" spans="1:9" s="47" customFormat="1" ht="14.4" x14ac:dyDescent="0.3">
      <c r="A3729"/>
      <c r="B3729"/>
      <c r="C3729"/>
      <c r="D3729"/>
      <c r="E3729"/>
      <c r="F3729"/>
      <c r="G3729"/>
      <c r="H3729"/>
      <c r="I3729"/>
    </row>
    <row r="3730" spans="1:9" s="47" customFormat="1" ht="14.4" x14ac:dyDescent="0.3">
      <c r="A3730"/>
      <c r="B3730"/>
      <c r="C3730"/>
      <c r="D3730"/>
      <c r="E3730"/>
      <c r="F3730"/>
      <c r="G3730"/>
      <c r="H3730"/>
      <c r="I3730"/>
    </row>
    <row r="3731" spans="1:9" s="47" customFormat="1" ht="14.4" x14ac:dyDescent="0.3">
      <c r="A3731"/>
      <c r="B3731"/>
      <c r="C3731"/>
      <c r="D3731"/>
      <c r="E3731"/>
      <c r="F3731"/>
      <c r="G3731"/>
      <c r="H3731"/>
      <c r="I3731"/>
    </row>
    <row r="3732" spans="1:9" s="47" customFormat="1" ht="14.4" x14ac:dyDescent="0.3">
      <c r="A3732"/>
      <c r="B3732"/>
      <c r="C3732"/>
      <c r="D3732"/>
      <c r="E3732"/>
      <c r="F3732"/>
      <c r="G3732"/>
      <c r="H3732"/>
      <c r="I3732"/>
    </row>
    <row r="3733" spans="1:9" s="47" customFormat="1" ht="14.4" x14ac:dyDescent="0.3">
      <c r="A3733"/>
      <c r="B3733"/>
      <c r="C3733"/>
      <c r="D3733"/>
      <c r="E3733"/>
      <c r="F3733"/>
      <c r="G3733"/>
      <c r="H3733"/>
      <c r="I3733"/>
    </row>
    <row r="3734" spans="1:9" s="47" customFormat="1" ht="14.4" x14ac:dyDescent="0.3">
      <c r="A3734"/>
      <c r="B3734"/>
      <c r="C3734"/>
      <c r="D3734"/>
      <c r="E3734"/>
      <c r="F3734"/>
      <c r="G3734"/>
      <c r="H3734"/>
      <c r="I3734"/>
    </row>
    <row r="3735" spans="1:9" s="47" customFormat="1" ht="14.4" x14ac:dyDescent="0.3">
      <c r="A3735"/>
      <c r="B3735"/>
      <c r="C3735"/>
      <c r="D3735"/>
      <c r="E3735"/>
      <c r="F3735"/>
      <c r="G3735"/>
      <c r="H3735"/>
      <c r="I3735"/>
    </row>
    <row r="3736" spans="1:9" s="47" customFormat="1" ht="14.4" x14ac:dyDescent="0.3">
      <c r="A3736"/>
      <c r="B3736"/>
      <c r="C3736"/>
      <c r="D3736"/>
      <c r="E3736"/>
      <c r="F3736"/>
      <c r="G3736"/>
      <c r="H3736"/>
      <c r="I3736"/>
    </row>
    <row r="3737" spans="1:9" s="47" customFormat="1" ht="14.4" x14ac:dyDescent="0.3">
      <c r="A3737"/>
      <c r="B3737"/>
      <c r="C3737"/>
      <c r="D3737"/>
      <c r="E3737"/>
      <c r="F3737"/>
      <c r="G3737"/>
      <c r="H3737"/>
      <c r="I3737"/>
    </row>
    <row r="3738" spans="1:9" s="47" customFormat="1" ht="14.4" x14ac:dyDescent="0.3">
      <c r="A3738"/>
      <c r="B3738"/>
      <c r="C3738"/>
      <c r="D3738"/>
      <c r="E3738"/>
      <c r="F3738"/>
      <c r="G3738"/>
      <c r="H3738"/>
      <c r="I3738"/>
    </row>
    <row r="3739" spans="1:9" s="47" customFormat="1" ht="14.4" x14ac:dyDescent="0.3">
      <c r="A3739"/>
      <c r="B3739"/>
      <c r="C3739"/>
      <c r="D3739"/>
      <c r="E3739"/>
      <c r="F3739"/>
      <c r="G3739"/>
      <c r="H3739"/>
      <c r="I3739"/>
    </row>
    <row r="3740" spans="1:9" s="47" customFormat="1" ht="14.4" x14ac:dyDescent="0.3">
      <c r="A3740"/>
      <c r="B3740"/>
      <c r="C3740"/>
      <c r="D3740"/>
      <c r="E3740"/>
      <c r="F3740"/>
      <c r="G3740"/>
      <c r="H3740"/>
      <c r="I3740"/>
    </row>
    <row r="3741" spans="1:9" s="47" customFormat="1" ht="14.4" x14ac:dyDescent="0.3">
      <c r="A3741"/>
      <c r="B3741"/>
      <c r="C3741"/>
      <c r="D3741"/>
      <c r="E3741"/>
      <c r="F3741"/>
      <c r="G3741"/>
      <c r="H3741"/>
      <c r="I3741"/>
    </row>
    <row r="3742" spans="1:9" s="47" customFormat="1" ht="14.4" x14ac:dyDescent="0.3">
      <c r="A3742"/>
      <c r="B3742"/>
      <c r="C3742"/>
      <c r="D3742"/>
      <c r="E3742"/>
      <c r="F3742"/>
      <c r="G3742"/>
      <c r="H3742"/>
      <c r="I3742"/>
    </row>
    <row r="3743" spans="1:9" s="47" customFormat="1" ht="14.4" x14ac:dyDescent="0.3">
      <c r="A3743"/>
      <c r="B3743"/>
      <c r="C3743"/>
      <c r="D3743"/>
      <c r="E3743"/>
      <c r="F3743"/>
      <c r="G3743"/>
      <c r="H3743"/>
      <c r="I3743"/>
    </row>
    <row r="3744" spans="1:9" s="47" customFormat="1" ht="14.4" x14ac:dyDescent="0.3">
      <c r="A3744"/>
      <c r="B3744"/>
      <c r="C3744"/>
      <c r="D3744"/>
      <c r="E3744"/>
      <c r="F3744"/>
      <c r="G3744"/>
      <c r="H3744"/>
      <c r="I3744"/>
    </row>
    <row r="3745" spans="1:9" s="47" customFormat="1" ht="14.4" x14ac:dyDescent="0.3">
      <c r="A3745"/>
      <c r="B3745"/>
      <c r="C3745"/>
      <c r="D3745"/>
      <c r="E3745"/>
      <c r="F3745"/>
      <c r="G3745"/>
      <c r="H3745"/>
      <c r="I3745"/>
    </row>
    <row r="3746" spans="1:9" s="47" customFormat="1" ht="14.4" x14ac:dyDescent="0.3">
      <c r="A3746"/>
      <c r="B3746"/>
      <c r="C3746"/>
      <c r="D3746"/>
      <c r="E3746"/>
      <c r="F3746"/>
      <c r="G3746"/>
      <c r="H3746"/>
      <c r="I3746"/>
    </row>
    <row r="3747" spans="1:9" s="47" customFormat="1" ht="14.4" x14ac:dyDescent="0.3">
      <c r="A3747"/>
      <c r="B3747"/>
      <c r="C3747"/>
      <c r="D3747"/>
      <c r="E3747"/>
      <c r="F3747"/>
      <c r="G3747"/>
      <c r="H3747"/>
      <c r="I3747"/>
    </row>
    <row r="3748" spans="1:9" s="47" customFormat="1" ht="14.4" x14ac:dyDescent="0.3">
      <c r="A3748"/>
      <c r="B3748"/>
      <c r="C3748"/>
      <c r="D3748"/>
      <c r="E3748"/>
      <c r="F3748"/>
      <c r="G3748"/>
      <c r="H3748"/>
      <c r="I3748"/>
    </row>
    <row r="3749" spans="1:9" s="47" customFormat="1" ht="14.4" x14ac:dyDescent="0.3">
      <c r="A3749"/>
      <c r="B3749"/>
      <c r="C3749"/>
      <c r="D3749"/>
      <c r="E3749"/>
      <c r="F3749"/>
      <c r="G3749"/>
      <c r="H3749"/>
      <c r="I3749"/>
    </row>
    <row r="3750" spans="1:9" s="47" customFormat="1" ht="14.4" x14ac:dyDescent="0.3">
      <c r="A3750"/>
      <c r="B3750"/>
      <c r="C3750"/>
      <c r="D3750"/>
      <c r="E3750"/>
      <c r="F3750"/>
      <c r="G3750"/>
      <c r="H3750"/>
      <c r="I3750"/>
    </row>
    <row r="3751" spans="1:9" s="47" customFormat="1" ht="14.4" x14ac:dyDescent="0.3">
      <c r="A3751"/>
      <c r="B3751"/>
      <c r="C3751"/>
      <c r="D3751"/>
      <c r="E3751"/>
      <c r="F3751"/>
      <c r="G3751"/>
      <c r="H3751"/>
      <c r="I3751"/>
    </row>
    <row r="3752" spans="1:9" s="47" customFormat="1" ht="14.4" x14ac:dyDescent="0.3">
      <c r="A3752"/>
      <c r="B3752"/>
      <c r="C3752"/>
      <c r="D3752"/>
      <c r="E3752"/>
      <c r="F3752"/>
      <c r="G3752"/>
      <c r="H3752"/>
      <c r="I3752"/>
    </row>
    <row r="3753" spans="1:9" s="47" customFormat="1" ht="14.4" x14ac:dyDescent="0.3">
      <c r="A3753"/>
      <c r="B3753"/>
      <c r="C3753"/>
      <c r="D3753"/>
      <c r="E3753"/>
      <c r="F3753"/>
      <c r="G3753"/>
      <c r="H3753"/>
      <c r="I3753"/>
    </row>
    <row r="3754" spans="1:9" s="47" customFormat="1" ht="14.4" x14ac:dyDescent="0.3">
      <c r="A3754"/>
      <c r="B3754"/>
      <c r="C3754"/>
      <c r="D3754"/>
      <c r="E3754"/>
      <c r="F3754"/>
      <c r="G3754"/>
      <c r="H3754"/>
      <c r="I3754"/>
    </row>
    <row r="3755" spans="1:9" s="47" customFormat="1" ht="14.4" x14ac:dyDescent="0.3">
      <c r="A3755"/>
      <c r="B3755"/>
      <c r="C3755"/>
      <c r="D3755"/>
      <c r="E3755"/>
      <c r="F3755"/>
      <c r="G3755"/>
      <c r="H3755"/>
      <c r="I3755"/>
    </row>
    <row r="3756" spans="1:9" s="47" customFormat="1" ht="14.4" x14ac:dyDescent="0.3">
      <c r="A3756"/>
      <c r="B3756"/>
      <c r="C3756"/>
      <c r="D3756"/>
      <c r="E3756"/>
      <c r="F3756"/>
      <c r="G3756"/>
      <c r="H3756"/>
      <c r="I3756"/>
    </row>
    <row r="3757" spans="1:9" s="47" customFormat="1" ht="14.4" x14ac:dyDescent="0.3">
      <c r="A3757"/>
      <c r="B3757"/>
      <c r="C3757"/>
      <c r="D3757"/>
      <c r="E3757"/>
      <c r="F3757"/>
      <c r="G3757"/>
      <c r="H3757"/>
      <c r="I3757"/>
    </row>
    <row r="3758" spans="1:9" s="47" customFormat="1" ht="14.4" x14ac:dyDescent="0.3">
      <c r="A3758"/>
      <c r="B3758"/>
      <c r="C3758"/>
      <c r="D3758"/>
      <c r="E3758"/>
      <c r="F3758"/>
      <c r="G3758"/>
      <c r="H3758"/>
      <c r="I3758"/>
    </row>
    <row r="3759" spans="1:9" s="47" customFormat="1" ht="14.4" x14ac:dyDescent="0.3">
      <c r="A3759"/>
      <c r="B3759"/>
      <c r="C3759"/>
      <c r="D3759"/>
      <c r="E3759"/>
      <c r="F3759"/>
      <c r="G3759"/>
      <c r="H3759"/>
      <c r="I3759"/>
    </row>
    <row r="3760" spans="1:9" s="47" customFormat="1" ht="14.4" x14ac:dyDescent="0.3">
      <c r="A3760"/>
      <c r="B3760"/>
      <c r="C3760"/>
      <c r="D3760"/>
      <c r="E3760"/>
      <c r="F3760"/>
      <c r="G3760"/>
      <c r="H3760"/>
      <c r="I3760"/>
    </row>
    <row r="3761" spans="1:9" s="47" customFormat="1" ht="14.4" x14ac:dyDescent="0.3">
      <c r="A3761"/>
      <c r="B3761"/>
      <c r="C3761"/>
      <c r="D3761"/>
      <c r="E3761"/>
      <c r="F3761"/>
      <c r="G3761"/>
      <c r="H3761"/>
      <c r="I3761"/>
    </row>
    <row r="3762" spans="1:9" s="47" customFormat="1" ht="14.4" x14ac:dyDescent="0.3">
      <c r="A3762"/>
      <c r="B3762"/>
      <c r="C3762"/>
      <c r="D3762"/>
      <c r="E3762"/>
      <c r="F3762"/>
      <c r="G3762"/>
      <c r="H3762"/>
      <c r="I3762"/>
    </row>
    <row r="3763" spans="1:9" s="47" customFormat="1" ht="14.4" x14ac:dyDescent="0.3">
      <c r="A3763"/>
      <c r="B3763"/>
      <c r="C3763"/>
      <c r="D3763"/>
      <c r="E3763"/>
      <c r="F3763"/>
      <c r="G3763"/>
      <c r="H3763"/>
      <c r="I3763"/>
    </row>
    <row r="3764" spans="1:9" s="47" customFormat="1" ht="14.4" x14ac:dyDescent="0.3">
      <c r="A3764"/>
      <c r="B3764"/>
      <c r="C3764"/>
      <c r="D3764"/>
      <c r="E3764"/>
      <c r="F3764"/>
      <c r="G3764"/>
      <c r="H3764"/>
      <c r="I3764"/>
    </row>
    <row r="3765" spans="1:9" s="47" customFormat="1" ht="14.4" x14ac:dyDescent="0.3">
      <c r="A3765"/>
      <c r="B3765"/>
      <c r="C3765"/>
      <c r="D3765"/>
      <c r="E3765"/>
      <c r="F3765"/>
      <c r="G3765"/>
      <c r="H3765"/>
      <c r="I3765"/>
    </row>
    <row r="3766" spans="1:9" s="47" customFormat="1" ht="14.4" x14ac:dyDescent="0.3">
      <c r="A3766"/>
      <c r="B3766"/>
      <c r="C3766"/>
      <c r="D3766"/>
      <c r="E3766"/>
      <c r="F3766"/>
      <c r="G3766"/>
      <c r="H3766"/>
      <c r="I3766"/>
    </row>
    <row r="3767" spans="1:9" s="47" customFormat="1" ht="14.4" x14ac:dyDescent="0.3">
      <c r="A3767"/>
      <c r="B3767"/>
      <c r="C3767"/>
      <c r="D3767"/>
      <c r="E3767"/>
      <c r="F3767"/>
      <c r="G3767"/>
      <c r="H3767"/>
      <c r="I3767"/>
    </row>
    <row r="3768" spans="1:9" s="47" customFormat="1" ht="14.4" x14ac:dyDescent="0.3">
      <c r="A3768"/>
      <c r="B3768"/>
      <c r="C3768"/>
      <c r="D3768"/>
      <c r="E3768"/>
      <c r="F3768"/>
      <c r="G3768"/>
      <c r="H3768"/>
      <c r="I3768"/>
    </row>
    <row r="3769" spans="1:9" s="47" customFormat="1" ht="14.4" x14ac:dyDescent="0.3">
      <c r="A3769"/>
      <c r="B3769"/>
      <c r="C3769"/>
      <c r="D3769"/>
      <c r="E3769"/>
      <c r="F3769"/>
      <c r="G3769"/>
      <c r="H3769"/>
      <c r="I3769"/>
    </row>
    <row r="3770" spans="1:9" s="47" customFormat="1" ht="14.4" x14ac:dyDescent="0.3">
      <c r="A3770"/>
      <c r="B3770"/>
      <c r="C3770"/>
      <c r="D3770"/>
      <c r="E3770"/>
      <c r="F3770"/>
      <c r="G3770"/>
      <c r="H3770"/>
      <c r="I3770"/>
    </row>
    <row r="3771" spans="1:9" s="47" customFormat="1" ht="14.4" x14ac:dyDescent="0.3">
      <c r="A3771"/>
      <c r="B3771"/>
      <c r="C3771"/>
      <c r="D3771"/>
      <c r="E3771"/>
      <c r="F3771"/>
      <c r="G3771"/>
      <c r="H3771"/>
      <c r="I3771"/>
    </row>
    <row r="3772" spans="1:9" s="47" customFormat="1" ht="14.4" x14ac:dyDescent="0.3">
      <c r="A3772"/>
      <c r="B3772"/>
      <c r="C3772"/>
      <c r="D3772"/>
      <c r="E3772"/>
      <c r="F3772"/>
      <c r="G3772"/>
      <c r="H3772"/>
      <c r="I3772"/>
    </row>
    <row r="3773" spans="1:9" s="47" customFormat="1" ht="14.4" x14ac:dyDescent="0.3">
      <c r="A3773"/>
      <c r="B3773"/>
      <c r="C3773"/>
      <c r="D3773"/>
      <c r="E3773"/>
      <c r="F3773"/>
      <c r="G3773"/>
      <c r="H3773"/>
      <c r="I3773"/>
    </row>
    <row r="3774" spans="1:9" s="47" customFormat="1" ht="14.4" x14ac:dyDescent="0.3">
      <c r="A3774"/>
      <c r="B3774"/>
      <c r="C3774"/>
      <c r="D3774"/>
      <c r="E3774"/>
      <c r="F3774"/>
      <c r="G3774"/>
      <c r="H3774"/>
      <c r="I3774"/>
    </row>
    <row r="3775" spans="1:9" s="47" customFormat="1" ht="14.4" x14ac:dyDescent="0.3">
      <c r="A3775"/>
      <c r="B3775"/>
      <c r="C3775"/>
      <c r="D3775"/>
      <c r="E3775"/>
      <c r="F3775"/>
      <c r="G3775"/>
      <c r="H3775"/>
      <c r="I3775"/>
    </row>
    <row r="3776" spans="1:9" s="47" customFormat="1" ht="14.4" x14ac:dyDescent="0.3">
      <c r="A3776"/>
      <c r="B3776"/>
      <c r="C3776"/>
      <c r="D3776"/>
      <c r="E3776"/>
      <c r="F3776"/>
      <c r="G3776"/>
      <c r="H3776"/>
      <c r="I3776"/>
    </row>
    <row r="3777" spans="1:9" s="47" customFormat="1" ht="14.4" x14ac:dyDescent="0.3">
      <c r="A3777"/>
      <c r="B3777"/>
      <c r="C3777"/>
      <c r="D3777"/>
      <c r="E3777"/>
      <c r="F3777"/>
      <c r="G3777"/>
      <c r="H3777"/>
      <c r="I3777"/>
    </row>
    <row r="3778" spans="1:9" s="47" customFormat="1" ht="14.4" x14ac:dyDescent="0.3">
      <c r="A3778"/>
      <c r="B3778"/>
      <c r="C3778"/>
      <c r="D3778"/>
      <c r="E3778"/>
      <c r="F3778"/>
      <c r="G3778"/>
      <c r="H3778"/>
      <c r="I3778"/>
    </row>
    <row r="3779" spans="1:9" s="47" customFormat="1" ht="14.4" x14ac:dyDescent="0.3">
      <c r="A3779"/>
      <c r="B3779"/>
      <c r="C3779"/>
      <c r="D3779"/>
      <c r="E3779"/>
      <c r="F3779"/>
      <c r="G3779"/>
      <c r="H3779"/>
      <c r="I3779"/>
    </row>
    <row r="3780" spans="1:9" s="47" customFormat="1" ht="14.4" x14ac:dyDescent="0.3">
      <c r="A3780"/>
      <c r="B3780"/>
      <c r="C3780"/>
      <c r="D3780"/>
      <c r="E3780"/>
      <c r="F3780"/>
      <c r="G3780"/>
      <c r="H3780"/>
      <c r="I3780"/>
    </row>
    <row r="3781" spans="1:9" s="47" customFormat="1" ht="14.4" x14ac:dyDescent="0.3">
      <c r="A3781"/>
      <c r="B3781"/>
      <c r="C3781"/>
      <c r="D3781"/>
      <c r="E3781"/>
      <c r="F3781"/>
      <c r="G3781"/>
      <c r="H3781"/>
      <c r="I3781"/>
    </row>
    <row r="3782" spans="1:9" s="47" customFormat="1" ht="14.4" x14ac:dyDescent="0.3">
      <c r="A3782"/>
      <c r="B3782"/>
      <c r="C3782"/>
      <c r="D3782"/>
      <c r="E3782"/>
      <c r="F3782"/>
      <c r="G3782"/>
      <c r="H3782"/>
      <c r="I3782"/>
    </row>
    <row r="3783" spans="1:9" s="47" customFormat="1" ht="14.4" x14ac:dyDescent="0.3">
      <c r="A3783"/>
      <c r="B3783"/>
      <c r="C3783"/>
      <c r="D3783"/>
      <c r="E3783"/>
      <c r="F3783"/>
      <c r="G3783"/>
      <c r="H3783"/>
      <c r="I3783"/>
    </row>
    <row r="3784" spans="1:9" s="47" customFormat="1" ht="14.4" x14ac:dyDescent="0.3">
      <c r="A3784"/>
      <c r="B3784"/>
      <c r="C3784"/>
      <c r="D3784"/>
      <c r="E3784"/>
      <c r="F3784"/>
      <c r="G3784"/>
      <c r="H3784"/>
      <c r="I3784"/>
    </row>
    <row r="3785" spans="1:9" s="47" customFormat="1" ht="14.4" x14ac:dyDescent="0.3">
      <c r="A3785"/>
      <c r="B3785"/>
      <c r="C3785"/>
      <c r="D3785"/>
      <c r="E3785"/>
      <c r="F3785"/>
      <c r="G3785"/>
      <c r="H3785"/>
      <c r="I3785"/>
    </row>
    <row r="3786" spans="1:9" s="47" customFormat="1" ht="14.4" x14ac:dyDescent="0.3">
      <c r="A3786"/>
      <c r="B3786"/>
      <c r="C3786"/>
      <c r="D3786"/>
      <c r="E3786"/>
      <c r="F3786"/>
      <c r="G3786"/>
      <c r="H3786"/>
      <c r="I3786"/>
    </row>
    <row r="3787" spans="1:9" s="47" customFormat="1" ht="14.4" x14ac:dyDescent="0.3">
      <c r="A3787"/>
      <c r="B3787"/>
      <c r="C3787"/>
      <c r="D3787"/>
      <c r="E3787"/>
      <c r="F3787"/>
      <c r="G3787"/>
      <c r="H3787"/>
      <c r="I3787"/>
    </row>
    <row r="3788" spans="1:9" s="47" customFormat="1" ht="14.4" x14ac:dyDescent="0.3">
      <c r="A3788"/>
      <c r="B3788"/>
      <c r="C3788"/>
      <c r="D3788"/>
      <c r="E3788"/>
      <c r="F3788"/>
      <c r="G3788"/>
      <c r="H3788"/>
      <c r="I3788"/>
    </row>
    <row r="3789" spans="1:9" s="47" customFormat="1" ht="14.4" x14ac:dyDescent="0.3">
      <c r="A3789"/>
      <c r="B3789"/>
      <c r="C3789"/>
      <c r="D3789"/>
      <c r="E3789"/>
      <c r="F3789"/>
      <c r="G3789"/>
      <c r="H3789"/>
      <c r="I3789"/>
    </row>
    <row r="3790" spans="1:9" s="47" customFormat="1" ht="14.4" x14ac:dyDescent="0.3">
      <c r="A3790"/>
      <c r="B3790"/>
      <c r="C3790"/>
      <c r="D3790"/>
      <c r="E3790"/>
      <c r="F3790"/>
      <c r="G3790"/>
      <c r="H3790"/>
      <c r="I3790"/>
    </row>
    <row r="3791" spans="1:9" s="47" customFormat="1" ht="14.4" x14ac:dyDescent="0.3">
      <c r="A3791"/>
      <c r="B3791"/>
      <c r="C3791"/>
      <c r="D3791"/>
      <c r="E3791"/>
      <c r="F3791"/>
      <c r="G3791"/>
      <c r="H3791"/>
      <c r="I3791"/>
    </row>
    <row r="3792" spans="1:9" s="47" customFormat="1" ht="14.4" x14ac:dyDescent="0.3">
      <c r="A3792"/>
      <c r="B3792"/>
      <c r="C3792"/>
      <c r="D3792"/>
      <c r="E3792"/>
      <c r="F3792"/>
      <c r="G3792"/>
      <c r="H3792"/>
      <c r="I3792"/>
    </row>
    <row r="3793" spans="1:9" s="47" customFormat="1" ht="14.4" x14ac:dyDescent="0.3">
      <c r="A3793"/>
      <c r="B3793"/>
      <c r="C3793"/>
      <c r="D3793"/>
      <c r="E3793"/>
      <c r="F3793"/>
      <c r="G3793"/>
      <c r="H3793"/>
      <c r="I3793"/>
    </row>
    <row r="3794" spans="1:9" s="47" customFormat="1" ht="14.4" x14ac:dyDescent="0.3">
      <c r="A3794"/>
      <c r="B3794"/>
      <c r="C3794"/>
      <c r="D3794"/>
      <c r="E3794"/>
      <c r="F3794"/>
      <c r="G3794"/>
      <c r="H3794"/>
      <c r="I3794"/>
    </row>
    <row r="3795" spans="1:9" s="47" customFormat="1" ht="14.4" x14ac:dyDescent="0.3">
      <c r="A3795"/>
      <c r="B3795"/>
      <c r="C3795"/>
      <c r="D3795"/>
      <c r="E3795"/>
      <c r="F3795"/>
      <c r="G3795"/>
      <c r="H3795"/>
      <c r="I3795"/>
    </row>
    <row r="3796" spans="1:9" s="47" customFormat="1" ht="14.4" x14ac:dyDescent="0.3">
      <c r="A3796"/>
      <c r="B3796"/>
      <c r="C3796"/>
      <c r="D3796"/>
      <c r="E3796"/>
      <c r="F3796"/>
      <c r="G3796"/>
      <c r="H3796"/>
      <c r="I3796"/>
    </row>
    <row r="3797" spans="1:9" s="47" customFormat="1" ht="14.4" x14ac:dyDescent="0.3">
      <c r="A3797"/>
      <c r="B3797"/>
      <c r="C3797"/>
      <c r="D3797"/>
      <c r="E3797"/>
      <c r="F3797"/>
      <c r="G3797"/>
      <c r="H3797"/>
      <c r="I3797"/>
    </row>
    <row r="3798" spans="1:9" s="47" customFormat="1" ht="14.4" x14ac:dyDescent="0.3">
      <c r="A3798"/>
      <c r="B3798"/>
      <c r="C3798"/>
      <c r="D3798"/>
      <c r="E3798"/>
      <c r="F3798"/>
      <c r="G3798"/>
      <c r="H3798"/>
      <c r="I3798"/>
    </row>
    <row r="3799" spans="1:9" s="47" customFormat="1" ht="14.4" x14ac:dyDescent="0.3">
      <c r="A3799"/>
      <c r="B3799"/>
      <c r="C3799"/>
      <c r="D3799"/>
      <c r="E3799"/>
      <c r="F3799"/>
      <c r="G3799"/>
      <c r="H3799"/>
      <c r="I3799"/>
    </row>
    <row r="3800" spans="1:9" s="47" customFormat="1" ht="14.4" x14ac:dyDescent="0.3">
      <c r="A3800"/>
      <c r="B3800"/>
      <c r="C3800"/>
      <c r="D3800"/>
      <c r="E3800"/>
      <c r="F3800"/>
      <c r="G3800"/>
      <c r="H3800"/>
      <c r="I3800"/>
    </row>
    <row r="3801" spans="1:9" s="47" customFormat="1" ht="14.4" x14ac:dyDescent="0.3">
      <c r="A3801"/>
      <c r="B3801"/>
      <c r="C3801"/>
      <c r="D3801"/>
      <c r="E3801"/>
      <c r="F3801"/>
      <c r="G3801"/>
      <c r="H3801"/>
      <c r="I3801"/>
    </row>
    <row r="3802" spans="1:9" s="47" customFormat="1" ht="14.4" x14ac:dyDescent="0.3">
      <c r="A3802"/>
      <c r="B3802"/>
      <c r="C3802"/>
      <c r="D3802"/>
      <c r="E3802"/>
      <c r="F3802"/>
      <c r="G3802"/>
      <c r="H3802"/>
      <c r="I3802"/>
    </row>
    <row r="3803" spans="1:9" s="47" customFormat="1" ht="14.4" x14ac:dyDescent="0.3">
      <c r="A3803"/>
      <c r="B3803"/>
      <c r="C3803"/>
      <c r="D3803"/>
      <c r="E3803"/>
      <c r="F3803"/>
      <c r="G3803"/>
      <c r="H3803"/>
      <c r="I3803"/>
    </row>
    <row r="3804" spans="1:9" s="47" customFormat="1" ht="14.4" x14ac:dyDescent="0.3">
      <c r="A3804"/>
      <c r="B3804"/>
      <c r="C3804"/>
      <c r="D3804"/>
      <c r="E3804"/>
      <c r="F3804"/>
      <c r="G3804"/>
      <c r="H3804"/>
      <c r="I3804"/>
    </row>
    <row r="3805" spans="1:9" s="47" customFormat="1" ht="14.4" x14ac:dyDescent="0.3">
      <c r="A3805"/>
      <c r="B3805"/>
      <c r="C3805"/>
      <c r="D3805"/>
      <c r="E3805"/>
      <c r="F3805"/>
      <c r="G3805"/>
      <c r="H3805"/>
      <c r="I3805"/>
    </row>
    <row r="3806" spans="1:9" s="47" customFormat="1" ht="14.4" x14ac:dyDescent="0.3">
      <c r="A3806"/>
      <c r="B3806"/>
      <c r="C3806"/>
      <c r="D3806"/>
      <c r="E3806"/>
      <c r="F3806"/>
      <c r="G3806"/>
      <c r="H3806"/>
      <c r="I3806"/>
    </row>
    <row r="3807" spans="1:9" s="47" customFormat="1" ht="14.4" x14ac:dyDescent="0.3">
      <c r="A3807"/>
      <c r="B3807"/>
      <c r="C3807"/>
      <c r="D3807"/>
      <c r="E3807"/>
      <c r="F3807"/>
      <c r="G3807"/>
      <c r="H3807"/>
      <c r="I3807"/>
    </row>
    <row r="3808" spans="1:9" s="47" customFormat="1" ht="14.4" x14ac:dyDescent="0.3">
      <c r="A3808"/>
      <c r="B3808"/>
      <c r="C3808"/>
      <c r="D3808"/>
      <c r="E3808"/>
      <c r="F3808"/>
      <c r="G3808"/>
      <c r="H3808"/>
      <c r="I3808"/>
    </row>
    <row r="3809" spans="1:9" s="47" customFormat="1" ht="14.4" x14ac:dyDescent="0.3">
      <c r="A3809"/>
      <c r="B3809"/>
      <c r="C3809"/>
      <c r="D3809"/>
      <c r="E3809"/>
      <c r="F3809"/>
      <c r="G3809"/>
      <c r="H3809"/>
      <c r="I3809"/>
    </row>
    <row r="3810" spans="1:9" s="47" customFormat="1" ht="14.4" x14ac:dyDescent="0.3">
      <c r="A3810"/>
      <c r="B3810"/>
      <c r="C3810"/>
      <c r="D3810"/>
      <c r="E3810"/>
      <c r="F3810"/>
      <c r="G3810"/>
      <c r="H3810"/>
      <c r="I3810"/>
    </row>
    <row r="3811" spans="1:9" s="47" customFormat="1" ht="14.4" x14ac:dyDescent="0.3">
      <c r="A3811"/>
      <c r="B3811"/>
      <c r="C3811"/>
      <c r="D3811"/>
      <c r="E3811"/>
      <c r="F3811"/>
      <c r="G3811"/>
      <c r="H3811"/>
      <c r="I3811"/>
    </row>
    <row r="3812" spans="1:9" s="47" customFormat="1" ht="14.4" x14ac:dyDescent="0.3">
      <c r="A3812"/>
      <c r="B3812"/>
      <c r="C3812"/>
      <c r="D3812"/>
      <c r="E3812"/>
      <c r="F3812"/>
      <c r="G3812"/>
      <c r="H3812"/>
      <c r="I3812"/>
    </row>
    <row r="3813" spans="1:9" s="47" customFormat="1" ht="14.4" x14ac:dyDescent="0.3">
      <c r="A3813"/>
      <c r="B3813"/>
      <c r="C3813"/>
      <c r="D3813"/>
      <c r="E3813"/>
      <c r="F3813"/>
      <c r="G3813"/>
      <c r="H3813"/>
      <c r="I3813"/>
    </row>
    <row r="3814" spans="1:9" s="47" customFormat="1" ht="14.4" x14ac:dyDescent="0.3">
      <c r="A3814"/>
      <c r="B3814"/>
      <c r="C3814"/>
      <c r="D3814"/>
      <c r="E3814"/>
      <c r="F3814"/>
      <c r="G3814"/>
      <c r="H3814"/>
      <c r="I3814"/>
    </row>
    <row r="3815" spans="1:9" s="47" customFormat="1" ht="14.4" x14ac:dyDescent="0.3">
      <c r="A3815"/>
      <c r="B3815"/>
      <c r="C3815"/>
      <c r="D3815"/>
      <c r="E3815"/>
      <c r="F3815"/>
      <c r="G3815"/>
      <c r="H3815"/>
      <c r="I3815"/>
    </row>
    <row r="3816" spans="1:9" s="47" customFormat="1" ht="14.4" x14ac:dyDescent="0.3">
      <c r="A3816"/>
      <c r="B3816"/>
      <c r="C3816"/>
      <c r="D3816"/>
      <c r="E3816"/>
      <c r="F3816"/>
      <c r="G3816"/>
      <c r="H3816"/>
      <c r="I3816"/>
    </row>
    <row r="3817" spans="1:9" s="47" customFormat="1" ht="14.4" x14ac:dyDescent="0.3">
      <c r="A3817"/>
      <c r="B3817"/>
      <c r="C3817"/>
      <c r="D3817"/>
      <c r="E3817"/>
      <c r="F3817"/>
      <c r="G3817"/>
      <c r="H3817"/>
      <c r="I3817"/>
    </row>
    <row r="3818" spans="1:9" s="47" customFormat="1" ht="14.4" x14ac:dyDescent="0.3">
      <c r="A3818"/>
      <c r="B3818"/>
      <c r="C3818"/>
      <c r="D3818"/>
      <c r="E3818"/>
      <c r="F3818"/>
      <c r="G3818"/>
      <c r="H3818"/>
      <c r="I3818"/>
    </row>
    <row r="3819" spans="1:9" s="47" customFormat="1" ht="14.4" x14ac:dyDescent="0.3">
      <c r="A3819"/>
      <c r="B3819"/>
      <c r="C3819"/>
      <c r="D3819"/>
      <c r="E3819"/>
      <c r="F3819"/>
      <c r="G3819"/>
      <c r="H3819"/>
      <c r="I3819"/>
    </row>
    <row r="3820" spans="1:9" s="47" customFormat="1" ht="14.4" x14ac:dyDescent="0.3">
      <c r="A3820"/>
      <c r="B3820"/>
      <c r="C3820"/>
      <c r="D3820"/>
      <c r="E3820"/>
      <c r="F3820"/>
      <c r="G3820"/>
      <c r="H3820"/>
      <c r="I3820"/>
    </row>
    <row r="3821" spans="1:9" s="47" customFormat="1" ht="14.4" x14ac:dyDescent="0.3">
      <c r="A3821"/>
      <c r="B3821"/>
      <c r="C3821"/>
      <c r="D3821"/>
      <c r="E3821"/>
      <c r="F3821"/>
      <c r="G3821"/>
      <c r="H3821"/>
      <c r="I3821"/>
    </row>
    <row r="3822" spans="1:9" s="47" customFormat="1" ht="14.4" x14ac:dyDescent="0.3">
      <c r="A3822"/>
      <c r="B3822"/>
      <c r="C3822"/>
      <c r="D3822"/>
      <c r="E3822"/>
      <c r="F3822"/>
      <c r="G3822"/>
      <c r="H3822"/>
      <c r="I3822"/>
    </row>
    <row r="3823" spans="1:9" s="47" customFormat="1" ht="14.4" x14ac:dyDescent="0.3">
      <c r="A3823"/>
      <c r="B3823"/>
      <c r="C3823"/>
      <c r="D3823"/>
      <c r="E3823"/>
      <c r="F3823"/>
      <c r="G3823"/>
      <c r="H3823"/>
      <c r="I3823"/>
    </row>
    <row r="3824" spans="1:9" s="47" customFormat="1" ht="14.4" x14ac:dyDescent="0.3">
      <c r="A3824"/>
      <c r="B3824"/>
      <c r="C3824"/>
      <c r="D3824"/>
      <c r="E3824"/>
      <c r="F3824"/>
      <c r="G3824"/>
      <c r="H3824"/>
      <c r="I3824"/>
    </row>
    <row r="3825" spans="1:9" s="47" customFormat="1" ht="14.4" x14ac:dyDescent="0.3">
      <c r="A3825"/>
      <c r="B3825"/>
      <c r="C3825"/>
      <c r="D3825"/>
      <c r="E3825"/>
      <c r="F3825"/>
      <c r="G3825"/>
      <c r="H3825"/>
      <c r="I3825"/>
    </row>
    <row r="3826" spans="1:9" s="47" customFormat="1" ht="14.4" x14ac:dyDescent="0.3">
      <c r="A3826"/>
      <c r="B3826"/>
      <c r="C3826"/>
      <c r="D3826"/>
      <c r="E3826"/>
      <c r="F3826"/>
      <c r="G3826"/>
      <c r="H3826"/>
      <c r="I3826"/>
    </row>
    <row r="3827" spans="1:9" s="47" customFormat="1" ht="14.4" x14ac:dyDescent="0.3">
      <c r="A3827"/>
      <c r="B3827"/>
      <c r="C3827"/>
      <c r="D3827"/>
      <c r="E3827"/>
      <c r="F3827"/>
      <c r="G3827"/>
      <c r="H3827"/>
      <c r="I3827"/>
    </row>
    <row r="3828" spans="1:9" s="47" customFormat="1" ht="14.4" x14ac:dyDescent="0.3">
      <c r="A3828"/>
      <c r="B3828"/>
      <c r="C3828"/>
      <c r="D3828"/>
      <c r="E3828"/>
      <c r="F3828"/>
      <c r="G3828"/>
      <c r="H3828"/>
      <c r="I3828"/>
    </row>
    <row r="3829" spans="1:9" s="47" customFormat="1" ht="14.4" x14ac:dyDescent="0.3">
      <c r="A3829"/>
      <c r="B3829"/>
      <c r="C3829"/>
      <c r="D3829"/>
      <c r="E3829"/>
      <c r="F3829"/>
      <c r="G3829"/>
      <c r="H3829"/>
      <c r="I3829"/>
    </row>
    <row r="3830" spans="1:9" s="47" customFormat="1" ht="14.4" x14ac:dyDescent="0.3">
      <c r="A3830"/>
      <c r="B3830"/>
      <c r="C3830"/>
      <c r="D3830"/>
      <c r="E3830"/>
      <c r="F3830"/>
      <c r="G3830"/>
      <c r="H3830"/>
      <c r="I3830"/>
    </row>
    <row r="3831" spans="1:9" s="47" customFormat="1" ht="14.4" x14ac:dyDescent="0.3">
      <c r="A3831"/>
      <c r="B3831"/>
      <c r="C3831"/>
      <c r="D3831"/>
      <c r="E3831"/>
      <c r="F3831"/>
      <c r="G3831"/>
      <c r="H3831"/>
      <c r="I3831"/>
    </row>
    <row r="3832" spans="1:9" s="47" customFormat="1" ht="14.4" x14ac:dyDescent="0.3">
      <c r="A3832"/>
      <c r="B3832"/>
      <c r="C3832"/>
      <c r="D3832"/>
      <c r="E3832"/>
      <c r="F3832"/>
      <c r="G3832"/>
      <c r="H3832"/>
      <c r="I3832"/>
    </row>
    <row r="3833" spans="1:9" s="47" customFormat="1" ht="14.4" x14ac:dyDescent="0.3">
      <c r="A3833"/>
      <c r="B3833"/>
      <c r="C3833"/>
      <c r="D3833"/>
      <c r="E3833"/>
      <c r="F3833"/>
      <c r="G3833"/>
      <c r="H3833"/>
      <c r="I3833"/>
    </row>
    <row r="3834" spans="1:9" s="47" customFormat="1" ht="14.4" x14ac:dyDescent="0.3">
      <c r="A3834"/>
      <c r="B3834"/>
      <c r="C3834"/>
      <c r="D3834"/>
      <c r="E3834"/>
      <c r="F3834"/>
      <c r="G3834"/>
      <c r="H3834"/>
      <c r="I3834"/>
    </row>
    <row r="3835" spans="1:9" s="47" customFormat="1" ht="14.4" x14ac:dyDescent="0.3">
      <c r="A3835"/>
      <c r="B3835"/>
      <c r="C3835"/>
      <c r="D3835"/>
      <c r="E3835"/>
      <c r="F3835"/>
      <c r="G3835"/>
      <c r="H3835"/>
      <c r="I3835"/>
    </row>
    <row r="3836" spans="1:9" s="47" customFormat="1" ht="14.4" x14ac:dyDescent="0.3">
      <c r="A3836"/>
      <c r="B3836"/>
      <c r="C3836"/>
      <c r="D3836"/>
      <c r="E3836"/>
      <c r="F3836"/>
      <c r="G3836"/>
      <c r="H3836"/>
      <c r="I3836"/>
    </row>
    <row r="3837" spans="1:9" s="47" customFormat="1" ht="14.4" x14ac:dyDescent="0.3">
      <c r="A3837"/>
      <c r="B3837"/>
      <c r="C3837"/>
      <c r="D3837"/>
      <c r="E3837"/>
      <c r="F3837"/>
      <c r="G3837"/>
      <c r="H3837"/>
      <c r="I3837"/>
    </row>
    <row r="3838" spans="1:9" s="47" customFormat="1" ht="14.4" x14ac:dyDescent="0.3">
      <c r="A3838"/>
      <c r="B3838"/>
      <c r="C3838"/>
      <c r="D3838"/>
      <c r="E3838"/>
      <c r="F3838"/>
      <c r="G3838"/>
      <c r="H3838"/>
      <c r="I3838"/>
    </row>
    <row r="3839" spans="1:9" s="47" customFormat="1" ht="14.4" x14ac:dyDescent="0.3">
      <c r="A3839"/>
      <c r="B3839"/>
      <c r="C3839"/>
      <c r="D3839"/>
      <c r="E3839"/>
      <c r="F3839"/>
      <c r="G3839"/>
      <c r="H3839"/>
      <c r="I3839"/>
    </row>
    <row r="3840" spans="1:9" s="47" customFormat="1" ht="14.4" x14ac:dyDescent="0.3">
      <c r="A3840"/>
      <c r="B3840"/>
      <c r="C3840"/>
      <c r="D3840"/>
      <c r="E3840"/>
      <c r="F3840"/>
      <c r="G3840"/>
      <c r="H3840"/>
      <c r="I3840"/>
    </row>
    <row r="3841" spans="1:9" s="47" customFormat="1" ht="14.4" x14ac:dyDescent="0.3">
      <c r="A3841"/>
      <c r="B3841"/>
      <c r="C3841"/>
      <c r="D3841"/>
      <c r="E3841"/>
      <c r="F3841"/>
      <c r="G3841"/>
      <c r="H3841"/>
      <c r="I3841"/>
    </row>
    <row r="3842" spans="1:9" s="47" customFormat="1" ht="14.4" x14ac:dyDescent="0.3">
      <c r="A3842"/>
      <c r="B3842"/>
      <c r="C3842"/>
      <c r="D3842"/>
      <c r="E3842"/>
      <c r="F3842"/>
      <c r="G3842"/>
      <c r="H3842"/>
      <c r="I3842"/>
    </row>
    <row r="3843" spans="1:9" s="47" customFormat="1" ht="14.4" x14ac:dyDescent="0.3">
      <c r="A3843"/>
      <c r="B3843"/>
      <c r="C3843"/>
      <c r="D3843"/>
      <c r="E3843"/>
      <c r="F3843"/>
      <c r="G3843"/>
      <c r="H3843"/>
      <c r="I3843"/>
    </row>
    <row r="3844" spans="1:9" s="47" customFormat="1" ht="14.4" x14ac:dyDescent="0.3">
      <c r="A3844"/>
      <c r="B3844"/>
      <c r="C3844"/>
      <c r="D3844"/>
      <c r="E3844"/>
      <c r="F3844"/>
      <c r="G3844"/>
      <c r="H3844"/>
      <c r="I3844"/>
    </row>
    <row r="3845" spans="1:9" s="47" customFormat="1" ht="14.4" x14ac:dyDescent="0.3">
      <c r="A3845"/>
      <c r="B3845"/>
      <c r="C3845"/>
      <c r="D3845"/>
      <c r="E3845"/>
      <c r="F3845"/>
      <c r="G3845"/>
      <c r="H3845"/>
      <c r="I3845"/>
    </row>
    <row r="3846" spans="1:9" s="47" customFormat="1" ht="14.4" x14ac:dyDescent="0.3">
      <c r="A3846"/>
      <c r="B3846"/>
      <c r="C3846"/>
      <c r="D3846"/>
      <c r="E3846"/>
      <c r="F3846"/>
      <c r="G3846"/>
      <c r="H3846"/>
      <c r="I3846"/>
    </row>
    <row r="3847" spans="1:9" s="47" customFormat="1" ht="14.4" x14ac:dyDescent="0.3">
      <c r="A3847"/>
      <c r="B3847"/>
      <c r="C3847"/>
      <c r="D3847"/>
      <c r="E3847"/>
      <c r="F3847"/>
      <c r="G3847"/>
      <c r="H3847"/>
      <c r="I3847"/>
    </row>
    <row r="3848" spans="1:9" s="47" customFormat="1" ht="14.4" x14ac:dyDescent="0.3">
      <c r="A3848"/>
      <c r="B3848"/>
      <c r="C3848"/>
      <c r="D3848"/>
      <c r="E3848"/>
      <c r="F3848"/>
      <c r="G3848"/>
      <c r="H3848"/>
      <c r="I3848"/>
    </row>
    <row r="3849" spans="1:9" s="47" customFormat="1" ht="14.4" x14ac:dyDescent="0.3">
      <c r="A3849"/>
      <c r="B3849"/>
      <c r="C3849"/>
      <c r="D3849"/>
      <c r="E3849"/>
      <c r="F3849"/>
      <c r="G3849"/>
      <c r="H3849"/>
      <c r="I3849"/>
    </row>
    <row r="3850" spans="1:9" s="47" customFormat="1" ht="14.4" x14ac:dyDescent="0.3">
      <c r="A3850"/>
      <c r="B3850"/>
      <c r="C3850"/>
      <c r="D3850"/>
      <c r="E3850"/>
      <c r="F3850"/>
      <c r="G3850"/>
      <c r="H3850"/>
      <c r="I3850"/>
    </row>
    <row r="3851" spans="1:9" s="47" customFormat="1" ht="14.4" x14ac:dyDescent="0.3">
      <c r="A3851"/>
      <c r="B3851"/>
      <c r="C3851"/>
      <c r="D3851"/>
      <c r="E3851"/>
      <c r="F3851"/>
      <c r="G3851"/>
      <c r="H3851"/>
      <c r="I3851"/>
    </row>
    <row r="3852" spans="1:9" s="47" customFormat="1" ht="14.4" x14ac:dyDescent="0.3">
      <c r="A3852"/>
      <c r="B3852"/>
      <c r="C3852"/>
      <c r="D3852"/>
      <c r="E3852"/>
      <c r="F3852"/>
      <c r="G3852"/>
      <c r="H3852"/>
      <c r="I3852"/>
    </row>
    <row r="3853" spans="1:9" s="47" customFormat="1" ht="14.4" x14ac:dyDescent="0.3">
      <c r="A3853"/>
      <c r="B3853"/>
      <c r="C3853"/>
      <c r="D3853"/>
      <c r="E3853"/>
      <c r="F3853"/>
      <c r="G3853"/>
      <c r="H3853"/>
      <c r="I3853"/>
    </row>
    <row r="3854" spans="1:9" s="47" customFormat="1" ht="14.4" x14ac:dyDescent="0.3">
      <c r="A3854"/>
      <c r="B3854"/>
      <c r="C3854"/>
      <c r="D3854"/>
      <c r="E3854"/>
      <c r="F3854"/>
      <c r="G3854"/>
      <c r="H3854"/>
      <c r="I3854"/>
    </row>
    <row r="3855" spans="1:9" s="47" customFormat="1" ht="14.4" x14ac:dyDescent="0.3">
      <c r="A3855"/>
      <c r="B3855"/>
      <c r="C3855"/>
      <c r="D3855"/>
      <c r="E3855"/>
      <c r="F3855"/>
      <c r="G3855"/>
      <c r="H3855"/>
      <c r="I3855"/>
    </row>
    <row r="3856" spans="1:9" s="47" customFormat="1" ht="14.4" x14ac:dyDescent="0.3">
      <c r="A3856"/>
      <c r="B3856"/>
      <c r="C3856"/>
      <c r="D3856"/>
      <c r="E3856"/>
      <c r="F3856"/>
      <c r="G3856"/>
      <c r="H3856"/>
      <c r="I3856"/>
    </row>
    <row r="3857" spans="1:9" s="47" customFormat="1" ht="14.4" x14ac:dyDescent="0.3">
      <c r="A3857"/>
      <c r="B3857"/>
      <c r="C3857"/>
      <c r="D3857"/>
      <c r="E3857"/>
      <c r="F3857"/>
      <c r="G3857"/>
      <c r="H3857"/>
      <c r="I3857"/>
    </row>
    <row r="3858" spans="1:9" s="47" customFormat="1" ht="14.4" x14ac:dyDescent="0.3">
      <c r="A3858"/>
      <c r="B3858"/>
      <c r="C3858"/>
      <c r="D3858"/>
      <c r="E3858"/>
      <c r="F3858"/>
      <c r="G3858"/>
      <c r="H3858"/>
      <c r="I3858"/>
    </row>
    <row r="3859" spans="1:9" s="47" customFormat="1" ht="14.4" x14ac:dyDescent="0.3">
      <c r="A3859"/>
      <c r="B3859"/>
      <c r="C3859"/>
      <c r="D3859"/>
      <c r="E3859"/>
      <c r="F3859"/>
      <c r="G3859"/>
      <c r="H3859"/>
      <c r="I3859"/>
    </row>
    <row r="3860" spans="1:9" s="47" customFormat="1" ht="14.4" x14ac:dyDescent="0.3">
      <c r="A3860"/>
      <c r="B3860"/>
      <c r="C3860"/>
      <c r="D3860"/>
      <c r="E3860"/>
      <c r="F3860"/>
      <c r="G3860"/>
      <c r="H3860"/>
      <c r="I3860"/>
    </row>
    <row r="3861" spans="1:9" s="47" customFormat="1" ht="14.4" x14ac:dyDescent="0.3">
      <c r="A3861"/>
      <c r="B3861"/>
      <c r="C3861"/>
      <c r="D3861"/>
      <c r="E3861"/>
      <c r="F3861"/>
      <c r="G3861"/>
      <c r="H3861"/>
      <c r="I3861"/>
    </row>
    <row r="3862" spans="1:9" s="47" customFormat="1" ht="14.4" x14ac:dyDescent="0.3">
      <c r="A3862"/>
      <c r="B3862"/>
      <c r="C3862"/>
      <c r="D3862"/>
      <c r="E3862"/>
      <c r="F3862"/>
      <c r="G3862"/>
      <c r="H3862"/>
      <c r="I3862"/>
    </row>
    <row r="3863" spans="1:9" s="47" customFormat="1" ht="14.4" x14ac:dyDescent="0.3">
      <c r="A3863"/>
      <c r="B3863"/>
      <c r="C3863"/>
      <c r="D3863"/>
      <c r="E3863"/>
      <c r="F3863"/>
      <c r="G3863"/>
      <c r="H3863"/>
      <c r="I3863"/>
    </row>
    <row r="3864" spans="1:9" s="47" customFormat="1" ht="14.4" x14ac:dyDescent="0.3">
      <c r="A3864"/>
      <c r="B3864"/>
      <c r="C3864"/>
      <c r="D3864"/>
      <c r="E3864"/>
      <c r="F3864"/>
      <c r="G3864"/>
      <c r="H3864"/>
      <c r="I3864"/>
    </row>
    <row r="3865" spans="1:9" s="47" customFormat="1" ht="14.4" x14ac:dyDescent="0.3">
      <c r="A3865"/>
      <c r="B3865"/>
      <c r="C3865"/>
      <c r="D3865"/>
      <c r="E3865"/>
      <c r="F3865"/>
      <c r="G3865"/>
      <c r="H3865"/>
      <c r="I3865"/>
    </row>
    <row r="3866" spans="1:9" s="47" customFormat="1" ht="14.4" x14ac:dyDescent="0.3">
      <c r="A3866"/>
      <c r="B3866"/>
      <c r="C3866"/>
      <c r="D3866"/>
      <c r="E3866"/>
      <c r="F3866"/>
      <c r="G3866"/>
      <c r="H3866"/>
      <c r="I3866"/>
    </row>
    <row r="3867" spans="1:9" s="47" customFormat="1" ht="14.4" x14ac:dyDescent="0.3">
      <c r="A3867"/>
      <c r="B3867"/>
      <c r="C3867"/>
      <c r="D3867"/>
      <c r="E3867"/>
      <c r="F3867"/>
      <c r="G3867"/>
      <c r="H3867"/>
      <c r="I3867"/>
    </row>
    <row r="3868" spans="1:9" s="47" customFormat="1" ht="14.4" x14ac:dyDescent="0.3">
      <c r="A3868"/>
      <c r="B3868"/>
      <c r="C3868"/>
      <c r="D3868"/>
      <c r="E3868"/>
      <c r="F3868"/>
      <c r="G3868"/>
      <c r="H3868"/>
      <c r="I3868"/>
    </row>
    <row r="3869" spans="1:9" s="47" customFormat="1" ht="14.4" x14ac:dyDescent="0.3">
      <c r="A3869"/>
      <c r="B3869"/>
      <c r="C3869"/>
      <c r="D3869"/>
      <c r="E3869"/>
      <c r="F3869"/>
      <c r="G3869"/>
      <c r="H3869"/>
      <c r="I3869"/>
    </row>
    <row r="3870" spans="1:9" s="47" customFormat="1" ht="14.4" x14ac:dyDescent="0.3">
      <c r="A3870"/>
      <c r="B3870"/>
      <c r="C3870"/>
      <c r="D3870"/>
      <c r="E3870"/>
      <c r="F3870"/>
      <c r="G3870"/>
      <c r="H3870"/>
      <c r="I3870"/>
    </row>
    <row r="3871" spans="1:9" s="47" customFormat="1" ht="14.4" x14ac:dyDescent="0.3">
      <c r="A3871"/>
      <c r="B3871"/>
      <c r="C3871"/>
      <c r="D3871"/>
      <c r="E3871"/>
      <c r="F3871"/>
      <c r="G3871"/>
      <c r="H3871"/>
      <c r="I3871"/>
    </row>
    <row r="3872" spans="1:9" s="47" customFormat="1" ht="14.4" x14ac:dyDescent="0.3">
      <c r="A3872"/>
      <c r="B3872"/>
      <c r="C3872"/>
      <c r="D3872"/>
      <c r="E3872"/>
      <c r="F3872"/>
      <c r="G3872"/>
      <c r="H3872"/>
      <c r="I3872"/>
    </row>
    <row r="3873" spans="1:9" s="47" customFormat="1" ht="14.4" x14ac:dyDescent="0.3">
      <c r="A3873"/>
      <c r="B3873"/>
      <c r="C3873"/>
      <c r="D3873"/>
      <c r="E3873"/>
      <c r="F3873"/>
      <c r="G3873"/>
      <c r="H3873"/>
      <c r="I3873"/>
    </row>
    <row r="3874" spans="1:9" s="47" customFormat="1" ht="14.4" x14ac:dyDescent="0.3">
      <c r="A3874"/>
      <c r="B3874"/>
      <c r="C3874"/>
      <c r="D3874"/>
      <c r="E3874"/>
      <c r="F3874"/>
      <c r="G3874"/>
      <c r="H3874"/>
      <c r="I3874"/>
    </row>
    <row r="3875" spans="1:9" s="47" customFormat="1" ht="14.4" x14ac:dyDescent="0.3">
      <c r="A3875"/>
      <c r="B3875"/>
      <c r="C3875"/>
      <c r="D3875"/>
      <c r="E3875"/>
      <c r="F3875"/>
      <c r="G3875"/>
      <c r="H3875"/>
      <c r="I3875"/>
    </row>
    <row r="3876" spans="1:9" s="47" customFormat="1" ht="14.4" x14ac:dyDescent="0.3">
      <c r="A3876"/>
      <c r="B3876"/>
      <c r="C3876"/>
      <c r="D3876"/>
      <c r="E3876"/>
      <c r="F3876"/>
      <c r="G3876"/>
      <c r="H3876"/>
      <c r="I3876"/>
    </row>
    <row r="3877" spans="1:9" s="47" customFormat="1" ht="14.4" x14ac:dyDescent="0.3">
      <c r="A3877"/>
      <c r="B3877"/>
      <c r="C3877"/>
      <c r="D3877"/>
      <c r="E3877"/>
      <c r="F3877"/>
      <c r="G3877"/>
      <c r="H3877"/>
      <c r="I3877"/>
    </row>
    <row r="3878" spans="1:9" s="47" customFormat="1" ht="14.4" x14ac:dyDescent="0.3">
      <c r="A3878"/>
      <c r="B3878"/>
      <c r="C3878"/>
      <c r="D3878"/>
      <c r="E3878"/>
      <c r="F3878"/>
      <c r="G3878"/>
      <c r="H3878"/>
      <c r="I3878"/>
    </row>
    <row r="3879" spans="1:9" s="47" customFormat="1" ht="14.4" x14ac:dyDescent="0.3">
      <c r="A3879"/>
      <c r="B3879"/>
      <c r="C3879"/>
      <c r="D3879"/>
      <c r="E3879"/>
      <c r="F3879"/>
      <c r="G3879"/>
      <c r="H3879"/>
      <c r="I3879"/>
    </row>
    <row r="3880" spans="1:9" s="47" customFormat="1" ht="14.4" x14ac:dyDescent="0.3">
      <c r="A3880"/>
      <c r="B3880"/>
      <c r="C3880"/>
      <c r="D3880"/>
      <c r="E3880"/>
      <c r="F3880"/>
      <c r="G3880"/>
      <c r="H3880"/>
      <c r="I3880"/>
    </row>
    <row r="3881" spans="1:9" s="47" customFormat="1" ht="14.4" x14ac:dyDescent="0.3">
      <c r="A3881"/>
      <c r="B3881"/>
      <c r="C3881"/>
      <c r="D3881"/>
      <c r="E3881"/>
      <c r="F3881"/>
      <c r="G3881"/>
      <c r="H3881"/>
      <c r="I3881"/>
    </row>
    <row r="3882" spans="1:9" s="47" customFormat="1" ht="14.4" x14ac:dyDescent="0.3">
      <c r="A3882"/>
      <c r="B3882"/>
      <c r="C3882"/>
      <c r="D3882"/>
      <c r="E3882"/>
      <c r="F3882"/>
      <c r="G3882"/>
      <c r="H3882"/>
      <c r="I3882"/>
    </row>
    <row r="3883" spans="1:9" s="47" customFormat="1" ht="14.4" x14ac:dyDescent="0.3">
      <c r="A3883"/>
      <c r="B3883"/>
      <c r="C3883"/>
      <c r="D3883"/>
      <c r="E3883"/>
      <c r="F3883"/>
      <c r="G3883"/>
      <c r="H3883"/>
      <c r="I3883"/>
    </row>
    <row r="3884" spans="1:9" s="47" customFormat="1" ht="14.4" x14ac:dyDescent="0.3">
      <c r="A3884"/>
      <c r="B3884"/>
      <c r="C3884"/>
      <c r="D3884"/>
      <c r="E3884"/>
      <c r="F3884"/>
      <c r="G3884"/>
      <c r="H3884"/>
      <c r="I3884"/>
    </row>
    <row r="3885" spans="1:9" s="47" customFormat="1" ht="14.4" x14ac:dyDescent="0.3">
      <c r="A3885"/>
      <c r="B3885"/>
      <c r="C3885"/>
      <c r="D3885"/>
      <c r="E3885"/>
      <c r="F3885"/>
      <c r="G3885"/>
      <c r="H3885"/>
      <c r="I3885"/>
    </row>
    <row r="3886" spans="1:9" s="47" customFormat="1" ht="14.4" x14ac:dyDescent="0.3">
      <c r="A3886"/>
      <c r="B3886"/>
      <c r="C3886"/>
      <c r="D3886"/>
      <c r="E3886"/>
      <c r="F3886"/>
      <c r="G3886"/>
      <c r="H3886"/>
      <c r="I3886"/>
    </row>
    <row r="3887" spans="1:9" s="47" customFormat="1" ht="14.4" x14ac:dyDescent="0.3">
      <c r="A3887"/>
      <c r="B3887"/>
      <c r="C3887"/>
      <c r="D3887"/>
      <c r="E3887"/>
      <c r="F3887"/>
      <c r="G3887"/>
      <c r="H3887"/>
      <c r="I3887"/>
    </row>
    <row r="3888" spans="1:9" s="47" customFormat="1" ht="14.4" x14ac:dyDescent="0.3">
      <c r="A3888"/>
      <c r="B3888"/>
      <c r="C3888"/>
      <c r="D3888"/>
      <c r="E3888"/>
      <c r="F3888"/>
      <c r="G3888"/>
      <c r="H3888"/>
      <c r="I3888"/>
    </row>
    <row r="3889" spans="1:9" s="47" customFormat="1" ht="14.4" x14ac:dyDescent="0.3">
      <c r="A3889"/>
      <c r="B3889"/>
      <c r="C3889"/>
      <c r="D3889"/>
      <c r="E3889"/>
      <c r="F3889"/>
      <c r="G3889"/>
      <c r="H3889"/>
      <c r="I3889"/>
    </row>
    <row r="3890" spans="1:9" s="47" customFormat="1" ht="14.4" x14ac:dyDescent="0.3">
      <c r="A3890"/>
      <c r="B3890"/>
      <c r="C3890"/>
      <c r="D3890"/>
      <c r="E3890"/>
      <c r="F3890"/>
      <c r="G3890"/>
      <c r="H3890"/>
      <c r="I3890"/>
    </row>
    <row r="3891" spans="1:9" s="47" customFormat="1" ht="14.4" x14ac:dyDescent="0.3">
      <c r="A3891"/>
      <c r="B3891"/>
      <c r="C3891"/>
      <c r="D3891"/>
      <c r="E3891"/>
      <c r="F3891"/>
      <c r="G3891"/>
      <c r="H3891"/>
      <c r="I3891"/>
    </row>
    <row r="3892" spans="1:9" s="47" customFormat="1" ht="14.4" x14ac:dyDescent="0.3">
      <c r="A3892"/>
      <c r="B3892"/>
      <c r="C3892"/>
      <c r="D3892"/>
      <c r="E3892"/>
      <c r="F3892"/>
      <c r="G3892"/>
      <c r="H3892"/>
      <c r="I3892"/>
    </row>
    <row r="3893" spans="1:9" s="47" customFormat="1" ht="14.4" x14ac:dyDescent="0.3">
      <c r="A3893"/>
      <c r="B3893"/>
      <c r="C3893"/>
      <c r="D3893"/>
      <c r="E3893"/>
      <c r="F3893"/>
      <c r="G3893"/>
      <c r="H3893"/>
      <c r="I3893"/>
    </row>
    <row r="3894" spans="1:9" s="47" customFormat="1" ht="14.4" x14ac:dyDescent="0.3">
      <c r="A3894"/>
      <c r="B3894"/>
      <c r="C3894"/>
      <c r="D3894"/>
      <c r="E3894"/>
      <c r="F3894"/>
      <c r="G3894"/>
      <c r="H3894"/>
      <c r="I3894"/>
    </row>
    <row r="3895" spans="1:9" s="47" customFormat="1" ht="14.4" x14ac:dyDescent="0.3">
      <c r="A3895"/>
      <c r="B3895"/>
      <c r="C3895"/>
      <c r="D3895"/>
      <c r="E3895"/>
      <c r="F3895"/>
      <c r="G3895"/>
      <c r="H3895"/>
      <c r="I3895"/>
    </row>
    <row r="3896" spans="1:9" s="47" customFormat="1" ht="14.4" x14ac:dyDescent="0.3">
      <c r="A3896"/>
      <c r="B3896"/>
      <c r="C3896"/>
      <c r="D3896"/>
      <c r="E3896"/>
      <c r="F3896"/>
      <c r="G3896"/>
      <c r="H3896"/>
      <c r="I3896"/>
    </row>
    <row r="3897" spans="1:9" s="47" customFormat="1" ht="14.4" x14ac:dyDescent="0.3">
      <c r="A3897"/>
      <c r="B3897"/>
      <c r="C3897"/>
      <c r="D3897"/>
      <c r="E3897"/>
      <c r="F3897"/>
      <c r="G3897"/>
      <c r="H3897"/>
      <c r="I3897"/>
    </row>
    <row r="3898" spans="1:9" s="47" customFormat="1" ht="14.4" x14ac:dyDescent="0.3">
      <c r="A3898"/>
      <c r="B3898"/>
      <c r="C3898"/>
      <c r="D3898"/>
      <c r="E3898"/>
      <c r="F3898"/>
      <c r="G3898"/>
      <c r="H3898"/>
      <c r="I3898"/>
    </row>
    <row r="3899" spans="1:9" s="47" customFormat="1" ht="14.4" x14ac:dyDescent="0.3">
      <c r="A3899"/>
      <c r="B3899"/>
      <c r="C3899"/>
      <c r="D3899"/>
      <c r="E3899"/>
      <c r="F3899"/>
      <c r="G3899"/>
      <c r="H3899"/>
      <c r="I3899"/>
    </row>
    <row r="3900" spans="1:9" s="47" customFormat="1" ht="14.4" x14ac:dyDescent="0.3">
      <c r="A3900"/>
      <c r="B3900"/>
      <c r="C3900"/>
      <c r="D3900"/>
      <c r="E3900"/>
      <c r="F3900"/>
      <c r="G3900"/>
      <c r="H3900"/>
      <c r="I3900"/>
    </row>
    <row r="3901" spans="1:9" s="47" customFormat="1" ht="14.4" x14ac:dyDescent="0.3">
      <c r="A3901"/>
      <c r="B3901"/>
      <c r="C3901"/>
      <c r="D3901"/>
      <c r="E3901"/>
      <c r="F3901"/>
      <c r="G3901"/>
      <c r="H3901"/>
      <c r="I3901"/>
    </row>
    <row r="3902" spans="1:9" s="47" customFormat="1" ht="14.4" x14ac:dyDescent="0.3">
      <c r="A3902"/>
      <c r="B3902"/>
      <c r="C3902"/>
      <c r="D3902"/>
      <c r="E3902"/>
      <c r="F3902"/>
      <c r="G3902"/>
      <c r="H3902"/>
      <c r="I3902"/>
    </row>
    <row r="3903" spans="1:9" s="47" customFormat="1" ht="14.4" x14ac:dyDescent="0.3">
      <c r="A3903"/>
      <c r="B3903"/>
      <c r="C3903"/>
      <c r="D3903"/>
      <c r="E3903"/>
      <c r="F3903"/>
      <c r="G3903"/>
      <c r="H3903"/>
      <c r="I3903"/>
    </row>
    <row r="3904" spans="1:9" s="47" customFormat="1" ht="14.4" x14ac:dyDescent="0.3">
      <c r="A3904"/>
      <c r="B3904"/>
      <c r="C3904"/>
      <c r="D3904"/>
      <c r="E3904"/>
      <c r="F3904"/>
      <c r="G3904"/>
      <c r="H3904"/>
      <c r="I3904"/>
    </row>
    <row r="3905" spans="1:9" s="47" customFormat="1" ht="14.4" x14ac:dyDescent="0.3">
      <c r="A3905"/>
      <c r="B3905"/>
      <c r="C3905"/>
      <c r="D3905"/>
      <c r="E3905"/>
      <c r="F3905"/>
      <c r="G3905"/>
      <c r="H3905"/>
      <c r="I3905"/>
    </row>
    <row r="3906" spans="1:9" s="47" customFormat="1" ht="14.4" x14ac:dyDescent="0.3">
      <c r="A3906"/>
      <c r="B3906"/>
      <c r="C3906"/>
      <c r="D3906"/>
      <c r="E3906"/>
      <c r="F3906"/>
      <c r="G3906"/>
      <c r="H3906"/>
      <c r="I3906"/>
    </row>
    <row r="3907" spans="1:9" s="47" customFormat="1" ht="14.4" x14ac:dyDescent="0.3">
      <c r="A3907"/>
      <c r="B3907"/>
      <c r="C3907"/>
      <c r="D3907"/>
      <c r="E3907"/>
      <c r="F3907"/>
      <c r="G3907"/>
      <c r="H3907"/>
      <c r="I3907"/>
    </row>
    <row r="3908" spans="1:9" s="47" customFormat="1" ht="14.4" x14ac:dyDescent="0.3">
      <c r="A3908"/>
      <c r="B3908"/>
      <c r="C3908"/>
      <c r="D3908"/>
      <c r="E3908"/>
      <c r="F3908"/>
      <c r="G3908"/>
      <c r="H3908"/>
      <c r="I3908"/>
    </row>
    <row r="3909" spans="1:9" s="47" customFormat="1" ht="14.4" x14ac:dyDescent="0.3">
      <c r="A3909"/>
      <c r="B3909"/>
      <c r="C3909"/>
      <c r="D3909"/>
      <c r="E3909"/>
      <c r="F3909"/>
      <c r="G3909"/>
      <c r="H3909"/>
      <c r="I3909"/>
    </row>
    <row r="3910" spans="1:9" s="47" customFormat="1" ht="14.4" x14ac:dyDescent="0.3">
      <c r="A3910"/>
      <c r="B3910"/>
      <c r="C3910"/>
      <c r="D3910"/>
      <c r="E3910"/>
      <c r="F3910"/>
      <c r="G3910"/>
      <c r="H3910"/>
      <c r="I3910"/>
    </row>
    <row r="3911" spans="1:9" s="47" customFormat="1" ht="14.4" x14ac:dyDescent="0.3">
      <c r="A3911"/>
      <c r="B3911"/>
      <c r="C3911"/>
      <c r="D3911"/>
      <c r="E3911"/>
      <c r="F3911"/>
      <c r="G3911"/>
      <c r="H3911"/>
      <c r="I3911"/>
    </row>
    <row r="3912" spans="1:9" s="47" customFormat="1" ht="14.4" x14ac:dyDescent="0.3">
      <c r="A3912"/>
      <c r="B3912"/>
      <c r="C3912"/>
      <c r="D3912"/>
      <c r="E3912"/>
      <c r="F3912"/>
      <c r="G3912"/>
      <c r="H3912"/>
      <c r="I3912"/>
    </row>
    <row r="3913" spans="1:9" s="47" customFormat="1" ht="14.4" x14ac:dyDescent="0.3">
      <c r="A3913"/>
      <c r="B3913"/>
      <c r="C3913"/>
      <c r="D3913"/>
      <c r="E3913"/>
      <c r="F3913"/>
      <c r="G3913"/>
      <c r="H3913"/>
      <c r="I3913"/>
    </row>
    <row r="3914" spans="1:9" s="47" customFormat="1" ht="14.4" x14ac:dyDescent="0.3">
      <c r="A3914"/>
      <c r="B3914"/>
      <c r="C3914"/>
      <c r="D3914"/>
      <c r="E3914"/>
      <c r="F3914"/>
      <c r="G3914"/>
      <c r="H3914"/>
      <c r="I3914"/>
    </row>
    <row r="3915" spans="1:9" s="47" customFormat="1" ht="14.4" x14ac:dyDescent="0.3">
      <c r="A3915"/>
      <c r="B3915"/>
      <c r="C3915"/>
      <c r="D3915"/>
      <c r="E3915"/>
      <c r="F3915"/>
      <c r="G3915"/>
      <c r="H3915"/>
      <c r="I3915"/>
    </row>
    <row r="3916" spans="1:9" s="47" customFormat="1" ht="14.4" x14ac:dyDescent="0.3">
      <c r="A3916"/>
      <c r="B3916"/>
      <c r="C3916"/>
      <c r="D3916"/>
      <c r="E3916"/>
      <c r="F3916"/>
      <c r="G3916"/>
      <c r="H3916"/>
      <c r="I3916"/>
    </row>
    <row r="3917" spans="1:9" s="47" customFormat="1" ht="14.4" x14ac:dyDescent="0.3">
      <c r="A3917"/>
      <c r="B3917"/>
      <c r="C3917"/>
      <c r="D3917"/>
      <c r="E3917"/>
      <c r="F3917"/>
      <c r="G3917"/>
      <c r="H3917"/>
      <c r="I3917"/>
    </row>
    <row r="3918" spans="1:9" s="47" customFormat="1" ht="14.4" x14ac:dyDescent="0.3">
      <c r="A3918"/>
      <c r="B3918"/>
      <c r="C3918"/>
      <c r="D3918"/>
      <c r="E3918"/>
      <c r="F3918"/>
      <c r="G3918"/>
      <c r="H3918"/>
      <c r="I3918"/>
    </row>
    <row r="3919" spans="1:9" s="47" customFormat="1" ht="14.4" x14ac:dyDescent="0.3">
      <c r="A3919"/>
      <c r="B3919"/>
      <c r="C3919"/>
      <c r="D3919"/>
      <c r="E3919"/>
      <c r="F3919"/>
      <c r="G3919"/>
      <c r="H3919"/>
      <c r="I3919"/>
    </row>
    <row r="3920" spans="1:9" s="47" customFormat="1" ht="14.4" x14ac:dyDescent="0.3">
      <c r="A3920"/>
      <c r="B3920"/>
      <c r="C3920"/>
      <c r="D3920"/>
      <c r="E3920"/>
      <c r="F3920"/>
      <c r="G3920"/>
      <c r="H3920"/>
      <c r="I3920"/>
    </row>
    <row r="3921" spans="1:9" s="47" customFormat="1" ht="14.4" x14ac:dyDescent="0.3">
      <c r="A3921"/>
      <c r="B3921"/>
      <c r="C3921"/>
      <c r="D3921"/>
      <c r="E3921"/>
      <c r="F3921"/>
      <c r="G3921"/>
      <c r="H3921"/>
      <c r="I3921"/>
    </row>
    <row r="3922" spans="1:9" s="47" customFormat="1" ht="14.4" x14ac:dyDescent="0.3">
      <c r="A3922"/>
      <c r="B3922"/>
      <c r="C3922"/>
      <c r="D3922"/>
      <c r="E3922"/>
      <c r="F3922"/>
      <c r="G3922"/>
      <c r="H3922"/>
      <c r="I3922"/>
    </row>
    <row r="3923" spans="1:9" s="47" customFormat="1" ht="14.4" x14ac:dyDescent="0.3">
      <c r="A3923"/>
      <c r="B3923"/>
      <c r="C3923"/>
      <c r="D3923"/>
      <c r="E3923"/>
      <c r="F3923"/>
      <c r="G3923"/>
      <c r="H3923"/>
      <c r="I3923"/>
    </row>
    <row r="3924" spans="1:9" s="47" customFormat="1" ht="14.4" x14ac:dyDescent="0.3">
      <c r="A3924"/>
      <c r="B3924"/>
      <c r="C3924"/>
      <c r="D3924"/>
      <c r="E3924"/>
      <c r="F3924"/>
      <c r="G3924"/>
      <c r="H3924"/>
      <c r="I3924"/>
    </row>
    <row r="3925" spans="1:9" s="47" customFormat="1" ht="14.4" x14ac:dyDescent="0.3">
      <c r="A3925"/>
      <c r="B3925"/>
      <c r="C3925"/>
      <c r="D3925"/>
      <c r="E3925"/>
      <c r="F3925"/>
      <c r="G3925"/>
      <c r="H3925"/>
      <c r="I3925"/>
    </row>
    <row r="3926" spans="1:9" s="47" customFormat="1" ht="14.4" x14ac:dyDescent="0.3">
      <c r="A3926"/>
      <c r="B3926"/>
      <c r="C3926"/>
      <c r="D3926"/>
      <c r="E3926"/>
      <c r="F3926"/>
      <c r="G3926"/>
      <c r="H3926"/>
      <c r="I3926"/>
    </row>
    <row r="3927" spans="1:9" s="47" customFormat="1" ht="14.4" x14ac:dyDescent="0.3">
      <c r="A3927"/>
      <c r="B3927"/>
      <c r="C3927"/>
      <c r="D3927"/>
      <c r="E3927"/>
      <c r="F3927"/>
      <c r="G3927"/>
      <c r="H3927"/>
      <c r="I3927"/>
    </row>
    <row r="3928" spans="1:9" s="47" customFormat="1" ht="14.4" x14ac:dyDescent="0.3">
      <c r="A3928"/>
      <c r="B3928"/>
      <c r="C3928"/>
      <c r="D3928"/>
      <c r="E3928"/>
      <c r="F3928"/>
      <c r="G3928"/>
      <c r="H3928"/>
      <c r="I3928"/>
    </row>
    <row r="3929" spans="1:9" s="47" customFormat="1" ht="14.4" x14ac:dyDescent="0.3">
      <c r="A3929"/>
      <c r="B3929"/>
      <c r="C3929"/>
      <c r="D3929"/>
      <c r="E3929"/>
      <c r="F3929"/>
      <c r="G3929"/>
      <c r="H3929"/>
      <c r="I3929"/>
    </row>
    <row r="3930" spans="1:9" s="47" customFormat="1" ht="14.4" x14ac:dyDescent="0.3">
      <c r="A3930"/>
      <c r="B3930"/>
      <c r="C3930"/>
      <c r="D3930"/>
      <c r="E3930"/>
      <c r="F3930"/>
      <c r="G3930"/>
      <c r="H3930"/>
      <c r="I3930"/>
    </row>
    <row r="3931" spans="1:9" s="47" customFormat="1" ht="14.4" x14ac:dyDescent="0.3">
      <c r="A3931"/>
      <c r="B3931"/>
      <c r="C3931"/>
      <c r="D3931"/>
      <c r="E3931"/>
      <c r="F3931"/>
      <c r="G3931"/>
      <c r="H3931"/>
      <c r="I3931"/>
    </row>
    <row r="3932" spans="1:9" s="47" customFormat="1" ht="14.4" x14ac:dyDescent="0.3">
      <c r="A3932"/>
      <c r="B3932"/>
      <c r="C3932"/>
      <c r="D3932"/>
      <c r="E3932"/>
      <c r="F3932"/>
      <c r="G3932"/>
      <c r="H3932"/>
      <c r="I3932"/>
    </row>
    <row r="3933" spans="1:9" s="47" customFormat="1" ht="14.4" x14ac:dyDescent="0.3">
      <c r="A3933"/>
      <c r="B3933"/>
      <c r="C3933"/>
      <c r="D3933"/>
      <c r="E3933"/>
      <c r="F3933"/>
      <c r="G3933"/>
      <c r="H3933"/>
      <c r="I3933"/>
    </row>
    <row r="3934" spans="1:9" s="47" customFormat="1" ht="14.4" x14ac:dyDescent="0.3">
      <c r="A3934"/>
      <c r="B3934"/>
      <c r="C3934"/>
      <c r="D3934"/>
      <c r="E3934"/>
      <c r="F3934"/>
      <c r="G3934"/>
      <c r="H3934"/>
      <c r="I3934"/>
    </row>
    <row r="3935" spans="1:9" s="47" customFormat="1" ht="14.4" x14ac:dyDescent="0.3">
      <c r="A3935"/>
      <c r="B3935"/>
      <c r="C3935"/>
      <c r="D3935"/>
      <c r="E3935"/>
      <c r="F3935"/>
      <c r="G3935"/>
      <c r="H3935"/>
      <c r="I3935"/>
    </row>
    <row r="3936" spans="1:9" s="47" customFormat="1" ht="14.4" x14ac:dyDescent="0.3">
      <c r="A3936"/>
      <c r="B3936"/>
      <c r="C3936"/>
      <c r="D3936"/>
      <c r="E3936"/>
      <c r="F3936"/>
      <c r="G3936"/>
      <c r="H3936"/>
      <c r="I3936"/>
    </row>
    <row r="3937" spans="1:9" s="47" customFormat="1" ht="14.4" x14ac:dyDescent="0.3">
      <c r="A3937"/>
      <c r="B3937"/>
      <c r="C3937"/>
      <c r="D3937"/>
      <c r="E3937"/>
      <c r="F3937"/>
      <c r="G3937"/>
      <c r="H3937"/>
      <c r="I3937"/>
    </row>
    <row r="3938" spans="1:9" s="47" customFormat="1" ht="14.4" x14ac:dyDescent="0.3">
      <c r="A3938"/>
      <c r="B3938"/>
      <c r="C3938"/>
      <c r="D3938"/>
      <c r="E3938"/>
      <c r="F3938"/>
      <c r="G3938"/>
      <c r="H3938"/>
      <c r="I3938"/>
    </row>
    <row r="3939" spans="1:9" s="47" customFormat="1" ht="14.4" x14ac:dyDescent="0.3">
      <c r="A3939"/>
      <c r="B3939"/>
      <c r="C3939"/>
      <c r="D3939"/>
      <c r="E3939"/>
      <c r="F3939"/>
      <c r="G3939"/>
      <c r="H3939"/>
      <c r="I3939"/>
    </row>
    <row r="3940" spans="1:9" s="47" customFormat="1" ht="14.4" x14ac:dyDescent="0.3">
      <c r="A3940"/>
      <c r="B3940"/>
      <c r="C3940"/>
      <c r="D3940"/>
      <c r="E3940"/>
      <c r="F3940"/>
      <c r="G3940"/>
      <c r="H3940"/>
      <c r="I3940"/>
    </row>
    <row r="3941" spans="1:9" s="47" customFormat="1" ht="14.4" x14ac:dyDescent="0.3">
      <c r="A3941"/>
      <c r="B3941"/>
      <c r="C3941"/>
      <c r="D3941"/>
      <c r="E3941"/>
      <c r="F3941"/>
      <c r="G3941"/>
      <c r="H3941"/>
      <c r="I3941"/>
    </row>
    <row r="3942" spans="1:9" s="47" customFormat="1" ht="14.4" x14ac:dyDescent="0.3">
      <c r="A3942"/>
      <c r="B3942"/>
      <c r="C3942"/>
      <c r="D3942"/>
      <c r="E3942"/>
      <c r="F3942"/>
      <c r="G3942"/>
      <c r="H3942"/>
      <c r="I3942"/>
    </row>
    <row r="3943" spans="1:9" s="47" customFormat="1" ht="14.4" x14ac:dyDescent="0.3">
      <c r="A3943"/>
      <c r="B3943"/>
      <c r="C3943"/>
      <c r="D3943"/>
      <c r="E3943"/>
      <c r="F3943"/>
      <c r="G3943"/>
      <c r="H3943"/>
      <c r="I3943"/>
    </row>
    <row r="3944" spans="1:9" s="47" customFormat="1" ht="14.4" x14ac:dyDescent="0.3">
      <c r="A3944"/>
      <c r="B3944"/>
      <c r="C3944"/>
      <c r="D3944"/>
      <c r="E3944"/>
      <c r="F3944"/>
      <c r="G3944"/>
      <c r="H3944"/>
      <c r="I3944"/>
    </row>
    <row r="3945" spans="1:9" s="47" customFormat="1" ht="14.4" x14ac:dyDescent="0.3">
      <c r="A3945"/>
      <c r="B3945"/>
      <c r="C3945"/>
      <c r="D3945"/>
      <c r="E3945"/>
      <c r="F3945"/>
      <c r="G3945"/>
      <c r="H3945"/>
      <c r="I3945"/>
    </row>
    <row r="3946" spans="1:9" s="47" customFormat="1" ht="14.4" x14ac:dyDescent="0.3">
      <c r="A3946"/>
      <c r="B3946"/>
      <c r="C3946"/>
      <c r="D3946"/>
      <c r="E3946"/>
      <c r="F3946"/>
      <c r="G3946"/>
      <c r="H3946"/>
      <c r="I3946"/>
    </row>
    <row r="3947" spans="1:9" s="47" customFormat="1" ht="14.4" x14ac:dyDescent="0.3">
      <c r="A3947"/>
      <c r="B3947"/>
      <c r="C3947"/>
      <c r="D3947"/>
      <c r="E3947"/>
      <c r="F3947"/>
      <c r="G3947"/>
      <c r="H3947"/>
      <c r="I3947"/>
    </row>
    <row r="3948" spans="1:9" s="47" customFormat="1" ht="14.4" x14ac:dyDescent="0.3">
      <c r="A3948"/>
      <c r="B3948"/>
      <c r="C3948"/>
      <c r="D3948"/>
      <c r="E3948"/>
      <c r="F3948"/>
      <c r="G3948"/>
      <c r="H3948"/>
      <c r="I3948"/>
    </row>
    <row r="3949" spans="1:9" s="47" customFormat="1" ht="14.4" x14ac:dyDescent="0.3">
      <c r="A3949"/>
      <c r="B3949"/>
      <c r="C3949"/>
      <c r="D3949"/>
      <c r="E3949"/>
      <c r="F3949"/>
      <c r="G3949"/>
      <c r="H3949"/>
      <c r="I3949"/>
    </row>
    <row r="3950" spans="1:9" s="47" customFormat="1" ht="14.4" x14ac:dyDescent="0.3">
      <c r="A3950"/>
      <c r="B3950"/>
      <c r="C3950"/>
      <c r="D3950"/>
      <c r="E3950"/>
      <c r="F3950"/>
      <c r="G3950"/>
      <c r="H3950"/>
      <c r="I3950"/>
    </row>
    <row r="3951" spans="1:9" s="47" customFormat="1" ht="14.4" x14ac:dyDescent="0.3">
      <c r="A3951"/>
      <c r="B3951"/>
      <c r="C3951"/>
      <c r="D3951"/>
      <c r="E3951"/>
      <c r="F3951"/>
      <c r="G3951"/>
      <c r="H3951"/>
      <c r="I3951"/>
    </row>
    <row r="3952" spans="1:9" s="47" customFormat="1" ht="14.4" x14ac:dyDescent="0.3">
      <c r="A3952"/>
      <c r="B3952"/>
      <c r="C3952"/>
      <c r="D3952"/>
      <c r="E3952"/>
      <c r="F3952"/>
      <c r="G3952"/>
      <c r="H3952"/>
      <c r="I3952"/>
    </row>
    <row r="3953" spans="1:9" s="47" customFormat="1" ht="14.4" x14ac:dyDescent="0.3">
      <c r="A3953"/>
      <c r="B3953"/>
      <c r="C3953"/>
      <c r="D3953"/>
      <c r="E3953"/>
      <c r="F3953"/>
      <c r="G3953"/>
      <c r="H3953"/>
      <c r="I3953"/>
    </row>
    <row r="3954" spans="1:9" s="47" customFormat="1" ht="14.4" x14ac:dyDescent="0.3">
      <c r="A3954"/>
      <c r="B3954"/>
      <c r="C3954"/>
      <c r="D3954"/>
      <c r="E3954"/>
      <c r="F3954"/>
      <c r="G3954"/>
      <c r="H3954"/>
      <c r="I3954"/>
    </row>
    <row r="3955" spans="1:9" s="47" customFormat="1" ht="14.4" x14ac:dyDescent="0.3">
      <c r="A3955"/>
      <c r="B3955"/>
      <c r="C3955"/>
      <c r="D3955"/>
      <c r="E3955"/>
      <c r="F3955"/>
      <c r="G3955"/>
      <c r="H3955"/>
      <c r="I3955"/>
    </row>
    <row r="3956" spans="1:9" s="47" customFormat="1" ht="14.4" x14ac:dyDescent="0.3">
      <c r="A3956"/>
      <c r="B3956"/>
      <c r="C3956"/>
      <c r="D3956"/>
      <c r="E3956"/>
      <c r="F3956"/>
      <c r="G3956"/>
      <c r="H3956"/>
      <c r="I3956"/>
    </row>
    <row r="3957" spans="1:9" s="47" customFormat="1" ht="14.4" x14ac:dyDescent="0.3">
      <c r="A3957"/>
      <c r="B3957"/>
      <c r="C3957"/>
      <c r="D3957"/>
      <c r="E3957"/>
      <c r="F3957"/>
      <c r="G3957"/>
      <c r="H3957"/>
      <c r="I3957"/>
    </row>
    <row r="3958" spans="1:9" s="47" customFormat="1" ht="14.4" x14ac:dyDescent="0.3">
      <c r="A3958"/>
      <c r="B3958"/>
      <c r="C3958"/>
      <c r="D3958"/>
      <c r="E3958"/>
      <c r="F3958"/>
      <c r="G3958"/>
      <c r="H3958"/>
      <c r="I3958"/>
    </row>
    <row r="3959" spans="1:9" s="47" customFormat="1" ht="14.4" x14ac:dyDescent="0.3">
      <c r="A3959"/>
      <c r="B3959"/>
      <c r="C3959"/>
      <c r="D3959"/>
      <c r="E3959"/>
      <c r="F3959"/>
      <c r="G3959"/>
      <c r="H3959"/>
      <c r="I3959"/>
    </row>
    <row r="3960" spans="1:9" s="47" customFormat="1" ht="14.4" x14ac:dyDescent="0.3">
      <c r="A3960"/>
      <c r="B3960"/>
      <c r="C3960"/>
      <c r="D3960"/>
      <c r="E3960"/>
      <c r="F3960"/>
      <c r="G3960"/>
      <c r="H3960"/>
      <c r="I3960"/>
    </row>
    <row r="3961" spans="1:9" s="47" customFormat="1" ht="14.4" x14ac:dyDescent="0.3">
      <c r="A3961"/>
      <c r="B3961"/>
      <c r="C3961"/>
      <c r="D3961"/>
      <c r="E3961"/>
      <c r="F3961"/>
      <c r="G3961"/>
      <c r="H3961"/>
      <c r="I3961"/>
    </row>
    <row r="3962" spans="1:9" s="47" customFormat="1" ht="14.4" x14ac:dyDescent="0.3">
      <c r="A3962"/>
      <c r="B3962"/>
      <c r="C3962"/>
      <c r="D3962"/>
      <c r="E3962"/>
      <c r="F3962"/>
      <c r="G3962"/>
      <c r="H3962"/>
      <c r="I3962"/>
    </row>
    <row r="3963" spans="1:9" s="47" customFormat="1" ht="14.4" x14ac:dyDescent="0.3">
      <c r="A3963"/>
      <c r="B3963"/>
      <c r="C3963"/>
      <c r="D3963"/>
      <c r="E3963"/>
      <c r="F3963"/>
      <c r="G3963"/>
      <c r="H3963"/>
      <c r="I3963"/>
    </row>
    <row r="3964" spans="1:9" s="47" customFormat="1" ht="14.4" x14ac:dyDescent="0.3">
      <c r="A3964"/>
      <c r="B3964"/>
      <c r="C3964"/>
      <c r="D3964"/>
      <c r="E3964"/>
      <c r="F3964"/>
      <c r="G3964"/>
      <c r="H3964"/>
      <c r="I3964"/>
    </row>
    <row r="3965" spans="1:9" s="47" customFormat="1" ht="14.4" x14ac:dyDescent="0.3">
      <c r="A3965"/>
      <c r="B3965"/>
      <c r="C3965"/>
      <c r="D3965"/>
      <c r="E3965"/>
      <c r="F3965"/>
      <c r="G3965"/>
      <c r="H3965"/>
      <c r="I3965"/>
    </row>
    <row r="3966" spans="1:9" s="47" customFormat="1" ht="14.4" x14ac:dyDescent="0.3">
      <c r="A3966"/>
      <c r="B3966"/>
      <c r="C3966"/>
      <c r="D3966"/>
      <c r="E3966"/>
      <c r="F3966"/>
      <c r="G3966"/>
      <c r="H3966"/>
      <c r="I3966"/>
    </row>
    <row r="3967" spans="1:9" s="47" customFormat="1" ht="14.4" x14ac:dyDescent="0.3">
      <c r="A3967"/>
      <c r="B3967"/>
      <c r="C3967"/>
      <c r="D3967"/>
      <c r="E3967"/>
      <c r="F3967"/>
      <c r="G3967"/>
      <c r="H3967"/>
      <c r="I3967"/>
    </row>
    <row r="3968" spans="1:9" s="47" customFormat="1" ht="14.4" x14ac:dyDescent="0.3">
      <c r="A3968"/>
      <c r="B3968"/>
      <c r="C3968"/>
      <c r="D3968"/>
      <c r="E3968"/>
      <c r="F3968"/>
      <c r="G3968"/>
      <c r="H3968"/>
      <c r="I3968"/>
    </row>
    <row r="3969" spans="1:9" s="47" customFormat="1" ht="14.4" x14ac:dyDescent="0.3">
      <c r="A3969"/>
      <c r="B3969"/>
      <c r="C3969"/>
      <c r="D3969"/>
      <c r="E3969"/>
      <c r="F3969"/>
      <c r="G3969"/>
      <c r="H3969"/>
      <c r="I3969"/>
    </row>
    <row r="3970" spans="1:9" s="47" customFormat="1" ht="14.4" x14ac:dyDescent="0.3">
      <c r="A3970"/>
      <c r="B3970"/>
      <c r="C3970"/>
      <c r="D3970"/>
      <c r="E3970"/>
      <c r="F3970"/>
      <c r="G3970"/>
      <c r="H3970"/>
      <c r="I3970"/>
    </row>
    <row r="3971" spans="1:9" s="47" customFormat="1" ht="14.4" x14ac:dyDescent="0.3">
      <c r="A3971"/>
      <c r="B3971"/>
      <c r="C3971"/>
      <c r="D3971"/>
      <c r="E3971"/>
      <c r="F3971"/>
      <c r="G3971"/>
      <c r="H3971"/>
      <c r="I3971"/>
    </row>
    <row r="3972" spans="1:9" s="47" customFormat="1" ht="14.4" x14ac:dyDescent="0.3">
      <c r="A3972"/>
      <c r="B3972"/>
      <c r="C3972"/>
      <c r="D3972"/>
      <c r="E3972"/>
      <c r="F3972"/>
      <c r="G3972"/>
      <c r="H3972"/>
      <c r="I3972"/>
    </row>
    <row r="3973" spans="1:9" s="47" customFormat="1" ht="14.4" x14ac:dyDescent="0.3">
      <c r="A3973"/>
      <c r="B3973"/>
      <c r="C3973"/>
      <c r="D3973"/>
      <c r="E3973"/>
      <c r="F3973"/>
      <c r="G3973"/>
      <c r="H3973"/>
      <c r="I3973"/>
    </row>
    <row r="3974" spans="1:9" s="47" customFormat="1" ht="14.4" x14ac:dyDescent="0.3">
      <c r="A3974"/>
      <c r="B3974"/>
      <c r="C3974"/>
      <c r="D3974"/>
      <c r="E3974"/>
      <c r="F3974"/>
      <c r="G3974"/>
      <c r="H3974"/>
      <c r="I3974"/>
    </row>
    <row r="3975" spans="1:9" s="47" customFormat="1" ht="14.4" x14ac:dyDescent="0.3">
      <c r="A3975"/>
      <c r="B3975"/>
      <c r="C3975"/>
      <c r="D3975"/>
      <c r="E3975"/>
      <c r="F3975"/>
      <c r="G3975"/>
      <c r="H3975"/>
      <c r="I3975"/>
    </row>
    <row r="3976" spans="1:9" s="47" customFormat="1" ht="14.4" x14ac:dyDescent="0.3">
      <c r="A3976"/>
      <c r="B3976"/>
      <c r="C3976"/>
      <c r="D3976"/>
      <c r="E3976"/>
      <c r="F3976"/>
      <c r="G3976"/>
      <c r="H3976"/>
      <c r="I3976"/>
    </row>
    <row r="3977" spans="1:9" s="47" customFormat="1" ht="14.4" x14ac:dyDescent="0.3">
      <c r="A3977"/>
      <c r="B3977"/>
      <c r="C3977"/>
      <c r="D3977"/>
      <c r="E3977"/>
      <c r="F3977"/>
      <c r="G3977"/>
      <c r="H3977"/>
      <c r="I3977"/>
    </row>
    <row r="3978" spans="1:9" s="47" customFormat="1" ht="14.4" x14ac:dyDescent="0.3">
      <c r="A3978"/>
      <c r="B3978"/>
      <c r="C3978"/>
      <c r="D3978"/>
      <c r="E3978"/>
      <c r="F3978"/>
      <c r="G3978"/>
      <c r="H3978"/>
      <c r="I3978"/>
    </row>
    <row r="3979" spans="1:9" s="47" customFormat="1" ht="14.4" x14ac:dyDescent="0.3">
      <c r="A3979"/>
      <c r="B3979"/>
      <c r="C3979"/>
      <c r="D3979"/>
      <c r="E3979"/>
      <c r="F3979"/>
      <c r="G3979"/>
      <c r="H3979"/>
      <c r="I3979"/>
    </row>
    <row r="3980" spans="1:9" s="47" customFormat="1" ht="14.4" x14ac:dyDescent="0.3">
      <c r="A3980"/>
      <c r="B3980"/>
      <c r="C3980"/>
      <c r="D3980"/>
      <c r="E3980"/>
      <c r="F3980"/>
      <c r="G3980"/>
      <c r="H3980"/>
      <c r="I3980"/>
    </row>
    <row r="3981" spans="1:9" s="47" customFormat="1" ht="14.4" x14ac:dyDescent="0.3">
      <c r="A3981"/>
      <c r="B3981"/>
      <c r="C3981"/>
      <c r="D3981"/>
      <c r="E3981"/>
      <c r="F3981"/>
      <c r="G3981"/>
      <c r="H3981"/>
      <c r="I3981"/>
    </row>
    <row r="3982" spans="1:9" s="47" customFormat="1" ht="14.4" x14ac:dyDescent="0.3">
      <c r="A3982"/>
      <c r="B3982"/>
      <c r="C3982"/>
      <c r="D3982"/>
      <c r="E3982"/>
      <c r="F3982"/>
      <c r="G3982"/>
      <c r="H3982"/>
      <c r="I3982"/>
    </row>
    <row r="3983" spans="1:9" s="47" customFormat="1" ht="14.4" x14ac:dyDescent="0.3">
      <c r="A3983"/>
      <c r="B3983"/>
      <c r="C3983"/>
      <c r="D3983"/>
      <c r="E3983"/>
      <c r="F3983"/>
      <c r="G3983"/>
      <c r="H3983"/>
      <c r="I3983"/>
    </row>
    <row r="3984" spans="1:9" s="47" customFormat="1" ht="14.4" x14ac:dyDescent="0.3">
      <c r="A3984"/>
      <c r="B3984"/>
      <c r="C3984"/>
      <c r="D3984"/>
      <c r="E3984"/>
      <c r="F3984"/>
      <c r="G3984"/>
      <c r="H3984"/>
      <c r="I3984"/>
    </row>
    <row r="3985" spans="1:9" s="47" customFormat="1" ht="14.4" x14ac:dyDescent="0.3">
      <c r="A3985"/>
      <c r="B3985"/>
      <c r="C3985"/>
      <c r="D3985"/>
      <c r="E3985"/>
      <c r="F3985"/>
      <c r="G3985"/>
      <c r="H3985"/>
      <c r="I3985"/>
    </row>
    <row r="3986" spans="1:9" s="47" customFormat="1" ht="14.4" x14ac:dyDescent="0.3">
      <c r="A3986"/>
      <c r="B3986"/>
      <c r="C3986"/>
      <c r="D3986"/>
      <c r="E3986"/>
      <c r="F3986"/>
      <c r="G3986"/>
      <c r="H3986"/>
      <c r="I3986"/>
    </row>
    <row r="3987" spans="1:9" s="47" customFormat="1" ht="14.4" x14ac:dyDescent="0.3">
      <c r="A3987"/>
      <c r="B3987"/>
      <c r="C3987"/>
      <c r="D3987"/>
      <c r="E3987"/>
      <c r="F3987"/>
      <c r="G3987"/>
      <c r="H3987"/>
      <c r="I3987"/>
    </row>
    <row r="3988" spans="1:9" s="47" customFormat="1" ht="14.4" x14ac:dyDescent="0.3">
      <c r="A3988"/>
      <c r="B3988"/>
      <c r="C3988"/>
      <c r="D3988"/>
      <c r="E3988"/>
      <c r="F3988"/>
      <c r="G3988"/>
      <c r="H3988"/>
      <c r="I3988"/>
    </row>
    <row r="3989" spans="1:9" s="47" customFormat="1" ht="14.4" x14ac:dyDescent="0.3">
      <c r="A3989"/>
      <c r="B3989"/>
      <c r="C3989"/>
      <c r="D3989"/>
      <c r="E3989"/>
      <c r="F3989"/>
      <c r="G3989"/>
      <c r="H3989"/>
      <c r="I3989"/>
    </row>
    <row r="3990" spans="1:9" s="47" customFormat="1" ht="14.4" x14ac:dyDescent="0.3">
      <c r="A3990"/>
      <c r="B3990"/>
      <c r="C3990"/>
      <c r="D3990"/>
      <c r="E3990"/>
      <c r="F3990"/>
      <c r="G3990"/>
      <c r="H3990"/>
      <c r="I3990"/>
    </row>
    <row r="3991" spans="1:9" s="47" customFormat="1" ht="14.4" x14ac:dyDescent="0.3">
      <c r="A3991"/>
      <c r="B3991"/>
      <c r="C3991"/>
      <c r="D3991"/>
      <c r="E3991"/>
      <c r="F3991"/>
      <c r="G3991"/>
      <c r="H3991"/>
      <c r="I3991"/>
    </row>
    <row r="3992" spans="1:9" s="47" customFormat="1" ht="14.4" x14ac:dyDescent="0.3">
      <c r="A3992"/>
      <c r="B3992"/>
      <c r="C3992"/>
      <c r="D3992"/>
      <c r="E3992"/>
      <c r="F3992"/>
      <c r="G3992"/>
      <c r="H3992"/>
      <c r="I3992"/>
    </row>
    <row r="3993" spans="1:9" s="47" customFormat="1" ht="14.4" x14ac:dyDescent="0.3">
      <c r="A3993"/>
      <c r="B3993"/>
      <c r="C3993"/>
      <c r="D3993"/>
      <c r="E3993"/>
      <c r="F3993"/>
      <c r="G3993"/>
      <c r="H3993"/>
      <c r="I3993"/>
    </row>
    <row r="3994" spans="1:9" s="47" customFormat="1" ht="14.4" x14ac:dyDescent="0.3">
      <c r="A3994"/>
      <c r="B3994"/>
      <c r="C3994"/>
      <c r="D3994"/>
      <c r="E3994"/>
      <c r="F3994"/>
      <c r="G3994"/>
      <c r="H3994"/>
      <c r="I3994"/>
    </row>
    <row r="3995" spans="1:9" s="47" customFormat="1" ht="14.4" x14ac:dyDescent="0.3">
      <c r="A3995"/>
      <c r="B3995"/>
      <c r="C3995"/>
      <c r="D3995"/>
      <c r="E3995"/>
      <c r="F3995"/>
      <c r="G3995"/>
      <c r="H3995"/>
      <c r="I3995"/>
    </row>
    <row r="3996" spans="1:9" s="47" customFormat="1" ht="14.4" x14ac:dyDescent="0.3">
      <c r="A3996"/>
      <c r="B3996"/>
      <c r="C3996"/>
      <c r="D3996"/>
      <c r="E3996"/>
      <c r="F3996"/>
      <c r="G3996"/>
      <c r="H3996"/>
      <c r="I3996"/>
    </row>
    <row r="3997" spans="1:9" s="47" customFormat="1" ht="14.4" x14ac:dyDescent="0.3">
      <c r="A3997"/>
      <c r="B3997"/>
      <c r="C3997"/>
      <c r="D3997"/>
      <c r="E3997"/>
      <c r="F3997"/>
      <c r="G3997"/>
      <c r="H3997"/>
      <c r="I3997"/>
    </row>
    <row r="3998" spans="1:9" s="47" customFormat="1" ht="14.4" x14ac:dyDescent="0.3">
      <c r="A3998"/>
      <c r="B3998"/>
      <c r="C3998"/>
      <c r="D3998"/>
      <c r="E3998"/>
      <c r="F3998"/>
      <c r="G3998"/>
      <c r="H3998"/>
      <c r="I3998"/>
    </row>
    <row r="3999" spans="1:9" s="47" customFormat="1" ht="14.4" x14ac:dyDescent="0.3">
      <c r="A3999"/>
      <c r="B3999"/>
      <c r="C3999"/>
      <c r="D3999"/>
      <c r="E3999"/>
      <c r="F3999"/>
      <c r="G3999"/>
      <c r="H3999"/>
      <c r="I3999"/>
    </row>
    <row r="4000" spans="1:9" s="47" customFormat="1" ht="14.4" x14ac:dyDescent="0.3">
      <c r="A4000"/>
      <c r="B4000"/>
      <c r="C4000"/>
      <c r="D4000"/>
      <c r="E4000"/>
      <c r="F4000"/>
      <c r="G4000"/>
      <c r="H4000"/>
      <c r="I4000"/>
    </row>
    <row r="4001" spans="1:9" s="47" customFormat="1" ht="14.4" x14ac:dyDescent="0.3">
      <c r="A4001"/>
      <c r="B4001"/>
      <c r="C4001"/>
      <c r="D4001"/>
      <c r="E4001"/>
      <c r="F4001"/>
      <c r="G4001"/>
      <c r="H4001"/>
      <c r="I4001"/>
    </row>
    <row r="4002" spans="1:9" s="47" customFormat="1" ht="14.4" x14ac:dyDescent="0.3">
      <c r="A4002"/>
      <c r="B4002"/>
      <c r="C4002"/>
      <c r="D4002"/>
      <c r="E4002"/>
      <c r="F4002"/>
      <c r="G4002"/>
      <c r="H4002"/>
      <c r="I4002"/>
    </row>
    <row r="4003" spans="1:9" s="47" customFormat="1" ht="14.4" x14ac:dyDescent="0.3">
      <c r="A4003"/>
      <c r="B4003"/>
      <c r="C4003"/>
      <c r="D4003"/>
      <c r="E4003"/>
      <c r="F4003"/>
      <c r="G4003"/>
      <c r="H4003"/>
      <c r="I4003"/>
    </row>
    <row r="4004" spans="1:9" s="47" customFormat="1" ht="14.4" x14ac:dyDescent="0.3">
      <c r="A4004"/>
      <c r="B4004"/>
      <c r="C4004"/>
      <c r="D4004"/>
      <c r="E4004"/>
      <c r="F4004"/>
      <c r="G4004"/>
      <c r="H4004"/>
      <c r="I4004"/>
    </row>
    <row r="4005" spans="1:9" s="47" customFormat="1" ht="14.4" x14ac:dyDescent="0.3">
      <c r="A4005"/>
      <c r="B4005"/>
      <c r="C4005"/>
      <c r="D4005"/>
      <c r="E4005"/>
      <c r="F4005"/>
      <c r="G4005"/>
      <c r="H4005"/>
      <c r="I4005"/>
    </row>
    <row r="4006" spans="1:9" s="47" customFormat="1" ht="14.4" x14ac:dyDescent="0.3">
      <c r="A4006"/>
      <c r="B4006"/>
      <c r="C4006"/>
      <c r="D4006"/>
      <c r="E4006"/>
      <c r="F4006"/>
      <c r="G4006"/>
      <c r="H4006"/>
      <c r="I4006"/>
    </row>
    <row r="4007" spans="1:9" s="47" customFormat="1" ht="14.4" x14ac:dyDescent="0.3">
      <c r="A4007"/>
      <c r="B4007"/>
      <c r="C4007"/>
      <c r="D4007"/>
      <c r="E4007"/>
      <c r="F4007"/>
      <c r="G4007"/>
      <c r="H4007"/>
      <c r="I4007"/>
    </row>
    <row r="4008" spans="1:9" s="47" customFormat="1" ht="14.4" x14ac:dyDescent="0.3">
      <c r="A4008"/>
      <c r="B4008"/>
      <c r="C4008"/>
      <c r="D4008"/>
      <c r="E4008"/>
      <c r="F4008"/>
      <c r="G4008"/>
      <c r="H4008"/>
      <c r="I4008"/>
    </row>
    <row r="4009" spans="1:9" s="47" customFormat="1" ht="14.4" x14ac:dyDescent="0.3">
      <c r="A4009"/>
      <c r="B4009"/>
      <c r="C4009"/>
      <c r="D4009"/>
      <c r="E4009"/>
      <c r="F4009"/>
      <c r="G4009"/>
      <c r="H4009"/>
      <c r="I4009"/>
    </row>
    <row r="4010" spans="1:9" s="47" customFormat="1" ht="14.4" x14ac:dyDescent="0.3">
      <c r="A4010"/>
      <c r="B4010"/>
      <c r="C4010"/>
      <c r="D4010"/>
      <c r="E4010"/>
      <c r="F4010"/>
      <c r="G4010"/>
      <c r="H4010"/>
      <c r="I4010"/>
    </row>
    <row r="4011" spans="1:9" s="47" customFormat="1" ht="14.4" x14ac:dyDescent="0.3">
      <c r="A4011"/>
      <c r="B4011"/>
      <c r="C4011"/>
      <c r="D4011"/>
      <c r="E4011"/>
      <c r="F4011"/>
      <c r="G4011"/>
      <c r="H4011"/>
      <c r="I4011"/>
    </row>
    <row r="4012" spans="1:9" s="47" customFormat="1" ht="14.4" x14ac:dyDescent="0.3">
      <c r="A4012"/>
      <c r="B4012"/>
      <c r="C4012"/>
      <c r="D4012"/>
      <c r="E4012"/>
      <c r="F4012"/>
      <c r="G4012"/>
      <c r="H4012"/>
      <c r="I4012"/>
    </row>
    <row r="4013" spans="1:9" s="47" customFormat="1" ht="14.4" x14ac:dyDescent="0.3">
      <c r="A4013"/>
      <c r="B4013"/>
      <c r="C4013"/>
      <c r="D4013"/>
      <c r="E4013"/>
      <c r="F4013"/>
      <c r="G4013"/>
      <c r="H4013"/>
      <c r="I4013"/>
    </row>
    <row r="4014" spans="1:9" s="47" customFormat="1" ht="14.4" x14ac:dyDescent="0.3">
      <c r="A4014"/>
      <c r="B4014"/>
      <c r="C4014"/>
      <c r="D4014"/>
      <c r="E4014"/>
      <c r="F4014"/>
      <c r="G4014"/>
      <c r="H4014"/>
      <c r="I4014"/>
    </row>
    <row r="4015" spans="1:9" s="47" customFormat="1" ht="14.4" x14ac:dyDescent="0.3">
      <c r="A4015"/>
      <c r="B4015"/>
      <c r="C4015"/>
      <c r="D4015"/>
      <c r="E4015"/>
      <c r="F4015"/>
      <c r="G4015"/>
      <c r="H4015"/>
      <c r="I4015"/>
    </row>
    <row r="4016" spans="1:9" s="47" customFormat="1" ht="14.4" x14ac:dyDescent="0.3">
      <c r="A4016"/>
      <c r="B4016"/>
      <c r="C4016"/>
      <c r="D4016"/>
      <c r="E4016"/>
      <c r="F4016"/>
      <c r="G4016"/>
      <c r="H4016"/>
      <c r="I4016"/>
    </row>
    <row r="4017" spans="1:9" s="47" customFormat="1" ht="14.4" x14ac:dyDescent="0.3">
      <c r="A4017"/>
      <c r="B4017"/>
      <c r="C4017"/>
      <c r="D4017"/>
      <c r="E4017"/>
      <c r="F4017"/>
      <c r="G4017"/>
      <c r="H4017"/>
      <c r="I4017"/>
    </row>
    <row r="4018" spans="1:9" s="47" customFormat="1" ht="14.4" x14ac:dyDescent="0.3">
      <c r="A4018"/>
      <c r="B4018"/>
      <c r="C4018"/>
      <c r="D4018"/>
      <c r="E4018"/>
      <c r="F4018"/>
      <c r="G4018"/>
      <c r="H4018"/>
      <c r="I4018"/>
    </row>
    <row r="4019" spans="1:9" s="47" customFormat="1" ht="14.4" x14ac:dyDescent="0.3">
      <c r="A4019"/>
      <c r="B4019"/>
      <c r="C4019"/>
      <c r="D4019"/>
      <c r="E4019"/>
      <c r="F4019"/>
      <c r="G4019"/>
      <c r="H4019"/>
      <c r="I4019"/>
    </row>
    <row r="4020" spans="1:9" s="47" customFormat="1" ht="14.4" x14ac:dyDescent="0.3">
      <c r="A4020"/>
      <c r="B4020"/>
      <c r="C4020"/>
      <c r="D4020"/>
      <c r="E4020"/>
      <c r="F4020"/>
      <c r="G4020"/>
      <c r="H4020"/>
      <c r="I4020"/>
    </row>
    <row r="4021" spans="1:9" s="47" customFormat="1" ht="14.4" x14ac:dyDescent="0.3">
      <c r="A4021"/>
      <c r="B4021"/>
      <c r="C4021"/>
      <c r="D4021"/>
      <c r="E4021"/>
      <c r="F4021"/>
      <c r="G4021"/>
      <c r="H4021"/>
      <c r="I4021"/>
    </row>
    <row r="4022" spans="1:9" s="47" customFormat="1" ht="14.4" x14ac:dyDescent="0.3">
      <c r="A4022"/>
      <c r="B4022"/>
      <c r="C4022"/>
      <c r="D4022"/>
      <c r="E4022"/>
      <c r="F4022"/>
      <c r="G4022"/>
      <c r="H4022"/>
      <c r="I4022"/>
    </row>
    <row r="4023" spans="1:9" s="47" customFormat="1" ht="14.4" x14ac:dyDescent="0.3">
      <c r="A4023"/>
      <c r="B4023"/>
      <c r="C4023"/>
      <c r="D4023"/>
      <c r="E4023"/>
      <c r="F4023"/>
      <c r="G4023"/>
      <c r="H4023"/>
      <c r="I4023"/>
    </row>
    <row r="4024" spans="1:9" s="47" customFormat="1" ht="14.4" x14ac:dyDescent="0.3">
      <c r="A4024"/>
      <c r="B4024"/>
      <c r="C4024"/>
      <c r="D4024"/>
      <c r="E4024"/>
      <c r="F4024"/>
      <c r="G4024"/>
      <c r="H4024"/>
      <c r="I4024"/>
    </row>
    <row r="4025" spans="1:9" s="47" customFormat="1" ht="14.4" x14ac:dyDescent="0.3">
      <c r="A4025"/>
      <c r="B4025"/>
      <c r="C4025"/>
      <c r="D4025"/>
      <c r="E4025"/>
      <c r="F4025"/>
      <c r="G4025"/>
      <c r="H4025"/>
      <c r="I4025"/>
    </row>
    <row r="4026" spans="1:9" s="47" customFormat="1" ht="14.4" x14ac:dyDescent="0.3">
      <c r="A4026"/>
      <c r="B4026"/>
      <c r="C4026"/>
      <c r="D4026"/>
      <c r="E4026"/>
      <c r="F4026"/>
      <c r="G4026"/>
      <c r="H4026"/>
      <c r="I4026"/>
    </row>
    <row r="4027" spans="1:9" s="47" customFormat="1" ht="14.4" x14ac:dyDescent="0.3">
      <c r="A4027"/>
      <c r="B4027"/>
      <c r="C4027"/>
      <c r="D4027"/>
      <c r="E4027"/>
      <c r="F4027"/>
      <c r="G4027"/>
      <c r="H4027"/>
      <c r="I4027"/>
    </row>
    <row r="4028" spans="1:9" s="47" customFormat="1" ht="14.4" x14ac:dyDescent="0.3">
      <c r="A4028"/>
      <c r="B4028"/>
      <c r="C4028"/>
      <c r="D4028"/>
      <c r="E4028"/>
      <c r="F4028"/>
      <c r="G4028"/>
      <c r="H4028"/>
      <c r="I4028"/>
    </row>
    <row r="4029" spans="1:9" s="47" customFormat="1" ht="14.4" x14ac:dyDescent="0.3">
      <c r="A4029"/>
      <c r="B4029"/>
      <c r="C4029"/>
      <c r="D4029"/>
      <c r="E4029"/>
      <c r="F4029"/>
      <c r="G4029"/>
      <c r="H4029"/>
      <c r="I4029"/>
    </row>
    <row r="4030" spans="1:9" s="47" customFormat="1" ht="14.4" x14ac:dyDescent="0.3">
      <c r="A4030"/>
      <c r="B4030"/>
      <c r="C4030"/>
      <c r="D4030"/>
      <c r="E4030"/>
      <c r="F4030"/>
      <c r="G4030"/>
      <c r="H4030"/>
      <c r="I4030"/>
    </row>
    <row r="4031" spans="1:9" s="47" customFormat="1" ht="14.4" x14ac:dyDescent="0.3">
      <c r="A4031"/>
      <c r="B4031"/>
      <c r="C4031"/>
      <c r="D4031"/>
      <c r="E4031"/>
      <c r="F4031"/>
      <c r="G4031"/>
      <c r="H4031"/>
      <c r="I4031"/>
    </row>
    <row r="4032" spans="1:9" s="47" customFormat="1" ht="14.4" x14ac:dyDescent="0.3">
      <c r="A4032"/>
      <c r="B4032"/>
      <c r="C4032"/>
      <c r="D4032"/>
      <c r="E4032"/>
      <c r="F4032"/>
      <c r="G4032"/>
      <c r="H4032"/>
      <c r="I4032"/>
    </row>
    <row r="4033" spans="1:9" s="47" customFormat="1" ht="14.4" x14ac:dyDescent="0.3">
      <c r="A4033"/>
      <c r="B4033"/>
      <c r="C4033"/>
      <c r="D4033"/>
      <c r="E4033"/>
      <c r="F4033"/>
      <c r="G4033"/>
      <c r="H4033"/>
      <c r="I4033"/>
    </row>
    <row r="4034" spans="1:9" s="47" customFormat="1" ht="14.4" x14ac:dyDescent="0.3">
      <c r="A4034"/>
      <c r="B4034"/>
      <c r="C4034"/>
      <c r="D4034"/>
      <c r="E4034"/>
      <c r="F4034"/>
      <c r="G4034"/>
      <c r="H4034"/>
      <c r="I4034"/>
    </row>
    <row r="4035" spans="1:9" s="47" customFormat="1" ht="14.4" x14ac:dyDescent="0.3">
      <c r="A4035"/>
      <c r="B4035"/>
      <c r="C4035"/>
      <c r="D4035"/>
      <c r="E4035"/>
      <c r="F4035"/>
      <c r="G4035"/>
      <c r="H4035"/>
      <c r="I4035"/>
    </row>
    <row r="4036" spans="1:9" s="47" customFormat="1" ht="14.4" x14ac:dyDescent="0.3">
      <c r="A4036"/>
      <c r="B4036"/>
      <c r="C4036"/>
      <c r="D4036"/>
      <c r="E4036"/>
      <c r="F4036"/>
      <c r="G4036"/>
      <c r="H4036"/>
      <c r="I4036"/>
    </row>
    <row r="4037" spans="1:9" s="47" customFormat="1" ht="14.4" x14ac:dyDescent="0.3">
      <c r="A4037"/>
      <c r="B4037"/>
      <c r="C4037"/>
      <c r="D4037"/>
      <c r="E4037"/>
      <c r="F4037"/>
      <c r="G4037"/>
      <c r="H4037"/>
      <c r="I4037"/>
    </row>
    <row r="4038" spans="1:9" s="47" customFormat="1" ht="14.4" x14ac:dyDescent="0.3">
      <c r="A4038"/>
      <c r="B4038"/>
      <c r="C4038"/>
      <c r="D4038"/>
      <c r="E4038"/>
      <c r="F4038"/>
      <c r="G4038"/>
      <c r="H4038"/>
      <c r="I4038"/>
    </row>
    <row r="4039" spans="1:9" s="47" customFormat="1" ht="14.4" x14ac:dyDescent="0.3">
      <c r="A4039"/>
      <c r="B4039"/>
      <c r="C4039"/>
      <c r="D4039"/>
      <c r="E4039"/>
      <c r="F4039"/>
      <c r="G4039"/>
      <c r="H4039"/>
      <c r="I4039"/>
    </row>
    <row r="4040" spans="1:9" s="47" customFormat="1" ht="14.4" x14ac:dyDescent="0.3">
      <c r="A4040"/>
      <c r="B4040"/>
      <c r="C4040"/>
      <c r="D4040"/>
      <c r="E4040"/>
      <c r="F4040"/>
      <c r="G4040"/>
      <c r="H4040"/>
      <c r="I4040"/>
    </row>
    <row r="4041" spans="1:9" s="47" customFormat="1" ht="14.4" x14ac:dyDescent="0.3">
      <c r="A4041"/>
      <c r="B4041"/>
      <c r="C4041"/>
      <c r="D4041"/>
      <c r="E4041"/>
      <c r="F4041"/>
      <c r="G4041"/>
      <c r="H4041"/>
      <c r="I4041"/>
    </row>
    <row r="4042" spans="1:9" s="47" customFormat="1" ht="14.4" x14ac:dyDescent="0.3">
      <c r="A4042"/>
      <c r="B4042"/>
      <c r="C4042"/>
      <c r="D4042"/>
      <c r="E4042"/>
      <c r="F4042"/>
      <c r="G4042"/>
      <c r="H4042"/>
      <c r="I4042"/>
    </row>
    <row r="4043" spans="1:9" s="47" customFormat="1" ht="14.4" x14ac:dyDescent="0.3">
      <c r="A4043"/>
      <c r="B4043"/>
      <c r="C4043"/>
      <c r="D4043"/>
      <c r="E4043"/>
      <c r="F4043"/>
      <c r="G4043"/>
      <c r="H4043"/>
      <c r="I4043"/>
    </row>
    <row r="4044" spans="1:9" s="47" customFormat="1" ht="14.4" x14ac:dyDescent="0.3">
      <c r="A4044"/>
      <c r="B4044"/>
      <c r="C4044"/>
      <c r="D4044"/>
      <c r="E4044"/>
      <c r="F4044"/>
      <c r="G4044"/>
      <c r="H4044"/>
      <c r="I4044"/>
    </row>
    <row r="4045" spans="1:9" s="47" customFormat="1" ht="14.4" x14ac:dyDescent="0.3">
      <c r="A4045"/>
      <c r="B4045"/>
      <c r="C4045"/>
      <c r="D4045"/>
      <c r="E4045"/>
      <c r="F4045"/>
      <c r="G4045"/>
      <c r="H4045"/>
      <c r="I4045"/>
    </row>
    <row r="4046" spans="1:9" s="47" customFormat="1" ht="14.4" x14ac:dyDescent="0.3">
      <c r="A4046"/>
      <c r="B4046"/>
      <c r="C4046"/>
      <c r="D4046"/>
      <c r="E4046"/>
      <c r="F4046"/>
      <c r="G4046"/>
      <c r="H4046"/>
      <c r="I4046"/>
    </row>
    <row r="4047" spans="1:9" s="47" customFormat="1" ht="14.4" x14ac:dyDescent="0.3">
      <c r="A4047"/>
      <c r="B4047"/>
      <c r="C4047"/>
      <c r="D4047"/>
      <c r="E4047"/>
      <c r="F4047"/>
      <c r="G4047"/>
      <c r="H4047"/>
      <c r="I4047"/>
    </row>
    <row r="4048" spans="1:9" s="47" customFormat="1" ht="14.4" x14ac:dyDescent="0.3">
      <c r="A4048"/>
      <c r="B4048"/>
      <c r="C4048"/>
      <c r="D4048"/>
      <c r="E4048"/>
      <c r="F4048"/>
      <c r="G4048"/>
      <c r="H4048"/>
      <c r="I4048"/>
    </row>
    <row r="4049" spans="1:9" s="47" customFormat="1" ht="14.4" x14ac:dyDescent="0.3">
      <c r="A4049"/>
      <c r="B4049"/>
      <c r="C4049"/>
      <c r="D4049"/>
      <c r="E4049"/>
      <c r="F4049"/>
      <c r="G4049"/>
      <c r="H4049"/>
      <c r="I4049"/>
    </row>
    <row r="4050" spans="1:9" s="47" customFormat="1" ht="14.4" x14ac:dyDescent="0.3">
      <c r="A4050"/>
      <c r="B4050"/>
      <c r="C4050"/>
      <c r="D4050"/>
      <c r="E4050"/>
      <c r="F4050"/>
      <c r="G4050"/>
      <c r="H4050"/>
      <c r="I4050"/>
    </row>
    <row r="4051" spans="1:9" s="47" customFormat="1" ht="14.4" x14ac:dyDescent="0.3">
      <c r="A4051"/>
      <c r="B4051"/>
      <c r="C4051"/>
      <c r="D4051"/>
      <c r="E4051"/>
      <c r="F4051"/>
      <c r="G4051"/>
      <c r="H4051"/>
      <c r="I4051"/>
    </row>
    <row r="4052" spans="1:9" s="47" customFormat="1" ht="14.4" x14ac:dyDescent="0.3">
      <c r="A4052"/>
      <c r="B4052"/>
      <c r="C4052"/>
      <c r="D4052"/>
      <c r="E4052"/>
      <c r="F4052"/>
      <c r="G4052"/>
      <c r="H4052"/>
      <c r="I4052"/>
    </row>
    <row r="4053" spans="1:9" s="47" customFormat="1" ht="14.4" x14ac:dyDescent="0.3">
      <c r="A4053"/>
      <c r="B4053"/>
      <c r="C4053"/>
      <c r="D4053"/>
      <c r="E4053"/>
      <c r="F4053"/>
      <c r="G4053"/>
      <c r="H4053"/>
      <c r="I4053"/>
    </row>
    <row r="4054" spans="1:9" s="47" customFormat="1" ht="14.4" x14ac:dyDescent="0.3">
      <c r="A4054"/>
      <c r="B4054"/>
      <c r="C4054"/>
      <c r="D4054"/>
      <c r="E4054"/>
      <c r="F4054"/>
      <c r="G4054"/>
      <c r="H4054"/>
      <c r="I4054"/>
    </row>
    <row r="4055" spans="1:9" s="47" customFormat="1" ht="14.4" x14ac:dyDescent="0.3">
      <c r="A4055"/>
      <c r="B4055"/>
      <c r="C4055"/>
      <c r="D4055"/>
      <c r="E4055"/>
      <c r="F4055"/>
      <c r="G4055"/>
      <c r="H4055"/>
      <c r="I4055"/>
    </row>
    <row r="4056" spans="1:9" s="47" customFormat="1" ht="14.4" x14ac:dyDescent="0.3">
      <c r="A4056"/>
      <c r="B4056"/>
      <c r="C4056"/>
      <c r="D4056"/>
      <c r="E4056"/>
      <c r="F4056"/>
      <c r="G4056"/>
      <c r="H4056"/>
      <c r="I4056"/>
    </row>
    <row r="4057" spans="1:9" s="47" customFormat="1" ht="14.4" x14ac:dyDescent="0.3">
      <c r="A4057"/>
      <c r="B4057"/>
      <c r="C4057"/>
      <c r="D4057"/>
      <c r="E4057"/>
      <c r="F4057"/>
      <c r="G4057"/>
      <c r="H4057"/>
      <c r="I4057"/>
    </row>
    <row r="4058" spans="1:9" s="47" customFormat="1" ht="14.4" x14ac:dyDescent="0.3">
      <c r="A4058"/>
      <c r="B4058"/>
      <c r="C4058"/>
      <c r="D4058"/>
      <c r="E4058"/>
      <c r="F4058"/>
      <c r="G4058"/>
      <c r="H4058"/>
      <c r="I4058"/>
    </row>
    <row r="4059" spans="1:9" s="47" customFormat="1" ht="14.4" x14ac:dyDescent="0.3">
      <c r="A4059"/>
      <c r="B4059"/>
      <c r="C4059"/>
      <c r="D4059"/>
      <c r="E4059"/>
      <c r="F4059"/>
      <c r="G4059"/>
      <c r="H4059"/>
      <c r="I4059"/>
    </row>
    <row r="4060" spans="1:9" s="47" customFormat="1" ht="14.4" x14ac:dyDescent="0.3">
      <c r="A4060"/>
      <c r="B4060"/>
      <c r="C4060"/>
      <c r="D4060"/>
      <c r="E4060"/>
      <c r="F4060"/>
      <c r="G4060"/>
      <c r="H4060"/>
      <c r="I4060"/>
    </row>
    <row r="4061" spans="1:9" s="47" customFormat="1" ht="14.4" x14ac:dyDescent="0.3">
      <c r="A4061"/>
      <c r="B4061"/>
      <c r="C4061"/>
      <c r="D4061"/>
      <c r="E4061"/>
      <c r="F4061"/>
      <c r="G4061"/>
      <c r="H4061"/>
      <c r="I4061"/>
    </row>
    <row r="4062" spans="1:9" s="47" customFormat="1" ht="14.4" x14ac:dyDescent="0.3">
      <c r="A4062"/>
      <c r="B4062"/>
      <c r="C4062"/>
      <c r="D4062"/>
      <c r="E4062"/>
      <c r="F4062"/>
      <c r="G4062"/>
      <c r="H4062"/>
      <c r="I4062"/>
    </row>
    <row r="4063" spans="1:9" s="47" customFormat="1" ht="14.4" x14ac:dyDescent="0.3">
      <c r="A4063"/>
      <c r="B4063"/>
      <c r="C4063"/>
      <c r="D4063"/>
      <c r="E4063"/>
      <c r="F4063"/>
      <c r="G4063"/>
      <c r="H4063"/>
      <c r="I4063"/>
    </row>
    <row r="4064" spans="1:9" s="47" customFormat="1" ht="14.4" x14ac:dyDescent="0.3">
      <c r="A4064"/>
      <c r="B4064"/>
      <c r="C4064"/>
      <c r="D4064"/>
      <c r="E4064"/>
      <c r="F4064"/>
      <c r="G4064"/>
      <c r="H4064"/>
      <c r="I4064"/>
    </row>
    <row r="4065" spans="1:9" s="47" customFormat="1" ht="14.4" x14ac:dyDescent="0.3">
      <c r="A4065"/>
      <c r="B4065"/>
      <c r="C4065"/>
      <c r="D4065"/>
      <c r="E4065"/>
      <c r="F4065"/>
      <c r="G4065"/>
      <c r="H4065"/>
      <c r="I4065"/>
    </row>
    <row r="4066" spans="1:9" s="47" customFormat="1" ht="14.4" x14ac:dyDescent="0.3">
      <c r="A4066"/>
      <c r="B4066"/>
      <c r="C4066"/>
      <c r="D4066"/>
      <c r="E4066"/>
      <c r="F4066"/>
      <c r="G4066"/>
      <c r="H4066"/>
      <c r="I4066"/>
    </row>
    <row r="4067" spans="1:9" s="47" customFormat="1" ht="14.4" x14ac:dyDescent="0.3">
      <c r="A4067"/>
      <c r="B4067"/>
      <c r="C4067"/>
      <c r="D4067"/>
      <c r="E4067"/>
      <c r="F4067"/>
      <c r="G4067"/>
      <c r="H4067"/>
      <c r="I4067"/>
    </row>
    <row r="4068" spans="1:9" s="47" customFormat="1" ht="14.4" x14ac:dyDescent="0.3">
      <c r="A4068"/>
      <c r="B4068"/>
      <c r="C4068"/>
      <c r="D4068"/>
      <c r="E4068"/>
      <c r="F4068"/>
      <c r="G4068"/>
      <c r="H4068"/>
      <c r="I4068"/>
    </row>
    <row r="4069" spans="1:9" s="47" customFormat="1" ht="14.4" x14ac:dyDescent="0.3">
      <c r="A4069"/>
      <c r="B4069"/>
      <c r="C4069"/>
      <c r="D4069"/>
      <c r="E4069"/>
      <c r="F4069"/>
      <c r="G4069"/>
      <c r="H4069"/>
      <c r="I4069"/>
    </row>
    <row r="4070" spans="1:9" s="47" customFormat="1" ht="14.4" x14ac:dyDescent="0.3">
      <c r="A4070"/>
      <c r="B4070"/>
      <c r="C4070"/>
      <c r="D4070"/>
      <c r="E4070"/>
      <c r="F4070"/>
      <c r="G4070"/>
      <c r="H4070"/>
      <c r="I4070"/>
    </row>
    <row r="4071" spans="1:9" s="47" customFormat="1" ht="14.4" x14ac:dyDescent="0.3">
      <c r="A4071"/>
      <c r="B4071"/>
      <c r="C4071"/>
      <c r="D4071"/>
      <c r="E4071"/>
      <c r="F4071"/>
      <c r="G4071"/>
      <c r="H4071"/>
      <c r="I4071"/>
    </row>
    <row r="4072" spans="1:9" s="47" customFormat="1" ht="14.4" x14ac:dyDescent="0.3">
      <c r="A4072"/>
      <c r="B4072"/>
      <c r="C4072"/>
      <c r="D4072"/>
      <c r="E4072"/>
      <c r="F4072"/>
      <c r="G4072"/>
      <c r="H4072"/>
      <c r="I4072"/>
    </row>
    <row r="4073" spans="1:9" s="47" customFormat="1" ht="14.4" x14ac:dyDescent="0.3">
      <c r="A4073"/>
      <c r="B4073"/>
      <c r="C4073"/>
      <c r="D4073"/>
      <c r="E4073"/>
      <c r="F4073"/>
      <c r="G4073"/>
      <c r="H4073"/>
      <c r="I4073"/>
    </row>
    <row r="4074" spans="1:9" s="47" customFormat="1" ht="14.4" x14ac:dyDescent="0.3">
      <c r="A4074"/>
      <c r="B4074"/>
      <c r="C4074"/>
      <c r="D4074"/>
      <c r="E4074"/>
      <c r="F4074"/>
      <c r="G4074"/>
      <c r="H4074"/>
      <c r="I4074"/>
    </row>
    <row r="4075" spans="1:9" s="47" customFormat="1" ht="14.4" x14ac:dyDescent="0.3">
      <c r="A4075"/>
      <c r="B4075"/>
      <c r="C4075"/>
      <c r="D4075"/>
      <c r="E4075"/>
      <c r="F4075"/>
      <c r="G4075"/>
      <c r="H4075"/>
      <c r="I4075"/>
    </row>
    <row r="4076" spans="1:9" s="47" customFormat="1" ht="14.4" x14ac:dyDescent="0.3">
      <c r="A4076"/>
      <c r="B4076"/>
      <c r="C4076"/>
      <c r="D4076"/>
      <c r="E4076"/>
      <c r="F4076"/>
      <c r="G4076"/>
      <c r="H4076"/>
      <c r="I4076"/>
    </row>
    <row r="4077" spans="1:9" s="47" customFormat="1" ht="14.4" x14ac:dyDescent="0.3">
      <c r="A4077"/>
      <c r="B4077"/>
      <c r="C4077"/>
      <c r="D4077"/>
      <c r="E4077"/>
      <c r="F4077"/>
      <c r="G4077"/>
      <c r="H4077"/>
      <c r="I4077"/>
    </row>
    <row r="4078" spans="1:9" s="47" customFormat="1" ht="14.4" x14ac:dyDescent="0.3">
      <c r="A4078"/>
      <c r="B4078"/>
      <c r="C4078"/>
      <c r="D4078"/>
      <c r="E4078"/>
      <c r="F4078"/>
      <c r="G4078"/>
      <c r="H4078"/>
      <c r="I4078"/>
    </row>
    <row r="4079" spans="1:9" s="47" customFormat="1" ht="14.4" x14ac:dyDescent="0.3">
      <c r="A4079"/>
      <c r="B4079"/>
      <c r="C4079"/>
      <c r="D4079"/>
      <c r="E4079"/>
      <c r="F4079"/>
      <c r="G4079"/>
      <c r="H4079"/>
      <c r="I4079"/>
    </row>
    <row r="4080" spans="1:9" s="47" customFormat="1" ht="14.4" x14ac:dyDescent="0.3">
      <c r="A4080"/>
      <c r="B4080"/>
      <c r="C4080"/>
      <c r="D4080"/>
      <c r="E4080"/>
      <c r="F4080"/>
      <c r="G4080"/>
      <c r="H4080"/>
      <c r="I4080"/>
    </row>
    <row r="4081" spans="1:9" s="47" customFormat="1" ht="14.4" x14ac:dyDescent="0.3">
      <c r="A4081"/>
      <c r="B4081"/>
      <c r="C4081"/>
      <c r="D4081"/>
      <c r="E4081"/>
      <c r="F4081"/>
      <c r="G4081"/>
      <c r="H4081"/>
      <c r="I4081"/>
    </row>
    <row r="4082" spans="1:9" s="47" customFormat="1" ht="14.4" x14ac:dyDescent="0.3">
      <c r="A4082"/>
      <c r="B4082"/>
      <c r="C4082"/>
      <c r="D4082"/>
      <c r="E4082"/>
      <c r="F4082"/>
      <c r="G4082"/>
      <c r="H4082"/>
      <c r="I4082"/>
    </row>
    <row r="4083" spans="1:9" s="47" customFormat="1" ht="14.4" x14ac:dyDescent="0.3">
      <c r="A4083"/>
      <c r="B4083"/>
      <c r="C4083"/>
      <c r="D4083"/>
      <c r="E4083"/>
      <c r="F4083"/>
      <c r="G4083"/>
      <c r="H4083"/>
      <c r="I4083"/>
    </row>
    <row r="4084" spans="1:9" s="47" customFormat="1" ht="14.4" x14ac:dyDescent="0.3">
      <c r="A4084"/>
      <c r="B4084"/>
      <c r="C4084"/>
      <c r="D4084"/>
      <c r="E4084"/>
      <c r="F4084"/>
      <c r="G4084"/>
      <c r="H4084"/>
      <c r="I4084"/>
    </row>
    <row r="4085" spans="1:9" s="47" customFormat="1" ht="14.4" x14ac:dyDescent="0.3">
      <c r="A4085"/>
      <c r="B4085"/>
      <c r="C4085"/>
      <c r="D4085"/>
      <c r="E4085"/>
      <c r="F4085"/>
      <c r="G4085"/>
      <c r="H4085"/>
      <c r="I4085"/>
    </row>
    <row r="4086" spans="1:9" s="47" customFormat="1" ht="14.4" x14ac:dyDescent="0.3">
      <c r="A4086"/>
      <c r="B4086"/>
      <c r="C4086"/>
      <c r="D4086"/>
      <c r="E4086"/>
      <c r="F4086"/>
      <c r="G4086"/>
      <c r="H4086"/>
      <c r="I4086"/>
    </row>
    <row r="4087" spans="1:9" s="47" customFormat="1" ht="14.4" x14ac:dyDescent="0.3">
      <c r="A4087"/>
      <c r="B4087"/>
      <c r="C4087"/>
      <c r="D4087"/>
      <c r="E4087"/>
      <c r="F4087"/>
      <c r="G4087"/>
      <c r="H4087"/>
      <c r="I4087"/>
    </row>
    <row r="4088" spans="1:9" s="47" customFormat="1" ht="14.4" x14ac:dyDescent="0.3">
      <c r="A4088"/>
      <c r="B4088"/>
      <c r="C4088"/>
      <c r="D4088"/>
      <c r="E4088"/>
      <c r="F4088"/>
      <c r="G4088"/>
      <c r="H4088"/>
      <c r="I4088"/>
    </row>
    <row r="4089" spans="1:9" s="47" customFormat="1" ht="14.4" x14ac:dyDescent="0.3">
      <c r="A4089"/>
      <c r="B4089"/>
      <c r="C4089"/>
      <c r="D4089"/>
      <c r="E4089"/>
      <c r="F4089"/>
      <c r="G4089"/>
      <c r="H4089"/>
      <c r="I4089"/>
    </row>
    <row r="4090" spans="1:9" s="47" customFormat="1" ht="14.4" x14ac:dyDescent="0.3">
      <c r="A4090"/>
      <c r="B4090"/>
      <c r="C4090"/>
      <c r="D4090"/>
      <c r="E4090"/>
      <c r="F4090"/>
      <c r="G4090"/>
      <c r="H4090"/>
      <c r="I4090"/>
    </row>
    <row r="4091" spans="1:9" s="47" customFormat="1" ht="14.4" x14ac:dyDescent="0.3">
      <c r="A4091"/>
      <c r="B4091"/>
      <c r="C4091"/>
      <c r="D4091"/>
      <c r="E4091"/>
      <c r="F4091"/>
      <c r="G4091"/>
      <c r="H4091"/>
      <c r="I4091"/>
    </row>
    <row r="4092" spans="1:9" s="47" customFormat="1" ht="14.4" x14ac:dyDescent="0.3">
      <c r="A4092"/>
      <c r="B4092"/>
      <c r="C4092"/>
      <c r="D4092"/>
      <c r="E4092"/>
      <c r="F4092"/>
      <c r="G4092"/>
      <c r="H4092"/>
      <c r="I4092"/>
    </row>
    <row r="4093" spans="1:9" s="47" customFormat="1" ht="14.4" x14ac:dyDescent="0.3">
      <c r="A4093"/>
      <c r="B4093"/>
      <c r="C4093"/>
      <c r="D4093"/>
      <c r="E4093"/>
      <c r="F4093"/>
      <c r="G4093"/>
      <c r="H4093"/>
      <c r="I4093"/>
    </row>
    <row r="4094" spans="1:9" s="47" customFormat="1" ht="14.4" x14ac:dyDescent="0.3">
      <c r="A4094"/>
      <c r="B4094"/>
      <c r="C4094"/>
      <c r="D4094"/>
      <c r="E4094"/>
      <c r="F4094"/>
      <c r="G4094"/>
      <c r="H4094"/>
      <c r="I4094"/>
    </row>
    <row r="4095" spans="1:9" s="47" customFormat="1" ht="14.4" x14ac:dyDescent="0.3">
      <c r="A4095"/>
      <c r="B4095"/>
      <c r="C4095"/>
      <c r="D4095"/>
      <c r="E4095"/>
      <c r="F4095"/>
      <c r="G4095"/>
      <c r="H4095"/>
      <c r="I4095"/>
    </row>
    <row r="4096" spans="1:9" s="47" customFormat="1" ht="14.4" x14ac:dyDescent="0.3">
      <c r="A4096"/>
      <c r="B4096"/>
      <c r="C4096"/>
      <c r="D4096"/>
      <c r="E4096"/>
      <c r="F4096"/>
      <c r="G4096"/>
      <c r="H4096"/>
      <c r="I4096"/>
    </row>
    <row r="4097" spans="1:9" s="47" customFormat="1" ht="14.4" x14ac:dyDescent="0.3">
      <c r="A4097"/>
      <c r="B4097"/>
      <c r="C4097"/>
      <c r="D4097"/>
      <c r="E4097"/>
      <c r="F4097"/>
      <c r="G4097"/>
      <c r="H4097"/>
      <c r="I4097"/>
    </row>
    <row r="4098" spans="1:9" s="47" customFormat="1" ht="14.4" x14ac:dyDescent="0.3">
      <c r="A4098"/>
      <c r="B4098"/>
      <c r="C4098"/>
      <c r="D4098"/>
      <c r="E4098"/>
      <c r="F4098"/>
      <c r="G4098"/>
      <c r="H4098"/>
      <c r="I4098"/>
    </row>
    <row r="4099" spans="1:9" s="47" customFormat="1" ht="14.4" x14ac:dyDescent="0.3">
      <c r="A4099"/>
      <c r="B4099"/>
      <c r="C4099"/>
      <c r="D4099"/>
      <c r="E4099"/>
      <c r="F4099"/>
      <c r="G4099"/>
      <c r="H4099"/>
      <c r="I4099"/>
    </row>
    <row r="4100" spans="1:9" s="47" customFormat="1" ht="14.4" x14ac:dyDescent="0.3">
      <c r="A4100"/>
      <c r="B4100"/>
      <c r="C4100"/>
      <c r="D4100"/>
      <c r="E4100"/>
      <c r="F4100"/>
      <c r="G4100"/>
      <c r="H4100"/>
      <c r="I4100"/>
    </row>
    <row r="4101" spans="1:9" s="47" customFormat="1" ht="14.4" x14ac:dyDescent="0.3">
      <c r="A4101"/>
      <c r="B4101"/>
      <c r="C4101"/>
      <c r="D4101"/>
      <c r="E4101"/>
      <c r="F4101"/>
      <c r="G4101"/>
      <c r="H4101"/>
      <c r="I4101"/>
    </row>
    <row r="4102" spans="1:9" s="47" customFormat="1" ht="14.4" x14ac:dyDescent="0.3">
      <c r="A4102"/>
      <c r="B4102"/>
      <c r="C4102"/>
      <c r="D4102"/>
      <c r="E4102"/>
      <c r="F4102"/>
      <c r="G4102"/>
      <c r="H4102"/>
      <c r="I4102"/>
    </row>
    <row r="4103" spans="1:9" s="47" customFormat="1" ht="14.4" x14ac:dyDescent="0.3">
      <c r="A4103"/>
      <c r="B4103"/>
      <c r="C4103"/>
      <c r="D4103"/>
      <c r="E4103"/>
      <c r="F4103"/>
      <c r="G4103"/>
      <c r="H4103"/>
      <c r="I4103"/>
    </row>
    <row r="4104" spans="1:9" s="47" customFormat="1" ht="14.4" x14ac:dyDescent="0.3">
      <c r="A4104"/>
      <c r="B4104"/>
      <c r="C4104"/>
      <c r="D4104"/>
      <c r="E4104"/>
      <c r="F4104"/>
      <c r="G4104"/>
      <c r="H4104"/>
      <c r="I4104"/>
    </row>
    <row r="4105" spans="1:9" s="47" customFormat="1" ht="14.4" x14ac:dyDescent="0.3">
      <c r="A4105"/>
      <c r="B4105"/>
      <c r="C4105"/>
      <c r="D4105"/>
      <c r="E4105"/>
      <c r="F4105"/>
      <c r="G4105"/>
      <c r="H4105"/>
      <c r="I4105"/>
    </row>
    <row r="4106" spans="1:9" s="47" customFormat="1" ht="14.4" x14ac:dyDescent="0.3">
      <c r="A4106"/>
      <c r="B4106"/>
      <c r="C4106"/>
      <c r="D4106"/>
      <c r="E4106"/>
      <c r="F4106"/>
      <c r="G4106"/>
      <c r="H4106"/>
      <c r="I4106"/>
    </row>
    <row r="4107" spans="1:9" s="47" customFormat="1" ht="14.4" x14ac:dyDescent="0.3">
      <c r="A4107"/>
      <c r="B4107"/>
      <c r="C4107"/>
      <c r="D4107"/>
      <c r="E4107"/>
      <c r="F4107"/>
      <c r="G4107"/>
      <c r="H4107"/>
      <c r="I4107"/>
    </row>
    <row r="4108" spans="1:9" s="47" customFormat="1" ht="14.4" x14ac:dyDescent="0.3">
      <c r="A4108"/>
      <c r="B4108"/>
      <c r="C4108"/>
      <c r="D4108"/>
      <c r="E4108"/>
      <c r="F4108"/>
      <c r="G4108"/>
      <c r="H4108"/>
      <c r="I4108"/>
    </row>
    <row r="4109" spans="1:9" s="47" customFormat="1" ht="14.4" x14ac:dyDescent="0.3">
      <c r="A4109"/>
      <c r="B4109"/>
      <c r="C4109"/>
      <c r="D4109"/>
      <c r="E4109"/>
      <c r="F4109"/>
      <c r="G4109"/>
      <c r="H4109"/>
      <c r="I4109"/>
    </row>
    <row r="4110" spans="1:9" s="47" customFormat="1" ht="14.4" x14ac:dyDescent="0.3">
      <c r="A4110"/>
      <c r="B4110"/>
      <c r="C4110"/>
      <c r="D4110"/>
      <c r="E4110"/>
      <c r="F4110"/>
      <c r="G4110"/>
      <c r="H4110"/>
      <c r="I4110"/>
    </row>
    <row r="4111" spans="1:9" s="47" customFormat="1" ht="14.4" x14ac:dyDescent="0.3">
      <c r="A4111"/>
      <c r="B4111"/>
      <c r="C4111"/>
      <c r="D4111"/>
      <c r="E4111"/>
      <c r="F4111"/>
      <c r="G4111"/>
      <c r="H4111"/>
      <c r="I4111"/>
    </row>
    <row r="4112" spans="1:9" s="47" customFormat="1" ht="14.4" x14ac:dyDescent="0.3">
      <c r="A4112"/>
      <c r="B4112"/>
      <c r="C4112"/>
      <c r="D4112"/>
      <c r="E4112"/>
      <c r="F4112"/>
      <c r="G4112"/>
      <c r="H4112"/>
      <c r="I4112"/>
    </row>
    <row r="4113" spans="1:9" s="47" customFormat="1" ht="14.4" x14ac:dyDescent="0.3">
      <c r="A4113"/>
      <c r="B4113"/>
      <c r="C4113"/>
      <c r="D4113"/>
      <c r="E4113"/>
      <c r="F4113"/>
      <c r="G4113"/>
      <c r="H4113"/>
      <c r="I4113"/>
    </row>
    <row r="4114" spans="1:9" s="47" customFormat="1" ht="14.4" x14ac:dyDescent="0.3">
      <c r="A4114"/>
      <c r="B4114"/>
      <c r="C4114"/>
      <c r="D4114"/>
      <c r="E4114"/>
      <c r="F4114"/>
      <c r="G4114"/>
      <c r="H4114"/>
      <c r="I4114"/>
    </row>
    <row r="4115" spans="1:9" s="47" customFormat="1" ht="14.4" x14ac:dyDescent="0.3">
      <c r="A4115"/>
      <c r="B4115"/>
      <c r="C4115"/>
      <c r="D4115"/>
      <c r="E4115"/>
      <c r="F4115"/>
      <c r="G4115"/>
      <c r="H4115"/>
      <c r="I4115"/>
    </row>
    <row r="4116" spans="1:9" s="47" customFormat="1" ht="14.4" x14ac:dyDescent="0.3">
      <c r="A4116"/>
      <c r="B4116"/>
      <c r="C4116"/>
      <c r="D4116"/>
      <c r="E4116"/>
      <c r="F4116"/>
      <c r="G4116"/>
      <c r="H4116"/>
      <c r="I4116"/>
    </row>
    <row r="4117" spans="1:9" s="47" customFormat="1" ht="14.4" x14ac:dyDescent="0.3">
      <c r="A4117"/>
      <c r="B4117"/>
      <c r="C4117"/>
      <c r="D4117"/>
      <c r="E4117"/>
      <c r="F4117"/>
      <c r="G4117"/>
      <c r="H4117"/>
      <c r="I4117"/>
    </row>
    <row r="4118" spans="1:9" s="47" customFormat="1" ht="14.4" x14ac:dyDescent="0.3">
      <c r="A4118"/>
      <c r="B4118"/>
      <c r="C4118"/>
      <c r="D4118"/>
      <c r="E4118"/>
      <c r="F4118"/>
      <c r="G4118"/>
      <c r="H4118"/>
      <c r="I4118"/>
    </row>
    <row r="4119" spans="1:9" s="47" customFormat="1" ht="14.4" x14ac:dyDescent="0.3">
      <c r="A4119"/>
      <c r="B4119"/>
      <c r="C4119"/>
      <c r="D4119"/>
      <c r="E4119"/>
      <c r="F4119"/>
      <c r="G4119"/>
      <c r="H4119"/>
      <c r="I4119"/>
    </row>
    <row r="4120" spans="1:9" s="47" customFormat="1" ht="14.4" x14ac:dyDescent="0.3">
      <c r="A4120"/>
      <c r="B4120"/>
      <c r="C4120"/>
      <c r="D4120"/>
      <c r="E4120"/>
      <c r="F4120"/>
      <c r="G4120"/>
      <c r="H4120"/>
      <c r="I4120"/>
    </row>
    <row r="4121" spans="1:9" s="47" customFormat="1" ht="14.4" x14ac:dyDescent="0.3">
      <c r="A4121"/>
      <c r="B4121"/>
      <c r="C4121"/>
      <c r="D4121"/>
      <c r="E4121"/>
      <c r="F4121"/>
      <c r="G4121"/>
      <c r="H4121"/>
      <c r="I4121"/>
    </row>
    <row r="4122" spans="1:9" s="47" customFormat="1" ht="14.4" x14ac:dyDescent="0.3">
      <c r="A4122"/>
      <c r="B4122"/>
      <c r="C4122"/>
      <c r="D4122"/>
      <c r="E4122"/>
      <c r="F4122"/>
      <c r="G4122"/>
      <c r="H4122"/>
      <c r="I4122"/>
    </row>
    <row r="4123" spans="1:9" s="47" customFormat="1" ht="14.4" x14ac:dyDescent="0.3">
      <c r="A4123"/>
      <c r="B4123"/>
      <c r="C4123"/>
      <c r="D4123"/>
      <c r="E4123"/>
      <c r="F4123"/>
      <c r="G4123"/>
      <c r="H4123"/>
      <c r="I4123"/>
    </row>
    <row r="4124" spans="1:9" s="47" customFormat="1" ht="14.4" x14ac:dyDescent="0.3">
      <c r="A4124"/>
      <c r="B4124"/>
      <c r="C4124"/>
      <c r="D4124"/>
      <c r="E4124"/>
      <c r="F4124"/>
      <c r="G4124"/>
      <c r="H4124"/>
      <c r="I4124"/>
    </row>
    <row r="4125" spans="1:9" s="47" customFormat="1" ht="14.4" x14ac:dyDescent="0.3">
      <c r="A4125"/>
      <c r="B4125"/>
      <c r="C4125"/>
      <c r="D4125"/>
      <c r="E4125"/>
      <c r="F4125"/>
      <c r="G4125"/>
      <c r="H4125"/>
      <c r="I4125"/>
    </row>
    <row r="4126" spans="1:9" s="47" customFormat="1" ht="14.4" x14ac:dyDescent="0.3">
      <c r="A4126"/>
      <c r="B4126"/>
      <c r="C4126"/>
      <c r="D4126"/>
      <c r="E4126"/>
      <c r="F4126"/>
      <c r="G4126"/>
      <c r="H4126"/>
      <c r="I4126"/>
    </row>
    <row r="4127" spans="1:9" s="47" customFormat="1" ht="14.4" x14ac:dyDescent="0.3">
      <c r="A4127"/>
      <c r="B4127"/>
      <c r="C4127"/>
      <c r="D4127"/>
      <c r="E4127"/>
      <c r="F4127"/>
      <c r="G4127"/>
      <c r="H4127"/>
      <c r="I4127"/>
    </row>
    <row r="4128" spans="1:9" s="47" customFormat="1" ht="14.4" x14ac:dyDescent="0.3">
      <c r="A4128"/>
      <c r="B4128"/>
      <c r="C4128"/>
      <c r="D4128"/>
      <c r="E4128"/>
      <c r="F4128"/>
      <c r="G4128"/>
      <c r="H4128"/>
      <c r="I4128"/>
    </row>
    <row r="4129" spans="1:9" s="47" customFormat="1" ht="14.4" x14ac:dyDescent="0.3">
      <c r="A4129"/>
      <c r="B4129"/>
      <c r="C4129"/>
      <c r="D4129"/>
      <c r="E4129"/>
      <c r="F4129"/>
      <c r="G4129"/>
      <c r="H4129"/>
      <c r="I4129"/>
    </row>
    <row r="4130" spans="1:9" s="47" customFormat="1" ht="14.4" x14ac:dyDescent="0.3">
      <c r="A4130"/>
      <c r="B4130"/>
      <c r="C4130"/>
      <c r="D4130"/>
      <c r="E4130"/>
      <c r="F4130"/>
      <c r="G4130"/>
      <c r="H4130"/>
      <c r="I4130"/>
    </row>
    <row r="4131" spans="1:9" s="47" customFormat="1" ht="14.4" x14ac:dyDescent="0.3">
      <c r="A4131"/>
      <c r="B4131"/>
      <c r="C4131"/>
      <c r="D4131"/>
      <c r="E4131"/>
      <c r="F4131"/>
      <c r="G4131"/>
      <c r="H4131"/>
      <c r="I4131"/>
    </row>
    <row r="4132" spans="1:9" s="47" customFormat="1" ht="14.4" x14ac:dyDescent="0.3">
      <c r="A4132"/>
      <c r="B4132"/>
      <c r="C4132"/>
      <c r="D4132"/>
      <c r="E4132"/>
      <c r="F4132"/>
      <c r="G4132"/>
      <c r="H4132"/>
      <c r="I4132"/>
    </row>
    <row r="4133" spans="1:9" s="47" customFormat="1" ht="14.4" x14ac:dyDescent="0.3">
      <c r="A4133"/>
      <c r="B4133"/>
      <c r="C4133"/>
      <c r="D4133"/>
      <c r="E4133"/>
      <c r="F4133"/>
      <c r="G4133"/>
      <c r="H4133"/>
      <c r="I4133"/>
    </row>
    <row r="4134" spans="1:9" s="47" customFormat="1" ht="14.4" x14ac:dyDescent="0.3">
      <c r="A4134"/>
      <c r="B4134"/>
      <c r="C4134"/>
      <c r="D4134"/>
      <c r="E4134"/>
      <c r="F4134"/>
      <c r="G4134"/>
      <c r="H4134"/>
      <c r="I4134"/>
    </row>
    <row r="4135" spans="1:9" s="47" customFormat="1" ht="14.4" x14ac:dyDescent="0.3">
      <c r="A4135"/>
      <c r="B4135"/>
      <c r="C4135"/>
      <c r="D4135"/>
      <c r="E4135"/>
      <c r="F4135"/>
      <c r="G4135"/>
      <c r="H4135"/>
      <c r="I4135"/>
    </row>
    <row r="4136" spans="1:9" s="47" customFormat="1" ht="14.4" x14ac:dyDescent="0.3">
      <c r="A4136"/>
      <c r="B4136"/>
      <c r="C4136"/>
      <c r="D4136"/>
      <c r="E4136"/>
      <c r="F4136"/>
      <c r="G4136"/>
      <c r="H4136"/>
      <c r="I4136"/>
    </row>
    <row r="4137" spans="1:9" s="47" customFormat="1" ht="14.4" x14ac:dyDescent="0.3">
      <c r="A4137"/>
      <c r="B4137"/>
      <c r="C4137"/>
      <c r="D4137"/>
      <c r="E4137"/>
      <c r="F4137"/>
      <c r="G4137"/>
      <c r="H4137"/>
      <c r="I4137"/>
    </row>
    <row r="4138" spans="1:9" s="47" customFormat="1" ht="14.4" x14ac:dyDescent="0.3">
      <c r="A4138"/>
      <c r="B4138"/>
      <c r="C4138"/>
      <c r="D4138"/>
      <c r="E4138"/>
      <c r="F4138"/>
      <c r="G4138"/>
      <c r="H4138"/>
      <c r="I4138"/>
    </row>
    <row r="4139" spans="1:9" s="47" customFormat="1" ht="14.4" x14ac:dyDescent="0.3">
      <c r="A4139"/>
      <c r="B4139"/>
      <c r="C4139"/>
      <c r="D4139"/>
      <c r="E4139"/>
      <c r="F4139"/>
      <c r="G4139"/>
      <c r="H4139"/>
      <c r="I4139"/>
    </row>
    <row r="4140" spans="1:9" s="47" customFormat="1" ht="14.4" x14ac:dyDescent="0.3">
      <c r="A4140"/>
      <c r="B4140"/>
      <c r="C4140"/>
      <c r="D4140"/>
      <c r="E4140"/>
      <c r="F4140"/>
      <c r="G4140"/>
      <c r="H4140"/>
      <c r="I4140"/>
    </row>
    <row r="4141" spans="1:9" s="47" customFormat="1" ht="14.4" x14ac:dyDescent="0.3">
      <c r="A4141"/>
      <c r="B4141"/>
      <c r="C4141"/>
      <c r="D4141"/>
      <c r="E4141"/>
      <c r="F4141"/>
      <c r="G4141"/>
      <c r="H4141"/>
      <c r="I4141"/>
    </row>
    <row r="4142" spans="1:9" s="47" customFormat="1" ht="14.4" x14ac:dyDescent="0.3">
      <c r="A4142"/>
      <c r="B4142"/>
      <c r="C4142"/>
      <c r="D4142"/>
      <c r="E4142"/>
      <c r="F4142"/>
      <c r="G4142"/>
      <c r="H4142"/>
      <c r="I4142"/>
    </row>
    <row r="4143" spans="1:9" s="47" customFormat="1" ht="14.4" x14ac:dyDescent="0.3">
      <c r="A4143"/>
      <c r="B4143"/>
      <c r="C4143"/>
      <c r="D4143"/>
      <c r="E4143"/>
      <c r="F4143"/>
      <c r="G4143"/>
      <c r="H4143"/>
      <c r="I4143"/>
    </row>
    <row r="4144" spans="1:9" s="47" customFormat="1" ht="14.4" x14ac:dyDescent="0.3">
      <c r="A4144"/>
      <c r="B4144"/>
      <c r="C4144"/>
      <c r="D4144"/>
      <c r="E4144"/>
      <c r="F4144"/>
      <c r="G4144"/>
      <c r="H4144"/>
      <c r="I4144"/>
    </row>
    <row r="4145" spans="1:9" s="47" customFormat="1" ht="14.4" x14ac:dyDescent="0.3">
      <c r="A4145"/>
      <c r="B4145"/>
      <c r="C4145"/>
      <c r="D4145"/>
      <c r="E4145"/>
      <c r="F4145"/>
      <c r="G4145"/>
      <c r="H4145"/>
      <c r="I4145"/>
    </row>
    <row r="4146" spans="1:9" s="47" customFormat="1" ht="14.4" x14ac:dyDescent="0.3">
      <c r="A4146"/>
      <c r="B4146"/>
      <c r="C4146"/>
      <c r="D4146"/>
      <c r="E4146"/>
      <c r="F4146"/>
      <c r="G4146"/>
      <c r="H4146"/>
      <c r="I4146"/>
    </row>
    <row r="4147" spans="1:9" s="47" customFormat="1" ht="14.4" x14ac:dyDescent="0.3">
      <c r="A4147"/>
      <c r="B4147"/>
      <c r="C4147"/>
      <c r="D4147"/>
      <c r="E4147"/>
      <c r="F4147"/>
      <c r="G4147"/>
      <c r="H4147"/>
      <c r="I4147"/>
    </row>
    <row r="4148" spans="1:9" s="47" customFormat="1" ht="14.4" x14ac:dyDescent="0.3">
      <c r="A4148"/>
      <c r="B4148"/>
      <c r="C4148"/>
      <c r="D4148"/>
      <c r="E4148"/>
      <c r="F4148"/>
      <c r="G4148"/>
      <c r="H4148"/>
      <c r="I4148"/>
    </row>
    <row r="4149" spans="1:9" s="47" customFormat="1" ht="14.4" x14ac:dyDescent="0.3">
      <c r="A4149"/>
      <c r="B4149"/>
      <c r="C4149"/>
      <c r="D4149"/>
      <c r="E4149"/>
      <c r="F4149"/>
      <c r="G4149"/>
      <c r="H4149"/>
      <c r="I4149"/>
    </row>
    <row r="4150" spans="1:9" s="47" customFormat="1" ht="14.4" x14ac:dyDescent="0.3">
      <c r="A4150"/>
      <c r="B4150"/>
      <c r="C4150"/>
      <c r="D4150"/>
      <c r="E4150"/>
      <c r="F4150"/>
      <c r="G4150"/>
      <c r="H4150"/>
      <c r="I4150"/>
    </row>
    <row r="4151" spans="1:9" s="47" customFormat="1" ht="14.4" x14ac:dyDescent="0.3">
      <c r="A4151"/>
      <c r="B4151"/>
      <c r="C4151"/>
      <c r="D4151"/>
      <c r="E4151"/>
      <c r="F4151"/>
      <c r="G4151"/>
      <c r="H4151"/>
      <c r="I4151"/>
    </row>
    <row r="4152" spans="1:9" s="47" customFormat="1" ht="14.4" x14ac:dyDescent="0.3">
      <c r="A4152"/>
      <c r="B4152"/>
      <c r="C4152"/>
      <c r="D4152"/>
      <c r="E4152"/>
      <c r="F4152"/>
      <c r="G4152"/>
      <c r="H4152"/>
      <c r="I4152"/>
    </row>
    <row r="4153" spans="1:9" s="47" customFormat="1" ht="14.4" x14ac:dyDescent="0.3">
      <c r="A4153"/>
      <c r="B4153"/>
      <c r="C4153"/>
      <c r="D4153"/>
      <c r="E4153"/>
      <c r="F4153"/>
      <c r="G4153"/>
      <c r="H4153"/>
      <c r="I4153"/>
    </row>
    <row r="4154" spans="1:9" s="47" customFormat="1" ht="14.4" x14ac:dyDescent="0.3">
      <c r="A4154"/>
      <c r="B4154"/>
      <c r="C4154"/>
      <c r="D4154"/>
      <c r="E4154"/>
      <c r="F4154"/>
      <c r="G4154"/>
      <c r="H4154"/>
      <c r="I4154"/>
    </row>
    <row r="4155" spans="1:9" s="47" customFormat="1" ht="14.4" x14ac:dyDescent="0.3">
      <c r="A4155"/>
      <c r="B4155"/>
      <c r="C4155"/>
      <c r="D4155"/>
      <c r="E4155"/>
      <c r="F4155"/>
      <c r="G4155"/>
      <c r="H4155"/>
      <c r="I4155"/>
    </row>
    <row r="4156" spans="1:9" s="47" customFormat="1" ht="14.4" x14ac:dyDescent="0.3">
      <c r="A4156"/>
      <c r="B4156"/>
      <c r="C4156"/>
      <c r="D4156"/>
      <c r="E4156"/>
      <c r="F4156"/>
      <c r="G4156"/>
      <c r="H4156"/>
      <c r="I4156"/>
    </row>
    <row r="4157" spans="1:9" s="47" customFormat="1" ht="14.4" x14ac:dyDescent="0.3">
      <c r="A4157"/>
      <c r="B4157"/>
      <c r="C4157"/>
      <c r="D4157"/>
      <c r="E4157"/>
      <c r="F4157"/>
      <c r="G4157"/>
      <c r="H4157"/>
      <c r="I4157"/>
    </row>
    <row r="4158" spans="1:9" s="47" customFormat="1" ht="14.4" x14ac:dyDescent="0.3">
      <c r="A4158"/>
      <c r="B4158"/>
      <c r="C4158"/>
      <c r="D4158"/>
      <c r="E4158"/>
      <c r="F4158"/>
      <c r="G4158"/>
      <c r="H4158"/>
      <c r="I4158"/>
    </row>
    <row r="4159" spans="1:9" s="47" customFormat="1" ht="14.4" x14ac:dyDescent="0.3">
      <c r="A4159"/>
      <c r="B4159"/>
      <c r="C4159"/>
      <c r="D4159"/>
      <c r="E4159"/>
      <c r="F4159"/>
      <c r="G4159"/>
      <c r="H4159"/>
      <c r="I4159"/>
    </row>
    <row r="4160" spans="1:9" s="47" customFormat="1" ht="14.4" x14ac:dyDescent="0.3">
      <c r="A4160"/>
      <c r="B4160"/>
      <c r="C4160"/>
      <c r="D4160"/>
      <c r="E4160"/>
      <c r="F4160"/>
      <c r="G4160"/>
      <c r="H4160"/>
      <c r="I4160"/>
    </row>
    <row r="4161" spans="1:9" s="47" customFormat="1" ht="14.4" x14ac:dyDescent="0.3">
      <c r="A4161"/>
      <c r="B4161"/>
      <c r="C4161"/>
      <c r="D4161"/>
      <c r="E4161"/>
      <c r="F4161"/>
      <c r="G4161"/>
      <c r="H4161"/>
      <c r="I4161"/>
    </row>
    <row r="4162" spans="1:9" s="47" customFormat="1" ht="14.4" x14ac:dyDescent="0.3">
      <c r="A4162"/>
      <c r="B4162"/>
      <c r="C4162"/>
      <c r="D4162"/>
      <c r="E4162"/>
      <c r="F4162"/>
      <c r="G4162"/>
      <c r="H4162"/>
      <c r="I4162"/>
    </row>
    <row r="4163" spans="1:9" s="47" customFormat="1" ht="14.4" x14ac:dyDescent="0.3">
      <c r="A4163"/>
      <c r="B4163"/>
      <c r="C4163"/>
      <c r="D4163"/>
      <c r="E4163"/>
      <c r="F4163"/>
      <c r="G4163"/>
      <c r="H4163"/>
      <c r="I4163"/>
    </row>
    <row r="4164" spans="1:9" s="47" customFormat="1" ht="14.4" x14ac:dyDescent="0.3">
      <c r="A4164"/>
      <c r="B4164"/>
      <c r="C4164"/>
      <c r="D4164"/>
      <c r="E4164"/>
      <c r="F4164"/>
      <c r="G4164"/>
      <c r="H4164"/>
      <c r="I4164"/>
    </row>
    <row r="4165" spans="1:9" s="47" customFormat="1" ht="14.4" x14ac:dyDescent="0.3">
      <c r="A4165"/>
      <c r="B4165"/>
      <c r="C4165"/>
      <c r="D4165"/>
      <c r="E4165"/>
      <c r="F4165"/>
      <c r="G4165"/>
      <c r="H4165"/>
      <c r="I4165"/>
    </row>
    <row r="4166" spans="1:9" s="47" customFormat="1" ht="14.4" x14ac:dyDescent="0.3">
      <c r="A4166"/>
      <c r="B4166"/>
      <c r="C4166"/>
      <c r="D4166"/>
      <c r="E4166"/>
      <c r="F4166"/>
      <c r="G4166"/>
      <c r="H4166"/>
      <c r="I4166"/>
    </row>
    <row r="4167" spans="1:9" s="47" customFormat="1" ht="14.4" x14ac:dyDescent="0.3">
      <c r="A4167"/>
      <c r="B4167"/>
      <c r="C4167"/>
      <c r="D4167"/>
      <c r="E4167"/>
      <c r="F4167"/>
      <c r="G4167"/>
      <c r="H4167"/>
      <c r="I4167"/>
    </row>
    <row r="4168" spans="1:9" s="47" customFormat="1" ht="14.4" x14ac:dyDescent="0.3">
      <c r="A4168"/>
      <c r="B4168"/>
      <c r="C4168"/>
      <c r="D4168"/>
      <c r="E4168"/>
      <c r="F4168"/>
      <c r="G4168"/>
      <c r="H4168"/>
      <c r="I4168"/>
    </row>
    <row r="4169" spans="1:9" s="47" customFormat="1" ht="14.4" x14ac:dyDescent="0.3">
      <c r="A4169"/>
      <c r="B4169"/>
      <c r="C4169"/>
      <c r="D4169"/>
      <c r="E4169"/>
      <c r="F4169"/>
      <c r="G4169"/>
      <c r="H4169"/>
      <c r="I4169"/>
    </row>
    <row r="4170" spans="1:9" s="47" customFormat="1" ht="14.4" x14ac:dyDescent="0.3">
      <c r="A4170"/>
      <c r="B4170"/>
      <c r="C4170"/>
      <c r="D4170"/>
      <c r="E4170"/>
      <c r="F4170"/>
      <c r="G4170"/>
      <c r="H4170"/>
      <c r="I4170"/>
    </row>
    <row r="4171" spans="1:9" s="47" customFormat="1" ht="14.4" x14ac:dyDescent="0.3">
      <c r="A4171"/>
      <c r="B4171"/>
      <c r="C4171"/>
      <c r="D4171"/>
      <c r="E4171"/>
      <c r="F4171"/>
      <c r="G4171"/>
      <c r="H4171"/>
      <c r="I4171"/>
    </row>
    <row r="4172" spans="1:9" s="47" customFormat="1" ht="14.4" x14ac:dyDescent="0.3">
      <c r="A4172"/>
      <c r="B4172"/>
      <c r="C4172"/>
      <c r="D4172"/>
      <c r="E4172"/>
      <c r="F4172"/>
      <c r="G4172"/>
      <c r="H4172"/>
      <c r="I4172"/>
    </row>
    <row r="4173" spans="1:9" s="47" customFormat="1" ht="14.4" x14ac:dyDescent="0.3">
      <c r="A4173"/>
      <c r="B4173"/>
      <c r="C4173"/>
      <c r="D4173"/>
      <c r="E4173"/>
      <c r="F4173"/>
      <c r="G4173"/>
      <c r="H4173"/>
      <c r="I4173"/>
    </row>
    <row r="4174" spans="1:9" s="47" customFormat="1" ht="14.4" x14ac:dyDescent="0.3">
      <c r="A4174"/>
      <c r="B4174"/>
      <c r="C4174"/>
      <c r="D4174"/>
      <c r="E4174"/>
      <c r="F4174"/>
      <c r="G4174"/>
      <c r="H4174"/>
      <c r="I4174"/>
    </row>
    <row r="4175" spans="1:9" s="47" customFormat="1" ht="14.4" x14ac:dyDescent="0.3">
      <c r="A4175"/>
      <c r="B4175"/>
      <c r="C4175"/>
      <c r="D4175"/>
      <c r="E4175"/>
      <c r="F4175"/>
      <c r="G4175"/>
      <c r="H4175"/>
      <c r="I4175"/>
    </row>
    <row r="4176" spans="1:9" s="47" customFormat="1" ht="14.4" x14ac:dyDescent="0.3">
      <c r="A4176"/>
      <c r="B4176"/>
      <c r="C4176"/>
      <c r="D4176"/>
      <c r="E4176"/>
      <c r="F4176"/>
      <c r="G4176"/>
      <c r="H4176"/>
      <c r="I4176"/>
    </row>
    <row r="4177" spans="1:9" s="47" customFormat="1" ht="14.4" x14ac:dyDescent="0.3">
      <c r="A4177"/>
      <c r="B4177"/>
      <c r="C4177"/>
      <c r="D4177"/>
      <c r="E4177"/>
      <c r="F4177"/>
      <c r="G4177"/>
      <c r="H4177"/>
      <c r="I4177"/>
    </row>
    <row r="4178" spans="1:9" s="47" customFormat="1" ht="14.4" x14ac:dyDescent="0.3">
      <c r="A4178"/>
      <c r="B4178"/>
      <c r="C4178"/>
      <c r="D4178"/>
      <c r="E4178"/>
      <c r="F4178"/>
      <c r="G4178"/>
      <c r="H4178"/>
      <c r="I4178"/>
    </row>
    <row r="4179" spans="1:9" s="47" customFormat="1" ht="14.4" x14ac:dyDescent="0.3">
      <c r="A4179"/>
      <c r="B4179"/>
      <c r="C4179"/>
      <c r="D4179"/>
      <c r="E4179"/>
      <c r="F4179"/>
      <c r="G4179"/>
      <c r="H4179"/>
      <c r="I4179"/>
    </row>
    <row r="4180" spans="1:9" s="47" customFormat="1" ht="14.4" x14ac:dyDescent="0.3">
      <c r="A4180"/>
      <c r="B4180"/>
      <c r="C4180"/>
      <c r="D4180"/>
      <c r="E4180"/>
      <c r="F4180"/>
      <c r="G4180"/>
      <c r="H4180"/>
      <c r="I4180"/>
    </row>
    <row r="4181" spans="1:9" s="47" customFormat="1" ht="14.4" x14ac:dyDescent="0.3">
      <c r="A4181"/>
      <c r="B4181"/>
      <c r="C4181"/>
      <c r="D4181"/>
      <c r="E4181"/>
      <c r="F4181"/>
      <c r="G4181"/>
      <c r="H4181"/>
      <c r="I4181"/>
    </row>
    <row r="4182" spans="1:9" s="47" customFormat="1" ht="14.4" x14ac:dyDescent="0.3">
      <c r="A4182"/>
      <c r="B4182"/>
      <c r="C4182"/>
      <c r="D4182"/>
      <c r="E4182"/>
      <c r="F4182"/>
      <c r="G4182"/>
      <c r="H4182"/>
      <c r="I4182"/>
    </row>
    <row r="4183" spans="1:9" s="47" customFormat="1" ht="14.4" x14ac:dyDescent="0.3">
      <c r="A4183"/>
      <c r="B4183"/>
      <c r="C4183"/>
      <c r="D4183"/>
      <c r="E4183"/>
      <c r="F4183"/>
      <c r="G4183"/>
      <c r="H4183"/>
      <c r="I4183"/>
    </row>
    <row r="4184" spans="1:9" s="47" customFormat="1" ht="14.4" x14ac:dyDescent="0.3">
      <c r="A4184"/>
      <c r="B4184"/>
      <c r="C4184"/>
      <c r="D4184"/>
      <c r="E4184"/>
      <c r="F4184"/>
      <c r="G4184"/>
      <c r="H4184"/>
      <c r="I4184"/>
    </row>
    <row r="4185" spans="1:9" s="47" customFormat="1" ht="14.4" x14ac:dyDescent="0.3">
      <c r="A4185"/>
      <c r="B4185"/>
      <c r="C4185"/>
      <c r="D4185"/>
      <c r="E4185"/>
      <c r="F4185"/>
      <c r="G4185"/>
      <c r="H4185"/>
      <c r="I4185"/>
    </row>
    <row r="4186" spans="1:9" s="47" customFormat="1" ht="14.4" x14ac:dyDescent="0.3">
      <c r="A4186"/>
      <c r="B4186"/>
      <c r="C4186"/>
      <c r="D4186"/>
      <c r="E4186"/>
      <c r="F4186"/>
      <c r="G4186"/>
      <c r="H4186"/>
      <c r="I4186"/>
    </row>
    <row r="4187" spans="1:9" s="47" customFormat="1" ht="14.4" x14ac:dyDescent="0.3">
      <c r="A4187"/>
      <c r="B4187"/>
      <c r="C4187"/>
      <c r="D4187"/>
      <c r="E4187"/>
      <c r="F4187"/>
      <c r="G4187"/>
      <c r="H4187"/>
      <c r="I4187"/>
    </row>
    <row r="4188" spans="1:9" s="47" customFormat="1" ht="14.4" x14ac:dyDescent="0.3">
      <c r="A4188"/>
      <c r="B4188"/>
      <c r="C4188"/>
      <c r="D4188"/>
      <c r="E4188"/>
      <c r="F4188"/>
      <c r="G4188"/>
      <c r="H4188"/>
      <c r="I4188"/>
    </row>
    <row r="4189" spans="1:9" s="47" customFormat="1" ht="14.4" x14ac:dyDescent="0.3">
      <c r="A4189"/>
      <c r="B4189"/>
      <c r="C4189"/>
      <c r="D4189"/>
      <c r="E4189"/>
      <c r="F4189"/>
      <c r="G4189"/>
      <c r="H4189"/>
      <c r="I4189"/>
    </row>
    <row r="4190" spans="1:9" s="47" customFormat="1" ht="14.4" x14ac:dyDescent="0.3">
      <c r="A4190"/>
      <c r="B4190"/>
      <c r="C4190"/>
      <c r="D4190"/>
      <c r="E4190"/>
      <c r="F4190"/>
      <c r="G4190"/>
      <c r="H4190"/>
      <c r="I4190"/>
    </row>
    <row r="4191" spans="1:9" s="47" customFormat="1" ht="14.4" x14ac:dyDescent="0.3">
      <c r="A4191"/>
      <c r="B4191"/>
      <c r="C4191"/>
      <c r="D4191"/>
      <c r="E4191"/>
      <c r="F4191"/>
      <c r="G4191"/>
      <c r="H4191"/>
      <c r="I4191"/>
    </row>
    <row r="4192" spans="1:9" s="47" customFormat="1" ht="14.4" x14ac:dyDescent="0.3">
      <c r="A4192"/>
      <c r="B4192"/>
      <c r="C4192"/>
      <c r="D4192"/>
      <c r="E4192"/>
      <c r="F4192"/>
      <c r="G4192"/>
      <c r="H4192"/>
      <c r="I4192"/>
    </row>
    <row r="4193" spans="1:9" s="47" customFormat="1" ht="14.4" x14ac:dyDescent="0.3">
      <c r="A4193"/>
      <c r="B4193"/>
      <c r="C4193"/>
      <c r="D4193"/>
      <c r="E4193"/>
      <c r="F4193"/>
      <c r="G4193"/>
      <c r="H4193"/>
      <c r="I4193"/>
    </row>
    <row r="4194" spans="1:9" s="47" customFormat="1" ht="14.4" x14ac:dyDescent="0.3">
      <c r="A4194"/>
      <c r="B4194"/>
      <c r="C4194"/>
      <c r="D4194"/>
      <c r="E4194"/>
      <c r="F4194"/>
      <c r="G4194"/>
      <c r="H4194"/>
      <c r="I4194"/>
    </row>
    <row r="4195" spans="1:9" s="47" customFormat="1" ht="14.4" x14ac:dyDescent="0.3">
      <c r="A4195"/>
      <c r="B4195"/>
      <c r="C4195"/>
      <c r="D4195"/>
      <c r="E4195"/>
      <c r="F4195"/>
      <c r="G4195"/>
      <c r="H4195"/>
      <c r="I4195"/>
    </row>
    <row r="4196" spans="1:9" s="47" customFormat="1" ht="14.4" x14ac:dyDescent="0.3">
      <c r="A4196"/>
      <c r="B4196"/>
      <c r="C4196"/>
      <c r="D4196"/>
      <c r="E4196"/>
      <c r="F4196"/>
      <c r="G4196"/>
      <c r="H4196"/>
      <c r="I4196"/>
    </row>
    <row r="4197" spans="1:9" s="47" customFormat="1" ht="14.4" x14ac:dyDescent="0.3">
      <c r="A4197"/>
      <c r="B4197"/>
      <c r="C4197"/>
      <c r="D4197"/>
      <c r="E4197"/>
      <c r="F4197"/>
      <c r="G4197"/>
      <c r="H4197"/>
      <c r="I4197"/>
    </row>
    <row r="4198" spans="1:9" s="47" customFormat="1" ht="14.4" x14ac:dyDescent="0.3">
      <c r="A4198"/>
      <c r="B4198"/>
      <c r="C4198"/>
      <c r="D4198"/>
      <c r="E4198"/>
      <c r="F4198"/>
      <c r="G4198"/>
      <c r="H4198"/>
      <c r="I4198"/>
    </row>
    <row r="4199" spans="1:9" s="47" customFormat="1" ht="14.4" x14ac:dyDescent="0.3">
      <c r="A4199"/>
      <c r="B4199"/>
      <c r="C4199"/>
      <c r="D4199"/>
      <c r="E4199"/>
      <c r="F4199"/>
      <c r="G4199"/>
      <c r="H4199"/>
      <c r="I4199"/>
    </row>
    <row r="4200" spans="1:9" s="47" customFormat="1" ht="14.4" x14ac:dyDescent="0.3">
      <c r="A4200"/>
      <c r="B4200"/>
      <c r="C4200"/>
      <c r="D4200"/>
      <c r="E4200"/>
      <c r="F4200"/>
      <c r="G4200"/>
      <c r="H4200"/>
      <c r="I4200"/>
    </row>
    <row r="4201" spans="1:9" s="47" customFormat="1" ht="14.4" x14ac:dyDescent="0.3">
      <c r="A4201"/>
      <c r="B4201"/>
      <c r="C4201"/>
      <c r="D4201"/>
      <c r="E4201"/>
      <c r="F4201"/>
      <c r="G4201"/>
      <c r="H4201"/>
      <c r="I4201"/>
    </row>
    <row r="4202" spans="1:9" s="47" customFormat="1" ht="14.4" x14ac:dyDescent="0.3">
      <c r="A4202"/>
      <c r="B4202"/>
      <c r="C4202"/>
      <c r="D4202"/>
      <c r="E4202"/>
      <c r="F4202"/>
      <c r="G4202"/>
      <c r="H4202"/>
      <c r="I4202"/>
    </row>
    <row r="4203" spans="1:9" s="47" customFormat="1" ht="14.4" x14ac:dyDescent="0.3">
      <c r="A4203"/>
      <c r="B4203"/>
      <c r="C4203"/>
      <c r="D4203"/>
      <c r="E4203"/>
      <c r="F4203"/>
      <c r="G4203"/>
      <c r="H4203"/>
      <c r="I4203"/>
    </row>
    <row r="4204" spans="1:9" s="47" customFormat="1" ht="14.4" x14ac:dyDescent="0.3">
      <c r="A4204"/>
      <c r="B4204"/>
      <c r="C4204"/>
      <c r="D4204"/>
      <c r="E4204"/>
      <c r="F4204"/>
      <c r="G4204"/>
      <c r="H4204"/>
      <c r="I4204"/>
    </row>
    <row r="4205" spans="1:9" s="47" customFormat="1" ht="14.4" x14ac:dyDescent="0.3">
      <c r="A4205"/>
      <c r="B4205"/>
      <c r="C4205"/>
      <c r="D4205"/>
      <c r="E4205"/>
      <c r="F4205"/>
      <c r="G4205"/>
      <c r="H4205"/>
      <c r="I4205"/>
    </row>
    <row r="4206" spans="1:9" s="47" customFormat="1" ht="14.4" x14ac:dyDescent="0.3">
      <c r="A4206"/>
      <c r="B4206"/>
      <c r="C4206"/>
      <c r="D4206"/>
      <c r="E4206"/>
      <c r="F4206"/>
      <c r="G4206"/>
      <c r="H4206"/>
      <c r="I4206"/>
    </row>
    <row r="4207" spans="1:9" s="47" customFormat="1" ht="14.4" x14ac:dyDescent="0.3">
      <c r="A4207"/>
      <c r="B4207"/>
      <c r="C4207"/>
      <c r="D4207"/>
      <c r="E4207"/>
      <c r="F4207"/>
      <c r="G4207"/>
      <c r="H4207"/>
      <c r="I4207"/>
    </row>
    <row r="4208" spans="1:9" s="47" customFormat="1" ht="14.4" x14ac:dyDescent="0.3">
      <c r="A4208"/>
      <c r="B4208"/>
      <c r="C4208"/>
      <c r="D4208"/>
      <c r="E4208"/>
      <c r="F4208"/>
      <c r="G4208"/>
      <c r="H4208"/>
      <c r="I4208"/>
    </row>
    <row r="4209" spans="1:9" s="47" customFormat="1" ht="14.4" x14ac:dyDescent="0.3">
      <c r="A4209"/>
      <c r="B4209"/>
      <c r="C4209"/>
      <c r="D4209"/>
      <c r="E4209"/>
      <c r="F4209"/>
      <c r="G4209"/>
      <c r="H4209"/>
      <c r="I4209"/>
    </row>
    <row r="4210" spans="1:9" s="47" customFormat="1" ht="14.4" x14ac:dyDescent="0.3">
      <c r="A4210"/>
      <c r="B4210"/>
      <c r="C4210"/>
      <c r="D4210"/>
      <c r="E4210"/>
      <c r="F4210"/>
      <c r="G4210"/>
      <c r="H4210"/>
      <c r="I4210"/>
    </row>
    <row r="4211" spans="1:9" s="47" customFormat="1" ht="14.4" x14ac:dyDescent="0.3">
      <c r="A4211"/>
      <c r="B4211"/>
      <c r="C4211"/>
      <c r="D4211"/>
      <c r="E4211"/>
      <c r="F4211"/>
      <c r="G4211"/>
      <c r="H4211"/>
      <c r="I4211"/>
    </row>
    <row r="4212" spans="1:9" s="47" customFormat="1" ht="14.4" x14ac:dyDescent="0.3">
      <c r="A4212"/>
      <c r="B4212"/>
      <c r="C4212"/>
      <c r="D4212"/>
      <c r="E4212"/>
      <c r="F4212"/>
      <c r="G4212"/>
      <c r="H4212"/>
      <c r="I4212"/>
    </row>
    <row r="4213" spans="1:9" s="47" customFormat="1" ht="14.4" x14ac:dyDescent="0.3">
      <c r="A4213"/>
      <c r="B4213"/>
      <c r="C4213"/>
      <c r="D4213"/>
      <c r="E4213"/>
      <c r="F4213"/>
      <c r="G4213"/>
      <c r="H4213"/>
      <c r="I4213"/>
    </row>
    <row r="4214" spans="1:9" s="47" customFormat="1" ht="14.4" x14ac:dyDescent="0.3">
      <c r="A4214"/>
      <c r="B4214"/>
      <c r="C4214"/>
      <c r="D4214"/>
      <c r="E4214"/>
      <c r="F4214"/>
      <c r="G4214"/>
      <c r="H4214"/>
      <c r="I4214"/>
    </row>
    <row r="4215" spans="1:9" s="47" customFormat="1" ht="14.4" x14ac:dyDescent="0.3">
      <c r="A4215"/>
      <c r="B4215"/>
      <c r="C4215"/>
      <c r="D4215"/>
      <c r="E4215"/>
      <c r="F4215"/>
      <c r="G4215"/>
      <c r="H4215"/>
      <c r="I4215"/>
    </row>
    <row r="4216" spans="1:9" s="47" customFormat="1" ht="14.4" x14ac:dyDescent="0.3">
      <c r="A4216"/>
      <c r="B4216"/>
      <c r="C4216"/>
      <c r="D4216"/>
      <c r="E4216"/>
      <c r="F4216"/>
      <c r="G4216"/>
      <c r="H4216"/>
      <c r="I4216"/>
    </row>
    <row r="4217" spans="1:9" s="47" customFormat="1" ht="14.4" x14ac:dyDescent="0.3">
      <c r="A4217"/>
      <c r="B4217"/>
      <c r="C4217"/>
      <c r="D4217"/>
      <c r="E4217"/>
      <c r="F4217"/>
      <c r="G4217"/>
      <c r="H4217"/>
      <c r="I4217"/>
    </row>
    <row r="4218" spans="1:9" s="47" customFormat="1" ht="14.4" x14ac:dyDescent="0.3">
      <c r="A4218"/>
      <c r="B4218"/>
      <c r="C4218"/>
      <c r="D4218"/>
      <c r="E4218"/>
      <c r="F4218"/>
      <c r="G4218"/>
      <c r="H4218"/>
      <c r="I4218"/>
    </row>
    <row r="4219" spans="1:9" s="47" customFormat="1" ht="14.4" x14ac:dyDescent="0.3">
      <c r="A4219"/>
      <c r="B4219"/>
      <c r="C4219"/>
      <c r="D4219"/>
      <c r="E4219"/>
      <c r="F4219"/>
      <c r="G4219"/>
      <c r="H4219"/>
      <c r="I4219"/>
    </row>
    <row r="4220" spans="1:9" s="47" customFormat="1" ht="14.4" x14ac:dyDescent="0.3">
      <c r="A4220"/>
      <c r="B4220"/>
      <c r="C4220"/>
      <c r="D4220"/>
      <c r="E4220"/>
      <c r="F4220"/>
      <c r="G4220"/>
      <c r="H4220"/>
      <c r="I4220"/>
    </row>
    <row r="4221" spans="1:9" s="47" customFormat="1" ht="14.4" x14ac:dyDescent="0.3">
      <c r="A4221"/>
      <c r="B4221"/>
      <c r="C4221"/>
      <c r="D4221"/>
      <c r="E4221"/>
      <c r="F4221"/>
      <c r="G4221"/>
      <c r="H4221"/>
      <c r="I4221"/>
    </row>
    <row r="4222" spans="1:9" s="47" customFormat="1" ht="14.4" x14ac:dyDescent="0.3">
      <c r="A4222"/>
      <c r="B4222"/>
      <c r="C4222"/>
      <c r="D4222"/>
      <c r="E4222"/>
      <c r="F4222"/>
      <c r="G4222"/>
      <c r="H4222"/>
      <c r="I4222"/>
    </row>
    <row r="4223" spans="1:9" s="47" customFormat="1" ht="14.4" x14ac:dyDescent="0.3">
      <c r="A4223"/>
      <c r="B4223"/>
      <c r="C4223"/>
      <c r="D4223"/>
      <c r="E4223"/>
      <c r="F4223"/>
      <c r="G4223"/>
      <c r="H4223"/>
      <c r="I4223"/>
    </row>
    <row r="4224" spans="1:9" s="47" customFormat="1" ht="14.4" x14ac:dyDescent="0.3">
      <c r="A4224"/>
      <c r="B4224"/>
      <c r="C4224"/>
      <c r="D4224"/>
      <c r="E4224"/>
      <c r="F4224"/>
      <c r="G4224"/>
      <c r="H4224"/>
      <c r="I4224"/>
    </row>
    <row r="4225" spans="1:9" s="47" customFormat="1" ht="14.4" x14ac:dyDescent="0.3">
      <c r="A4225"/>
      <c r="B4225"/>
      <c r="C4225"/>
      <c r="D4225"/>
      <c r="E4225"/>
      <c r="F4225"/>
      <c r="G4225"/>
      <c r="H4225"/>
      <c r="I4225"/>
    </row>
    <row r="4226" spans="1:9" s="47" customFormat="1" ht="14.4" x14ac:dyDescent="0.3">
      <c r="A4226"/>
      <c r="B4226"/>
      <c r="C4226"/>
      <c r="D4226"/>
      <c r="E4226"/>
      <c r="F4226"/>
      <c r="G4226"/>
      <c r="H4226"/>
      <c r="I4226"/>
    </row>
    <row r="4227" spans="1:9" s="47" customFormat="1" ht="14.4" x14ac:dyDescent="0.3">
      <c r="A4227"/>
      <c r="B4227"/>
      <c r="C4227"/>
      <c r="D4227"/>
      <c r="E4227"/>
      <c r="F4227"/>
      <c r="G4227"/>
      <c r="H4227"/>
      <c r="I4227"/>
    </row>
    <row r="4228" spans="1:9" s="47" customFormat="1" ht="14.4" x14ac:dyDescent="0.3">
      <c r="A4228"/>
      <c r="B4228"/>
      <c r="C4228"/>
      <c r="D4228"/>
      <c r="E4228"/>
      <c r="F4228"/>
      <c r="G4228"/>
      <c r="H4228"/>
      <c r="I4228"/>
    </row>
    <row r="4229" spans="1:9" s="47" customFormat="1" ht="14.4" x14ac:dyDescent="0.3">
      <c r="A4229"/>
      <c r="B4229"/>
      <c r="C4229"/>
      <c r="D4229"/>
      <c r="E4229"/>
      <c r="F4229"/>
      <c r="G4229"/>
      <c r="H4229"/>
      <c r="I4229"/>
    </row>
    <row r="4230" spans="1:9" s="47" customFormat="1" ht="14.4" x14ac:dyDescent="0.3">
      <c r="A4230"/>
      <c r="B4230"/>
      <c r="C4230"/>
      <c r="D4230"/>
      <c r="E4230"/>
      <c r="F4230"/>
      <c r="G4230"/>
      <c r="H4230"/>
      <c r="I4230"/>
    </row>
    <row r="4231" spans="1:9" s="47" customFormat="1" ht="14.4" x14ac:dyDescent="0.3">
      <c r="A4231"/>
      <c r="B4231"/>
      <c r="C4231"/>
      <c r="D4231"/>
      <c r="E4231"/>
      <c r="F4231"/>
      <c r="G4231"/>
      <c r="H4231"/>
      <c r="I4231"/>
    </row>
    <row r="4232" spans="1:9" s="47" customFormat="1" ht="14.4" x14ac:dyDescent="0.3">
      <c r="A4232"/>
      <c r="B4232"/>
      <c r="C4232"/>
      <c r="D4232"/>
      <c r="E4232"/>
      <c r="F4232"/>
      <c r="G4232"/>
      <c r="H4232"/>
      <c r="I4232"/>
    </row>
    <row r="4233" spans="1:9" s="47" customFormat="1" ht="14.4" x14ac:dyDescent="0.3">
      <c r="A4233"/>
      <c r="B4233"/>
      <c r="C4233"/>
      <c r="D4233"/>
      <c r="E4233"/>
      <c r="F4233"/>
      <c r="G4233"/>
      <c r="H4233"/>
      <c r="I4233"/>
    </row>
    <row r="4234" spans="1:9" s="47" customFormat="1" ht="14.4" x14ac:dyDescent="0.3">
      <c r="A4234"/>
      <c r="B4234"/>
      <c r="C4234"/>
      <c r="D4234"/>
      <c r="E4234"/>
      <c r="F4234"/>
      <c r="G4234"/>
      <c r="H4234"/>
      <c r="I4234"/>
    </row>
    <row r="4235" spans="1:9" s="47" customFormat="1" ht="14.4" x14ac:dyDescent="0.3">
      <c r="A4235"/>
      <c r="B4235"/>
      <c r="C4235"/>
      <c r="D4235"/>
      <c r="E4235"/>
      <c r="F4235"/>
      <c r="G4235"/>
      <c r="H4235"/>
      <c r="I4235"/>
    </row>
    <row r="4236" spans="1:9" s="47" customFormat="1" ht="14.4" x14ac:dyDescent="0.3">
      <c r="A4236"/>
      <c r="B4236"/>
      <c r="C4236"/>
      <c r="D4236"/>
      <c r="E4236"/>
      <c r="F4236"/>
      <c r="G4236"/>
      <c r="H4236"/>
      <c r="I4236"/>
    </row>
    <row r="4237" spans="1:9" s="47" customFormat="1" ht="14.4" x14ac:dyDescent="0.3">
      <c r="A4237"/>
      <c r="B4237"/>
      <c r="C4237"/>
      <c r="D4237"/>
      <c r="E4237"/>
      <c r="F4237"/>
      <c r="G4237"/>
      <c r="H4237"/>
      <c r="I4237"/>
    </row>
    <row r="4238" spans="1:9" s="47" customFormat="1" ht="14.4" x14ac:dyDescent="0.3">
      <c r="A4238"/>
      <c r="B4238"/>
      <c r="C4238"/>
      <c r="D4238"/>
      <c r="E4238"/>
      <c r="F4238"/>
      <c r="G4238"/>
      <c r="H4238"/>
      <c r="I4238"/>
    </row>
    <row r="4239" spans="1:9" s="47" customFormat="1" ht="14.4" x14ac:dyDescent="0.3">
      <c r="A4239"/>
      <c r="B4239"/>
      <c r="C4239"/>
      <c r="D4239"/>
      <c r="E4239"/>
      <c r="F4239"/>
      <c r="G4239"/>
      <c r="H4239"/>
      <c r="I4239"/>
    </row>
    <row r="4240" spans="1:9" s="47" customFormat="1" ht="14.4" x14ac:dyDescent="0.3">
      <c r="A4240"/>
      <c r="B4240"/>
      <c r="C4240"/>
      <c r="D4240"/>
      <c r="E4240"/>
      <c r="F4240"/>
      <c r="G4240"/>
      <c r="H4240"/>
      <c r="I4240"/>
    </row>
    <row r="4241" spans="1:9" s="47" customFormat="1" ht="14.4" x14ac:dyDescent="0.3">
      <c r="A4241"/>
      <c r="B4241"/>
      <c r="C4241"/>
      <c r="D4241"/>
      <c r="E4241"/>
      <c r="F4241"/>
      <c r="G4241"/>
      <c r="H4241"/>
      <c r="I4241"/>
    </row>
    <row r="4242" spans="1:9" s="47" customFormat="1" ht="14.4" x14ac:dyDescent="0.3">
      <c r="A4242"/>
      <c r="B4242"/>
      <c r="C4242"/>
      <c r="D4242"/>
      <c r="E4242"/>
      <c r="F4242"/>
      <c r="G4242"/>
      <c r="H4242"/>
      <c r="I4242"/>
    </row>
    <row r="4243" spans="1:9" s="47" customFormat="1" ht="14.4" x14ac:dyDescent="0.3">
      <c r="A4243"/>
      <c r="B4243"/>
      <c r="C4243"/>
      <c r="D4243"/>
      <c r="E4243"/>
      <c r="F4243"/>
      <c r="G4243"/>
      <c r="H4243"/>
      <c r="I4243"/>
    </row>
    <row r="4244" spans="1:9" s="47" customFormat="1" ht="14.4" x14ac:dyDescent="0.3">
      <c r="A4244"/>
      <c r="B4244"/>
      <c r="C4244"/>
      <c r="D4244"/>
      <c r="E4244"/>
      <c r="F4244"/>
      <c r="G4244"/>
      <c r="H4244"/>
      <c r="I4244"/>
    </row>
    <row r="4245" spans="1:9" s="47" customFormat="1" ht="14.4" x14ac:dyDescent="0.3">
      <c r="A4245"/>
      <c r="B4245"/>
      <c r="C4245"/>
      <c r="D4245"/>
      <c r="E4245"/>
      <c r="F4245"/>
      <c r="G4245"/>
      <c r="H4245"/>
      <c r="I4245"/>
    </row>
    <row r="4246" spans="1:9" s="47" customFormat="1" ht="14.4" x14ac:dyDescent="0.3">
      <c r="A4246"/>
      <c r="B4246"/>
      <c r="C4246"/>
      <c r="D4246"/>
      <c r="E4246"/>
      <c r="F4246"/>
      <c r="G4246"/>
      <c r="H4246"/>
      <c r="I4246"/>
    </row>
    <row r="4247" spans="1:9" s="47" customFormat="1" ht="14.4" x14ac:dyDescent="0.3">
      <c r="A4247"/>
      <c r="B4247"/>
      <c r="C4247"/>
      <c r="D4247"/>
      <c r="E4247"/>
      <c r="F4247"/>
      <c r="G4247"/>
      <c r="H4247"/>
      <c r="I4247"/>
    </row>
    <row r="4248" spans="1:9" s="47" customFormat="1" ht="14.4" x14ac:dyDescent="0.3">
      <c r="A4248"/>
      <c r="B4248"/>
      <c r="C4248"/>
      <c r="D4248"/>
      <c r="E4248"/>
      <c r="F4248"/>
      <c r="G4248"/>
      <c r="H4248"/>
      <c r="I4248"/>
    </row>
    <row r="4249" spans="1:9" s="47" customFormat="1" ht="14.4" x14ac:dyDescent="0.3">
      <c r="A4249"/>
      <c r="B4249"/>
      <c r="C4249"/>
      <c r="D4249"/>
      <c r="E4249"/>
      <c r="F4249"/>
      <c r="G4249"/>
      <c r="H4249"/>
      <c r="I4249"/>
    </row>
    <row r="4250" spans="1:9" s="47" customFormat="1" ht="14.4" x14ac:dyDescent="0.3">
      <c r="A4250"/>
      <c r="B4250"/>
      <c r="C4250"/>
      <c r="D4250"/>
      <c r="E4250"/>
      <c r="F4250"/>
      <c r="G4250"/>
      <c r="H4250"/>
      <c r="I4250"/>
    </row>
    <row r="4251" spans="1:9" s="47" customFormat="1" ht="14.4" x14ac:dyDescent="0.3">
      <c r="A4251"/>
      <c r="B4251"/>
      <c r="C4251"/>
      <c r="D4251"/>
      <c r="E4251"/>
      <c r="F4251"/>
      <c r="G4251"/>
      <c r="H4251"/>
      <c r="I4251"/>
    </row>
    <row r="4252" spans="1:9" s="47" customFormat="1" ht="14.4" x14ac:dyDescent="0.3">
      <c r="A4252"/>
      <c r="B4252"/>
      <c r="C4252"/>
      <c r="D4252"/>
      <c r="E4252"/>
      <c r="F4252"/>
      <c r="G4252"/>
      <c r="H4252"/>
      <c r="I4252"/>
    </row>
    <row r="4253" spans="1:9" s="47" customFormat="1" ht="14.4" x14ac:dyDescent="0.3">
      <c r="A4253"/>
      <c r="B4253"/>
      <c r="C4253"/>
      <c r="D4253"/>
      <c r="E4253"/>
      <c r="F4253"/>
      <c r="G4253"/>
      <c r="H4253"/>
      <c r="I4253"/>
    </row>
    <row r="4254" spans="1:9" s="47" customFormat="1" ht="14.4" x14ac:dyDescent="0.3">
      <c r="A4254"/>
      <c r="B4254"/>
      <c r="C4254"/>
      <c r="D4254"/>
      <c r="E4254"/>
      <c r="F4254"/>
      <c r="G4254"/>
      <c r="H4254"/>
      <c r="I4254"/>
    </row>
    <row r="4255" spans="1:9" s="47" customFormat="1" ht="14.4" x14ac:dyDescent="0.3">
      <c r="A4255"/>
      <c r="B4255"/>
      <c r="C4255"/>
      <c r="D4255"/>
      <c r="E4255"/>
      <c r="F4255"/>
      <c r="G4255"/>
      <c r="H4255"/>
      <c r="I4255"/>
    </row>
    <row r="4256" spans="1:9" s="47" customFormat="1" ht="14.4" x14ac:dyDescent="0.3">
      <c r="A4256"/>
      <c r="B4256"/>
      <c r="C4256"/>
      <c r="D4256"/>
      <c r="E4256"/>
      <c r="F4256"/>
      <c r="G4256"/>
      <c r="H4256"/>
      <c r="I4256"/>
    </row>
    <row r="4257" spans="1:9" s="47" customFormat="1" ht="14.4" x14ac:dyDescent="0.3">
      <c r="A4257"/>
      <c r="B4257"/>
      <c r="C4257"/>
      <c r="D4257"/>
      <c r="E4257"/>
      <c r="F4257"/>
      <c r="G4257"/>
      <c r="H4257"/>
      <c r="I4257"/>
    </row>
    <row r="4258" spans="1:9" s="47" customFormat="1" ht="14.4" x14ac:dyDescent="0.3">
      <c r="A4258"/>
      <c r="B4258"/>
      <c r="C4258"/>
      <c r="D4258"/>
      <c r="E4258"/>
      <c r="F4258"/>
      <c r="G4258"/>
      <c r="H4258"/>
      <c r="I4258"/>
    </row>
    <row r="4259" spans="1:9" s="47" customFormat="1" ht="14.4" x14ac:dyDescent="0.3">
      <c r="A4259"/>
      <c r="B4259"/>
      <c r="C4259"/>
      <c r="D4259"/>
      <c r="E4259"/>
      <c r="F4259"/>
      <c r="G4259"/>
      <c r="H4259"/>
      <c r="I4259"/>
    </row>
    <row r="4260" spans="1:9" s="47" customFormat="1" ht="14.4" x14ac:dyDescent="0.3">
      <c r="A4260"/>
      <c r="B4260"/>
      <c r="C4260"/>
      <c r="D4260"/>
      <c r="E4260"/>
      <c r="F4260"/>
      <c r="G4260"/>
      <c r="H4260"/>
      <c r="I4260"/>
    </row>
    <row r="4261" spans="1:9" s="47" customFormat="1" ht="14.4" x14ac:dyDescent="0.3">
      <c r="A4261"/>
      <c r="B4261"/>
      <c r="C4261"/>
      <c r="D4261"/>
      <c r="E4261"/>
      <c r="F4261"/>
      <c r="G4261"/>
      <c r="H4261"/>
      <c r="I4261"/>
    </row>
    <row r="4262" spans="1:9" s="47" customFormat="1" ht="14.4" x14ac:dyDescent="0.3">
      <c r="A4262"/>
      <c r="B4262"/>
      <c r="C4262"/>
      <c r="D4262"/>
      <c r="E4262"/>
      <c r="F4262"/>
      <c r="G4262"/>
      <c r="H4262"/>
      <c r="I4262"/>
    </row>
    <row r="4263" spans="1:9" s="47" customFormat="1" ht="14.4" x14ac:dyDescent="0.3">
      <c r="A4263"/>
      <c r="B4263"/>
      <c r="C4263"/>
      <c r="D4263"/>
      <c r="E4263"/>
      <c r="F4263"/>
      <c r="G4263"/>
      <c r="H4263"/>
      <c r="I4263"/>
    </row>
    <row r="4264" spans="1:9" s="47" customFormat="1" ht="14.4" x14ac:dyDescent="0.3">
      <c r="A4264"/>
      <c r="B4264"/>
      <c r="C4264"/>
      <c r="D4264"/>
      <c r="E4264"/>
      <c r="F4264"/>
      <c r="G4264"/>
      <c r="H4264"/>
      <c r="I4264"/>
    </row>
    <row r="4265" spans="1:9" s="47" customFormat="1" ht="14.4" x14ac:dyDescent="0.3">
      <c r="A4265"/>
      <c r="B4265"/>
      <c r="C4265"/>
      <c r="D4265"/>
      <c r="E4265"/>
      <c r="F4265"/>
      <c r="G4265"/>
      <c r="H4265"/>
      <c r="I4265"/>
    </row>
    <row r="4266" spans="1:9" s="47" customFormat="1" ht="14.4" x14ac:dyDescent="0.3">
      <c r="A4266"/>
      <c r="B4266"/>
      <c r="C4266"/>
      <c r="D4266"/>
      <c r="E4266"/>
      <c r="F4266"/>
      <c r="G4266"/>
      <c r="H4266"/>
      <c r="I4266"/>
    </row>
    <row r="4267" spans="1:9" s="47" customFormat="1" ht="14.4" x14ac:dyDescent="0.3">
      <c r="A4267"/>
      <c r="B4267"/>
      <c r="C4267"/>
      <c r="D4267"/>
      <c r="E4267"/>
      <c r="F4267"/>
      <c r="G4267"/>
      <c r="H4267"/>
      <c r="I4267"/>
    </row>
    <row r="4268" spans="1:9" s="47" customFormat="1" ht="14.4" x14ac:dyDescent="0.3">
      <c r="A4268"/>
      <c r="B4268"/>
      <c r="C4268"/>
      <c r="D4268"/>
      <c r="E4268"/>
      <c r="F4268"/>
      <c r="G4268"/>
      <c r="H4268"/>
      <c r="I4268"/>
    </row>
    <row r="4269" spans="1:9" s="47" customFormat="1" ht="14.4" x14ac:dyDescent="0.3">
      <c r="A4269"/>
      <c r="B4269"/>
      <c r="C4269"/>
      <c r="D4269"/>
      <c r="E4269"/>
      <c r="F4269"/>
      <c r="G4269"/>
      <c r="H4269"/>
      <c r="I4269"/>
    </row>
    <row r="4270" spans="1:9" s="47" customFormat="1" ht="14.4" x14ac:dyDescent="0.3">
      <c r="A4270"/>
      <c r="B4270"/>
      <c r="C4270"/>
      <c r="D4270"/>
      <c r="E4270"/>
      <c r="F4270"/>
      <c r="G4270"/>
      <c r="H4270"/>
      <c r="I4270"/>
    </row>
    <row r="4271" spans="1:9" s="47" customFormat="1" ht="14.4" x14ac:dyDescent="0.3">
      <c r="A4271"/>
      <c r="B4271"/>
      <c r="C4271"/>
      <c r="D4271"/>
      <c r="E4271"/>
      <c r="F4271"/>
      <c r="G4271"/>
      <c r="H4271"/>
      <c r="I4271"/>
    </row>
    <row r="4272" spans="1:9" s="47" customFormat="1" ht="14.4" x14ac:dyDescent="0.3">
      <c r="A4272"/>
      <c r="B4272"/>
      <c r="C4272"/>
      <c r="D4272"/>
      <c r="E4272"/>
      <c r="F4272"/>
      <c r="G4272"/>
      <c r="H4272"/>
      <c r="I4272"/>
    </row>
    <row r="4273" spans="1:9" s="47" customFormat="1" ht="14.4" x14ac:dyDescent="0.3">
      <c r="A4273"/>
      <c r="B4273"/>
      <c r="C4273"/>
      <c r="D4273"/>
      <c r="E4273"/>
      <c r="F4273"/>
      <c r="G4273"/>
      <c r="H4273"/>
      <c r="I4273"/>
    </row>
    <row r="4274" spans="1:9" s="47" customFormat="1" ht="14.4" x14ac:dyDescent="0.3">
      <c r="A4274"/>
      <c r="B4274"/>
      <c r="C4274"/>
      <c r="D4274"/>
      <c r="E4274"/>
      <c r="F4274"/>
      <c r="G4274"/>
      <c r="H4274"/>
      <c r="I4274"/>
    </row>
    <row r="4275" spans="1:9" s="47" customFormat="1" ht="14.4" x14ac:dyDescent="0.3">
      <c r="A4275"/>
      <c r="B4275"/>
      <c r="C4275"/>
      <c r="D4275"/>
      <c r="E4275"/>
      <c r="F4275"/>
      <c r="G4275"/>
      <c r="H4275"/>
      <c r="I4275"/>
    </row>
    <row r="4276" spans="1:9" s="47" customFormat="1" ht="14.4" x14ac:dyDescent="0.3">
      <c r="A4276"/>
      <c r="B4276"/>
      <c r="C4276"/>
      <c r="D4276"/>
      <c r="E4276"/>
      <c r="F4276"/>
      <c r="G4276"/>
      <c r="H4276"/>
      <c r="I4276"/>
    </row>
    <row r="4277" spans="1:9" s="47" customFormat="1" ht="14.4" x14ac:dyDescent="0.3">
      <c r="A4277"/>
      <c r="B4277"/>
      <c r="C4277"/>
      <c r="D4277"/>
      <c r="E4277"/>
      <c r="F4277"/>
      <c r="G4277"/>
      <c r="H4277"/>
      <c r="I4277"/>
    </row>
    <row r="4278" spans="1:9" s="47" customFormat="1" ht="14.4" x14ac:dyDescent="0.3">
      <c r="A4278"/>
      <c r="B4278"/>
      <c r="C4278"/>
      <c r="D4278"/>
      <c r="E4278"/>
      <c r="F4278"/>
      <c r="G4278"/>
      <c r="H4278"/>
      <c r="I4278"/>
    </row>
    <row r="4279" spans="1:9" s="47" customFormat="1" ht="14.4" x14ac:dyDescent="0.3">
      <c r="A4279"/>
      <c r="B4279"/>
      <c r="C4279"/>
      <c r="D4279"/>
      <c r="E4279"/>
      <c r="F4279"/>
      <c r="G4279"/>
      <c r="H4279"/>
      <c r="I4279"/>
    </row>
    <row r="4280" spans="1:9" s="47" customFormat="1" ht="14.4" x14ac:dyDescent="0.3">
      <c r="A4280"/>
      <c r="B4280"/>
      <c r="C4280"/>
      <c r="D4280"/>
      <c r="E4280"/>
      <c r="F4280"/>
      <c r="G4280"/>
      <c r="H4280"/>
      <c r="I4280"/>
    </row>
    <row r="4281" spans="1:9" s="47" customFormat="1" ht="14.4" x14ac:dyDescent="0.3">
      <c r="A4281"/>
      <c r="B4281"/>
      <c r="C4281"/>
      <c r="D4281"/>
      <c r="E4281"/>
      <c r="F4281"/>
      <c r="G4281"/>
      <c r="H4281"/>
      <c r="I4281"/>
    </row>
    <row r="4282" spans="1:9" s="47" customFormat="1" ht="14.4" x14ac:dyDescent="0.3">
      <c r="A4282"/>
      <c r="B4282"/>
      <c r="C4282"/>
      <c r="D4282"/>
      <c r="E4282"/>
      <c r="F4282"/>
      <c r="G4282"/>
      <c r="H4282"/>
      <c r="I4282"/>
    </row>
    <row r="4283" spans="1:9" s="47" customFormat="1" ht="14.4" x14ac:dyDescent="0.3">
      <c r="A4283"/>
      <c r="B4283"/>
      <c r="C4283"/>
      <c r="D4283"/>
      <c r="E4283"/>
      <c r="F4283"/>
      <c r="G4283"/>
      <c r="H4283"/>
      <c r="I4283"/>
    </row>
    <row r="4284" spans="1:9" s="47" customFormat="1" ht="14.4" x14ac:dyDescent="0.3">
      <c r="A4284"/>
      <c r="B4284"/>
      <c r="C4284"/>
      <c r="D4284"/>
      <c r="E4284"/>
      <c r="F4284"/>
      <c r="G4284"/>
      <c r="H4284"/>
      <c r="I4284"/>
    </row>
    <row r="4285" spans="1:9" s="47" customFormat="1" ht="14.4" x14ac:dyDescent="0.3">
      <c r="A4285"/>
      <c r="B4285"/>
      <c r="C4285"/>
      <c r="D4285"/>
      <c r="E4285"/>
      <c r="F4285"/>
      <c r="G4285"/>
      <c r="H4285"/>
      <c r="I4285"/>
    </row>
    <row r="4286" spans="1:9" s="47" customFormat="1" ht="14.4" x14ac:dyDescent="0.3">
      <c r="A4286"/>
      <c r="B4286"/>
      <c r="C4286"/>
      <c r="D4286"/>
      <c r="E4286"/>
      <c r="F4286"/>
      <c r="G4286"/>
      <c r="H4286"/>
      <c r="I4286"/>
    </row>
    <row r="4287" spans="1:9" s="47" customFormat="1" ht="14.4" x14ac:dyDescent="0.3">
      <c r="A4287"/>
      <c r="B4287"/>
      <c r="C4287"/>
      <c r="D4287"/>
      <c r="E4287"/>
      <c r="F4287"/>
      <c r="G4287"/>
      <c r="H4287"/>
      <c r="I4287"/>
    </row>
    <row r="4288" spans="1:9" s="47" customFormat="1" ht="14.4" x14ac:dyDescent="0.3">
      <c r="A4288"/>
      <c r="B4288"/>
      <c r="C4288"/>
      <c r="D4288"/>
      <c r="E4288"/>
      <c r="F4288"/>
      <c r="G4288"/>
      <c r="H4288"/>
      <c r="I4288"/>
    </row>
    <row r="4289" spans="1:9" s="47" customFormat="1" ht="14.4" x14ac:dyDescent="0.3">
      <c r="A4289"/>
      <c r="B4289"/>
      <c r="C4289"/>
      <c r="D4289"/>
      <c r="E4289"/>
      <c r="F4289"/>
      <c r="G4289"/>
      <c r="H4289"/>
      <c r="I4289"/>
    </row>
    <row r="4290" spans="1:9" s="47" customFormat="1" ht="14.4" x14ac:dyDescent="0.3">
      <c r="A4290"/>
      <c r="B4290"/>
      <c r="C4290"/>
      <c r="D4290"/>
      <c r="E4290"/>
      <c r="F4290"/>
      <c r="G4290"/>
      <c r="H4290"/>
      <c r="I4290"/>
    </row>
    <row r="4291" spans="1:9" s="47" customFormat="1" ht="14.4" x14ac:dyDescent="0.3">
      <c r="A4291"/>
      <c r="B4291"/>
      <c r="C4291"/>
      <c r="D4291"/>
      <c r="E4291"/>
      <c r="F4291"/>
      <c r="G4291"/>
      <c r="H4291"/>
      <c r="I4291"/>
    </row>
    <row r="4292" spans="1:9" s="47" customFormat="1" ht="14.4" x14ac:dyDescent="0.3">
      <c r="A4292"/>
      <c r="B4292"/>
      <c r="C4292"/>
      <c r="D4292"/>
      <c r="E4292"/>
      <c r="F4292"/>
      <c r="G4292"/>
      <c r="H4292"/>
      <c r="I4292"/>
    </row>
    <row r="4293" spans="1:9" s="47" customFormat="1" ht="14.4" x14ac:dyDescent="0.3">
      <c r="A4293"/>
      <c r="B4293"/>
      <c r="C4293"/>
      <c r="D4293"/>
      <c r="E4293"/>
      <c r="F4293"/>
      <c r="G4293"/>
      <c r="H4293"/>
      <c r="I4293"/>
    </row>
    <row r="4294" spans="1:9" s="47" customFormat="1" ht="14.4" x14ac:dyDescent="0.3">
      <c r="A4294"/>
      <c r="B4294"/>
      <c r="C4294"/>
      <c r="D4294"/>
      <c r="E4294"/>
      <c r="F4294"/>
      <c r="G4294"/>
      <c r="H4294"/>
      <c r="I4294"/>
    </row>
    <row r="4295" spans="1:9" s="47" customFormat="1" ht="14.4" x14ac:dyDescent="0.3">
      <c r="A4295"/>
      <c r="B4295"/>
      <c r="C4295"/>
      <c r="D4295"/>
      <c r="E4295"/>
      <c r="F4295"/>
      <c r="G4295"/>
      <c r="H4295"/>
      <c r="I4295"/>
    </row>
    <row r="4296" spans="1:9" s="47" customFormat="1" ht="14.4" x14ac:dyDescent="0.3">
      <c r="A4296"/>
      <c r="B4296"/>
      <c r="C4296"/>
      <c r="D4296"/>
      <c r="E4296"/>
      <c r="F4296"/>
      <c r="G4296"/>
      <c r="H4296"/>
      <c r="I4296"/>
    </row>
    <row r="4297" spans="1:9" s="47" customFormat="1" ht="14.4" x14ac:dyDescent="0.3">
      <c r="A4297"/>
      <c r="B4297"/>
      <c r="C4297"/>
      <c r="D4297"/>
      <c r="E4297"/>
      <c r="F4297"/>
      <c r="G4297"/>
      <c r="H4297"/>
      <c r="I4297"/>
    </row>
    <row r="4298" spans="1:9" s="47" customFormat="1" ht="14.4" x14ac:dyDescent="0.3">
      <c r="A4298"/>
      <c r="B4298"/>
      <c r="C4298"/>
      <c r="D4298"/>
      <c r="E4298"/>
      <c r="F4298"/>
      <c r="G4298"/>
      <c r="H4298"/>
      <c r="I4298"/>
    </row>
    <row r="4299" spans="1:9" s="47" customFormat="1" ht="14.4" x14ac:dyDescent="0.3">
      <c r="A4299"/>
      <c r="B4299"/>
      <c r="C4299"/>
      <c r="D4299"/>
      <c r="E4299"/>
      <c r="F4299"/>
      <c r="G4299"/>
      <c r="H4299"/>
      <c r="I4299"/>
    </row>
    <row r="4300" spans="1:9" s="47" customFormat="1" ht="14.4" x14ac:dyDescent="0.3">
      <c r="A4300"/>
      <c r="B4300"/>
      <c r="C4300"/>
      <c r="D4300"/>
      <c r="E4300"/>
      <c r="F4300"/>
      <c r="G4300"/>
      <c r="H4300"/>
      <c r="I4300"/>
    </row>
    <row r="4301" spans="1:9" s="47" customFormat="1" ht="14.4" x14ac:dyDescent="0.3">
      <c r="A4301"/>
      <c r="B4301"/>
      <c r="C4301"/>
      <c r="D4301"/>
      <c r="E4301"/>
      <c r="F4301"/>
      <c r="G4301"/>
      <c r="H4301"/>
      <c r="I4301"/>
    </row>
    <row r="4302" spans="1:9" s="47" customFormat="1" ht="14.4" x14ac:dyDescent="0.3">
      <c r="A4302"/>
      <c r="B4302"/>
      <c r="C4302"/>
      <c r="D4302"/>
      <c r="E4302"/>
      <c r="F4302"/>
      <c r="G4302"/>
      <c r="H4302"/>
      <c r="I4302"/>
    </row>
    <row r="4303" spans="1:9" s="47" customFormat="1" ht="14.4" x14ac:dyDescent="0.3">
      <c r="A4303"/>
      <c r="B4303"/>
      <c r="C4303"/>
      <c r="D4303"/>
      <c r="E4303"/>
      <c r="F4303"/>
      <c r="G4303"/>
      <c r="H4303"/>
      <c r="I4303"/>
    </row>
    <row r="4304" spans="1:9" s="47" customFormat="1" ht="14.4" x14ac:dyDescent="0.3">
      <c r="A4304"/>
      <c r="B4304"/>
      <c r="C4304"/>
      <c r="D4304"/>
      <c r="E4304"/>
      <c r="F4304"/>
      <c r="G4304"/>
      <c r="H4304"/>
      <c r="I4304"/>
    </row>
    <row r="4305" spans="1:9" s="47" customFormat="1" ht="14.4" x14ac:dyDescent="0.3">
      <c r="A4305"/>
      <c r="B4305"/>
      <c r="C4305"/>
      <c r="D4305"/>
      <c r="E4305"/>
      <c r="F4305"/>
      <c r="G4305"/>
      <c r="H4305"/>
      <c r="I4305"/>
    </row>
    <row r="4306" spans="1:9" s="47" customFormat="1" ht="14.4" x14ac:dyDescent="0.3">
      <c r="A4306"/>
      <c r="B4306"/>
      <c r="C4306"/>
      <c r="D4306"/>
      <c r="E4306"/>
      <c r="F4306"/>
      <c r="G4306"/>
      <c r="H4306"/>
      <c r="I4306"/>
    </row>
    <row r="4307" spans="1:9" s="47" customFormat="1" ht="14.4" x14ac:dyDescent="0.3">
      <c r="A4307"/>
      <c r="B4307"/>
      <c r="C4307"/>
      <c r="D4307"/>
      <c r="E4307"/>
      <c r="F4307"/>
      <c r="G4307"/>
      <c r="H4307"/>
      <c r="I4307"/>
    </row>
    <row r="4308" spans="1:9" s="47" customFormat="1" ht="14.4" x14ac:dyDescent="0.3">
      <c r="A4308"/>
      <c r="B4308"/>
      <c r="C4308"/>
      <c r="D4308"/>
      <c r="E4308"/>
      <c r="F4308"/>
      <c r="G4308"/>
      <c r="H4308"/>
      <c r="I4308"/>
    </row>
    <row r="4309" spans="1:9" s="47" customFormat="1" ht="14.4" x14ac:dyDescent="0.3">
      <c r="A4309"/>
      <c r="B4309"/>
      <c r="C4309"/>
      <c r="D4309"/>
      <c r="E4309"/>
      <c r="F4309"/>
      <c r="G4309"/>
      <c r="H4309"/>
      <c r="I4309"/>
    </row>
    <row r="4310" spans="1:9" s="47" customFormat="1" ht="14.4" x14ac:dyDescent="0.3">
      <c r="A4310"/>
      <c r="B4310"/>
      <c r="C4310"/>
      <c r="D4310"/>
      <c r="E4310"/>
      <c r="F4310"/>
      <c r="G4310"/>
      <c r="H4310"/>
      <c r="I4310"/>
    </row>
    <row r="4311" spans="1:9" s="47" customFormat="1" ht="14.4" x14ac:dyDescent="0.3">
      <c r="A4311"/>
      <c r="B4311"/>
      <c r="C4311"/>
      <c r="D4311"/>
      <c r="E4311"/>
      <c r="F4311"/>
      <c r="G4311"/>
      <c r="H4311"/>
      <c r="I4311"/>
    </row>
    <row r="4312" spans="1:9" s="47" customFormat="1" ht="14.4" x14ac:dyDescent="0.3">
      <c r="A4312"/>
      <c r="B4312"/>
      <c r="C4312"/>
      <c r="D4312"/>
      <c r="E4312"/>
      <c r="F4312"/>
      <c r="G4312"/>
      <c r="H4312"/>
      <c r="I4312"/>
    </row>
    <row r="4313" spans="1:9" s="47" customFormat="1" ht="14.4" x14ac:dyDescent="0.3">
      <c r="A4313"/>
      <c r="B4313"/>
      <c r="C4313"/>
      <c r="D4313"/>
      <c r="E4313"/>
      <c r="F4313"/>
      <c r="G4313"/>
      <c r="H4313"/>
      <c r="I4313"/>
    </row>
    <row r="4314" spans="1:9" s="47" customFormat="1" ht="14.4" x14ac:dyDescent="0.3">
      <c r="A4314"/>
      <c r="B4314"/>
      <c r="C4314"/>
      <c r="D4314"/>
      <c r="E4314"/>
      <c r="F4314"/>
      <c r="G4314"/>
      <c r="H4314"/>
      <c r="I4314"/>
    </row>
    <row r="4315" spans="1:9" s="47" customFormat="1" ht="14.4" x14ac:dyDescent="0.3">
      <c r="A4315"/>
      <c r="B4315"/>
      <c r="C4315"/>
      <c r="D4315"/>
      <c r="E4315"/>
      <c r="F4315"/>
      <c r="G4315"/>
      <c r="H4315"/>
      <c r="I4315"/>
    </row>
    <row r="4316" spans="1:9" s="47" customFormat="1" ht="14.4" x14ac:dyDescent="0.3">
      <c r="A4316"/>
      <c r="B4316"/>
      <c r="C4316"/>
      <c r="D4316"/>
      <c r="E4316"/>
      <c r="F4316"/>
      <c r="G4316"/>
      <c r="H4316"/>
      <c r="I4316"/>
    </row>
    <row r="4317" spans="1:9" s="47" customFormat="1" ht="14.4" x14ac:dyDescent="0.3">
      <c r="A4317"/>
      <c r="B4317"/>
      <c r="C4317"/>
      <c r="D4317"/>
      <c r="E4317"/>
      <c r="F4317"/>
      <c r="G4317"/>
      <c r="H4317"/>
      <c r="I4317"/>
    </row>
    <row r="4318" spans="1:9" s="47" customFormat="1" ht="14.4" x14ac:dyDescent="0.3">
      <c r="A4318"/>
      <c r="B4318"/>
      <c r="C4318"/>
      <c r="D4318"/>
      <c r="E4318"/>
      <c r="F4318"/>
      <c r="G4318"/>
      <c r="H4318"/>
      <c r="I4318"/>
    </row>
    <row r="4319" spans="1:9" s="47" customFormat="1" ht="14.4" x14ac:dyDescent="0.3">
      <c r="A4319"/>
      <c r="B4319"/>
      <c r="C4319"/>
      <c r="D4319"/>
      <c r="E4319"/>
      <c r="F4319"/>
      <c r="G4319"/>
      <c r="H4319"/>
      <c r="I4319"/>
    </row>
    <row r="4320" spans="1:9" s="47" customFormat="1" ht="14.4" x14ac:dyDescent="0.3">
      <c r="A4320"/>
      <c r="B4320"/>
      <c r="C4320"/>
      <c r="D4320"/>
      <c r="E4320"/>
      <c r="F4320"/>
      <c r="G4320"/>
      <c r="H4320"/>
      <c r="I4320"/>
    </row>
    <row r="4321" spans="1:9" s="47" customFormat="1" ht="14.4" x14ac:dyDescent="0.3">
      <c r="A4321"/>
      <c r="B4321"/>
      <c r="C4321"/>
      <c r="D4321"/>
      <c r="E4321"/>
      <c r="F4321"/>
      <c r="G4321"/>
      <c r="H4321"/>
      <c r="I4321"/>
    </row>
    <row r="4322" spans="1:9" s="47" customFormat="1" ht="14.4" x14ac:dyDescent="0.3">
      <c r="A4322"/>
      <c r="B4322"/>
      <c r="C4322"/>
      <c r="D4322"/>
      <c r="E4322"/>
      <c r="F4322"/>
      <c r="G4322"/>
      <c r="H4322"/>
      <c r="I4322"/>
    </row>
    <row r="4323" spans="1:9" s="47" customFormat="1" ht="14.4" x14ac:dyDescent="0.3">
      <c r="A4323"/>
      <c r="B4323"/>
      <c r="C4323"/>
      <c r="D4323"/>
      <c r="E4323"/>
      <c r="F4323"/>
      <c r="G4323"/>
      <c r="H4323"/>
      <c r="I4323"/>
    </row>
    <row r="4324" spans="1:9" s="47" customFormat="1" ht="14.4" x14ac:dyDescent="0.3">
      <c r="A4324"/>
      <c r="B4324"/>
      <c r="C4324"/>
      <c r="D4324"/>
      <c r="E4324"/>
      <c r="F4324"/>
      <c r="G4324"/>
      <c r="H4324"/>
      <c r="I4324"/>
    </row>
    <row r="4325" spans="1:9" s="47" customFormat="1" ht="14.4" x14ac:dyDescent="0.3">
      <c r="A4325"/>
      <c r="B4325"/>
      <c r="C4325"/>
      <c r="D4325"/>
      <c r="E4325"/>
      <c r="F4325"/>
      <c r="G4325"/>
      <c r="H4325"/>
      <c r="I4325"/>
    </row>
    <row r="4326" spans="1:9" s="47" customFormat="1" ht="14.4" x14ac:dyDescent="0.3">
      <c r="A4326"/>
      <c r="B4326"/>
      <c r="C4326"/>
      <c r="D4326"/>
      <c r="E4326"/>
      <c r="F4326"/>
      <c r="G4326"/>
      <c r="H4326"/>
      <c r="I4326"/>
    </row>
    <row r="4327" spans="1:9" s="47" customFormat="1" ht="14.4" x14ac:dyDescent="0.3">
      <c r="A4327"/>
      <c r="B4327"/>
      <c r="C4327"/>
      <c r="D4327"/>
      <c r="E4327"/>
      <c r="F4327"/>
      <c r="G4327"/>
      <c r="H4327"/>
      <c r="I4327"/>
    </row>
    <row r="4328" spans="1:9" s="47" customFormat="1" ht="14.4" x14ac:dyDescent="0.3">
      <c r="A4328"/>
      <c r="B4328"/>
      <c r="C4328"/>
      <c r="D4328"/>
      <c r="E4328"/>
      <c r="F4328"/>
      <c r="G4328"/>
      <c r="H4328"/>
      <c r="I4328"/>
    </row>
    <row r="4329" spans="1:9" s="47" customFormat="1" ht="14.4" x14ac:dyDescent="0.3">
      <c r="A4329"/>
      <c r="B4329"/>
      <c r="C4329"/>
      <c r="D4329"/>
      <c r="E4329"/>
      <c r="F4329"/>
      <c r="G4329"/>
      <c r="H4329"/>
      <c r="I4329"/>
    </row>
    <row r="4330" spans="1:9" s="47" customFormat="1" ht="14.4" x14ac:dyDescent="0.3">
      <c r="A4330"/>
      <c r="B4330"/>
      <c r="C4330"/>
      <c r="D4330"/>
      <c r="E4330"/>
      <c r="F4330"/>
      <c r="G4330"/>
      <c r="H4330"/>
      <c r="I4330"/>
    </row>
    <row r="4331" spans="1:9" s="47" customFormat="1" ht="14.4" x14ac:dyDescent="0.3">
      <c r="A4331"/>
      <c r="B4331"/>
      <c r="C4331"/>
      <c r="D4331"/>
      <c r="E4331"/>
      <c r="F4331"/>
      <c r="G4331"/>
      <c r="H4331"/>
      <c r="I4331"/>
    </row>
    <row r="4332" spans="1:9" s="47" customFormat="1" ht="14.4" x14ac:dyDescent="0.3">
      <c r="A4332"/>
      <c r="B4332"/>
      <c r="C4332"/>
      <c r="D4332"/>
      <c r="E4332"/>
      <c r="F4332"/>
      <c r="G4332"/>
      <c r="H4332"/>
      <c r="I4332"/>
    </row>
    <row r="4333" spans="1:9" s="47" customFormat="1" ht="14.4" x14ac:dyDescent="0.3">
      <c r="A4333"/>
      <c r="B4333"/>
      <c r="C4333"/>
      <c r="D4333"/>
      <c r="E4333"/>
      <c r="F4333"/>
      <c r="G4333"/>
      <c r="H4333"/>
      <c r="I4333"/>
    </row>
    <row r="4334" spans="1:9" s="47" customFormat="1" ht="14.4" x14ac:dyDescent="0.3">
      <c r="A4334"/>
      <c r="B4334"/>
      <c r="C4334"/>
      <c r="D4334"/>
      <c r="E4334"/>
      <c r="F4334"/>
      <c r="G4334"/>
      <c r="H4334"/>
      <c r="I4334"/>
    </row>
    <row r="4335" spans="1:9" s="47" customFormat="1" ht="14.4" x14ac:dyDescent="0.3">
      <c r="A4335"/>
      <c r="B4335"/>
      <c r="C4335"/>
      <c r="D4335"/>
      <c r="E4335"/>
      <c r="F4335"/>
      <c r="G4335"/>
      <c r="H4335"/>
      <c r="I4335"/>
    </row>
    <row r="4336" spans="1:9" s="47" customFormat="1" ht="14.4" x14ac:dyDescent="0.3">
      <c r="A4336"/>
      <c r="B4336"/>
      <c r="C4336"/>
      <c r="D4336"/>
      <c r="E4336"/>
      <c r="F4336"/>
      <c r="G4336"/>
      <c r="H4336"/>
      <c r="I4336"/>
    </row>
    <row r="4337" spans="1:9" s="47" customFormat="1" ht="14.4" x14ac:dyDescent="0.3">
      <c r="A4337"/>
      <c r="B4337"/>
      <c r="C4337"/>
      <c r="D4337"/>
      <c r="E4337"/>
      <c r="F4337"/>
      <c r="G4337"/>
      <c r="H4337"/>
      <c r="I4337"/>
    </row>
    <row r="4338" spans="1:9" s="47" customFormat="1" ht="14.4" x14ac:dyDescent="0.3">
      <c r="A4338"/>
      <c r="B4338"/>
      <c r="C4338"/>
      <c r="D4338"/>
      <c r="E4338"/>
      <c r="F4338"/>
      <c r="G4338"/>
      <c r="H4338"/>
      <c r="I4338"/>
    </row>
    <row r="4339" spans="1:9" s="47" customFormat="1" ht="14.4" x14ac:dyDescent="0.3">
      <c r="A4339"/>
      <c r="B4339"/>
      <c r="C4339"/>
      <c r="D4339"/>
      <c r="E4339"/>
      <c r="F4339"/>
      <c r="G4339"/>
      <c r="H4339"/>
      <c r="I4339"/>
    </row>
    <row r="4340" spans="1:9" s="47" customFormat="1" ht="14.4" x14ac:dyDescent="0.3">
      <c r="A4340"/>
      <c r="B4340"/>
      <c r="C4340"/>
      <c r="D4340"/>
      <c r="E4340"/>
      <c r="F4340"/>
      <c r="G4340"/>
      <c r="H4340"/>
      <c r="I4340"/>
    </row>
    <row r="4341" spans="1:9" s="47" customFormat="1" ht="14.4" x14ac:dyDescent="0.3">
      <c r="A4341"/>
      <c r="B4341"/>
      <c r="C4341"/>
      <c r="D4341"/>
      <c r="E4341"/>
      <c r="F4341"/>
      <c r="G4341"/>
      <c r="H4341"/>
      <c r="I4341"/>
    </row>
    <row r="4342" spans="1:9" s="47" customFormat="1" ht="14.4" x14ac:dyDescent="0.3">
      <c r="A4342"/>
      <c r="B4342"/>
      <c r="C4342"/>
      <c r="D4342"/>
      <c r="E4342"/>
      <c r="F4342"/>
      <c r="G4342"/>
      <c r="H4342"/>
      <c r="I4342"/>
    </row>
    <row r="4343" spans="1:9" s="47" customFormat="1" ht="14.4" x14ac:dyDescent="0.3">
      <c r="A4343"/>
      <c r="B4343"/>
      <c r="C4343"/>
      <c r="D4343"/>
      <c r="E4343"/>
      <c r="F4343"/>
      <c r="G4343"/>
      <c r="H4343"/>
      <c r="I4343"/>
    </row>
    <row r="4344" spans="1:9" s="47" customFormat="1" ht="14.4" x14ac:dyDescent="0.3">
      <c r="A4344"/>
      <c r="B4344"/>
      <c r="C4344"/>
      <c r="D4344"/>
      <c r="E4344"/>
      <c r="F4344"/>
      <c r="G4344"/>
      <c r="H4344"/>
      <c r="I4344"/>
    </row>
    <row r="4345" spans="1:9" s="47" customFormat="1" ht="14.4" x14ac:dyDescent="0.3">
      <c r="A4345"/>
      <c r="B4345"/>
      <c r="C4345"/>
      <c r="D4345"/>
      <c r="E4345"/>
      <c r="F4345"/>
      <c r="G4345"/>
      <c r="H4345"/>
      <c r="I4345"/>
    </row>
    <row r="4346" spans="1:9" s="47" customFormat="1" ht="14.4" x14ac:dyDescent="0.3">
      <c r="A4346"/>
      <c r="B4346"/>
      <c r="C4346"/>
      <c r="D4346"/>
      <c r="E4346"/>
      <c r="F4346"/>
      <c r="G4346"/>
      <c r="H4346"/>
      <c r="I4346"/>
    </row>
    <row r="4347" spans="1:9" s="47" customFormat="1" ht="14.4" x14ac:dyDescent="0.3">
      <c r="A4347"/>
      <c r="B4347"/>
      <c r="C4347"/>
      <c r="D4347"/>
      <c r="E4347"/>
      <c r="F4347"/>
      <c r="G4347"/>
      <c r="H4347"/>
      <c r="I4347"/>
    </row>
    <row r="4348" spans="1:9" s="47" customFormat="1" ht="14.4" x14ac:dyDescent="0.3">
      <c r="A4348"/>
      <c r="B4348"/>
      <c r="C4348"/>
      <c r="D4348"/>
      <c r="E4348"/>
      <c r="F4348"/>
      <c r="G4348"/>
      <c r="H4348"/>
      <c r="I4348"/>
    </row>
    <row r="4349" spans="1:9" s="47" customFormat="1" ht="14.4" x14ac:dyDescent="0.3">
      <c r="A4349"/>
      <c r="B4349"/>
      <c r="C4349"/>
      <c r="D4349"/>
      <c r="E4349"/>
      <c r="F4349"/>
      <c r="G4349"/>
      <c r="H4349"/>
      <c r="I4349"/>
    </row>
    <row r="4350" spans="1:9" s="47" customFormat="1" ht="14.4" x14ac:dyDescent="0.3">
      <c r="A4350"/>
      <c r="B4350"/>
      <c r="C4350"/>
      <c r="D4350"/>
      <c r="E4350"/>
      <c r="F4350"/>
      <c r="G4350"/>
      <c r="H4350"/>
      <c r="I4350"/>
    </row>
    <row r="4351" spans="1:9" s="47" customFormat="1" ht="14.4" x14ac:dyDescent="0.3">
      <c r="A4351"/>
      <c r="B4351"/>
      <c r="C4351"/>
      <c r="D4351"/>
      <c r="E4351"/>
      <c r="F4351"/>
      <c r="G4351"/>
      <c r="H4351"/>
      <c r="I4351"/>
    </row>
    <row r="4352" spans="1:9" s="47" customFormat="1" ht="14.4" x14ac:dyDescent="0.3">
      <c r="A4352"/>
      <c r="B4352"/>
      <c r="C4352"/>
      <c r="D4352"/>
      <c r="E4352"/>
      <c r="F4352"/>
      <c r="G4352"/>
      <c r="H4352"/>
      <c r="I4352"/>
    </row>
    <row r="4353" spans="1:9" s="47" customFormat="1" ht="14.4" x14ac:dyDescent="0.3">
      <c r="A4353"/>
      <c r="B4353"/>
      <c r="C4353"/>
      <c r="D4353"/>
      <c r="E4353"/>
      <c r="F4353"/>
      <c r="G4353"/>
      <c r="H4353"/>
      <c r="I4353"/>
    </row>
    <row r="4354" spans="1:9" s="47" customFormat="1" ht="14.4" x14ac:dyDescent="0.3">
      <c r="A4354"/>
      <c r="B4354"/>
      <c r="C4354"/>
      <c r="D4354"/>
      <c r="E4354"/>
      <c r="F4354"/>
      <c r="G4354"/>
      <c r="H4354"/>
      <c r="I4354"/>
    </row>
    <row r="4355" spans="1:9" s="47" customFormat="1" ht="14.4" x14ac:dyDescent="0.3">
      <c r="A4355"/>
      <c r="B4355"/>
      <c r="C4355"/>
      <c r="D4355"/>
      <c r="E4355"/>
      <c r="F4355"/>
      <c r="G4355"/>
      <c r="H4355"/>
      <c r="I4355"/>
    </row>
    <row r="4356" spans="1:9" s="47" customFormat="1" ht="14.4" x14ac:dyDescent="0.3">
      <c r="A4356"/>
      <c r="B4356"/>
      <c r="C4356"/>
      <c r="D4356"/>
      <c r="E4356"/>
      <c r="F4356"/>
      <c r="G4356"/>
      <c r="H4356"/>
      <c r="I4356"/>
    </row>
    <row r="4357" spans="1:9" s="47" customFormat="1" ht="14.4" x14ac:dyDescent="0.3">
      <c r="A4357"/>
      <c r="B4357"/>
      <c r="C4357"/>
      <c r="D4357"/>
      <c r="E4357"/>
      <c r="F4357"/>
      <c r="G4357"/>
      <c r="H4357"/>
      <c r="I4357"/>
    </row>
    <row r="4358" spans="1:9" s="47" customFormat="1" ht="14.4" x14ac:dyDescent="0.3">
      <c r="A4358"/>
      <c r="B4358"/>
      <c r="C4358"/>
      <c r="D4358"/>
      <c r="E4358"/>
      <c r="F4358"/>
      <c r="G4358"/>
      <c r="H4358"/>
      <c r="I4358"/>
    </row>
    <row r="4359" spans="1:9" s="47" customFormat="1" ht="14.4" x14ac:dyDescent="0.3">
      <c r="A4359"/>
      <c r="B4359"/>
      <c r="C4359"/>
      <c r="D4359"/>
      <c r="E4359"/>
      <c r="F4359"/>
      <c r="G4359"/>
      <c r="H4359"/>
      <c r="I4359"/>
    </row>
    <row r="4360" spans="1:9" s="47" customFormat="1" ht="14.4" x14ac:dyDescent="0.3">
      <c r="A4360"/>
      <c r="B4360"/>
      <c r="C4360"/>
      <c r="D4360"/>
      <c r="E4360"/>
      <c r="F4360"/>
      <c r="G4360"/>
      <c r="H4360"/>
      <c r="I4360"/>
    </row>
    <row r="4361" spans="1:9" s="47" customFormat="1" ht="14.4" x14ac:dyDescent="0.3">
      <c r="A4361"/>
      <c r="B4361"/>
      <c r="C4361"/>
      <c r="D4361"/>
      <c r="E4361"/>
      <c r="F4361"/>
      <c r="G4361"/>
      <c r="H4361"/>
      <c r="I4361"/>
    </row>
    <row r="4362" spans="1:9" s="47" customFormat="1" ht="14.4" x14ac:dyDescent="0.3">
      <c r="A4362"/>
      <c r="B4362"/>
      <c r="C4362"/>
      <c r="D4362"/>
      <c r="E4362"/>
      <c r="F4362"/>
      <c r="G4362"/>
      <c r="H4362"/>
      <c r="I4362"/>
    </row>
    <row r="4363" spans="1:9" s="47" customFormat="1" ht="14.4" x14ac:dyDescent="0.3">
      <c r="A4363"/>
      <c r="B4363"/>
      <c r="C4363"/>
      <c r="D4363"/>
      <c r="E4363"/>
      <c r="F4363"/>
      <c r="G4363"/>
      <c r="H4363"/>
      <c r="I4363"/>
    </row>
    <row r="4364" spans="1:9" s="47" customFormat="1" ht="14.4" x14ac:dyDescent="0.3">
      <c r="A4364"/>
      <c r="B4364"/>
      <c r="C4364"/>
      <c r="D4364"/>
      <c r="E4364"/>
      <c r="F4364"/>
      <c r="G4364"/>
      <c r="H4364"/>
      <c r="I4364"/>
    </row>
    <row r="4365" spans="1:9" s="47" customFormat="1" ht="14.4" x14ac:dyDescent="0.3">
      <c r="A4365"/>
      <c r="B4365"/>
      <c r="C4365"/>
      <c r="D4365"/>
      <c r="E4365"/>
      <c r="F4365"/>
      <c r="G4365"/>
      <c r="H4365"/>
      <c r="I4365"/>
    </row>
    <row r="4366" spans="1:9" s="47" customFormat="1" ht="14.4" x14ac:dyDescent="0.3">
      <c r="A4366"/>
      <c r="B4366"/>
      <c r="C4366"/>
      <c r="D4366"/>
      <c r="E4366"/>
      <c r="F4366"/>
      <c r="G4366"/>
      <c r="H4366"/>
      <c r="I4366"/>
    </row>
    <row r="4367" spans="1:9" s="47" customFormat="1" ht="14.4" x14ac:dyDescent="0.3">
      <c r="A4367"/>
      <c r="B4367"/>
      <c r="C4367"/>
      <c r="D4367"/>
      <c r="E4367"/>
      <c r="F4367"/>
      <c r="G4367"/>
      <c r="H4367"/>
      <c r="I4367"/>
    </row>
    <row r="4368" spans="1:9" s="47" customFormat="1" ht="14.4" x14ac:dyDescent="0.3">
      <c r="A4368"/>
      <c r="B4368"/>
      <c r="C4368"/>
      <c r="D4368"/>
      <c r="E4368"/>
      <c r="F4368"/>
      <c r="G4368"/>
      <c r="H4368"/>
      <c r="I4368"/>
    </row>
    <row r="4369" spans="1:9" s="47" customFormat="1" ht="14.4" x14ac:dyDescent="0.3">
      <c r="A4369"/>
      <c r="B4369"/>
      <c r="C4369"/>
      <c r="D4369"/>
      <c r="E4369"/>
      <c r="F4369"/>
      <c r="G4369"/>
      <c r="H4369"/>
      <c r="I4369"/>
    </row>
    <row r="4370" spans="1:9" s="47" customFormat="1" ht="14.4" x14ac:dyDescent="0.3">
      <c r="A4370"/>
      <c r="B4370"/>
      <c r="C4370"/>
      <c r="D4370"/>
      <c r="E4370"/>
      <c r="F4370"/>
      <c r="G4370"/>
      <c r="H4370"/>
      <c r="I4370"/>
    </row>
    <row r="4371" spans="1:9" s="47" customFormat="1" ht="14.4" x14ac:dyDescent="0.3">
      <c r="A4371"/>
      <c r="B4371"/>
      <c r="C4371"/>
      <c r="D4371"/>
      <c r="E4371"/>
      <c r="F4371"/>
      <c r="G4371"/>
      <c r="H4371"/>
      <c r="I4371"/>
    </row>
    <row r="4372" spans="1:9" s="47" customFormat="1" ht="14.4" x14ac:dyDescent="0.3">
      <c r="A4372"/>
      <c r="B4372"/>
      <c r="C4372"/>
      <c r="D4372"/>
      <c r="E4372"/>
      <c r="F4372"/>
      <c r="G4372"/>
      <c r="H4372"/>
      <c r="I4372"/>
    </row>
    <row r="4373" spans="1:9" s="47" customFormat="1" ht="14.4" x14ac:dyDescent="0.3">
      <c r="A4373"/>
      <c r="B4373"/>
      <c r="C4373"/>
      <c r="D4373"/>
      <c r="E4373"/>
      <c r="F4373"/>
      <c r="G4373"/>
      <c r="H4373"/>
      <c r="I4373"/>
    </row>
    <row r="4374" spans="1:9" s="47" customFormat="1" ht="14.4" x14ac:dyDescent="0.3">
      <c r="A4374"/>
      <c r="B4374"/>
      <c r="C4374"/>
      <c r="D4374"/>
      <c r="E4374"/>
      <c r="F4374"/>
      <c r="G4374"/>
      <c r="H4374"/>
      <c r="I4374"/>
    </row>
    <row r="4375" spans="1:9" s="47" customFormat="1" ht="14.4" x14ac:dyDescent="0.3">
      <c r="A4375"/>
      <c r="B4375"/>
      <c r="C4375"/>
      <c r="D4375"/>
      <c r="E4375"/>
      <c r="F4375"/>
      <c r="G4375"/>
      <c r="H4375"/>
      <c r="I4375"/>
    </row>
    <row r="4376" spans="1:9" s="47" customFormat="1" ht="14.4" x14ac:dyDescent="0.3">
      <c r="A4376"/>
      <c r="B4376"/>
      <c r="C4376"/>
      <c r="D4376"/>
      <c r="E4376"/>
      <c r="F4376"/>
      <c r="G4376"/>
      <c r="H4376"/>
      <c r="I4376"/>
    </row>
    <row r="4377" spans="1:9" s="47" customFormat="1" ht="14.4" x14ac:dyDescent="0.3">
      <c r="A4377"/>
      <c r="B4377"/>
      <c r="C4377"/>
      <c r="D4377"/>
      <c r="E4377"/>
      <c r="F4377"/>
      <c r="G4377"/>
      <c r="H4377"/>
      <c r="I4377"/>
    </row>
    <row r="4378" spans="1:9" s="47" customFormat="1" ht="14.4" x14ac:dyDescent="0.3">
      <c r="A4378"/>
      <c r="B4378"/>
      <c r="C4378"/>
      <c r="D4378"/>
      <c r="E4378"/>
      <c r="F4378"/>
      <c r="G4378"/>
      <c r="H4378"/>
      <c r="I4378"/>
    </row>
    <row r="4379" spans="1:9" s="47" customFormat="1" ht="14.4" x14ac:dyDescent="0.3">
      <c r="A4379"/>
      <c r="B4379"/>
      <c r="C4379"/>
      <c r="D4379"/>
      <c r="E4379"/>
      <c r="F4379"/>
      <c r="G4379"/>
      <c r="H4379"/>
      <c r="I4379"/>
    </row>
    <row r="4380" spans="1:9" s="47" customFormat="1" ht="14.4" x14ac:dyDescent="0.3">
      <c r="A4380"/>
      <c r="B4380"/>
      <c r="C4380"/>
      <c r="D4380"/>
      <c r="E4380"/>
      <c r="F4380"/>
      <c r="G4380"/>
      <c r="H4380"/>
      <c r="I4380"/>
    </row>
    <row r="4381" spans="1:9" s="47" customFormat="1" ht="14.4" x14ac:dyDescent="0.3">
      <c r="A4381"/>
      <c r="B4381"/>
      <c r="C4381"/>
      <c r="D4381"/>
      <c r="E4381"/>
      <c r="F4381"/>
      <c r="G4381"/>
      <c r="H4381"/>
      <c r="I4381"/>
    </row>
    <row r="4382" spans="1:9" s="47" customFormat="1" ht="14.4" x14ac:dyDescent="0.3">
      <c r="A4382"/>
      <c r="B4382"/>
      <c r="C4382"/>
      <c r="D4382"/>
      <c r="E4382"/>
      <c r="F4382"/>
      <c r="G4382"/>
      <c r="H4382"/>
      <c r="I4382"/>
    </row>
    <row r="4383" spans="1:9" s="47" customFormat="1" ht="14.4" x14ac:dyDescent="0.3">
      <c r="A4383"/>
      <c r="B4383"/>
      <c r="C4383"/>
      <c r="D4383"/>
      <c r="E4383"/>
      <c r="F4383"/>
      <c r="G4383"/>
      <c r="H4383"/>
      <c r="I4383"/>
    </row>
    <row r="4384" spans="1:9" s="47" customFormat="1" ht="14.4" x14ac:dyDescent="0.3">
      <c r="A4384"/>
      <c r="B4384"/>
      <c r="C4384"/>
      <c r="D4384"/>
      <c r="E4384"/>
      <c r="F4384"/>
      <c r="G4384"/>
      <c r="H4384"/>
      <c r="I4384"/>
    </row>
    <row r="4385" spans="1:9" s="47" customFormat="1" ht="14.4" x14ac:dyDescent="0.3">
      <c r="A4385"/>
      <c r="B4385"/>
      <c r="C4385"/>
      <c r="D4385"/>
      <c r="E4385"/>
      <c r="F4385"/>
      <c r="G4385"/>
      <c r="H4385"/>
      <c r="I4385"/>
    </row>
    <row r="4386" spans="1:9" s="47" customFormat="1" ht="14.4" x14ac:dyDescent="0.3">
      <c r="A4386"/>
      <c r="B4386"/>
      <c r="C4386"/>
      <c r="D4386"/>
      <c r="E4386"/>
      <c r="F4386"/>
      <c r="G4386"/>
      <c r="H4386"/>
      <c r="I4386"/>
    </row>
    <row r="4387" spans="1:9" s="47" customFormat="1" ht="14.4" x14ac:dyDescent="0.3">
      <c r="A4387"/>
      <c r="B4387"/>
      <c r="C4387"/>
      <c r="D4387"/>
      <c r="E4387"/>
      <c r="F4387"/>
      <c r="G4387"/>
      <c r="H4387"/>
      <c r="I4387"/>
    </row>
    <row r="4388" spans="1:9" s="47" customFormat="1" ht="14.4" x14ac:dyDescent="0.3">
      <c r="A4388"/>
      <c r="B4388"/>
      <c r="C4388"/>
      <c r="D4388"/>
      <c r="E4388"/>
      <c r="F4388"/>
      <c r="G4388"/>
      <c r="H4388"/>
      <c r="I4388"/>
    </row>
    <row r="4389" spans="1:9" s="47" customFormat="1" ht="14.4" x14ac:dyDescent="0.3">
      <c r="A4389"/>
      <c r="B4389"/>
      <c r="C4389"/>
      <c r="D4389"/>
      <c r="E4389"/>
      <c r="F4389"/>
      <c r="G4389"/>
      <c r="H4389"/>
      <c r="I4389"/>
    </row>
    <row r="4390" spans="1:9" s="47" customFormat="1" ht="14.4" x14ac:dyDescent="0.3">
      <c r="A4390"/>
      <c r="B4390"/>
      <c r="C4390"/>
      <c r="D4390"/>
      <c r="E4390"/>
      <c r="F4390"/>
      <c r="G4390"/>
      <c r="H4390"/>
      <c r="I4390"/>
    </row>
    <row r="4391" spans="1:9" s="47" customFormat="1" ht="14.4" x14ac:dyDescent="0.3">
      <c r="A4391"/>
      <c r="B4391"/>
      <c r="C4391"/>
      <c r="D4391"/>
      <c r="E4391"/>
      <c r="F4391"/>
      <c r="G4391"/>
      <c r="H4391"/>
      <c r="I4391"/>
    </row>
    <row r="4392" spans="1:9" s="47" customFormat="1" ht="14.4" x14ac:dyDescent="0.3">
      <c r="A4392"/>
      <c r="B4392"/>
      <c r="C4392"/>
      <c r="D4392"/>
      <c r="E4392"/>
      <c r="F4392"/>
      <c r="G4392"/>
      <c r="H4392"/>
      <c r="I4392"/>
    </row>
    <row r="4393" spans="1:9" s="47" customFormat="1" ht="14.4" x14ac:dyDescent="0.3">
      <c r="A4393"/>
      <c r="B4393"/>
      <c r="C4393"/>
      <c r="D4393"/>
      <c r="E4393"/>
      <c r="F4393"/>
      <c r="G4393"/>
      <c r="H4393"/>
      <c r="I4393"/>
    </row>
    <row r="4394" spans="1:9" s="47" customFormat="1" ht="14.4" x14ac:dyDescent="0.3">
      <c r="A4394"/>
      <c r="B4394"/>
      <c r="C4394"/>
      <c r="D4394"/>
      <c r="E4394"/>
      <c r="F4394"/>
      <c r="G4394"/>
      <c r="H4394"/>
      <c r="I4394"/>
    </row>
    <row r="4395" spans="1:9" s="47" customFormat="1" ht="14.4" x14ac:dyDescent="0.3">
      <c r="A4395"/>
      <c r="B4395"/>
      <c r="C4395"/>
      <c r="D4395"/>
      <c r="E4395"/>
      <c r="F4395"/>
      <c r="G4395"/>
      <c r="H4395"/>
      <c r="I4395"/>
    </row>
    <row r="4396" spans="1:9" s="47" customFormat="1" ht="14.4" x14ac:dyDescent="0.3">
      <c r="A4396"/>
      <c r="B4396"/>
      <c r="C4396"/>
      <c r="D4396"/>
      <c r="E4396"/>
      <c r="F4396"/>
      <c r="G4396"/>
      <c r="H4396"/>
      <c r="I4396"/>
    </row>
    <row r="4397" spans="1:9" s="47" customFormat="1" ht="14.4" x14ac:dyDescent="0.3">
      <c r="A4397"/>
      <c r="B4397"/>
      <c r="C4397"/>
      <c r="D4397"/>
      <c r="E4397"/>
      <c r="F4397"/>
      <c r="G4397"/>
      <c r="H4397"/>
      <c r="I4397"/>
    </row>
    <row r="4398" spans="1:9" s="47" customFormat="1" ht="14.4" x14ac:dyDescent="0.3">
      <c r="A4398"/>
      <c r="B4398"/>
      <c r="C4398"/>
      <c r="D4398"/>
      <c r="E4398"/>
      <c r="F4398"/>
      <c r="G4398"/>
      <c r="H4398"/>
      <c r="I4398"/>
    </row>
    <row r="4399" spans="1:9" s="47" customFormat="1" ht="14.4" x14ac:dyDescent="0.3">
      <c r="A4399"/>
      <c r="B4399"/>
      <c r="C4399"/>
      <c r="D4399"/>
      <c r="E4399"/>
      <c r="F4399"/>
      <c r="G4399"/>
      <c r="H4399"/>
      <c r="I4399"/>
    </row>
    <row r="4400" spans="1:9" s="47" customFormat="1" ht="14.4" x14ac:dyDescent="0.3">
      <c r="A4400"/>
      <c r="B4400"/>
      <c r="C4400"/>
      <c r="D4400"/>
      <c r="E4400"/>
      <c r="F4400"/>
      <c r="G4400"/>
      <c r="H4400"/>
      <c r="I4400"/>
    </row>
    <row r="4401" spans="1:9" s="47" customFormat="1" ht="14.4" x14ac:dyDescent="0.3">
      <c r="A4401"/>
      <c r="B4401"/>
      <c r="C4401"/>
      <c r="D4401"/>
      <c r="E4401"/>
      <c r="F4401"/>
      <c r="G4401"/>
      <c r="H4401"/>
      <c r="I4401"/>
    </row>
    <row r="4402" spans="1:9" s="47" customFormat="1" ht="14.4" x14ac:dyDescent="0.3">
      <c r="A4402"/>
      <c r="B4402"/>
      <c r="C4402"/>
      <c r="D4402"/>
      <c r="E4402"/>
      <c r="F4402"/>
      <c r="G4402"/>
      <c r="H4402"/>
      <c r="I4402"/>
    </row>
    <row r="4403" spans="1:9" s="47" customFormat="1" ht="14.4" x14ac:dyDescent="0.3">
      <c r="A4403"/>
      <c r="B4403"/>
      <c r="C4403"/>
      <c r="D4403"/>
      <c r="E4403"/>
      <c r="F4403"/>
      <c r="G4403"/>
      <c r="H4403"/>
      <c r="I4403"/>
    </row>
    <row r="4404" spans="1:9" s="47" customFormat="1" ht="14.4" x14ac:dyDescent="0.3">
      <c r="A4404"/>
      <c r="B4404"/>
      <c r="C4404"/>
      <c r="D4404"/>
      <c r="E4404"/>
      <c r="F4404"/>
      <c r="G4404"/>
      <c r="H4404"/>
      <c r="I4404"/>
    </row>
    <row r="4405" spans="1:9" s="47" customFormat="1" ht="14.4" x14ac:dyDescent="0.3">
      <c r="A4405"/>
      <c r="B4405"/>
      <c r="C4405"/>
      <c r="D4405"/>
      <c r="E4405"/>
      <c r="F4405"/>
      <c r="G4405"/>
      <c r="H4405"/>
      <c r="I4405"/>
    </row>
    <row r="4406" spans="1:9" s="47" customFormat="1" ht="14.4" x14ac:dyDescent="0.3">
      <c r="A4406"/>
      <c r="B4406"/>
      <c r="C4406"/>
      <c r="D4406"/>
      <c r="E4406"/>
      <c r="F4406"/>
      <c r="G4406"/>
      <c r="H4406"/>
      <c r="I4406"/>
    </row>
    <row r="4407" spans="1:9" s="47" customFormat="1" ht="14.4" x14ac:dyDescent="0.3">
      <c r="A4407"/>
      <c r="B4407"/>
      <c r="C4407"/>
      <c r="D4407"/>
      <c r="E4407"/>
      <c r="F4407"/>
      <c r="G4407"/>
      <c r="H4407"/>
      <c r="I4407"/>
    </row>
    <row r="4408" spans="1:9" s="47" customFormat="1" ht="14.4" x14ac:dyDescent="0.3">
      <c r="A4408"/>
      <c r="B4408"/>
      <c r="C4408"/>
      <c r="D4408"/>
      <c r="E4408"/>
      <c r="F4408"/>
      <c r="G4408"/>
      <c r="H4408"/>
      <c r="I4408"/>
    </row>
    <row r="4409" spans="1:9" s="47" customFormat="1" ht="14.4" x14ac:dyDescent="0.3">
      <c r="A4409"/>
      <c r="B4409"/>
      <c r="C4409"/>
      <c r="D4409"/>
      <c r="E4409"/>
      <c r="F4409"/>
      <c r="G4409"/>
      <c r="H4409"/>
      <c r="I4409"/>
    </row>
    <row r="4410" spans="1:9" s="47" customFormat="1" ht="14.4" x14ac:dyDescent="0.3">
      <c r="A4410"/>
      <c r="B4410"/>
      <c r="C4410"/>
      <c r="D4410"/>
      <c r="E4410"/>
      <c r="F4410"/>
      <c r="G4410"/>
      <c r="H4410"/>
      <c r="I4410"/>
    </row>
    <row r="4411" spans="1:9" s="47" customFormat="1" ht="14.4" x14ac:dyDescent="0.3">
      <c r="A4411"/>
      <c r="B4411"/>
      <c r="C4411"/>
      <c r="D4411"/>
      <c r="E4411"/>
      <c r="F4411"/>
      <c r="G4411"/>
      <c r="H4411"/>
      <c r="I4411"/>
    </row>
    <row r="4412" spans="1:9" s="47" customFormat="1" ht="14.4" x14ac:dyDescent="0.3">
      <c r="A4412"/>
      <c r="B4412"/>
      <c r="C4412"/>
      <c r="D4412"/>
      <c r="E4412"/>
      <c r="F4412"/>
      <c r="G4412"/>
      <c r="H4412"/>
      <c r="I4412"/>
    </row>
    <row r="4413" spans="1:9" s="47" customFormat="1" ht="14.4" x14ac:dyDescent="0.3">
      <c r="A4413"/>
      <c r="B4413"/>
      <c r="C4413"/>
      <c r="D4413"/>
      <c r="E4413"/>
      <c r="F4413"/>
      <c r="G4413"/>
      <c r="H4413"/>
      <c r="I4413"/>
    </row>
    <row r="4414" spans="1:9" s="47" customFormat="1" ht="14.4" x14ac:dyDescent="0.3">
      <c r="A4414"/>
      <c r="B4414"/>
      <c r="C4414"/>
      <c r="D4414"/>
      <c r="E4414"/>
      <c r="F4414"/>
      <c r="G4414"/>
      <c r="H4414"/>
      <c r="I4414"/>
    </row>
    <row r="4415" spans="1:9" s="47" customFormat="1" ht="14.4" x14ac:dyDescent="0.3">
      <c r="A4415"/>
      <c r="B4415"/>
      <c r="C4415"/>
      <c r="D4415"/>
      <c r="E4415"/>
      <c r="F4415"/>
      <c r="G4415"/>
      <c r="H4415"/>
      <c r="I4415"/>
    </row>
    <row r="4416" spans="1:9" s="47" customFormat="1" ht="14.4" x14ac:dyDescent="0.3">
      <c r="A4416"/>
      <c r="B4416"/>
      <c r="C4416"/>
      <c r="D4416"/>
      <c r="E4416"/>
      <c r="F4416"/>
      <c r="G4416"/>
      <c r="H4416"/>
      <c r="I4416"/>
    </row>
    <row r="4417" spans="1:9" s="47" customFormat="1" ht="14.4" x14ac:dyDescent="0.3">
      <c r="A4417"/>
      <c r="B4417"/>
      <c r="C4417"/>
      <c r="D4417"/>
      <c r="E4417"/>
      <c r="F4417"/>
      <c r="G4417"/>
      <c r="H4417"/>
      <c r="I4417"/>
    </row>
    <row r="4418" spans="1:9" s="47" customFormat="1" ht="14.4" x14ac:dyDescent="0.3">
      <c r="A4418"/>
      <c r="B4418"/>
      <c r="C4418"/>
      <c r="D4418"/>
      <c r="E4418"/>
      <c r="F4418"/>
      <c r="G4418"/>
      <c r="H4418"/>
      <c r="I4418"/>
    </row>
    <row r="4419" spans="1:9" s="47" customFormat="1" ht="14.4" x14ac:dyDescent="0.3">
      <c r="A4419"/>
      <c r="B4419"/>
      <c r="C4419"/>
      <c r="D4419"/>
      <c r="E4419"/>
      <c r="F4419"/>
      <c r="G4419"/>
      <c r="H4419"/>
      <c r="I4419"/>
    </row>
    <row r="4420" spans="1:9" s="47" customFormat="1" ht="14.4" x14ac:dyDescent="0.3">
      <c r="A4420"/>
      <c r="B4420"/>
      <c r="C4420"/>
      <c r="D4420"/>
      <c r="E4420"/>
      <c r="F4420"/>
      <c r="G4420"/>
      <c r="H4420"/>
      <c r="I4420"/>
    </row>
    <row r="4421" spans="1:9" s="47" customFormat="1" ht="14.4" x14ac:dyDescent="0.3">
      <c r="A4421"/>
      <c r="B4421"/>
      <c r="C4421"/>
      <c r="D4421"/>
      <c r="E4421"/>
      <c r="F4421"/>
      <c r="G4421"/>
      <c r="H4421"/>
      <c r="I4421"/>
    </row>
    <row r="4422" spans="1:9" s="47" customFormat="1" ht="14.4" x14ac:dyDescent="0.3">
      <c r="A4422"/>
      <c r="B4422"/>
      <c r="C4422"/>
      <c r="D4422"/>
      <c r="E4422"/>
      <c r="F4422"/>
      <c r="G4422"/>
      <c r="H4422"/>
      <c r="I4422"/>
    </row>
    <row r="4423" spans="1:9" s="47" customFormat="1" ht="14.4" x14ac:dyDescent="0.3">
      <c r="A4423"/>
      <c r="B4423"/>
      <c r="C4423"/>
      <c r="D4423"/>
      <c r="E4423"/>
      <c r="F4423"/>
      <c r="G4423"/>
      <c r="H4423"/>
      <c r="I4423"/>
    </row>
    <row r="4424" spans="1:9" s="47" customFormat="1" ht="14.4" x14ac:dyDescent="0.3">
      <c r="A4424"/>
      <c r="B4424"/>
      <c r="C4424"/>
      <c r="D4424"/>
      <c r="E4424"/>
      <c r="F4424"/>
      <c r="G4424"/>
      <c r="H4424"/>
      <c r="I4424"/>
    </row>
    <row r="4425" spans="1:9" s="47" customFormat="1" ht="14.4" x14ac:dyDescent="0.3">
      <c r="A4425"/>
      <c r="B4425"/>
      <c r="C4425"/>
      <c r="D4425"/>
      <c r="E4425"/>
      <c r="F4425"/>
      <c r="G4425"/>
      <c r="H4425"/>
      <c r="I4425"/>
    </row>
    <row r="4426" spans="1:9" s="47" customFormat="1" ht="14.4" x14ac:dyDescent="0.3">
      <c r="A4426"/>
      <c r="B4426"/>
      <c r="C4426"/>
      <c r="D4426"/>
      <c r="E4426"/>
      <c r="F4426"/>
      <c r="G4426"/>
      <c r="H4426"/>
      <c r="I4426"/>
    </row>
    <row r="4427" spans="1:9" s="47" customFormat="1" ht="14.4" x14ac:dyDescent="0.3">
      <c r="A4427"/>
      <c r="B4427"/>
      <c r="C4427"/>
      <c r="D4427"/>
      <c r="E4427"/>
      <c r="F4427"/>
      <c r="G4427"/>
      <c r="H4427"/>
      <c r="I4427"/>
    </row>
    <row r="4428" spans="1:9" s="47" customFormat="1" ht="14.4" x14ac:dyDescent="0.3">
      <c r="A4428"/>
      <c r="B4428"/>
      <c r="C4428"/>
      <c r="D4428"/>
      <c r="E4428"/>
      <c r="F4428"/>
      <c r="G4428"/>
      <c r="H4428"/>
      <c r="I4428"/>
    </row>
    <row r="4429" spans="1:9" s="47" customFormat="1" ht="14.4" x14ac:dyDescent="0.3">
      <c r="A4429"/>
      <c r="B4429"/>
      <c r="C4429"/>
      <c r="D4429"/>
      <c r="E4429"/>
      <c r="F4429"/>
      <c r="G4429"/>
      <c r="H4429"/>
      <c r="I4429"/>
    </row>
    <row r="4430" spans="1:9" s="47" customFormat="1" ht="14.4" x14ac:dyDescent="0.3">
      <c r="A4430"/>
      <c r="B4430"/>
      <c r="C4430"/>
      <c r="D4430"/>
      <c r="E4430"/>
      <c r="F4430"/>
      <c r="G4430"/>
      <c r="H4430"/>
      <c r="I4430"/>
    </row>
    <row r="4431" spans="1:9" s="47" customFormat="1" ht="14.4" x14ac:dyDescent="0.3">
      <c r="A4431"/>
      <c r="B4431"/>
      <c r="C4431"/>
      <c r="D4431"/>
      <c r="E4431"/>
      <c r="F4431"/>
      <c r="G4431"/>
      <c r="H4431"/>
      <c r="I4431"/>
    </row>
    <row r="4432" spans="1:9" s="47" customFormat="1" ht="14.4" x14ac:dyDescent="0.3">
      <c r="A4432"/>
      <c r="B4432"/>
      <c r="C4432"/>
      <c r="D4432"/>
      <c r="E4432"/>
      <c r="F4432"/>
      <c r="G4432"/>
      <c r="H4432"/>
      <c r="I4432"/>
    </row>
    <row r="4433" spans="1:9" s="47" customFormat="1" ht="14.4" x14ac:dyDescent="0.3">
      <c r="A4433"/>
      <c r="B4433"/>
      <c r="C4433"/>
      <c r="D4433"/>
      <c r="E4433"/>
      <c r="F4433"/>
      <c r="G4433"/>
      <c r="H4433"/>
      <c r="I4433"/>
    </row>
    <row r="4434" spans="1:9" s="47" customFormat="1" ht="14.4" x14ac:dyDescent="0.3">
      <c r="A4434"/>
      <c r="B4434"/>
      <c r="C4434"/>
      <c r="D4434"/>
      <c r="E4434"/>
      <c r="F4434"/>
      <c r="G4434"/>
      <c r="H4434"/>
      <c r="I4434"/>
    </row>
    <row r="4435" spans="1:9" s="47" customFormat="1" ht="14.4" x14ac:dyDescent="0.3">
      <c r="A4435"/>
      <c r="B4435"/>
      <c r="C4435"/>
      <c r="D4435"/>
      <c r="E4435"/>
      <c r="F4435"/>
      <c r="G4435"/>
      <c r="H4435"/>
      <c r="I4435"/>
    </row>
    <row r="4436" spans="1:9" s="47" customFormat="1" ht="14.4" x14ac:dyDescent="0.3">
      <c r="A4436"/>
      <c r="B4436"/>
      <c r="C4436"/>
      <c r="D4436"/>
      <c r="E4436"/>
      <c r="F4436"/>
      <c r="G4436"/>
      <c r="H4436"/>
      <c r="I4436"/>
    </row>
    <row r="4437" spans="1:9" s="47" customFormat="1" ht="14.4" x14ac:dyDescent="0.3">
      <c r="A4437"/>
      <c r="B4437"/>
      <c r="C4437"/>
      <c r="D4437"/>
      <c r="E4437"/>
      <c r="F4437"/>
      <c r="G4437"/>
      <c r="H4437"/>
      <c r="I4437"/>
    </row>
    <row r="4438" spans="1:9" s="47" customFormat="1" ht="14.4" x14ac:dyDescent="0.3">
      <c r="A4438"/>
      <c r="B4438"/>
      <c r="C4438"/>
      <c r="D4438"/>
      <c r="E4438"/>
      <c r="F4438"/>
      <c r="G4438"/>
      <c r="H4438"/>
      <c r="I4438"/>
    </row>
    <row r="4439" spans="1:9" s="47" customFormat="1" ht="14.4" x14ac:dyDescent="0.3">
      <c r="A4439"/>
      <c r="B4439"/>
      <c r="C4439"/>
      <c r="D4439"/>
      <c r="E4439"/>
      <c r="F4439"/>
      <c r="G4439"/>
      <c r="H4439"/>
      <c r="I4439"/>
    </row>
    <row r="4440" spans="1:9" s="47" customFormat="1" ht="14.4" x14ac:dyDescent="0.3">
      <c r="A4440"/>
      <c r="B4440"/>
      <c r="C4440"/>
      <c r="D4440"/>
      <c r="E4440"/>
      <c r="F4440"/>
      <c r="G4440"/>
      <c r="H4440"/>
      <c r="I4440"/>
    </row>
    <row r="4441" spans="1:9" s="47" customFormat="1" ht="14.4" x14ac:dyDescent="0.3">
      <c r="A4441"/>
      <c r="B4441"/>
      <c r="C4441"/>
      <c r="D4441"/>
      <c r="E4441"/>
      <c r="F4441"/>
      <c r="G4441"/>
      <c r="H4441"/>
      <c r="I4441"/>
    </row>
    <row r="4442" spans="1:9" s="47" customFormat="1" ht="14.4" x14ac:dyDescent="0.3">
      <c r="A4442"/>
      <c r="B4442"/>
      <c r="C4442"/>
      <c r="D4442"/>
      <c r="E4442"/>
      <c r="F4442"/>
      <c r="G4442"/>
      <c r="H4442"/>
      <c r="I4442"/>
    </row>
    <row r="4443" spans="1:9" s="47" customFormat="1" ht="14.4" x14ac:dyDescent="0.3">
      <c r="A4443"/>
      <c r="B4443"/>
      <c r="C4443"/>
      <c r="D4443"/>
      <c r="E4443"/>
      <c r="F4443"/>
      <c r="G4443"/>
      <c r="H4443"/>
      <c r="I4443"/>
    </row>
    <row r="4444" spans="1:9" s="47" customFormat="1" ht="14.4" x14ac:dyDescent="0.3">
      <c r="A4444"/>
      <c r="B4444"/>
      <c r="C4444"/>
      <c r="D4444"/>
      <c r="E4444"/>
      <c r="F4444"/>
      <c r="G4444"/>
      <c r="H4444"/>
      <c r="I4444"/>
    </row>
    <row r="4445" spans="1:9" s="47" customFormat="1" ht="14.4" x14ac:dyDescent="0.3">
      <c r="A4445"/>
      <c r="B4445"/>
      <c r="C4445"/>
      <c r="D4445"/>
      <c r="E4445"/>
      <c r="F4445"/>
      <c r="G4445"/>
      <c r="H4445"/>
      <c r="I4445"/>
    </row>
    <row r="4446" spans="1:9" s="47" customFormat="1" ht="14.4" x14ac:dyDescent="0.3">
      <c r="A4446"/>
      <c r="B4446"/>
      <c r="C4446"/>
      <c r="D4446"/>
      <c r="E4446"/>
      <c r="F4446"/>
      <c r="G4446"/>
      <c r="H4446"/>
      <c r="I4446"/>
    </row>
    <row r="4447" spans="1:9" s="47" customFormat="1" ht="14.4" x14ac:dyDescent="0.3">
      <c r="A4447"/>
      <c r="B4447"/>
      <c r="C4447"/>
      <c r="D4447"/>
      <c r="E4447"/>
      <c r="F4447"/>
      <c r="G4447"/>
      <c r="H4447"/>
      <c r="I4447"/>
    </row>
    <row r="4448" spans="1:9" s="47" customFormat="1" ht="14.4" x14ac:dyDescent="0.3">
      <c r="A4448"/>
      <c r="B4448"/>
      <c r="C4448"/>
      <c r="D4448"/>
      <c r="E4448"/>
      <c r="F4448"/>
      <c r="G4448"/>
      <c r="H4448"/>
      <c r="I4448"/>
    </row>
    <row r="4449" spans="1:9" s="47" customFormat="1" ht="14.4" x14ac:dyDescent="0.3">
      <c r="A4449"/>
      <c r="B4449"/>
      <c r="C4449"/>
      <c r="D4449"/>
      <c r="E4449"/>
      <c r="F4449"/>
      <c r="G4449"/>
      <c r="H4449"/>
      <c r="I4449"/>
    </row>
    <row r="4450" spans="1:9" s="47" customFormat="1" ht="14.4" x14ac:dyDescent="0.3">
      <c r="A4450"/>
      <c r="B4450"/>
      <c r="C4450"/>
      <c r="D4450"/>
      <c r="E4450"/>
      <c r="F4450"/>
      <c r="G4450"/>
      <c r="H4450"/>
      <c r="I4450"/>
    </row>
    <row r="4451" spans="1:9" s="47" customFormat="1" ht="14.4" x14ac:dyDescent="0.3">
      <c r="A4451"/>
      <c r="B4451"/>
      <c r="C4451"/>
      <c r="D4451"/>
      <c r="E4451"/>
      <c r="F4451"/>
      <c r="G4451"/>
      <c r="H4451"/>
      <c r="I4451"/>
    </row>
    <row r="4452" spans="1:9" s="47" customFormat="1" ht="14.4" x14ac:dyDescent="0.3">
      <c r="A4452"/>
      <c r="B4452"/>
      <c r="C4452"/>
      <c r="D4452"/>
      <c r="E4452"/>
      <c r="F4452"/>
      <c r="G4452"/>
      <c r="H4452"/>
      <c r="I4452"/>
    </row>
    <row r="4453" spans="1:9" s="47" customFormat="1" ht="14.4" x14ac:dyDescent="0.3">
      <c r="A4453"/>
      <c r="B4453"/>
      <c r="C4453"/>
      <c r="D4453"/>
      <c r="E4453"/>
      <c r="F4453"/>
      <c r="G4453"/>
      <c r="H4453"/>
      <c r="I4453"/>
    </row>
    <row r="4454" spans="1:9" s="47" customFormat="1" ht="14.4" x14ac:dyDescent="0.3">
      <c r="A4454"/>
      <c r="B4454"/>
      <c r="C4454"/>
      <c r="D4454"/>
      <c r="E4454"/>
      <c r="F4454"/>
      <c r="G4454"/>
      <c r="H4454"/>
      <c r="I4454"/>
    </row>
    <row r="4455" spans="1:9" s="47" customFormat="1" ht="14.4" x14ac:dyDescent="0.3">
      <c r="A4455"/>
      <c r="B4455"/>
      <c r="C4455"/>
      <c r="D4455"/>
      <c r="E4455"/>
      <c r="F4455"/>
      <c r="G4455"/>
      <c r="H4455"/>
      <c r="I4455"/>
    </row>
    <row r="4456" spans="1:9" s="47" customFormat="1" ht="14.4" x14ac:dyDescent="0.3">
      <c r="A4456"/>
      <c r="B4456"/>
      <c r="C4456"/>
      <c r="D4456"/>
      <c r="E4456"/>
      <c r="F4456"/>
      <c r="G4456"/>
      <c r="H4456"/>
      <c r="I4456"/>
    </row>
    <row r="4457" spans="1:9" s="47" customFormat="1" ht="14.4" x14ac:dyDescent="0.3">
      <c r="A4457"/>
      <c r="B4457"/>
      <c r="C4457"/>
      <c r="D4457"/>
      <c r="E4457"/>
      <c r="F4457"/>
      <c r="G4457"/>
      <c r="H4457"/>
      <c r="I4457"/>
    </row>
    <row r="4458" spans="1:9" s="47" customFormat="1" ht="14.4" x14ac:dyDescent="0.3">
      <c r="A4458"/>
      <c r="B4458"/>
      <c r="C4458"/>
      <c r="D4458"/>
      <c r="E4458"/>
      <c r="F4458"/>
      <c r="G4458"/>
      <c r="H4458"/>
      <c r="I4458"/>
    </row>
    <row r="4459" spans="1:9" s="47" customFormat="1" ht="14.4" x14ac:dyDescent="0.3">
      <c r="A4459"/>
      <c r="B4459"/>
      <c r="C4459"/>
      <c r="D4459"/>
      <c r="E4459"/>
      <c r="F4459"/>
      <c r="G4459"/>
      <c r="H4459"/>
      <c r="I4459"/>
    </row>
    <row r="4460" spans="1:9" s="47" customFormat="1" ht="14.4" x14ac:dyDescent="0.3">
      <c r="A4460"/>
      <c r="B4460"/>
      <c r="C4460"/>
      <c r="D4460"/>
      <c r="E4460"/>
      <c r="F4460"/>
      <c r="G4460"/>
      <c r="H4460"/>
      <c r="I4460"/>
    </row>
    <row r="4461" spans="1:9" s="47" customFormat="1" ht="14.4" x14ac:dyDescent="0.3">
      <c r="A4461"/>
      <c r="B4461"/>
      <c r="C4461"/>
      <c r="D4461"/>
      <c r="E4461"/>
      <c r="F4461"/>
      <c r="G4461"/>
      <c r="H4461"/>
      <c r="I4461"/>
    </row>
    <row r="4462" spans="1:9" s="47" customFormat="1" ht="14.4" x14ac:dyDescent="0.3">
      <c r="A4462"/>
      <c r="B4462"/>
      <c r="C4462"/>
      <c r="D4462"/>
      <c r="E4462"/>
      <c r="F4462"/>
      <c r="G4462"/>
      <c r="H4462"/>
      <c r="I4462"/>
    </row>
    <row r="4463" spans="1:9" s="47" customFormat="1" ht="14.4" x14ac:dyDescent="0.3">
      <c r="A4463"/>
      <c r="B4463"/>
      <c r="C4463"/>
      <c r="D4463"/>
      <c r="E4463"/>
      <c r="F4463"/>
      <c r="G4463"/>
      <c r="H4463"/>
      <c r="I4463"/>
    </row>
    <row r="4464" spans="1:9" s="47" customFormat="1" ht="14.4" x14ac:dyDescent="0.3">
      <c r="A4464"/>
      <c r="B4464"/>
      <c r="C4464"/>
      <c r="D4464"/>
      <c r="E4464"/>
      <c r="F4464"/>
      <c r="G4464"/>
      <c r="H4464"/>
      <c r="I4464"/>
    </row>
    <row r="4465" spans="1:9" s="47" customFormat="1" ht="14.4" x14ac:dyDescent="0.3">
      <c r="A4465"/>
      <c r="B4465"/>
      <c r="C4465"/>
      <c r="D4465"/>
      <c r="E4465"/>
      <c r="F4465"/>
      <c r="G4465"/>
      <c r="H4465"/>
      <c r="I4465"/>
    </row>
    <row r="4466" spans="1:9" s="47" customFormat="1" ht="14.4" x14ac:dyDescent="0.3">
      <c r="A4466"/>
      <c r="B4466"/>
      <c r="C4466"/>
      <c r="D4466"/>
      <c r="E4466"/>
      <c r="F4466"/>
      <c r="G4466"/>
      <c r="H4466"/>
      <c r="I4466"/>
    </row>
    <row r="4467" spans="1:9" s="47" customFormat="1" ht="14.4" x14ac:dyDescent="0.3">
      <c r="A4467"/>
      <c r="B4467"/>
      <c r="C4467"/>
      <c r="D4467"/>
      <c r="E4467"/>
      <c r="F4467"/>
      <c r="G4467"/>
      <c r="H4467"/>
      <c r="I4467"/>
    </row>
    <row r="4468" spans="1:9" s="47" customFormat="1" ht="14.4" x14ac:dyDescent="0.3">
      <c r="A4468"/>
      <c r="B4468"/>
      <c r="C4468"/>
      <c r="D4468"/>
      <c r="E4468"/>
      <c r="F4468"/>
      <c r="G4468"/>
      <c r="H4468"/>
      <c r="I4468"/>
    </row>
    <row r="4469" spans="1:9" s="47" customFormat="1" ht="14.4" x14ac:dyDescent="0.3">
      <c r="A4469"/>
      <c r="B4469"/>
      <c r="C4469"/>
      <c r="D4469"/>
      <c r="E4469"/>
      <c r="F4469"/>
      <c r="G4469"/>
      <c r="H4469"/>
      <c r="I4469"/>
    </row>
    <row r="4470" spans="1:9" s="47" customFormat="1" ht="14.4" x14ac:dyDescent="0.3">
      <c r="A4470"/>
      <c r="B4470"/>
      <c r="C4470"/>
      <c r="D4470"/>
      <c r="E4470"/>
      <c r="F4470"/>
      <c r="G4470"/>
      <c r="H4470"/>
      <c r="I4470"/>
    </row>
    <row r="4471" spans="1:9" s="47" customFormat="1" ht="14.4" x14ac:dyDescent="0.3">
      <c r="A4471"/>
      <c r="B4471"/>
      <c r="C4471"/>
      <c r="D4471"/>
      <c r="E4471"/>
      <c r="F4471"/>
      <c r="G4471"/>
      <c r="H4471"/>
      <c r="I4471"/>
    </row>
    <row r="4472" spans="1:9" s="47" customFormat="1" ht="14.4" x14ac:dyDescent="0.3">
      <c r="A4472"/>
      <c r="B4472"/>
      <c r="C4472"/>
      <c r="D4472"/>
      <c r="E4472"/>
      <c r="F4472"/>
      <c r="G4472"/>
      <c r="H4472"/>
      <c r="I4472"/>
    </row>
    <row r="4473" spans="1:9" s="47" customFormat="1" ht="14.4" x14ac:dyDescent="0.3">
      <c r="A4473"/>
      <c r="B4473"/>
      <c r="C4473"/>
      <c r="D4473"/>
      <c r="E4473"/>
      <c r="F4473"/>
      <c r="G4473"/>
      <c r="H4473"/>
      <c r="I4473"/>
    </row>
    <row r="4474" spans="1:9" s="47" customFormat="1" ht="14.4" x14ac:dyDescent="0.3">
      <c r="A4474"/>
      <c r="B4474"/>
      <c r="C4474"/>
      <c r="D4474"/>
      <c r="E4474"/>
      <c r="F4474"/>
      <c r="G4474"/>
      <c r="H4474"/>
      <c r="I4474"/>
    </row>
    <row r="4475" spans="1:9" s="47" customFormat="1" ht="14.4" x14ac:dyDescent="0.3">
      <c r="A4475"/>
      <c r="B4475"/>
      <c r="C4475"/>
      <c r="D4475"/>
      <c r="E4475"/>
      <c r="F4475"/>
      <c r="G4475"/>
      <c r="H4475"/>
      <c r="I4475"/>
    </row>
    <row r="4476" spans="1:9" s="47" customFormat="1" ht="14.4" x14ac:dyDescent="0.3">
      <c r="A4476"/>
      <c r="B4476"/>
      <c r="C4476"/>
      <c r="D4476"/>
      <c r="E4476"/>
      <c r="F4476"/>
      <c r="G4476"/>
      <c r="H4476"/>
      <c r="I4476"/>
    </row>
    <row r="4477" spans="1:9" s="47" customFormat="1" ht="14.4" x14ac:dyDescent="0.3">
      <c r="A4477"/>
      <c r="B4477"/>
      <c r="C4477"/>
      <c r="D4477"/>
      <c r="E4477"/>
      <c r="F4477"/>
      <c r="G4477"/>
      <c r="H4477"/>
      <c r="I4477"/>
    </row>
    <row r="4478" spans="1:9" s="47" customFormat="1" ht="14.4" x14ac:dyDescent="0.3">
      <c r="A4478"/>
      <c r="B4478"/>
      <c r="C4478"/>
      <c r="D4478"/>
      <c r="E4478"/>
      <c r="F4478"/>
      <c r="G4478"/>
      <c r="H4478"/>
      <c r="I4478"/>
    </row>
    <row r="4479" spans="1:9" s="47" customFormat="1" ht="14.4" x14ac:dyDescent="0.3">
      <c r="A4479"/>
      <c r="B4479"/>
      <c r="C4479"/>
      <c r="D4479"/>
      <c r="E4479"/>
      <c r="F4479"/>
      <c r="G4479"/>
      <c r="H4479"/>
      <c r="I4479"/>
    </row>
    <row r="4480" spans="1:9" s="47" customFormat="1" ht="14.4" x14ac:dyDescent="0.3">
      <c r="A4480"/>
      <c r="B4480"/>
      <c r="C4480"/>
      <c r="D4480"/>
      <c r="E4480"/>
      <c r="F4480"/>
      <c r="G4480"/>
      <c r="H4480"/>
      <c r="I4480"/>
    </row>
    <row r="4481" spans="1:9" s="47" customFormat="1" ht="14.4" x14ac:dyDescent="0.3">
      <c r="A4481"/>
      <c r="B4481"/>
      <c r="C4481"/>
      <c r="D4481"/>
      <c r="E4481"/>
      <c r="F4481"/>
      <c r="G4481"/>
      <c r="H4481"/>
      <c r="I4481"/>
    </row>
    <row r="4482" spans="1:9" s="47" customFormat="1" ht="14.4" x14ac:dyDescent="0.3">
      <c r="A4482"/>
      <c r="B4482"/>
      <c r="C4482"/>
      <c r="D4482"/>
      <c r="E4482"/>
      <c r="F4482"/>
      <c r="G4482"/>
      <c r="H4482"/>
      <c r="I4482"/>
    </row>
    <row r="4483" spans="1:9" s="47" customFormat="1" ht="14.4" x14ac:dyDescent="0.3">
      <c r="A4483"/>
      <c r="B4483"/>
      <c r="C4483"/>
      <c r="D4483"/>
      <c r="E4483"/>
      <c r="F4483"/>
      <c r="G4483"/>
      <c r="H4483"/>
      <c r="I4483"/>
    </row>
    <row r="4484" spans="1:9" s="47" customFormat="1" ht="14.4" x14ac:dyDescent="0.3">
      <c r="A4484"/>
      <c r="B4484"/>
      <c r="C4484"/>
      <c r="D4484"/>
      <c r="E4484"/>
      <c r="F4484"/>
      <c r="G4484"/>
      <c r="H4484"/>
      <c r="I4484"/>
    </row>
    <row r="4485" spans="1:9" s="47" customFormat="1" ht="14.4" x14ac:dyDescent="0.3">
      <c r="A4485"/>
      <c r="B4485"/>
      <c r="C4485"/>
      <c r="D4485"/>
      <c r="E4485"/>
      <c r="F4485"/>
      <c r="G4485"/>
      <c r="H4485"/>
      <c r="I4485"/>
    </row>
    <row r="4486" spans="1:9" s="47" customFormat="1" ht="14.4" x14ac:dyDescent="0.3">
      <c r="A4486"/>
      <c r="B4486"/>
      <c r="C4486"/>
      <c r="D4486"/>
      <c r="E4486"/>
      <c r="F4486"/>
      <c r="G4486"/>
      <c r="H4486"/>
      <c r="I4486"/>
    </row>
    <row r="4487" spans="1:9" s="47" customFormat="1" ht="14.4" x14ac:dyDescent="0.3">
      <c r="A4487"/>
      <c r="B4487"/>
      <c r="C4487"/>
      <c r="D4487"/>
      <c r="E4487"/>
      <c r="F4487"/>
      <c r="G4487"/>
      <c r="H4487"/>
      <c r="I4487"/>
    </row>
    <row r="4488" spans="1:9" s="47" customFormat="1" ht="14.4" x14ac:dyDescent="0.3">
      <c r="A4488"/>
      <c r="B4488"/>
      <c r="C4488"/>
      <c r="D4488"/>
      <c r="E4488"/>
      <c r="F4488"/>
      <c r="G4488"/>
      <c r="H4488"/>
      <c r="I4488"/>
    </row>
    <row r="4489" spans="1:9" s="47" customFormat="1" ht="14.4" x14ac:dyDescent="0.3">
      <c r="A4489"/>
      <c r="B4489"/>
      <c r="C4489"/>
      <c r="D4489"/>
      <c r="E4489"/>
      <c r="F4489"/>
      <c r="G4489"/>
      <c r="H4489"/>
      <c r="I4489"/>
    </row>
    <row r="4490" spans="1:9" s="47" customFormat="1" ht="14.4" x14ac:dyDescent="0.3">
      <c r="A4490"/>
      <c r="B4490"/>
      <c r="C4490"/>
      <c r="D4490"/>
      <c r="E4490"/>
      <c r="F4490"/>
      <c r="G4490"/>
      <c r="H4490"/>
      <c r="I4490"/>
    </row>
    <row r="4491" spans="1:9" s="47" customFormat="1" ht="14.4" x14ac:dyDescent="0.3">
      <c r="A4491"/>
      <c r="B4491"/>
      <c r="C4491"/>
      <c r="D4491"/>
      <c r="E4491"/>
      <c r="F4491"/>
      <c r="G4491"/>
      <c r="H4491"/>
      <c r="I4491"/>
    </row>
    <row r="4492" spans="1:9" s="47" customFormat="1" ht="14.4" x14ac:dyDescent="0.3">
      <c r="A4492"/>
      <c r="B4492"/>
      <c r="C4492"/>
      <c r="D4492"/>
      <c r="E4492"/>
      <c r="F4492"/>
      <c r="G4492"/>
      <c r="H4492"/>
      <c r="I4492"/>
    </row>
    <row r="4493" spans="1:9" s="47" customFormat="1" ht="14.4" x14ac:dyDescent="0.3">
      <c r="A4493"/>
      <c r="B4493"/>
      <c r="C4493"/>
      <c r="D4493"/>
      <c r="E4493"/>
      <c r="F4493"/>
      <c r="G4493"/>
      <c r="H4493"/>
      <c r="I4493"/>
    </row>
    <row r="4494" spans="1:9" s="47" customFormat="1" ht="14.4" x14ac:dyDescent="0.3">
      <c r="A4494"/>
      <c r="B4494"/>
      <c r="C4494"/>
      <c r="D4494"/>
      <c r="E4494"/>
      <c r="F4494"/>
      <c r="G4494"/>
      <c r="H4494"/>
      <c r="I4494"/>
    </row>
    <row r="4495" spans="1:9" s="47" customFormat="1" ht="14.4" x14ac:dyDescent="0.3">
      <c r="A4495"/>
      <c r="B4495"/>
      <c r="C4495"/>
      <c r="D4495"/>
      <c r="E4495"/>
      <c r="F4495"/>
      <c r="G4495"/>
      <c r="H4495"/>
      <c r="I4495"/>
    </row>
    <row r="4496" spans="1:9" s="47" customFormat="1" ht="14.4" x14ac:dyDescent="0.3">
      <c r="A4496"/>
      <c r="B4496"/>
      <c r="C4496"/>
      <c r="D4496"/>
      <c r="E4496"/>
      <c r="F4496"/>
      <c r="G4496"/>
      <c r="H4496"/>
      <c r="I4496"/>
    </row>
    <row r="4497" spans="1:9" s="47" customFormat="1" ht="14.4" x14ac:dyDescent="0.3">
      <c r="A4497"/>
      <c r="B4497"/>
      <c r="C4497"/>
      <c r="D4497"/>
      <c r="E4497"/>
      <c r="F4497"/>
      <c r="G4497"/>
      <c r="H4497"/>
      <c r="I4497"/>
    </row>
    <row r="4498" spans="1:9" s="47" customFormat="1" ht="14.4" x14ac:dyDescent="0.3">
      <c r="A4498"/>
      <c r="B4498"/>
      <c r="C4498"/>
      <c r="D4498"/>
      <c r="E4498"/>
      <c r="F4498"/>
      <c r="G4498"/>
      <c r="H4498"/>
      <c r="I4498"/>
    </row>
    <row r="4499" spans="1:9" s="47" customFormat="1" ht="14.4" x14ac:dyDescent="0.3">
      <c r="A4499"/>
      <c r="B4499"/>
      <c r="C4499"/>
      <c r="D4499"/>
      <c r="E4499"/>
      <c r="F4499"/>
      <c r="G4499"/>
      <c r="H4499"/>
      <c r="I4499"/>
    </row>
    <row r="4500" spans="1:9" s="47" customFormat="1" ht="14.4" x14ac:dyDescent="0.3">
      <c r="A4500"/>
      <c r="B4500"/>
      <c r="C4500"/>
      <c r="D4500"/>
      <c r="E4500"/>
      <c r="F4500"/>
      <c r="G4500"/>
      <c r="H4500"/>
      <c r="I4500"/>
    </row>
    <row r="4501" spans="1:9" s="47" customFormat="1" ht="14.4" x14ac:dyDescent="0.3">
      <c r="A4501"/>
      <c r="B4501"/>
      <c r="C4501"/>
      <c r="D4501"/>
      <c r="E4501"/>
      <c r="F4501"/>
      <c r="G4501"/>
      <c r="H4501"/>
      <c r="I4501"/>
    </row>
    <row r="4502" spans="1:9" s="47" customFormat="1" ht="14.4" x14ac:dyDescent="0.3">
      <c r="A4502"/>
      <c r="B4502"/>
      <c r="C4502"/>
      <c r="D4502"/>
      <c r="E4502"/>
      <c r="F4502"/>
      <c r="G4502"/>
      <c r="H4502"/>
      <c r="I4502"/>
    </row>
    <row r="4503" spans="1:9" s="47" customFormat="1" ht="14.4" x14ac:dyDescent="0.3">
      <c r="A4503"/>
      <c r="B4503"/>
      <c r="C4503"/>
      <c r="D4503"/>
      <c r="E4503"/>
      <c r="F4503"/>
      <c r="G4503"/>
      <c r="H4503"/>
      <c r="I4503"/>
    </row>
    <row r="4504" spans="1:9" s="47" customFormat="1" ht="14.4" x14ac:dyDescent="0.3">
      <c r="A4504"/>
      <c r="B4504"/>
      <c r="C4504"/>
      <c r="D4504"/>
      <c r="E4504"/>
      <c r="F4504"/>
      <c r="G4504"/>
      <c r="H4504"/>
      <c r="I4504"/>
    </row>
    <row r="4505" spans="1:9" s="47" customFormat="1" ht="14.4" x14ac:dyDescent="0.3">
      <c r="A4505"/>
      <c r="B4505"/>
      <c r="C4505"/>
      <c r="D4505"/>
      <c r="E4505"/>
      <c r="F4505"/>
      <c r="G4505"/>
      <c r="H4505"/>
      <c r="I4505"/>
    </row>
    <row r="4506" spans="1:9" s="47" customFormat="1" ht="14.4" x14ac:dyDescent="0.3">
      <c r="A4506"/>
      <c r="B4506"/>
      <c r="C4506"/>
      <c r="D4506"/>
      <c r="E4506"/>
      <c r="F4506"/>
      <c r="G4506"/>
      <c r="H4506"/>
      <c r="I4506"/>
    </row>
    <row r="4507" spans="1:9" s="47" customFormat="1" ht="14.4" x14ac:dyDescent="0.3">
      <c r="A4507"/>
      <c r="B4507"/>
      <c r="C4507"/>
      <c r="D4507"/>
      <c r="E4507"/>
      <c r="F4507"/>
      <c r="G4507"/>
      <c r="H4507"/>
      <c r="I4507"/>
    </row>
    <row r="4508" spans="1:9" s="47" customFormat="1" ht="14.4" x14ac:dyDescent="0.3">
      <c r="A4508"/>
      <c r="B4508"/>
      <c r="C4508"/>
      <c r="D4508"/>
      <c r="E4508"/>
      <c r="F4508"/>
      <c r="G4508"/>
      <c r="H4508"/>
      <c r="I4508"/>
    </row>
    <row r="4509" spans="1:9" s="47" customFormat="1" ht="14.4" x14ac:dyDescent="0.3">
      <c r="A4509"/>
      <c r="B4509"/>
      <c r="C4509"/>
      <c r="D4509"/>
      <c r="E4509"/>
      <c r="F4509"/>
      <c r="G4509"/>
      <c r="H4509"/>
      <c r="I4509"/>
    </row>
    <row r="4510" spans="1:9" s="47" customFormat="1" ht="14.4" x14ac:dyDescent="0.3">
      <c r="A4510"/>
      <c r="B4510"/>
      <c r="C4510"/>
      <c r="D4510"/>
      <c r="E4510"/>
      <c r="F4510"/>
      <c r="G4510"/>
      <c r="H4510"/>
      <c r="I4510"/>
    </row>
    <row r="4511" spans="1:9" s="47" customFormat="1" ht="14.4" x14ac:dyDescent="0.3">
      <c r="A4511"/>
      <c r="B4511"/>
      <c r="C4511"/>
      <c r="D4511"/>
      <c r="E4511"/>
      <c r="F4511"/>
      <c r="G4511"/>
      <c r="H4511"/>
      <c r="I4511"/>
    </row>
    <row r="4512" spans="1:9" s="47" customFormat="1" ht="14.4" x14ac:dyDescent="0.3">
      <c r="A4512"/>
      <c r="B4512"/>
      <c r="C4512"/>
      <c r="D4512"/>
      <c r="E4512"/>
      <c r="F4512"/>
      <c r="G4512"/>
      <c r="H4512"/>
      <c r="I4512"/>
    </row>
    <row r="4513" spans="1:9" s="47" customFormat="1" ht="14.4" x14ac:dyDescent="0.3">
      <c r="A4513"/>
      <c r="B4513"/>
      <c r="C4513"/>
      <c r="D4513"/>
      <c r="E4513"/>
      <c r="F4513"/>
      <c r="G4513"/>
      <c r="H4513"/>
      <c r="I4513"/>
    </row>
    <row r="4514" spans="1:9" s="47" customFormat="1" ht="14.4" x14ac:dyDescent="0.3">
      <c r="A4514"/>
      <c r="B4514"/>
      <c r="C4514"/>
      <c r="D4514"/>
      <c r="E4514"/>
      <c r="F4514"/>
      <c r="G4514"/>
      <c r="H4514"/>
      <c r="I4514"/>
    </row>
    <row r="4515" spans="1:9" s="47" customFormat="1" ht="14.4" x14ac:dyDescent="0.3">
      <c r="A4515"/>
      <c r="B4515"/>
      <c r="C4515"/>
      <c r="D4515"/>
      <c r="E4515"/>
      <c r="F4515"/>
      <c r="G4515"/>
      <c r="H4515"/>
      <c r="I4515"/>
    </row>
    <row r="4516" spans="1:9" s="47" customFormat="1" ht="14.4" x14ac:dyDescent="0.3">
      <c r="A4516"/>
      <c r="B4516"/>
      <c r="C4516"/>
      <c r="D4516"/>
      <c r="E4516"/>
      <c r="F4516"/>
      <c r="G4516"/>
      <c r="H4516"/>
      <c r="I4516"/>
    </row>
    <row r="4517" spans="1:9" s="47" customFormat="1" ht="14.4" x14ac:dyDescent="0.3">
      <c r="A4517"/>
      <c r="B4517"/>
      <c r="C4517"/>
      <c r="D4517"/>
      <c r="E4517"/>
      <c r="F4517"/>
      <c r="G4517"/>
      <c r="H4517"/>
      <c r="I4517"/>
    </row>
    <row r="4518" spans="1:9" s="47" customFormat="1" ht="14.4" x14ac:dyDescent="0.3">
      <c r="A4518"/>
      <c r="B4518"/>
      <c r="C4518"/>
      <c r="D4518"/>
      <c r="E4518"/>
      <c r="F4518"/>
      <c r="G4518"/>
      <c r="H4518"/>
      <c r="I4518"/>
    </row>
    <row r="4519" spans="1:9" s="47" customFormat="1" ht="14.4" x14ac:dyDescent="0.3">
      <c r="A4519"/>
      <c r="B4519"/>
      <c r="C4519"/>
      <c r="D4519"/>
      <c r="E4519"/>
      <c r="F4519"/>
      <c r="G4519"/>
      <c r="H4519"/>
      <c r="I4519"/>
    </row>
    <row r="4520" spans="1:9" s="47" customFormat="1" ht="14.4" x14ac:dyDescent="0.3">
      <c r="A4520"/>
      <c r="B4520"/>
      <c r="C4520"/>
      <c r="D4520"/>
      <c r="E4520"/>
      <c r="F4520"/>
      <c r="G4520"/>
      <c r="H4520"/>
      <c r="I4520"/>
    </row>
    <row r="4521" spans="1:9" s="47" customFormat="1" ht="14.4" x14ac:dyDescent="0.3">
      <c r="A4521"/>
      <c r="B4521"/>
      <c r="C4521"/>
      <c r="D4521"/>
      <c r="E4521"/>
      <c r="F4521"/>
      <c r="G4521"/>
      <c r="H4521"/>
      <c r="I4521"/>
    </row>
    <row r="4522" spans="1:9" s="47" customFormat="1" ht="14.4" x14ac:dyDescent="0.3">
      <c r="A4522"/>
      <c r="B4522"/>
      <c r="C4522"/>
      <c r="D4522"/>
      <c r="E4522"/>
      <c r="F4522"/>
      <c r="G4522"/>
      <c r="H4522"/>
      <c r="I4522"/>
    </row>
    <row r="4523" spans="1:9" s="47" customFormat="1" ht="14.4" x14ac:dyDescent="0.3">
      <c r="A4523"/>
      <c r="B4523"/>
      <c r="C4523"/>
      <c r="D4523"/>
      <c r="E4523"/>
      <c r="F4523"/>
      <c r="G4523"/>
      <c r="H4523"/>
      <c r="I4523"/>
    </row>
    <row r="4524" spans="1:9" s="47" customFormat="1" ht="14.4" x14ac:dyDescent="0.3">
      <c r="A4524"/>
      <c r="B4524"/>
      <c r="C4524"/>
      <c r="D4524"/>
      <c r="E4524"/>
      <c r="F4524"/>
      <c r="G4524"/>
      <c r="H4524"/>
      <c r="I4524"/>
    </row>
    <row r="4525" spans="1:9" s="47" customFormat="1" ht="14.4" x14ac:dyDescent="0.3">
      <c r="A4525"/>
      <c r="B4525"/>
      <c r="C4525"/>
      <c r="D4525"/>
      <c r="E4525"/>
      <c r="F4525"/>
      <c r="G4525"/>
      <c r="H4525"/>
      <c r="I4525"/>
    </row>
    <row r="4526" spans="1:9" s="47" customFormat="1" ht="14.4" x14ac:dyDescent="0.3">
      <c r="A4526"/>
      <c r="B4526"/>
      <c r="C4526"/>
      <c r="D4526"/>
      <c r="E4526"/>
      <c r="F4526"/>
      <c r="G4526"/>
      <c r="H4526"/>
      <c r="I4526"/>
    </row>
    <row r="4527" spans="1:9" s="47" customFormat="1" ht="14.4" x14ac:dyDescent="0.3">
      <c r="A4527"/>
      <c r="B4527"/>
      <c r="C4527"/>
      <c r="D4527"/>
      <c r="E4527"/>
      <c r="F4527"/>
      <c r="G4527"/>
      <c r="H4527"/>
      <c r="I4527"/>
    </row>
    <row r="4528" spans="1:9" s="47" customFormat="1" ht="14.4" x14ac:dyDescent="0.3">
      <c r="A4528"/>
      <c r="B4528"/>
      <c r="C4528"/>
      <c r="D4528"/>
      <c r="E4528"/>
      <c r="F4528"/>
      <c r="G4528"/>
      <c r="H4528"/>
      <c r="I4528"/>
    </row>
    <row r="4529" spans="1:9" s="47" customFormat="1" ht="14.4" x14ac:dyDescent="0.3">
      <c r="A4529"/>
      <c r="B4529"/>
      <c r="C4529"/>
      <c r="D4529"/>
      <c r="E4529"/>
      <c r="F4529"/>
      <c r="G4529"/>
      <c r="H4529"/>
      <c r="I4529"/>
    </row>
    <row r="4530" spans="1:9" s="47" customFormat="1" ht="14.4" x14ac:dyDescent="0.3">
      <c r="A4530"/>
      <c r="B4530"/>
      <c r="C4530"/>
      <c r="D4530"/>
      <c r="E4530"/>
      <c r="F4530"/>
      <c r="G4530"/>
      <c r="H4530"/>
      <c r="I4530"/>
    </row>
    <row r="4531" spans="1:9" s="47" customFormat="1" ht="14.4" x14ac:dyDescent="0.3">
      <c r="A4531"/>
      <c r="B4531"/>
      <c r="C4531"/>
      <c r="D4531"/>
      <c r="E4531"/>
      <c r="F4531"/>
      <c r="G4531"/>
      <c r="H4531"/>
      <c r="I4531"/>
    </row>
    <row r="4532" spans="1:9" s="47" customFormat="1" ht="14.4" x14ac:dyDescent="0.3">
      <c r="A4532"/>
      <c r="B4532"/>
      <c r="C4532"/>
      <c r="D4532"/>
      <c r="E4532"/>
      <c r="F4532"/>
      <c r="G4532"/>
      <c r="H4532"/>
      <c r="I4532"/>
    </row>
    <row r="4533" spans="1:9" s="47" customFormat="1" ht="14.4" x14ac:dyDescent="0.3">
      <c r="A4533"/>
      <c r="B4533"/>
      <c r="C4533"/>
      <c r="D4533"/>
      <c r="E4533"/>
      <c r="F4533"/>
      <c r="G4533"/>
      <c r="H4533"/>
      <c r="I4533"/>
    </row>
    <row r="4534" spans="1:9" s="47" customFormat="1" ht="14.4" x14ac:dyDescent="0.3">
      <c r="A4534"/>
      <c r="B4534"/>
      <c r="C4534"/>
      <c r="D4534"/>
      <c r="E4534"/>
      <c r="F4534"/>
      <c r="G4534"/>
      <c r="H4534"/>
      <c r="I4534"/>
    </row>
    <row r="4535" spans="1:9" s="47" customFormat="1" ht="14.4" x14ac:dyDescent="0.3">
      <c r="A4535"/>
      <c r="B4535"/>
      <c r="C4535"/>
      <c r="D4535"/>
      <c r="E4535"/>
      <c r="F4535"/>
      <c r="G4535"/>
      <c r="H4535"/>
      <c r="I4535"/>
    </row>
    <row r="4536" spans="1:9" s="47" customFormat="1" ht="14.4" x14ac:dyDescent="0.3">
      <c r="A4536"/>
      <c r="B4536"/>
      <c r="C4536"/>
      <c r="D4536"/>
      <c r="E4536"/>
      <c r="F4536"/>
      <c r="G4536"/>
      <c r="H4536"/>
      <c r="I4536"/>
    </row>
    <row r="4537" spans="1:9" s="47" customFormat="1" ht="14.4" x14ac:dyDescent="0.3">
      <c r="A4537"/>
      <c r="B4537"/>
      <c r="C4537"/>
      <c r="D4537"/>
      <c r="E4537"/>
      <c r="F4537"/>
      <c r="G4537"/>
      <c r="H4537"/>
      <c r="I4537"/>
    </row>
    <row r="4538" spans="1:9" s="47" customFormat="1" ht="14.4" x14ac:dyDescent="0.3">
      <c r="A4538"/>
      <c r="B4538"/>
      <c r="C4538"/>
      <c r="D4538"/>
      <c r="E4538"/>
      <c r="F4538"/>
      <c r="G4538"/>
      <c r="H4538"/>
      <c r="I4538"/>
    </row>
    <row r="4539" spans="1:9" s="47" customFormat="1" ht="14.4" x14ac:dyDescent="0.3">
      <c r="A4539"/>
      <c r="B4539"/>
      <c r="C4539"/>
      <c r="D4539"/>
      <c r="E4539"/>
      <c r="F4539"/>
      <c r="G4539"/>
      <c r="H4539"/>
      <c r="I4539"/>
    </row>
    <row r="4540" spans="1:9" s="47" customFormat="1" ht="14.4" x14ac:dyDescent="0.3">
      <c r="A4540"/>
      <c r="B4540"/>
      <c r="C4540"/>
      <c r="D4540"/>
      <c r="E4540"/>
      <c r="F4540"/>
      <c r="G4540"/>
      <c r="H4540"/>
      <c r="I4540"/>
    </row>
    <row r="4541" spans="1:9" s="47" customFormat="1" ht="14.4" x14ac:dyDescent="0.3">
      <c r="A4541"/>
      <c r="B4541"/>
      <c r="C4541"/>
      <c r="D4541"/>
      <c r="E4541"/>
      <c r="F4541"/>
      <c r="G4541"/>
      <c r="H4541"/>
      <c r="I4541"/>
    </row>
    <row r="4542" spans="1:9" s="47" customFormat="1" ht="14.4" x14ac:dyDescent="0.3">
      <c r="A4542"/>
      <c r="B4542"/>
      <c r="C4542"/>
      <c r="D4542"/>
      <c r="E4542"/>
      <c r="F4542"/>
      <c r="G4542"/>
      <c r="H4542"/>
      <c r="I4542"/>
    </row>
    <row r="4543" spans="1:9" s="47" customFormat="1" ht="14.4" x14ac:dyDescent="0.3">
      <c r="A4543"/>
      <c r="B4543"/>
      <c r="C4543"/>
      <c r="D4543"/>
      <c r="E4543"/>
      <c r="F4543"/>
      <c r="G4543"/>
      <c r="H4543"/>
      <c r="I4543"/>
    </row>
    <row r="4544" spans="1:9" s="47" customFormat="1" ht="14.4" x14ac:dyDescent="0.3">
      <c r="A4544"/>
      <c r="B4544"/>
      <c r="C4544"/>
      <c r="D4544"/>
      <c r="E4544"/>
      <c r="F4544"/>
      <c r="G4544"/>
      <c r="H4544"/>
      <c r="I4544"/>
    </row>
    <row r="4545" spans="1:9" s="47" customFormat="1" ht="14.4" x14ac:dyDescent="0.3">
      <c r="A4545"/>
      <c r="B4545"/>
      <c r="C4545"/>
      <c r="D4545"/>
      <c r="E4545"/>
      <c r="F4545"/>
      <c r="G4545"/>
      <c r="H4545"/>
      <c r="I4545"/>
    </row>
    <row r="4546" spans="1:9" s="47" customFormat="1" ht="14.4" x14ac:dyDescent="0.3">
      <c r="A4546"/>
      <c r="B4546"/>
      <c r="C4546"/>
      <c r="D4546"/>
      <c r="E4546"/>
      <c r="F4546"/>
      <c r="G4546"/>
      <c r="H4546"/>
      <c r="I4546"/>
    </row>
    <row r="4547" spans="1:9" s="47" customFormat="1" ht="14.4" x14ac:dyDescent="0.3">
      <c r="A4547"/>
      <c r="B4547"/>
      <c r="C4547"/>
      <c r="D4547"/>
      <c r="E4547"/>
      <c r="F4547"/>
      <c r="G4547"/>
      <c r="H4547"/>
      <c r="I4547"/>
    </row>
    <row r="4548" spans="1:9" s="47" customFormat="1" ht="14.4" x14ac:dyDescent="0.3">
      <c r="A4548"/>
      <c r="B4548"/>
      <c r="C4548"/>
      <c r="D4548"/>
      <c r="E4548"/>
      <c r="F4548"/>
      <c r="G4548"/>
      <c r="H4548"/>
      <c r="I4548"/>
    </row>
    <row r="4549" spans="1:9" s="47" customFormat="1" ht="14.4" x14ac:dyDescent="0.3">
      <c r="A4549"/>
      <c r="B4549"/>
      <c r="C4549"/>
      <c r="D4549"/>
      <c r="E4549"/>
      <c r="F4549"/>
      <c r="G4549"/>
      <c r="H4549"/>
      <c r="I4549"/>
    </row>
    <row r="4550" spans="1:9" s="47" customFormat="1" ht="14.4" x14ac:dyDescent="0.3">
      <c r="A4550"/>
      <c r="B4550"/>
      <c r="C4550"/>
      <c r="D4550"/>
      <c r="E4550"/>
      <c r="F4550"/>
      <c r="G4550"/>
      <c r="H4550"/>
      <c r="I4550"/>
    </row>
    <row r="4551" spans="1:9" s="47" customFormat="1" ht="14.4" x14ac:dyDescent="0.3">
      <c r="A4551"/>
      <c r="B4551"/>
      <c r="C4551"/>
      <c r="D4551"/>
      <c r="E4551"/>
      <c r="F4551"/>
      <c r="G4551"/>
      <c r="H4551"/>
      <c r="I4551"/>
    </row>
    <row r="4552" spans="1:9" s="47" customFormat="1" ht="14.4" x14ac:dyDescent="0.3">
      <c r="A4552"/>
      <c r="B4552"/>
      <c r="C4552"/>
      <c r="D4552"/>
      <c r="E4552"/>
      <c r="F4552"/>
      <c r="G4552"/>
      <c r="H4552"/>
      <c r="I4552"/>
    </row>
    <row r="4553" spans="1:9" s="47" customFormat="1" ht="14.4" x14ac:dyDescent="0.3">
      <c r="A4553"/>
      <c r="B4553"/>
      <c r="C4553"/>
      <c r="D4553"/>
      <c r="E4553"/>
      <c r="F4553"/>
      <c r="G4553"/>
      <c r="H4553"/>
      <c r="I4553"/>
    </row>
    <row r="4554" spans="1:9" s="47" customFormat="1" ht="14.4" x14ac:dyDescent="0.3">
      <c r="A4554"/>
      <c r="B4554"/>
      <c r="C4554"/>
      <c r="D4554"/>
      <c r="E4554"/>
      <c r="F4554"/>
      <c r="G4554"/>
      <c r="H4554"/>
      <c r="I4554"/>
    </row>
    <row r="4555" spans="1:9" s="47" customFormat="1" ht="14.4" x14ac:dyDescent="0.3">
      <c r="A4555"/>
      <c r="B4555"/>
      <c r="C4555"/>
      <c r="D4555"/>
      <c r="E4555"/>
      <c r="F4555"/>
      <c r="G4555"/>
      <c r="H4555"/>
      <c r="I4555"/>
    </row>
    <row r="4556" spans="1:9" s="47" customFormat="1" ht="14.4" x14ac:dyDescent="0.3">
      <c r="A4556"/>
      <c r="B4556"/>
      <c r="C4556"/>
      <c r="D4556"/>
      <c r="E4556"/>
      <c r="F4556"/>
      <c r="G4556"/>
      <c r="H4556"/>
      <c r="I4556"/>
    </row>
    <row r="4557" spans="1:9" s="47" customFormat="1" ht="14.4" x14ac:dyDescent="0.3">
      <c r="A4557"/>
      <c r="B4557"/>
      <c r="C4557"/>
      <c r="D4557"/>
      <c r="E4557"/>
      <c r="F4557"/>
      <c r="G4557"/>
      <c r="H4557"/>
      <c r="I4557"/>
    </row>
    <row r="4558" spans="1:9" s="47" customFormat="1" ht="14.4" x14ac:dyDescent="0.3">
      <c r="A4558"/>
      <c r="B4558"/>
      <c r="C4558"/>
      <c r="D4558"/>
      <c r="E4558"/>
      <c r="F4558"/>
      <c r="G4558"/>
      <c r="H4558"/>
      <c r="I4558"/>
    </row>
    <row r="4559" spans="1:9" s="47" customFormat="1" ht="14.4" x14ac:dyDescent="0.3">
      <c r="A4559"/>
      <c r="B4559"/>
      <c r="C4559"/>
      <c r="D4559"/>
      <c r="E4559"/>
      <c r="F4559"/>
      <c r="G4559"/>
      <c r="H4559"/>
      <c r="I4559"/>
    </row>
    <row r="4560" spans="1:9" s="47" customFormat="1" ht="14.4" x14ac:dyDescent="0.3">
      <c r="A4560"/>
      <c r="B4560"/>
      <c r="C4560"/>
      <c r="D4560"/>
      <c r="E4560"/>
      <c r="F4560"/>
      <c r="G4560"/>
      <c r="H4560"/>
      <c r="I4560"/>
    </row>
    <row r="4561" spans="1:9" s="47" customFormat="1" ht="14.4" x14ac:dyDescent="0.3">
      <c r="A4561"/>
      <c r="B4561"/>
      <c r="C4561"/>
      <c r="D4561"/>
      <c r="E4561"/>
      <c r="F4561"/>
      <c r="G4561"/>
      <c r="H4561"/>
      <c r="I4561"/>
    </row>
    <row r="4562" spans="1:9" s="47" customFormat="1" ht="14.4" x14ac:dyDescent="0.3">
      <c r="A4562"/>
      <c r="B4562"/>
      <c r="C4562"/>
      <c r="D4562"/>
      <c r="E4562"/>
      <c r="F4562"/>
      <c r="G4562"/>
      <c r="H4562"/>
      <c r="I4562"/>
    </row>
    <row r="4563" spans="1:9" s="47" customFormat="1" ht="14.4" x14ac:dyDescent="0.3">
      <c r="A4563"/>
      <c r="B4563"/>
      <c r="C4563"/>
      <c r="D4563"/>
      <c r="E4563"/>
      <c r="F4563"/>
      <c r="G4563"/>
      <c r="H4563"/>
      <c r="I4563"/>
    </row>
    <row r="4564" spans="1:9" s="47" customFormat="1" ht="14.4" x14ac:dyDescent="0.3">
      <c r="A4564"/>
      <c r="B4564"/>
      <c r="C4564"/>
      <c r="D4564"/>
      <c r="E4564"/>
      <c r="F4564"/>
      <c r="G4564"/>
      <c r="H4564"/>
      <c r="I4564"/>
    </row>
    <row r="4565" spans="1:9" s="47" customFormat="1" ht="14.4" x14ac:dyDescent="0.3">
      <c r="A4565"/>
      <c r="B4565"/>
      <c r="C4565"/>
      <c r="D4565"/>
      <c r="E4565"/>
      <c r="F4565"/>
      <c r="G4565"/>
      <c r="H4565"/>
      <c r="I4565"/>
    </row>
    <row r="4566" spans="1:9" s="47" customFormat="1" ht="14.4" x14ac:dyDescent="0.3">
      <c r="A4566"/>
      <c r="B4566"/>
      <c r="C4566"/>
      <c r="D4566"/>
      <c r="E4566"/>
      <c r="F4566"/>
      <c r="G4566"/>
      <c r="H4566"/>
      <c r="I4566"/>
    </row>
    <row r="4567" spans="1:9" s="47" customFormat="1" ht="14.4" x14ac:dyDescent="0.3">
      <c r="A4567"/>
      <c r="B4567"/>
      <c r="C4567"/>
      <c r="D4567"/>
      <c r="E4567"/>
      <c r="F4567"/>
      <c r="G4567"/>
      <c r="H4567"/>
      <c r="I4567"/>
    </row>
    <row r="4568" spans="1:9" s="47" customFormat="1" ht="14.4" x14ac:dyDescent="0.3">
      <c r="A4568"/>
      <c r="B4568"/>
      <c r="C4568"/>
      <c r="D4568"/>
      <c r="E4568"/>
      <c r="F4568"/>
      <c r="G4568"/>
      <c r="H4568"/>
      <c r="I4568"/>
    </row>
    <row r="4569" spans="1:9" s="47" customFormat="1" ht="14.4" x14ac:dyDescent="0.3">
      <c r="A4569"/>
      <c r="B4569"/>
      <c r="C4569"/>
      <c r="D4569"/>
      <c r="E4569"/>
      <c r="F4569"/>
      <c r="G4569"/>
      <c r="H4569"/>
      <c r="I4569"/>
    </row>
    <row r="4570" spans="1:9" s="47" customFormat="1" ht="14.4" x14ac:dyDescent="0.3">
      <c r="A4570"/>
      <c r="B4570"/>
      <c r="C4570"/>
      <c r="D4570"/>
      <c r="E4570"/>
      <c r="F4570"/>
      <c r="G4570"/>
      <c r="H4570"/>
      <c r="I4570"/>
    </row>
    <row r="4571" spans="1:9" s="47" customFormat="1" ht="14.4" x14ac:dyDescent="0.3">
      <c r="A4571"/>
      <c r="B4571"/>
      <c r="C4571"/>
      <c r="D4571"/>
      <c r="E4571"/>
      <c r="F4571"/>
      <c r="G4571"/>
      <c r="H4571"/>
      <c r="I4571"/>
    </row>
    <row r="4572" spans="1:9" s="47" customFormat="1" ht="14.4" x14ac:dyDescent="0.3">
      <c r="A4572"/>
      <c r="B4572"/>
      <c r="C4572"/>
      <c r="D4572"/>
      <c r="E4572"/>
      <c r="F4572"/>
      <c r="G4572"/>
      <c r="H4572"/>
      <c r="I4572"/>
    </row>
    <row r="4573" spans="1:9" s="47" customFormat="1" ht="14.4" x14ac:dyDescent="0.3">
      <c r="A4573"/>
      <c r="B4573"/>
      <c r="C4573"/>
      <c r="D4573"/>
      <c r="E4573"/>
      <c r="F4573"/>
      <c r="G4573"/>
      <c r="H4573"/>
      <c r="I4573"/>
    </row>
    <row r="4574" spans="1:9" s="47" customFormat="1" ht="14.4" x14ac:dyDescent="0.3">
      <c r="A4574"/>
      <c r="B4574"/>
      <c r="C4574"/>
      <c r="D4574"/>
      <c r="E4574"/>
      <c r="F4574"/>
      <c r="G4574"/>
      <c r="H4574"/>
      <c r="I4574"/>
    </row>
    <row r="4575" spans="1:9" s="47" customFormat="1" ht="14.4" x14ac:dyDescent="0.3">
      <c r="A4575"/>
      <c r="B4575"/>
      <c r="C4575"/>
      <c r="D4575"/>
      <c r="E4575"/>
      <c r="F4575"/>
      <c r="G4575"/>
      <c r="H4575"/>
      <c r="I4575"/>
    </row>
    <row r="4576" spans="1:9" s="47" customFormat="1" ht="14.4" x14ac:dyDescent="0.3">
      <c r="A4576"/>
      <c r="B4576"/>
      <c r="C4576"/>
      <c r="D4576"/>
      <c r="E4576"/>
      <c r="F4576"/>
      <c r="G4576"/>
      <c r="H4576"/>
      <c r="I4576"/>
    </row>
    <row r="4577" spans="1:9" s="47" customFormat="1" ht="14.4" x14ac:dyDescent="0.3">
      <c r="A4577"/>
      <c r="B4577"/>
      <c r="C4577"/>
      <c r="D4577"/>
      <c r="E4577"/>
      <c r="F4577"/>
      <c r="G4577"/>
      <c r="H4577"/>
      <c r="I4577"/>
    </row>
    <row r="4578" spans="1:9" s="47" customFormat="1" ht="14.4" x14ac:dyDescent="0.3">
      <c r="A4578"/>
      <c r="B4578"/>
      <c r="C4578"/>
      <c r="D4578"/>
      <c r="E4578"/>
      <c r="F4578"/>
      <c r="G4578"/>
      <c r="H4578"/>
      <c r="I4578"/>
    </row>
    <row r="4579" spans="1:9" s="47" customFormat="1" ht="14.4" x14ac:dyDescent="0.3">
      <c r="A4579"/>
      <c r="B4579"/>
      <c r="C4579"/>
      <c r="D4579"/>
      <c r="E4579"/>
      <c r="F4579"/>
      <c r="G4579"/>
      <c r="H4579"/>
      <c r="I4579"/>
    </row>
    <row r="4580" spans="1:9" s="47" customFormat="1" ht="14.4" x14ac:dyDescent="0.3">
      <c r="A4580"/>
      <c r="B4580"/>
      <c r="C4580"/>
      <c r="D4580"/>
      <c r="E4580"/>
      <c r="F4580"/>
      <c r="G4580"/>
      <c r="H4580"/>
      <c r="I4580"/>
    </row>
    <row r="4581" spans="1:9" s="47" customFormat="1" ht="14.4" x14ac:dyDescent="0.3">
      <c r="A4581"/>
      <c r="B4581"/>
      <c r="C4581"/>
      <c r="D4581"/>
      <c r="E4581"/>
      <c r="F4581"/>
      <c r="G4581"/>
      <c r="H4581"/>
      <c r="I4581"/>
    </row>
    <row r="4582" spans="1:9" s="47" customFormat="1" ht="14.4" x14ac:dyDescent="0.3">
      <c r="A4582"/>
      <c r="B4582"/>
      <c r="C4582"/>
      <c r="D4582"/>
      <c r="E4582"/>
      <c r="F4582"/>
      <c r="G4582"/>
      <c r="H4582"/>
      <c r="I4582"/>
    </row>
    <row r="4583" spans="1:9" s="47" customFormat="1" ht="14.4" x14ac:dyDescent="0.3">
      <c r="A4583"/>
      <c r="B4583"/>
      <c r="C4583"/>
      <c r="D4583"/>
      <c r="E4583"/>
      <c r="F4583"/>
      <c r="G4583"/>
      <c r="H4583"/>
      <c r="I4583"/>
    </row>
    <row r="4584" spans="1:9" s="47" customFormat="1" ht="14.4" x14ac:dyDescent="0.3">
      <c r="A4584"/>
      <c r="B4584"/>
      <c r="C4584"/>
      <c r="D4584"/>
      <c r="E4584"/>
      <c r="F4584"/>
      <c r="G4584"/>
      <c r="H4584"/>
      <c r="I4584"/>
    </row>
    <row r="4585" spans="1:9" s="47" customFormat="1" ht="14.4" x14ac:dyDescent="0.3">
      <c r="A4585"/>
      <c r="B4585"/>
      <c r="C4585"/>
      <c r="D4585"/>
      <c r="E4585"/>
      <c r="F4585"/>
      <c r="G4585"/>
      <c r="H4585"/>
      <c r="I4585"/>
    </row>
    <row r="4586" spans="1:9" s="47" customFormat="1" ht="14.4" x14ac:dyDescent="0.3">
      <c r="A4586"/>
      <c r="B4586"/>
      <c r="C4586"/>
      <c r="D4586"/>
      <c r="E4586"/>
      <c r="F4586"/>
      <c r="G4586"/>
      <c r="H4586"/>
      <c r="I4586"/>
    </row>
    <row r="4587" spans="1:9" s="47" customFormat="1" ht="14.4" x14ac:dyDescent="0.3">
      <c r="A4587"/>
      <c r="B4587"/>
      <c r="C4587"/>
      <c r="D4587"/>
      <c r="E4587"/>
      <c r="F4587"/>
      <c r="G4587"/>
      <c r="H4587"/>
      <c r="I4587"/>
    </row>
    <row r="4588" spans="1:9" s="47" customFormat="1" ht="14.4" x14ac:dyDescent="0.3">
      <c r="A4588"/>
      <c r="B4588"/>
      <c r="C4588"/>
      <c r="D4588"/>
      <c r="E4588"/>
      <c r="F4588"/>
      <c r="G4588"/>
      <c r="H4588"/>
      <c r="I4588"/>
    </row>
    <row r="4589" spans="1:9" s="47" customFormat="1" ht="14.4" x14ac:dyDescent="0.3">
      <c r="A4589"/>
      <c r="B4589"/>
      <c r="C4589"/>
      <c r="D4589"/>
      <c r="E4589"/>
      <c r="F4589"/>
      <c r="G4589"/>
      <c r="H4589"/>
      <c r="I4589"/>
    </row>
    <row r="4590" spans="1:9" s="47" customFormat="1" ht="14.4" x14ac:dyDescent="0.3">
      <c r="A4590"/>
      <c r="B4590"/>
      <c r="C4590"/>
      <c r="D4590"/>
      <c r="E4590"/>
      <c r="F4590"/>
      <c r="G4590"/>
      <c r="H4590"/>
      <c r="I4590"/>
    </row>
    <row r="4591" spans="1:9" s="47" customFormat="1" ht="14.4" x14ac:dyDescent="0.3">
      <c r="A4591"/>
      <c r="B4591"/>
      <c r="C4591"/>
      <c r="D4591"/>
      <c r="E4591"/>
      <c r="F4591"/>
      <c r="G4591"/>
      <c r="H4591"/>
      <c r="I4591"/>
    </row>
    <row r="4592" spans="1:9" s="47" customFormat="1" ht="14.4" x14ac:dyDescent="0.3">
      <c r="A4592"/>
      <c r="B4592"/>
      <c r="C4592"/>
      <c r="D4592"/>
      <c r="E4592"/>
      <c r="F4592"/>
      <c r="G4592"/>
      <c r="H4592"/>
      <c r="I4592"/>
    </row>
    <row r="4593" spans="1:9" s="47" customFormat="1" ht="14.4" x14ac:dyDescent="0.3">
      <c r="A4593"/>
      <c r="B4593"/>
      <c r="C4593"/>
      <c r="D4593"/>
      <c r="E4593"/>
      <c r="F4593"/>
      <c r="G4593"/>
      <c r="H4593"/>
      <c r="I4593"/>
    </row>
    <row r="4594" spans="1:9" s="47" customFormat="1" ht="14.4" x14ac:dyDescent="0.3">
      <c r="A4594"/>
      <c r="B4594"/>
      <c r="C4594"/>
      <c r="D4594"/>
      <c r="E4594"/>
      <c r="F4594"/>
      <c r="G4594"/>
      <c r="H4594"/>
      <c r="I4594"/>
    </row>
    <row r="4595" spans="1:9" s="47" customFormat="1" ht="14.4" x14ac:dyDescent="0.3">
      <c r="A4595"/>
      <c r="B4595"/>
      <c r="C4595"/>
      <c r="D4595"/>
      <c r="E4595"/>
      <c r="F4595"/>
      <c r="G4595"/>
      <c r="H4595"/>
      <c r="I4595"/>
    </row>
    <row r="4596" spans="1:9" s="47" customFormat="1" ht="14.4" x14ac:dyDescent="0.3">
      <c r="A4596"/>
      <c r="B4596"/>
      <c r="C4596"/>
      <c r="D4596"/>
      <c r="E4596"/>
      <c r="F4596"/>
      <c r="G4596"/>
      <c r="H4596"/>
      <c r="I4596"/>
    </row>
    <row r="4597" spans="1:9" s="47" customFormat="1" ht="14.4" x14ac:dyDescent="0.3">
      <c r="A4597"/>
      <c r="B4597"/>
      <c r="C4597"/>
      <c r="D4597"/>
      <c r="E4597"/>
      <c r="F4597"/>
      <c r="G4597"/>
      <c r="H4597"/>
      <c r="I4597"/>
    </row>
    <row r="4598" spans="1:9" s="47" customFormat="1" ht="14.4" x14ac:dyDescent="0.3">
      <c r="A4598"/>
      <c r="B4598"/>
      <c r="C4598"/>
      <c r="D4598"/>
      <c r="E4598"/>
      <c r="F4598"/>
      <c r="G4598"/>
      <c r="H4598"/>
      <c r="I4598"/>
    </row>
    <row r="4599" spans="1:9" s="47" customFormat="1" ht="14.4" x14ac:dyDescent="0.3">
      <c r="A4599"/>
      <c r="B4599"/>
      <c r="C4599"/>
      <c r="D4599"/>
      <c r="E4599"/>
      <c r="F4599"/>
      <c r="G4599"/>
      <c r="H4599"/>
      <c r="I4599"/>
    </row>
    <row r="4600" spans="1:9" s="47" customFormat="1" ht="14.4" x14ac:dyDescent="0.3">
      <c r="A4600"/>
      <c r="B4600"/>
      <c r="C4600"/>
      <c r="D4600"/>
      <c r="E4600"/>
      <c r="F4600"/>
      <c r="G4600"/>
      <c r="H4600"/>
      <c r="I4600"/>
    </row>
    <row r="4601" spans="1:9" s="47" customFormat="1" ht="14.4" x14ac:dyDescent="0.3">
      <c r="A4601"/>
      <c r="B4601"/>
      <c r="C4601"/>
      <c r="D4601"/>
      <c r="E4601"/>
      <c r="F4601"/>
      <c r="G4601"/>
      <c r="H4601"/>
      <c r="I4601"/>
    </row>
    <row r="4602" spans="1:9" s="47" customFormat="1" ht="14.4" x14ac:dyDescent="0.3">
      <c r="A4602"/>
      <c r="B4602"/>
      <c r="C4602"/>
      <c r="D4602"/>
      <c r="E4602"/>
      <c r="F4602"/>
      <c r="G4602"/>
      <c r="H4602"/>
      <c r="I4602"/>
    </row>
    <row r="4603" spans="1:9" s="47" customFormat="1" ht="14.4" x14ac:dyDescent="0.3">
      <c r="A4603"/>
      <c r="B4603"/>
      <c r="C4603"/>
      <c r="D4603"/>
      <c r="E4603"/>
      <c r="F4603"/>
      <c r="G4603"/>
      <c r="H4603"/>
      <c r="I4603"/>
    </row>
    <row r="4604" spans="1:9" s="47" customFormat="1" ht="14.4" x14ac:dyDescent="0.3">
      <c r="A4604"/>
      <c r="B4604"/>
      <c r="C4604"/>
      <c r="D4604"/>
      <c r="E4604"/>
      <c r="F4604"/>
      <c r="G4604"/>
      <c r="H4604"/>
      <c r="I4604"/>
    </row>
    <row r="4605" spans="1:9" s="47" customFormat="1" ht="14.4" x14ac:dyDescent="0.3">
      <c r="A4605"/>
      <c r="B4605"/>
      <c r="C4605"/>
      <c r="D4605"/>
      <c r="E4605"/>
      <c r="F4605"/>
      <c r="G4605"/>
      <c r="H4605"/>
      <c r="I4605"/>
    </row>
    <row r="4606" spans="1:9" s="47" customFormat="1" ht="14.4" x14ac:dyDescent="0.3">
      <c r="A4606"/>
      <c r="B4606"/>
      <c r="C4606"/>
      <c r="D4606"/>
      <c r="E4606"/>
      <c r="F4606"/>
      <c r="G4606"/>
      <c r="H4606"/>
      <c r="I4606"/>
    </row>
    <row r="4607" spans="1:9" s="47" customFormat="1" ht="14.4" x14ac:dyDescent="0.3">
      <c r="A4607"/>
      <c r="B4607"/>
      <c r="C4607"/>
      <c r="D4607"/>
      <c r="E4607"/>
      <c r="F4607"/>
      <c r="G4607"/>
      <c r="H4607"/>
      <c r="I4607"/>
    </row>
    <row r="4608" spans="1:9" s="47" customFormat="1" ht="14.4" x14ac:dyDescent="0.3">
      <c r="A4608"/>
      <c r="B4608"/>
      <c r="C4608"/>
      <c r="D4608"/>
      <c r="E4608"/>
      <c r="F4608"/>
      <c r="G4608"/>
      <c r="H4608"/>
      <c r="I4608"/>
    </row>
    <row r="4609" spans="1:9" s="47" customFormat="1" ht="14.4" x14ac:dyDescent="0.3">
      <c r="A4609"/>
      <c r="B4609"/>
      <c r="C4609"/>
      <c r="D4609"/>
      <c r="E4609"/>
      <c r="F4609"/>
      <c r="G4609"/>
      <c r="H4609"/>
      <c r="I4609"/>
    </row>
    <row r="4610" spans="1:9" s="47" customFormat="1" ht="14.4" x14ac:dyDescent="0.3">
      <c r="A4610"/>
      <c r="B4610"/>
      <c r="C4610"/>
      <c r="D4610"/>
      <c r="E4610"/>
      <c r="F4610"/>
      <c r="G4610"/>
      <c r="H4610"/>
      <c r="I4610"/>
    </row>
    <row r="4611" spans="1:9" s="47" customFormat="1" ht="14.4" x14ac:dyDescent="0.3">
      <c r="A4611"/>
      <c r="B4611"/>
      <c r="C4611"/>
      <c r="D4611"/>
      <c r="E4611"/>
      <c r="F4611"/>
      <c r="G4611"/>
      <c r="H4611"/>
      <c r="I4611"/>
    </row>
    <row r="4612" spans="1:9" s="47" customFormat="1" ht="14.4" x14ac:dyDescent="0.3">
      <c r="A4612"/>
      <c r="B4612"/>
      <c r="C4612"/>
      <c r="D4612"/>
      <c r="E4612"/>
      <c r="F4612"/>
      <c r="G4612"/>
      <c r="H4612"/>
      <c r="I4612"/>
    </row>
    <row r="4613" spans="1:9" s="47" customFormat="1" ht="14.4" x14ac:dyDescent="0.3">
      <c r="A4613"/>
      <c r="B4613"/>
      <c r="C4613"/>
      <c r="D4613"/>
      <c r="E4613"/>
      <c r="F4613"/>
      <c r="G4613"/>
      <c r="H4613"/>
      <c r="I4613"/>
    </row>
    <row r="4614" spans="1:9" s="47" customFormat="1" ht="14.4" x14ac:dyDescent="0.3">
      <c r="A4614"/>
      <c r="B4614"/>
      <c r="C4614"/>
      <c r="D4614"/>
      <c r="E4614"/>
      <c r="F4614"/>
      <c r="G4614"/>
      <c r="H4614"/>
      <c r="I4614"/>
    </row>
    <row r="4615" spans="1:9" s="47" customFormat="1" ht="14.4" x14ac:dyDescent="0.3">
      <c r="A4615"/>
      <c r="B4615"/>
      <c r="C4615"/>
      <c r="D4615"/>
      <c r="E4615"/>
      <c r="F4615"/>
      <c r="G4615"/>
      <c r="H4615"/>
      <c r="I4615"/>
    </row>
    <row r="4616" spans="1:9" s="47" customFormat="1" ht="14.4" x14ac:dyDescent="0.3">
      <c r="A4616"/>
      <c r="B4616"/>
      <c r="C4616"/>
      <c r="D4616"/>
      <c r="E4616"/>
      <c r="F4616"/>
      <c r="G4616"/>
      <c r="H4616"/>
      <c r="I4616"/>
    </row>
    <row r="4617" spans="1:9" s="47" customFormat="1" ht="14.4" x14ac:dyDescent="0.3">
      <c r="A4617"/>
      <c r="B4617"/>
      <c r="C4617"/>
      <c r="D4617"/>
      <c r="E4617"/>
      <c r="F4617"/>
      <c r="G4617"/>
      <c r="H4617"/>
      <c r="I4617"/>
    </row>
    <row r="4618" spans="1:9" s="47" customFormat="1" ht="14.4" x14ac:dyDescent="0.3">
      <c r="A4618"/>
      <c r="B4618"/>
      <c r="C4618"/>
      <c r="D4618"/>
      <c r="E4618"/>
      <c r="F4618"/>
      <c r="G4618"/>
      <c r="H4618"/>
      <c r="I4618"/>
    </row>
    <row r="4619" spans="1:9" s="47" customFormat="1" ht="14.4" x14ac:dyDescent="0.3">
      <c r="A4619"/>
      <c r="B4619"/>
      <c r="C4619"/>
      <c r="D4619"/>
      <c r="E4619"/>
      <c r="F4619"/>
      <c r="G4619"/>
      <c r="H4619"/>
      <c r="I4619"/>
    </row>
    <row r="4620" spans="1:9" s="47" customFormat="1" ht="14.4" x14ac:dyDescent="0.3">
      <c r="A4620"/>
      <c r="B4620"/>
      <c r="C4620"/>
      <c r="D4620"/>
      <c r="E4620"/>
      <c r="F4620"/>
      <c r="G4620"/>
      <c r="H4620"/>
      <c r="I4620"/>
    </row>
    <row r="4621" spans="1:9" s="47" customFormat="1" ht="14.4" x14ac:dyDescent="0.3">
      <c r="A4621"/>
      <c r="B4621"/>
      <c r="C4621"/>
      <c r="D4621"/>
      <c r="E4621"/>
      <c r="F4621"/>
      <c r="G4621"/>
      <c r="H4621"/>
      <c r="I4621"/>
    </row>
    <row r="4622" spans="1:9" s="47" customFormat="1" ht="14.4" x14ac:dyDescent="0.3">
      <c r="A4622"/>
      <c r="B4622"/>
      <c r="C4622"/>
      <c r="D4622"/>
      <c r="E4622"/>
      <c r="F4622"/>
      <c r="G4622"/>
      <c r="H4622"/>
      <c r="I4622"/>
    </row>
    <row r="4623" spans="1:9" s="47" customFormat="1" ht="14.4" x14ac:dyDescent="0.3">
      <c r="A4623"/>
      <c r="B4623"/>
      <c r="C4623"/>
      <c r="D4623"/>
      <c r="E4623"/>
      <c r="F4623"/>
      <c r="G4623"/>
      <c r="H4623"/>
      <c r="I4623"/>
    </row>
    <row r="4624" spans="1:9" s="47" customFormat="1" ht="14.4" x14ac:dyDescent="0.3">
      <c r="A4624"/>
      <c r="B4624"/>
      <c r="C4624"/>
      <c r="D4624"/>
      <c r="E4624"/>
      <c r="F4624"/>
      <c r="G4624"/>
      <c r="H4624"/>
      <c r="I4624"/>
    </row>
    <row r="4625" spans="1:9" s="47" customFormat="1" ht="14.4" x14ac:dyDescent="0.3">
      <c r="A4625"/>
      <c r="B4625"/>
      <c r="C4625"/>
      <c r="D4625"/>
      <c r="E4625"/>
      <c r="F4625"/>
      <c r="G4625"/>
      <c r="H4625"/>
      <c r="I4625"/>
    </row>
    <row r="4626" spans="1:9" s="47" customFormat="1" ht="14.4" x14ac:dyDescent="0.3">
      <c r="A4626"/>
      <c r="B4626"/>
      <c r="C4626"/>
      <c r="D4626"/>
      <c r="E4626"/>
      <c r="F4626"/>
      <c r="G4626"/>
      <c r="H4626"/>
      <c r="I4626"/>
    </row>
    <row r="4627" spans="1:9" s="47" customFormat="1" ht="14.4" x14ac:dyDescent="0.3">
      <c r="A4627"/>
      <c r="B4627"/>
      <c r="C4627"/>
      <c r="D4627"/>
      <c r="E4627"/>
      <c r="F4627"/>
      <c r="G4627"/>
      <c r="H4627"/>
      <c r="I4627"/>
    </row>
    <row r="4628" spans="1:9" s="47" customFormat="1" ht="14.4" x14ac:dyDescent="0.3">
      <c r="A4628"/>
      <c r="B4628"/>
      <c r="C4628"/>
      <c r="D4628"/>
      <c r="E4628"/>
      <c r="F4628"/>
      <c r="G4628"/>
      <c r="H4628"/>
      <c r="I4628"/>
    </row>
    <row r="4629" spans="1:9" s="47" customFormat="1" ht="14.4" x14ac:dyDescent="0.3">
      <c r="A4629"/>
      <c r="B4629"/>
      <c r="C4629"/>
      <c r="D4629"/>
      <c r="E4629"/>
      <c r="F4629"/>
      <c r="G4629"/>
      <c r="H4629"/>
      <c r="I4629"/>
    </row>
    <row r="4630" spans="1:9" s="47" customFormat="1" ht="14.4" x14ac:dyDescent="0.3">
      <c r="A4630"/>
      <c r="B4630"/>
      <c r="C4630"/>
      <c r="D4630"/>
      <c r="E4630"/>
      <c r="F4630"/>
      <c r="G4630"/>
      <c r="H4630"/>
      <c r="I4630"/>
    </row>
    <row r="4631" spans="1:9" s="47" customFormat="1" ht="14.4" x14ac:dyDescent="0.3">
      <c r="A4631"/>
      <c r="B4631"/>
      <c r="C4631"/>
      <c r="D4631"/>
      <c r="E4631"/>
      <c r="F4631"/>
      <c r="G4631"/>
      <c r="H4631"/>
      <c r="I4631"/>
    </row>
    <row r="4632" spans="1:9" s="47" customFormat="1" ht="14.4" x14ac:dyDescent="0.3">
      <c r="A4632"/>
      <c r="B4632"/>
      <c r="C4632"/>
      <c r="D4632"/>
      <c r="E4632"/>
      <c r="F4632"/>
      <c r="G4632"/>
      <c r="H4632"/>
      <c r="I4632"/>
    </row>
    <row r="4633" spans="1:9" s="47" customFormat="1" ht="14.4" x14ac:dyDescent="0.3">
      <c r="A4633"/>
      <c r="B4633"/>
      <c r="C4633"/>
      <c r="D4633"/>
      <c r="E4633"/>
      <c r="F4633"/>
      <c r="G4633"/>
      <c r="H4633"/>
      <c r="I4633"/>
    </row>
    <row r="4634" spans="1:9" s="47" customFormat="1" ht="14.4" x14ac:dyDescent="0.3">
      <c r="A4634"/>
      <c r="B4634"/>
      <c r="C4634"/>
      <c r="D4634"/>
      <c r="E4634"/>
      <c r="F4634"/>
      <c r="G4634"/>
      <c r="H4634"/>
      <c r="I4634"/>
    </row>
    <row r="4635" spans="1:9" s="47" customFormat="1" ht="14.4" x14ac:dyDescent="0.3">
      <c r="A4635"/>
      <c r="B4635"/>
      <c r="C4635"/>
      <c r="D4635"/>
      <c r="E4635"/>
      <c r="F4635"/>
      <c r="G4635"/>
      <c r="H4635"/>
      <c r="I4635"/>
    </row>
    <row r="4636" spans="1:9" s="47" customFormat="1" ht="14.4" x14ac:dyDescent="0.3">
      <c r="A4636"/>
      <c r="B4636"/>
      <c r="C4636"/>
      <c r="D4636"/>
      <c r="E4636"/>
      <c r="F4636"/>
      <c r="G4636"/>
      <c r="H4636"/>
      <c r="I4636"/>
    </row>
    <row r="4637" spans="1:9" s="47" customFormat="1" ht="14.4" x14ac:dyDescent="0.3">
      <c r="A4637"/>
      <c r="B4637"/>
      <c r="C4637"/>
      <c r="D4637"/>
      <c r="E4637"/>
      <c r="F4637"/>
      <c r="G4637"/>
      <c r="H4637"/>
      <c r="I4637"/>
    </row>
    <row r="4638" spans="1:9" s="47" customFormat="1" ht="14.4" x14ac:dyDescent="0.3">
      <c r="A4638"/>
      <c r="B4638"/>
      <c r="C4638"/>
      <c r="D4638"/>
      <c r="E4638"/>
      <c r="F4638"/>
      <c r="G4638"/>
      <c r="H4638"/>
      <c r="I4638"/>
    </row>
    <row r="4639" spans="1:9" s="47" customFormat="1" ht="14.4" x14ac:dyDescent="0.3">
      <c r="A4639"/>
      <c r="B4639"/>
      <c r="C4639"/>
      <c r="D4639"/>
      <c r="E4639"/>
      <c r="F4639"/>
      <c r="G4639"/>
      <c r="H4639"/>
      <c r="I4639"/>
    </row>
    <row r="4640" spans="1:9" s="47" customFormat="1" ht="14.4" x14ac:dyDescent="0.3">
      <c r="A4640"/>
      <c r="B4640"/>
      <c r="C4640"/>
      <c r="D4640"/>
      <c r="E4640"/>
      <c r="F4640"/>
      <c r="G4640"/>
      <c r="H4640"/>
      <c r="I4640"/>
    </row>
    <row r="4641" spans="1:9" s="47" customFormat="1" ht="14.4" x14ac:dyDescent="0.3">
      <c r="A4641"/>
      <c r="B4641"/>
      <c r="C4641"/>
      <c r="D4641"/>
      <c r="E4641"/>
      <c r="F4641"/>
      <c r="G4641"/>
      <c r="H4641"/>
      <c r="I4641"/>
    </row>
    <row r="4642" spans="1:9" s="47" customFormat="1" ht="14.4" x14ac:dyDescent="0.3">
      <c r="A4642"/>
      <c r="B4642"/>
      <c r="C4642"/>
      <c r="D4642"/>
      <c r="E4642"/>
      <c r="F4642"/>
      <c r="G4642"/>
      <c r="H4642"/>
      <c r="I4642"/>
    </row>
    <row r="4643" spans="1:9" s="47" customFormat="1" ht="14.4" x14ac:dyDescent="0.3">
      <c r="A4643"/>
      <c r="B4643"/>
      <c r="C4643"/>
      <c r="D4643"/>
      <c r="E4643"/>
      <c r="F4643"/>
      <c r="G4643"/>
      <c r="H4643"/>
      <c r="I4643"/>
    </row>
    <row r="4644" spans="1:9" s="47" customFormat="1" ht="14.4" x14ac:dyDescent="0.3">
      <c r="A4644"/>
      <c r="B4644"/>
      <c r="C4644"/>
      <c r="D4644"/>
      <c r="E4644"/>
      <c r="F4644"/>
      <c r="G4644"/>
      <c r="H4644"/>
      <c r="I4644"/>
    </row>
    <row r="4645" spans="1:9" s="47" customFormat="1" ht="14.4" x14ac:dyDescent="0.3">
      <c r="A4645"/>
      <c r="B4645"/>
      <c r="C4645"/>
      <c r="D4645"/>
      <c r="E4645"/>
      <c r="F4645"/>
      <c r="G4645"/>
      <c r="H4645"/>
      <c r="I4645"/>
    </row>
    <row r="4646" spans="1:9" s="47" customFormat="1" ht="14.4" x14ac:dyDescent="0.3">
      <c r="A4646"/>
      <c r="B4646"/>
      <c r="C4646"/>
      <c r="D4646"/>
      <c r="E4646"/>
      <c r="F4646"/>
      <c r="G4646"/>
      <c r="H4646"/>
      <c r="I4646"/>
    </row>
    <row r="4647" spans="1:9" s="47" customFormat="1" ht="14.4" x14ac:dyDescent="0.3">
      <c r="A4647"/>
      <c r="B4647"/>
      <c r="C4647"/>
      <c r="D4647"/>
      <c r="E4647"/>
      <c r="F4647"/>
      <c r="G4647"/>
      <c r="H4647"/>
      <c r="I4647"/>
    </row>
    <row r="4648" spans="1:9" s="47" customFormat="1" ht="14.4" x14ac:dyDescent="0.3">
      <c r="A4648"/>
      <c r="B4648"/>
      <c r="C4648"/>
      <c r="D4648"/>
      <c r="E4648"/>
      <c r="F4648"/>
      <c r="G4648"/>
      <c r="H4648"/>
      <c r="I4648"/>
    </row>
    <row r="4649" spans="1:9" s="47" customFormat="1" ht="14.4" x14ac:dyDescent="0.3">
      <c r="A4649"/>
      <c r="B4649"/>
      <c r="C4649"/>
      <c r="D4649"/>
      <c r="E4649"/>
      <c r="F4649"/>
      <c r="G4649"/>
      <c r="H4649"/>
      <c r="I4649"/>
    </row>
    <row r="4650" spans="1:9" s="47" customFormat="1" ht="14.4" x14ac:dyDescent="0.3">
      <c r="A4650"/>
      <c r="B4650"/>
      <c r="C4650"/>
      <c r="D4650"/>
      <c r="E4650"/>
      <c r="F4650"/>
      <c r="G4650"/>
      <c r="H4650"/>
      <c r="I4650"/>
    </row>
    <row r="4651" spans="1:9" s="47" customFormat="1" ht="14.4" x14ac:dyDescent="0.3">
      <c r="A4651"/>
      <c r="B4651"/>
      <c r="C4651"/>
      <c r="D4651"/>
      <c r="E4651"/>
      <c r="F4651"/>
      <c r="G4651"/>
      <c r="H4651"/>
      <c r="I4651"/>
    </row>
    <row r="4652" spans="1:9" s="47" customFormat="1" ht="14.4" x14ac:dyDescent="0.3">
      <c r="A4652"/>
      <c r="B4652"/>
      <c r="C4652"/>
      <c r="D4652"/>
      <c r="E4652"/>
      <c r="F4652"/>
      <c r="G4652"/>
      <c r="H4652"/>
      <c r="I4652"/>
    </row>
    <row r="4653" spans="1:9" s="47" customFormat="1" ht="14.4" x14ac:dyDescent="0.3">
      <c r="A4653"/>
      <c r="B4653"/>
      <c r="C4653"/>
      <c r="D4653"/>
      <c r="E4653"/>
      <c r="F4653"/>
      <c r="G4653"/>
      <c r="H4653"/>
      <c r="I4653"/>
    </row>
    <row r="4654" spans="1:9" s="47" customFormat="1" ht="14.4" x14ac:dyDescent="0.3">
      <c r="A4654"/>
      <c r="B4654"/>
      <c r="C4654"/>
      <c r="D4654"/>
      <c r="E4654"/>
      <c r="F4654"/>
      <c r="G4654"/>
      <c r="H4654"/>
      <c r="I4654"/>
    </row>
    <row r="4655" spans="1:9" s="47" customFormat="1" ht="14.4" x14ac:dyDescent="0.3">
      <c r="A4655"/>
      <c r="B4655"/>
      <c r="C4655"/>
      <c r="D4655"/>
      <c r="E4655"/>
      <c r="F4655"/>
      <c r="G4655"/>
      <c r="H4655"/>
      <c r="I4655"/>
    </row>
    <row r="4656" spans="1:9" s="47" customFormat="1" ht="14.4" x14ac:dyDescent="0.3">
      <c r="A4656"/>
      <c r="B4656"/>
      <c r="C4656"/>
      <c r="D4656"/>
      <c r="E4656"/>
      <c r="F4656"/>
      <c r="G4656"/>
      <c r="H4656"/>
      <c r="I4656"/>
    </row>
    <row r="4657" spans="1:9" s="47" customFormat="1" ht="14.4" x14ac:dyDescent="0.3">
      <c r="A4657"/>
      <c r="B4657"/>
      <c r="C4657"/>
      <c r="D4657"/>
      <c r="E4657"/>
      <c r="F4657"/>
      <c r="G4657"/>
      <c r="H4657"/>
      <c r="I4657"/>
    </row>
    <row r="4658" spans="1:9" s="47" customFormat="1" ht="14.4" x14ac:dyDescent="0.3">
      <c r="A4658"/>
      <c r="B4658"/>
      <c r="C4658"/>
      <c r="D4658"/>
      <c r="E4658"/>
      <c r="F4658"/>
      <c r="G4658"/>
      <c r="H4658"/>
      <c r="I4658"/>
    </row>
    <row r="4659" spans="1:9" s="47" customFormat="1" ht="14.4" x14ac:dyDescent="0.3">
      <c r="A4659"/>
      <c r="B4659"/>
      <c r="C4659"/>
      <c r="D4659"/>
      <c r="E4659"/>
      <c r="F4659"/>
      <c r="G4659"/>
      <c r="H4659"/>
      <c r="I4659"/>
    </row>
    <row r="4660" spans="1:9" s="47" customFormat="1" ht="14.4" x14ac:dyDescent="0.3">
      <c r="A4660"/>
      <c r="B4660"/>
      <c r="C4660"/>
      <c r="D4660"/>
      <c r="E4660"/>
      <c r="F4660"/>
      <c r="G4660"/>
      <c r="H4660"/>
      <c r="I4660"/>
    </row>
    <row r="4661" spans="1:9" s="47" customFormat="1" ht="14.4" x14ac:dyDescent="0.3">
      <c r="A4661"/>
      <c r="B4661"/>
      <c r="C4661"/>
      <c r="D4661"/>
      <c r="E4661"/>
      <c r="F4661"/>
      <c r="G4661"/>
      <c r="H4661"/>
      <c r="I4661"/>
    </row>
    <row r="4662" spans="1:9" s="47" customFormat="1" ht="14.4" x14ac:dyDescent="0.3">
      <c r="A4662"/>
      <c r="B4662"/>
      <c r="C4662"/>
      <c r="D4662"/>
      <c r="E4662"/>
      <c r="F4662"/>
      <c r="G4662"/>
      <c r="H4662"/>
      <c r="I4662"/>
    </row>
    <row r="4663" spans="1:9" s="47" customFormat="1" ht="14.4" x14ac:dyDescent="0.3">
      <c r="A4663"/>
      <c r="B4663"/>
      <c r="C4663"/>
      <c r="D4663"/>
      <c r="E4663"/>
      <c r="F4663"/>
      <c r="G4663"/>
      <c r="H4663"/>
      <c r="I4663"/>
    </row>
    <row r="4664" spans="1:9" s="47" customFormat="1" ht="14.4" hidden="1" x14ac:dyDescent="0.3">
      <c r="A4664"/>
      <c r="B4664" t="s">
        <v>409</v>
      </c>
      <c r="C4664"/>
      <c r="D4664"/>
      <c r="E4664"/>
      <c r="F4664"/>
      <c r="G4664"/>
      <c r="H4664"/>
      <c r="I4664"/>
    </row>
    <row r="4665" spans="1:9" s="47" customFormat="1" ht="14.4" hidden="1" x14ac:dyDescent="0.3">
      <c r="A4665"/>
      <c r="B4665" t="s">
        <v>410</v>
      </c>
      <c r="C4665"/>
      <c r="D4665"/>
      <c r="E4665"/>
      <c r="F4665"/>
      <c r="G4665"/>
      <c r="H4665"/>
      <c r="I4665"/>
    </row>
    <row r="4666" spans="1:9" s="47" customFormat="1" ht="14.4" hidden="1" x14ac:dyDescent="0.3">
      <c r="A4666"/>
      <c r="B4666" t="s">
        <v>411</v>
      </c>
      <c r="C4666"/>
      <c r="D4666"/>
      <c r="E4666"/>
      <c r="F4666"/>
      <c r="G4666"/>
      <c r="H4666"/>
      <c r="I4666"/>
    </row>
    <row r="4667" spans="1:9" s="47" customFormat="1" ht="14.4" hidden="1" x14ac:dyDescent="0.3">
      <c r="A4667"/>
      <c r="B4667" t="s">
        <v>412</v>
      </c>
      <c r="C4667"/>
      <c r="D4667"/>
      <c r="E4667"/>
      <c r="F4667"/>
      <c r="G4667"/>
      <c r="H4667"/>
      <c r="I4667"/>
    </row>
    <row r="4668" spans="1:9" s="47" customFormat="1" ht="14.4" hidden="1" x14ac:dyDescent="0.3">
      <c r="A4668"/>
      <c r="B4668" t="s">
        <v>413</v>
      </c>
      <c r="C4668"/>
      <c r="D4668"/>
      <c r="E4668"/>
      <c r="F4668"/>
      <c r="G4668"/>
      <c r="H4668"/>
      <c r="I4668"/>
    </row>
    <row r="4669" spans="1:9" s="47" customFormat="1" ht="14.4" hidden="1" x14ac:dyDescent="0.3">
      <c r="A4669"/>
      <c r="B4669" t="s">
        <v>414</v>
      </c>
      <c r="C4669"/>
      <c r="D4669"/>
      <c r="E4669"/>
      <c r="F4669"/>
      <c r="G4669"/>
      <c r="H4669"/>
      <c r="I4669"/>
    </row>
    <row r="4670" spans="1:9" ht="14.4" hidden="1" x14ac:dyDescent="0.3">
      <c r="B4670" t="s">
        <v>415</v>
      </c>
    </row>
    <row r="4671" spans="1:9" ht="14.4" hidden="1" x14ac:dyDescent="0.3">
      <c r="B4671" t="s">
        <v>416</v>
      </c>
    </row>
    <row r="4672" spans="1:9" ht="14.4" hidden="1" x14ac:dyDescent="0.3">
      <c r="B4672" t="s">
        <v>1303</v>
      </c>
    </row>
    <row r="4673" spans="2:2" ht="14.4" hidden="1" x14ac:dyDescent="0.3">
      <c r="B4673" t="s">
        <v>417</v>
      </c>
    </row>
    <row r="4674" spans="2:2" ht="14.4" hidden="1" x14ac:dyDescent="0.3">
      <c r="B4674" t="s">
        <v>418</v>
      </c>
    </row>
    <row r="4675" spans="2:2" ht="14.4" hidden="1" x14ac:dyDescent="0.3">
      <c r="B4675" t="s">
        <v>419</v>
      </c>
    </row>
    <row r="4676" spans="2:2" ht="14.4" hidden="1" x14ac:dyDescent="0.3">
      <c r="B4676" t="s">
        <v>3187</v>
      </c>
    </row>
    <row r="4677" spans="2:2" ht="14.4" hidden="1" x14ac:dyDescent="0.3">
      <c r="B4677" t="s">
        <v>420</v>
      </c>
    </row>
    <row r="4678" spans="2:2" ht="14.4" hidden="1" x14ac:dyDescent="0.3">
      <c r="B4678" t="s">
        <v>421</v>
      </c>
    </row>
    <row r="4679" spans="2:2" ht="14.4" hidden="1" x14ac:dyDescent="0.3">
      <c r="B4679" t="s">
        <v>52</v>
      </c>
    </row>
    <row r="4680" spans="2:2" ht="14.4" hidden="1" x14ac:dyDescent="0.3">
      <c r="B4680" t="s">
        <v>422</v>
      </c>
    </row>
    <row r="4681" spans="2:2" ht="14.4" hidden="1" x14ac:dyDescent="0.3">
      <c r="B4681" t="s">
        <v>423</v>
      </c>
    </row>
    <row r="4682" spans="2:2" ht="14.4" hidden="1" x14ac:dyDescent="0.3">
      <c r="B4682" t="s">
        <v>3195</v>
      </c>
    </row>
    <row r="4683" spans="2:2" ht="14.4" hidden="1" x14ac:dyDescent="0.3">
      <c r="B4683" t="s">
        <v>3198</v>
      </c>
    </row>
    <row r="4684" spans="2:2" ht="14.4" hidden="1" x14ac:dyDescent="0.3">
      <c r="B4684" t="s">
        <v>3201</v>
      </c>
    </row>
    <row r="4685" spans="2:2" ht="14.4" hidden="1" x14ac:dyDescent="0.3">
      <c r="B4685" t="s">
        <v>424</v>
      </c>
    </row>
    <row r="4686" spans="2:2" ht="14.4" hidden="1" x14ac:dyDescent="0.3">
      <c r="B4686" t="s">
        <v>425</v>
      </c>
    </row>
    <row r="4687" spans="2:2" ht="14.4" hidden="1" x14ac:dyDescent="0.3">
      <c r="B4687" t="s">
        <v>426</v>
      </c>
    </row>
    <row r="4688" spans="2:2" ht="14.4" hidden="1" x14ac:dyDescent="0.3">
      <c r="B4688" t="s">
        <v>427</v>
      </c>
    </row>
    <row r="4689" spans="2:2" ht="14.4" hidden="1" x14ac:dyDescent="0.3">
      <c r="B4689" t="s">
        <v>3208</v>
      </c>
    </row>
    <row r="4690" spans="2:2" ht="14.4" hidden="1" x14ac:dyDescent="0.3">
      <c r="B4690" t="s">
        <v>3211</v>
      </c>
    </row>
    <row r="4691" spans="2:2" ht="14.4" hidden="1" x14ac:dyDescent="0.3">
      <c r="B4691" t="s">
        <v>428</v>
      </c>
    </row>
    <row r="4692" spans="2:2" ht="14.4" hidden="1" x14ac:dyDescent="0.3">
      <c r="B4692" t="s">
        <v>429</v>
      </c>
    </row>
    <row r="4693" spans="2:2" ht="14.4" hidden="1" x14ac:dyDescent="0.3">
      <c r="B4693" t="s">
        <v>430</v>
      </c>
    </row>
    <row r="4694" spans="2:2" ht="14.4" hidden="1" x14ac:dyDescent="0.3">
      <c r="B4694" t="s">
        <v>431</v>
      </c>
    </row>
    <row r="4695" spans="2:2" ht="14.4" hidden="1" x14ac:dyDescent="0.3">
      <c r="B4695" t="s">
        <v>1304</v>
      </c>
    </row>
    <row r="4696" spans="2:2" ht="14.4" hidden="1" x14ac:dyDescent="0.3">
      <c r="B4696" t="s">
        <v>432</v>
      </c>
    </row>
    <row r="4697" spans="2:2" ht="14.4" hidden="1" x14ac:dyDescent="0.3">
      <c r="B4697" t="s">
        <v>433</v>
      </c>
    </row>
    <row r="4698" spans="2:2" ht="14.4" hidden="1" x14ac:dyDescent="0.3">
      <c r="B4698" t="s">
        <v>434</v>
      </c>
    </row>
    <row r="4699" spans="2:2" ht="14.4" hidden="1" x14ac:dyDescent="0.3">
      <c r="B4699" t="s">
        <v>435</v>
      </c>
    </row>
    <row r="4700" spans="2:2" ht="14.4" hidden="1" x14ac:dyDescent="0.3">
      <c r="B4700" t="s">
        <v>436</v>
      </c>
    </row>
    <row r="4701" spans="2:2" ht="14.4" hidden="1" x14ac:dyDescent="0.3">
      <c r="B4701" t="s">
        <v>436</v>
      </c>
    </row>
    <row r="4702" spans="2:2" ht="14.4" hidden="1" x14ac:dyDescent="0.3">
      <c r="B4702" t="s">
        <v>437</v>
      </c>
    </row>
    <row r="4703" spans="2:2" ht="14.4" hidden="1" x14ac:dyDescent="0.3">
      <c r="B4703" t="s">
        <v>3224</v>
      </c>
    </row>
    <row r="4704" spans="2:2" ht="14.4" hidden="1" x14ac:dyDescent="0.3">
      <c r="B4704" t="s">
        <v>438</v>
      </c>
    </row>
    <row r="4705" spans="2:2" ht="14.4" hidden="1" x14ac:dyDescent="0.3">
      <c r="B4705" t="s">
        <v>439</v>
      </c>
    </row>
    <row r="4706" spans="2:2" ht="14.4" hidden="1" x14ac:dyDescent="0.3">
      <c r="B4706" t="s">
        <v>440</v>
      </c>
    </row>
    <row r="4707" spans="2:2" ht="14.4" hidden="1" x14ac:dyDescent="0.3">
      <c r="B4707" t="s">
        <v>441</v>
      </c>
    </row>
    <row r="4708" spans="2:2" ht="14.4" hidden="1" x14ac:dyDescent="0.3">
      <c r="B4708" t="s">
        <v>442</v>
      </c>
    </row>
    <row r="4709" spans="2:2" ht="14.4" hidden="1" x14ac:dyDescent="0.3">
      <c r="B4709" t="s">
        <v>443</v>
      </c>
    </row>
    <row r="4710" spans="2:2" ht="14.4" hidden="1" x14ac:dyDescent="0.3">
      <c r="B4710" t="s">
        <v>444</v>
      </c>
    </row>
    <row r="4711" spans="2:2" ht="14.4" hidden="1" x14ac:dyDescent="0.3">
      <c r="B4711" t="s">
        <v>445</v>
      </c>
    </row>
    <row r="4712" spans="2:2" ht="14.4" hidden="1" x14ac:dyDescent="0.3">
      <c r="B4712" t="s">
        <v>446</v>
      </c>
    </row>
    <row r="4713" spans="2:2" ht="14.4" hidden="1" x14ac:dyDescent="0.3">
      <c r="B4713" t="s">
        <v>447</v>
      </c>
    </row>
    <row r="4714" spans="2:2" ht="14.4" hidden="1" x14ac:dyDescent="0.3">
      <c r="B4714" t="s">
        <v>3236</v>
      </c>
    </row>
    <row r="4715" spans="2:2" ht="14.4" hidden="1" x14ac:dyDescent="0.3">
      <c r="B4715" t="s">
        <v>448</v>
      </c>
    </row>
    <row r="4716" spans="2:2" ht="14.4" hidden="1" x14ac:dyDescent="0.3">
      <c r="B4716" t="s">
        <v>449</v>
      </c>
    </row>
    <row r="4717" spans="2:2" ht="14.4" hidden="1" x14ac:dyDescent="0.3">
      <c r="B4717" t="s">
        <v>449</v>
      </c>
    </row>
    <row r="4718" spans="2:2" ht="14.4" hidden="1" x14ac:dyDescent="0.3">
      <c r="B4718" t="s">
        <v>450</v>
      </c>
    </row>
    <row r="4719" spans="2:2" ht="14.4" hidden="1" x14ac:dyDescent="0.3">
      <c r="B4719" t="s">
        <v>451</v>
      </c>
    </row>
    <row r="4720" spans="2:2" ht="14.4" hidden="1" x14ac:dyDescent="0.3">
      <c r="B4720" t="s">
        <v>452</v>
      </c>
    </row>
    <row r="4721" spans="2:2" ht="14.4" hidden="1" x14ac:dyDescent="0.3">
      <c r="B4721" t="s">
        <v>453</v>
      </c>
    </row>
    <row r="4722" spans="2:2" ht="14.4" hidden="1" x14ac:dyDescent="0.3">
      <c r="B4722" t="s">
        <v>454</v>
      </c>
    </row>
    <row r="4723" spans="2:2" ht="14.4" hidden="1" x14ac:dyDescent="0.3">
      <c r="B4723" t="s">
        <v>455</v>
      </c>
    </row>
    <row r="4724" spans="2:2" ht="14.4" hidden="1" x14ac:dyDescent="0.3">
      <c r="B4724" t="s">
        <v>456</v>
      </c>
    </row>
    <row r="4725" spans="2:2" ht="14.4" hidden="1" x14ac:dyDescent="0.3">
      <c r="B4725" t="s">
        <v>457</v>
      </c>
    </row>
    <row r="4726" spans="2:2" ht="14.4" hidden="1" x14ac:dyDescent="0.3">
      <c r="B4726" t="s">
        <v>3249</v>
      </c>
    </row>
    <row r="4727" spans="2:2" ht="14.4" hidden="1" x14ac:dyDescent="0.3">
      <c r="B4727" t="s">
        <v>458</v>
      </c>
    </row>
    <row r="4728" spans="2:2" ht="14.4" hidden="1" x14ac:dyDescent="0.3">
      <c r="B4728" t="s">
        <v>3253</v>
      </c>
    </row>
    <row r="4729" spans="2:2" ht="14.4" hidden="1" x14ac:dyDescent="0.3">
      <c r="B4729" t="s">
        <v>3256</v>
      </c>
    </row>
    <row r="4730" spans="2:2" ht="14.4" hidden="1" x14ac:dyDescent="0.3">
      <c r="B4730" t="s">
        <v>57</v>
      </c>
    </row>
    <row r="4731" spans="2:2" ht="14.4" hidden="1" x14ac:dyDescent="0.3">
      <c r="B4731" t="s">
        <v>3260</v>
      </c>
    </row>
    <row r="4732" spans="2:2" ht="14.4" hidden="1" x14ac:dyDescent="0.3">
      <c r="B4732" t="s">
        <v>459</v>
      </c>
    </row>
    <row r="4733" spans="2:2" ht="14.4" hidden="1" x14ac:dyDescent="0.3">
      <c r="B4733" t="s">
        <v>460</v>
      </c>
    </row>
    <row r="4734" spans="2:2" ht="14.4" hidden="1" x14ac:dyDescent="0.3">
      <c r="B4734" t="s">
        <v>461</v>
      </c>
    </row>
    <row r="4735" spans="2:2" ht="14.4" hidden="1" x14ac:dyDescent="0.3">
      <c r="B4735" t="s">
        <v>462</v>
      </c>
    </row>
    <row r="4736" spans="2:2" ht="14.4" hidden="1" x14ac:dyDescent="0.3">
      <c r="B4736" t="s">
        <v>463</v>
      </c>
    </row>
    <row r="4737" spans="2:2" ht="14.4" hidden="1" x14ac:dyDescent="0.3">
      <c r="B4737" t="s">
        <v>464</v>
      </c>
    </row>
    <row r="4738" spans="2:2" ht="14.4" hidden="1" x14ac:dyDescent="0.3">
      <c r="B4738" t="s">
        <v>1305</v>
      </c>
    </row>
    <row r="4739" spans="2:2" ht="14.4" hidden="1" x14ac:dyDescent="0.3">
      <c r="B4739" t="s">
        <v>465</v>
      </c>
    </row>
    <row r="4740" spans="2:2" ht="14.4" hidden="1" x14ac:dyDescent="0.3">
      <c r="B4740" t="s">
        <v>466</v>
      </c>
    </row>
    <row r="4741" spans="2:2" ht="14.4" hidden="1" x14ac:dyDescent="0.3">
      <c r="B4741" t="s">
        <v>467</v>
      </c>
    </row>
    <row r="4742" spans="2:2" ht="14.4" hidden="1" x14ac:dyDescent="0.3">
      <c r="B4742" t="s">
        <v>55</v>
      </c>
    </row>
    <row r="4743" spans="2:2" ht="14.4" hidden="1" x14ac:dyDescent="0.3">
      <c r="B4743" t="s">
        <v>1306</v>
      </c>
    </row>
    <row r="4744" spans="2:2" ht="14.4" hidden="1" x14ac:dyDescent="0.3">
      <c r="B4744" t="s">
        <v>468</v>
      </c>
    </row>
    <row r="4745" spans="2:2" ht="14.4" hidden="1" x14ac:dyDescent="0.3">
      <c r="B4745" t="s">
        <v>469</v>
      </c>
    </row>
    <row r="4746" spans="2:2" ht="14.4" hidden="1" x14ac:dyDescent="0.3">
      <c r="B4746" t="s">
        <v>470</v>
      </c>
    </row>
    <row r="4747" spans="2:2" ht="14.4" hidden="1" x14ac:dyDescent="0.3">
      <c r="B4747" t="s">
        <v>471</v>
      </c>
    </row>
    <row r="4748" spans="2:2" ht="14.4" hidden="1" x14ac:dyDescent="0.3">
      <c r="B4748" t="s">
        <v>472</v>
      </c>
    </row>
    <row r="4749" spans="2:2" ht="14.4" hidden="1" x14ac:dyDescent="0.3">
      <c r="B4749" t="s">
        <v>53</v>
      </c>
    </row>
    <row r="4750" spans="2:2" ht="14.4" hidden="1" x14ac:dyDescent="0.3">
      <c r="B4750" t="s">
        <v>3281</v>
      </c>
    </row>
    <row r="4751" spans="2:2" ht="14.4" hidden="1" x14ac:dyDescent="0.3">
      <c r="B4751" t="s">
        <v>473</v>
      </c>
    </row>
    <row r="4752" spans="2:2" ht="14.4" hidden="1" x14ac:dyDescent="0.3">
      <c r="B4752" t="s">
        <v>474</v>
      </c>
    </row>
    <row r="4753" spans="2:2" ht="14.4" hidden="1" x14ac:dyDescent="0.3">
      <c r="B4753" t="s">
        <v>3286</v>
      </c>
    </row>
    <row r="4754" spans="2:2" ht="14.4" hidden="1" x14ac:dyDescent="0.3">
      <c r="B4754" t="s">
        <v>475</v>
      </c>
    </row>
    <row r="4755" spans="2:2" ht="14.4" hidden="1" x14ac:dyDescent="0.3">
      <c r="B4755" t="s">
        <v>476</v>
      </c>
    </row>
    <row r="4756" spans="2:2" ht="14.4" hidden="1" x14ac:dyDescent="0.3">
      <c r="B4756" t="s">
        <v>56</v>
      </c>
    </row>
    <row r="4757" spans="2:2" ht="14.4" hidden="1" x14ac:dyDescent="0.3">
      <c r="B4757" t="s">
        <v>477</v>
      </c>
    </row>
    <row r="4758" spans="2:2" ht="14.4" hidden="1" x14ac:dyDescent="0.3">
      <c r="B4758" t="s">
        <v>478</v>
      </c>
    </row>
    <row r="4759" spans="2:2" ht="14.4" hidden="1" x14ac:dyDescent="0.3">
      <c r="B4759" t="s">
        <v>479</v>
      </c>
    </row>
    <row r="4760" spans="2:2" ht="14.4" hidden="1" x14ac:dyDescent="0.3">
      <c r="B4760" t="s">
        <v>480</v>
      </c>
    </row>
    <row r="4761" spans="2:2" ht="14.4" hidden="1" x14ac:dyDescent="0.3">
      <c r="B4761" t="s">
        <v>3296</v>
      </c>
    </row>
    <row r="4762" spans="2:2" ht="14.4" hidden="1" x14ac:dyDescent="0.3">
      <c r="B4762" t="s">
        <v>481</v>
      </c>
    </row>
    <row r="4763" spans="2:2" ht="14.4" hidden="1" x14ac:dyDescent="0.3">
      <c r="B4763" t="s">
        <v>482</v>
      </c>
    </row>
    <row r="4764" spans="2:2" ht="14.4" hidden="1" x14ac:dyDescent="0.3">
      <c r="B4764" t="s">
        <v>483</v>
      </c>
    </row>
    <row r="4765" spans="2:2" ht="14.4" hidden="1" x14ac:dyDescent="0.3">
      <c r="B4765" t="s">
        <v>484</v>
      </c>
    </row>
    <row r="4766" spans="2:2" ht="14.4" hidden="1" x14ac:dyDescent="0.3">
      <c r="B4766" t="s">
        <v>3303</v>
      </c>
    </row>
    <row r="4767" spans="2:2" ht="14.4" hidden="1" x14ac:dyDescent="0.3">
      <c r="B4767" t="s">
        <v>485</v>
      </c>
    </row>
    <row r="4768" spans="2:2" ht="14.4" hidden="1" x14ac:dyDescent="0.3">
      <c r="B4768" t="s">
        <v>486</v>
      </c>
    </row>
    <row r="4769" spans="2:2" ht="14.4" hidden="1" x14ac:dyDescent="0.3">
      <c r="B4769" t="s">
        <v>3308</v>
      </c>
    </row>
    <row r="4770" spans="2:2" ht="14.4" hidden="1" x14ac:dyDescent="0.3">
      <c r="B4770" t="s">
        <v>487</v>
      </c>
    </row>
    <row r="4771" spans="2:2" ht="14.4" hidden="1" x14ac:dyDescent="0.3">
      <c r="B4771" t="s">
        <v>488</v>
      </c>
    </row>
    <row r="4772" spans="2:2" ht="14.4" hidden="1" x14ac:dyDescent="0.3">
      <c r="B4772" t="s">
        <v>489</v>
      </c>
    </row>
    <row r="4773" spans="2:2" ht="14.4" hidden="1" x14ac:dyDescent="0.3">
      <c r="B4773" t="s">
        <v>490</v>
      </c>
    </row>
    <row r="4774" spans="2:2" ht="14.4" hidden="1" x14ac:dyDescent="0.3">
      <c r="B4774" t="s">
        <v>491</v>
      </c>
    </row>
    <row r="4775" spans="2:2" ht="14.4" hidden="1" x14ac:dyDescent="0.3">
      <c r="B4775" t="s">
        <v>1307</v>
      </c>
    </row>
    <row r="4776" spans="2:2" ht="14.4" hidden="1" x14ac:dyDescent="0.3">
      <c r="B4776" t="s">
        <v>3317</v>
      </c>
    </row>
    <row r="4777" spans="2:2" ht="14.4" hidden="1" x14ac:dyDescent="0.3">
      <c r="B4777" t="s">
        <v>492</v>
      </c>
    </row>
    <row r="4778" spans="2:2" ht="14.4" hidden="1" x14ac:dyDescent="0.3">
      <c r="B4778" t="s">
        <v>493</v>
      </c>
    </row>
    <row r="4779" spans="2:2" ht="14.4" hidden="1" x14ac:dyDescent="0.3">
      <c r="B4779" t="s">
        <v>494</v>
      </c>
    </row>
    <row r="4780" spans="2:2" ht="14.4" hidden="1" x14ac:dyDescent="0.3">
      <c r="B4780" t="s">
        <v>3323</v>
      </c>
    </row>
    <row r="4781" spans="2:2" ht="14.4" hidden="1" x14ac:dyDescent="0.3">
      <c r="B4781" t="s">
        <v>3326</v>
      </c>
    </row>
    <row r="4782" spans="2:2" ht="14.4" hidden="1" x14ac:dyDescent="0.3">
      <c r="B4782" t="s">
        <v>495</v>
      </c>
    </row>
    <row r="4783" spans="2:2" ht="14.4" hidden="1" x14ac:dyDescent="0.3">
      <c r="B4783" t="s">
        <v>496</v>
      </c>
    </row>
    <row r="4784" spans="2:2" ht="14.4" hidden="1" x14ac:dyDescent="0.3">
      <c r="B4784" t="s">
        <v>497</v>
      </c>
    </row>
    <row r="4785" spans="2:2" ht="14.4" hidden="1" x14ac:dyDescent="0.3">
      <c r="B4785" t="s">
        <v>497</v>
      </c>
    </row>
    <row r="4786" spans="2:2" ht="14.4" hidden="1" x14ac:dyDescent="0.3">
      <c r="B4786" t="s">
        <v>54</v>
      </c>
    </row>
    <row r="4787" spans="2:2" ht="14.4" hidden="1" x14ac:dyDescent="0.3">
      <c r="B4787" t="s">
        <v>58</v>
      </c>
    </row>
    <row r="4788" spans="2:2" ht="14.4" hidden="1" x14ac:dyDescent="0.3">
      <c r="B4788" t="s">
        <v>498</v>
      </c>
    </row>
    <row r="4789" spans="2:2" ht="14.4" hidden="1" x14ac:dyDescent="0.3">
      <c r="B4789" t="s">
        <v>499</v>
      </c>
    </row>
    <row r="4790" spans="2:2" ht="14.4" hidden="1" x14ac:dyDescent="0.3">
      <c r="B4790" t="s">
        <v>500</v>
      </c>
    </row>
    <row r="4791" spans="2:2" ht="14.4" hidden="1" x14ac:dyDescent="0.3">
      <c r="B4791" t="s">
        <v>501</v>
      </c>
    </row>
    <row r="4792" spans="2:2" ht="14.4" hidden="1" x14ac:dyDescent="0.3">
      <c r="B4792" t="s">
        <v>502</v>
      </c>
    </row>
    <row r="4793" spans="2:2" ht="14.4" hidden="1" x14ac:dyDescent="0.3">
      <c r="B4793" t="s">
        <v>503</v>
      </c>
    </row>
    <row r="4794" spans="2:2" ht="14.4" hidden="1" x14ac:dyDescent="0.3">
      <c r="B4794" t="s">
        <v>504</v>
      </c>
    </row>
    <row r="4795" spans="2:2" ht="14.4" hidden="1" x14ac:dyDescent="0.3">
      <c r="B4795" t="s">
        <v>505</v>
      </c>
    </row>
    <row r="4796" spans="2:2" ht="14.4" hidden="1" x14ac:dyDescent="0.3">
      <c r="B4796" t="s">
        <v>506</v>
      </c>
    </row>
    <row r="4797" spans="2:2" ht="14.4" hidden="1" x14ac:dyDescent="0.3">
      <c r="B4797" t="s">
        <v>507</v>
      </c>
    </row>
    <row r="4798" spans="2:2" ht="14.4" hidden="1" x14ac:dyDescent="0.3">
      <c r="B4798" t="s">
        <v>3345</v>
      </c>
    </row>
    <row r="4799" spans="2:2" ht="14.4" hidden="1" x14ac:dyDescent="0.3">
      <c r="B4799" t="s">
        <v>508</v>
      </c>
    </row>
    <row r="4800" spans="2:2" ht="14.4" hidden="1" x14ac:dyDescent="0.3">
      <c r="B4800" t="s">
        <v>3349</v>
      </c>
    </row>
    <row r="4801" spans="2:2" ht="14.4" hidden="1" x14ac:dyDescent="0.3">
      <c r="B4801" t="s">
        <v>509</v>
      </c>
    </row>
    <row r="4802" spans="2:2" ht="14.4" hidden="1" x14ac:dyDescent="0.3">
      <c r="B4802" t="s">
        <v>3352</v>
      </c>
    </row>
    <row r="4803" spans="2:2" ht="14.4" hidden="1" x14ac:dyDescent="0.3">
      <c r="B4803" t="s">
        <v>3355</v>
      </c>
    </row>
    <row r="4804" spans="2:2" ht="14.4" hidden="1" x14ac:dyDescent="0.3">
      <c r="B4804" t="s">
        <v>510</v>
      </c>
    </row>
    <row r="4805" spans="2:2" ht="14.4" hidden="1" x14ac:dyDescent="0.3">
      <c r="B4805" t="s">
        <v>511</v>
      </c>
    </row>
    <row r="4806" spans="2:2" ht="14.4" hidden="1" x14ac:dyDescent="0.3">
      <c r="B4806" t="s">
        <v>512</v>
      </c>
    </row>
    <row r="4807" spans="2:2" ht="14.4" hidden="1" x14ac:dyDescent="0.3">
      <c r="B4807" t="s">
        <v>513</v>
      </c>
    </row>
    <row r="4808" spans="2:2" ht="14.4" hidden="1" x14ac:dyDescent="0.3">
      <c r="B4808" t="s">
        <v>514</v>
      </c>
    </row>
    <row r="4809" spans="2:2" ht="14.4" hidden="1" x14ac:dyDescent="0.3">
      <c r="B4809" t="s">
        <v>515</v>
      </c>
    </row>
    <row r="4810" spans="2:2" ht="14.4" hidden="1" x14ac:dyDescent="0.3">
      <c r="B4810" t="s">
        <v>59</v>
      </c>
    </row>
    <row r="4811" spans="2:2" ht="14.4" hidden="1" x14ac:dyDescent="0.3">
      <c r="B4811" t="s">
        <v>516</v>
      </c>
    </row>
    <row r="4812" spans="2:2" ht="14.4" hidden="1" x14ac:dyDescent="0.3">
      <c r="B4812" t="s">
        <v>517</v>
      </c>
    </row>
    <row r="4813" spans="2:2" ht="14.4" hidden="1" x14ac:dyDescent="0.3">
      <c r="B4813" t="s">
        <v>518</v>
      </c>
    </row>
    <row r="4814" spans="2:2" ht="14.4" hidden="1" x14ac:dyDescent="0.3">
      <c r="B4814" t="s">
        <v>3368</v>
      </c>
    </row>
    <row r="4815" spans="2:2" ht="14.4" hidden="1" x14ac:dyDescent="0.3">
      <c r="B4815" t="s">
        <v>519</v>
      </c>
    </row>
    <row r="4816" spans="2:2" ht="14.4" hidden="1" x14ac:dyDescent="0.3">
      <c r="B4816" t="s">
        <v>520</v>
      </c>
    </row>
    <row r="4817" spans="2:2" ht="14.4" hidden="1" x14ac:dyDescent="0.3">
      <c r="B4817" t="s">
        <v>521</v>
      </c>
    </row>
    <row r="4818" spans="2:2" ht="14.4" hidden="1" x14ac:dyDescent="0.3">
      <c r="B4818" t="s">
        <v>522</v>
      </c>
    </row>
    <row r="4819" spans="2:2" ht="14.4" hidden="1" x14ac:dyDescent="0.3">
      <c r="B4819" t="s">
        <v>522</v>
      </c>
    </row>
    <row r="4820" spans="2:2" ht="14.4" hidden="1" x14ac:dyDescent="0.3">
      <c r="B4820" t="s">
        <v>17</v>
      </c>
    </row>
    <row r="4821" spans="2:2" ht="14.4" hidden="1" x14ac:dyDescent="0.3">
      <c r="B4821" t="s">
        <v>523</v>
      </c>
    </row>
    <row r="4822" spans="2:2" ht="14.4" hidden="1" x14ac:dyDescent="0.3">
      <c r="B4822" t="s">
        <v>524</v>
      </c>
    </row>
    <row r="4823" spans="2:2" ht="14.4" hidden="1" x14ac:dyDescent="0.3">
      <c r="B4823" t="s">
        <v>525</v>
      </c>
    </row>
    <row r="4824" spans="2:2" ht="14.4" hidden="1" x14ac:dyDescent="0.3">
      <c r="B4824" t="s">
        <v>526</v>
      </c>
    </row>
    <row r="4825" spans="2:2" ht="14.4" hidden="1" x14ac:dyDescent="0.3">
      <c r="B4825" t="s">
        <v>527</v>
      </c>
    </row>
    <row r="4826" spans="2:2" ht="14.4" hidden="1" x14ac:dyDescent="0.3">
      <c r="B4826" t="s">
        <v>3382</v>
      </c>
    </row>
    <row r="4827" spans="2:2" ht="14.4" hidden="1" x14ac:dyDescent="0.3">
      <c r="B4827" t="s">
        <v>528</v>
      </c>
    </row>
    <row r="4828" spans="2:2" ht="14.4" hidden="1" x14ac:dyDescent="0.3">
      <c r="B4828" t="s">
        <v>529</v>
      </c>
    </row>
    <row r="4829" spans="2:2" ht="14.4" hidden="1" x14ac:dyDescent="0.3">
      <c r="B4829" t="s">
        <v>530</v>
      </c>
    </row>
    <row r="4830" spans="2:2" ht="14.4" hidden="1" x14ac:dyDescent="0.3">
      <c r="B4830" t="s">
        <v>531</v>
      </c>
    </row>
    <row r="4831" spans="2:2" ht="14.4" hidden="1" x14ac:dyDescent="0.3">
      <c r="B4831" t="s">
        <v>3389</v>
      </c>
    </row>
    <row r="4832" spans="2:2" ht="14.4" hidden="1" x14ac:dyDescent="0.3">
      <c r="B4832" t="s">
        <v>532</v>
      </c>
    </row>
    <row r="4833" spans="2:2" ht="14.4" hidden="1" x14ac:dyDescent="0.3">
      <c r="B4833" t="s">
        <v>533</v>
      </c>
    </row>
    <row r="4834" spans="2:2" ht="14.4" hidden="1" x14ac:dyDescent="0.3">
      <c r="B4834" t="s">
        <v>534</v>
      </c>
    </row>
    <row r="4835" spans="2:2" ht="14.4" hidden="1" x14ac:dyDescent="0.3">
      <c r="B4835" t="s">
        <v>535</v>
      </c>
    </row>
    <row r="4836" spans="2:2" ht="14.4" hidden="1" x14ac:dyDescent="0.3">
      <c r="B4836" t="s">
        <v>536</v>
      </c>
    </row>
    <row r="4837" spans="2:2" ht="14.4" hidden="1" x14ac:dyDescent="0.3">
      <c r="B4837" t="s">
        <v>537</v>
      </c>
    </row>
    <row r="4838" spans="2:2" ht="14.4" hidden="1" x14ac:dyDescent="0.3">
      <c r="B4838" t="s">
        <v>538</v>
      </c>
    </row>
    <row r="4839" spans="2:2" ht="14.4" hidden="1" x14ac:dyDescent="0.3">
      <c r="B4839" t="s">
        <v>539</v>
      </c>
    </row>
    <row r="4840" spans="2:2" ht="14.4" hidden="1" x14ac:dyDescent="0.3">
      <c r="B4840" t="s">
        <v>540</v>
      </c>
    </row>
    <row r="4841" spans="2:2" ht="14.4" hidden="1" x14ac:dyDescent="0.3">
      <c r="B4841" t="s">
        <v>541</v>
      </c>
    </row>
    <row r="4842" spans="2:2" ht="14.4" hidden="1" x14ac:dyDescent="0.3">
      <c r="B4842" t="s">
        <v>542</v>
      </c>
    </row>
    <row r="4843" spans="2:2" ht="14.4" hidden="1" x14ac:dyDescent="0.3">
      <c r="B4843" t="s">
        <v>60</v>
      </c>
    </row>
    <row r="4844" spans="2:2" ht="14.4" hidden="1" x14ac:dyDescent="0.3">
      <c r="B4844" t="s">
        <v>543</v>
      </c>
    </row>
    <row r="4845" spans="2:2" ht="14.4" hidden="1" x14ac:dyDescent="0.3">
      <c r="B4845" t="s">
        <v>544</v>
      </c>
    </row>
    <row r="4846" spans="2:2" ht="14.4" hidden="1" x14ac:dyDescent="0.3">
      <c r="B4846" t="s">
        <v>545</v>
      </c>
    </row>
    <row r="4847" spans="2:2" ht="14.4" hidden="1" x14ac:dyDescent="0.3">
      <c r="B4847" t="s">
        <v>546</v>
      </c>
    </row>
    <row r="4848" spans="2:2" ht="14.4" hidden="1" x14ac:dyDescent="0.3">
      <c r="B4848" t="s">
        <v>61</v>
      </c>
    </row>
    <row r="4849" spans="2:2" ht="14.4" hidden="1" x14ac:dyDescent="0.3">
      <c r="B4849" t="s">
        <v>547</v>
      </c>
    </row>
    <row r="4850" spans="2:2" ht="14.4" hidden="1" x14ac:dyDescent="0.3">
      <c r="B4850" t="s">
        <v>3410</v>
      </c>
    </row>
    <row r="4851" spans="2:2" ht="14.4" hidden="1" x14ac:dyDescent="0.3">
      <c r="B4851" t="s">
        <v>3413</v>
      </c>
    </row>
    <row r="4852" spans="2:2" ht="14.4" hidden="1" x14ac:dyDescent="0.3">
      <c r="B4852" t="s">
        <v>548</v>
      </c>
    </row>
    <row r="4853" spans="2:2" ht="14.4" hidden="1" x14ac:dyDescent="0.3">
      <c r="B4853" t="s">
        <v>549</v>
      </c>
    </row>
    <row r="4854" spans="2:2" ht="14.4" hidden="1" x14ac:dyDescent="0.3">
      <c r="B4854" t="s">
        <v>550</v>
      </c>
    </row>
    <row r="4855" spans="2:2" ht="14.4" hidden="1" x14ac:dyDescent="0.3">
      <c r="B4855" t="s">
        <v>551</v>
      </c>
    </row>
    <row r="4856" spans="2:2" ht="14.4" hidden="1" x14ac:dyDescent="0.3">
      <c r="B4856" t="s">
        <v>552</v>
      </c>
    </row>
    <row r="4857" spans="2:2" ht="14.4" hidden="1" x14ac:dyDescent="0.3">
      <c r="B4857" t="s">
        <v>553</v>
      </c>
    </row>
    <row r="4858" spans="2:2" ht="14.4" hidden="1" x14ac:dyDescent="0.3">
      <c r="B4858" t="s">
        <v>554</v>
      </c>
    </row>
    <row r="4859" spans="2:2" ht="14.4" hidden="1" x14ac:dyDescent="0.3">
      <c r="B4859" t="s">
        <v>1308</v>
      </c>
    </row>
    <row r="4860" spans="2:2" ht="14.4" hidden="1" x14ac:dyDescent="0.3">
      <c r="B4860" t="s">
        <v>555</v>
      </c>
    </row>
    <row r="4861" spans="2:2" ht="14.4" hidden="1" x14ac:dyDescent="0.3">
      <c r="B4861" t="s">
        <v>3426</v>
      </c>
    </row>
    <row r="4862" spans="2:2" ht="14.4" hidden="1" x14ac:dyDescent="0.3">
      <c r="B4862" t="s">
        <v>3429</v>
      </c>
    </row>
    <row r="4863" spans="2:2" ht="14.4" hidden="1" x14ac:dyDescent="0.3">
      <c r="B4863" t="s">
        <v>556</v>
      </c>
    </row>
    <row r="4864" spans="2:2" ht="14.4" hidden="1" x14ac:dyDescent="0.3">
      <c r="B4864" t="s">
        <v>557</v>
      </c>
    </row>
    <row r="4865" spans="2:2" ht="14.4" hidden="1" x14ac:dyDescent="0.3">
      <c r="B4865" t="s">
        <v>558</v>
      </c>
    </row>
    <row r="4866" spans="2:2" ht="14.4" hidden="1" x14ac:dyDescent="0.3">
      <c r="B4866" t="s">
        <v>1309</v>
      </c>
    </row>
    <row r="4867" spans="2:2" ht="14.4" hidden="1" x14ac:dyDescent="0.3">
      <c r="B4867" t="s">
        <v>559</v>
      </c>
    </row>
    <row r="4868" spans="2:2" ht="14.4" hidden="1" x14ac:dyDescent="0.3">
      <c r="B4868" t="s">
        <v>62</v>
      </c>
    </row>
    <row r="4869" spans="2:2" ht="14.4" hidden="1" x14ac:dyDescent="0.3">
      <c r="B4869" t="s">
        <v>3438</v>
      </c>
    </row>
    <row r="4870" spans="2:2" ht="14.4" hidden="1" x14ac:dyDescent="0.3">
      <c r="B4870" t="s">
        <v>112</v>
      </c>
    </row>
    <row r="4871" spans="2:2" ht="14.4" hidden="1" x14ac:dyDescent="0.3">
      <c r="B4871" t="s">
        <v>3442</v>
      </c>
    </row>
    <row r="4872" spans="2:2" ht="14.4" hidden="1" x14ac:dyDescent="0.3">
      <c r="B4872" t="s">
        <v>560</v>
      </c>
    </row>
    <row r="4873" spans="2:2" ht="14.4" hidden="1" x14ac:dyDescent="0.3">
      <c r="B4873" t="s">
        <v>561</v>
      </c>
    </row>
    <row r="4874" spans="2:2" ht="14.4" hidden="1" x14ac:dyDescent="0.3">
      <c r="B4874" t="s">
        <v>562</v>
      </c>
    </row>
    <row r="4875" spans="2:2" ht="14.4" hidden="1" x14ac:dyDescent="0.3">
      <c r="B4875" t="s">
        <v>18</v>
      </c>
    </row>
    <row r="4876" spans="2:2" ht="14.4" hidden="1" x14ac:dyDescent="0.3">
      <c r="B4876" t="s">
        <v>563</v>
      </c>
    </row>
    <row r="4877" spans="2:2" ht="14.4" hidden="1" x14ac:dyDescent="0.3">
      <c r="B4877" t="s">
        <v>564</v>
      </c>
    </row>
    <row r="4878" spans="2:2" ht="14.4" hidden="1" x14ac:dyDescent="0.3">
      <c r="B4878" t="s">
        <v>564</v>
      </c>
    </row>
    <row r="4879" spans="2:2" ht="14.4" hidden="1" x14ac:dyDescent="0.3">
      <c r="B4879" t="s">
        <v>3451</v>
      </c>
    </row>
    <row r="4880" spans="2:2" ht="14.4" hidden="1" x14ac:dyDescent="0.3">
      <c r="B4880" t="s">
        <v>565</v>
      </c>
    </row>
    <row r="4881" spans="2:2" ht="14.4" hidden="1" x14ac:dyDescent="0.3">
      <c r="B4881" t="s">
        <v>566</v>
      </c>
    </row>
    <row r="4882" spans="2:2" ht="14.4" hidden="1" x14ac:dyDescent="0.3">
      <c r="B4882" t="s">
        <v>19</v>
      </c>
    </row>
    <row r="4883" spans="2:2" ht="14.4" hidden="1" x14ac:dyDescent="0.3">
      <c r="B4883" t="s">
        <v>567</v>
      </c>
    </row>
    <row r="4884" spans="2:2" ht="14.4" hidden="1" x14ac:dyDescent="0.3">
      <c r="B4884" t="s">
        <v>568</v>
      </c>
    </row>
    <row r="4885" spans="2:2" ht="14.4" hidden="1" x14ac:dyDescent="0.3">
      <c r="B4885" t="s">
        <v>20</v>
      </c>
    </row>
    <row r="4886" spans="2:2" ht="14.4" hidden="1" x14ac:dyDescent="0.3">
      <c r="B4886" t="s">
        <v>20</v>
      </c>
    </row>
    <row r="4887" spans="2:2" ht="14.4" hidden="1" x14ac:dyDescent="0.3">
      <c r="B4887" t="s">
        <v>569</v>
      </c>
    </row>
    <row r="4888" spans="2:2" ht="14.4" hidden="1" x14ac:dyDescent="0.3">
      <c r="B4888" t="s">
        <v>570</v>
      </c>
    </row>
    <row r="4889" spans="2:2" ht="14.4" hidden="1" x14ac:dyDescent="0.3">
      <c r="B4889" t="s">
        <v>571</v>
      </c>
    </row>
    <row r="4890" spans="2:2" ht="14.4" hidden="1" x14ac:dyDescent="0.3">
      <c r="B4890" t="s">
        <v>572</v>
      </c>
    </row>
    <row r="4891" spans="2:2" ht="14.4" hidden="1" x14ac:dyDescent="0.3">
      <c r="B4891" t="s">
        <v>573</v>
      </c>
    </row>
    <row r="4892" spans="2:2" ht="14.4" hidden="1" x14ac:dyDescent="0.3">
      <c r="B4892" t="s">
        <v>574</v>
      </c>
    </row>
    <row r="4893" spans="2:2" ht="14.4" hidden="1" x14ac:dyDescent="0.3">
      <c r="B4893" t="s">
        <v>575</v>
      </c>
    </row>
    <row r="4894" spans="2:2" ht="14.4" hidden="1" x14ac:dyDescent="0.3">
      <c r="B4894" t="s">
        <v>576</v>
      </c>
    </row>
    <row r="4895" spans="2:2" ht="14.4" hidden="1" x14ac:dyDescent="0.3">
      <c r="B4895" t="s">
        <v>577</v>
      </c>
    </row>
    <row r="4896" spans="2:2" ht="14.4" hidden="1" x14ac:dyDescent="0.3">
      <c r="B4896" t="s">
        <v>63</v>
      </c>
    </row>
    <row r="4897" spans="2:2" ht="14.4" hidden="1" x14ac:dyDescent="0.3">
      <c r="B4897" t="s">
        <v>578</v>
      </c>
    </row>
    <row r="4898" spans="2:2" ht="14.4" hidden="1" x14ac:dyDescent="0.3">
      <c r="B4898" t="s">
        <v>579</v>
      </c>
    </row>
    <row r="4899" spans="2:2" ht="14.4" hidden="1" x14ac:dyDescent="0.3">
      <c r="B4899" t="s">
        <v>580</v>
      </c>
    </row>
    <row r="4900" spans="2:2" ht="14.4" hidden="1" x14ac:dyDescent="0.3">
      <c r="B4900" t="s">
        <v>581</v>
      </c>
    </row>
    <row r="4901" spans="2:2" ht="14.4" hidden="1" x14ac:dyDescent="0.3">
      <c r="B4901" t="s">
        <v>582</v>
      </c>
    </row>
    <row r="4902" spans="2:2" ht="14.4" hidden="1" x14ac:dyDescent="0.3">
      <c r="B4902" t="s">
        <v>3475</v>
      </c>
    </row>
    <row r="4903" spans="2:2" ht="14.4" hidden="1" x14ac:dyDescent="0.3">
      <c r="B4903" t="s">
        <v>583</v>
      </c>
    </row>
    <row r="4904" spans="2:2" ht="14.4" hidden="1" x14ac:dyDescent="0.3">
      <c r="B4904" t="s">
        <v>584</v>
      </c>
    </row>
    <row r="4905" spans="2:2" ht="14.4" hidden="1" x14ac:dyDescent="0.3">
      <c r="B4905" t="s">
        <v>585</v>
      </c>
    </row>
    <row r="4906" spans="2:2" ht="14.4" hidden="1" x14ac:dyDescent="0.3">
      <c r="B4906" t="s">
        <v>586</v>
      </c>
    </row>
    <row r="4907" spans="2:2" ht="14.4" hidden="1" x14ac:dyDescent="0.3">
      <c r="B4907" t="s">
        <v>587</v>
      </c>
    </row>
    <row r="4908" spans="2:2" ht="14.4" hidden="1" x14ac:dyDescent="0.3">
      <c r="B4908" t="s">
        <v>588</v>
      </c>
    </row>
    <row r="4909" spans="2:2" ht="14.4" hidden="1" x14ac:dyDescent="0.3">
      <c r="B4909" t="s">
        <v>589</v>
      </c>
    </row>
    <row r="4910" spans="2:2" ht="14.4" hidden="1" x14ac:dyDescent="0.3">
      <c r="B4910" t="s">
        <v>590</v>
      </c>
    </row>
    <row r="4911" spans="2:2" ht="14.4" hidden="1" x14ac:dyDescent="0.3">
      <c r="B4911" t="s">
        <v>591</v>
      </c>
    </row>
    <row r="4912" spans="2:2" ht="14.4" hidden="1" x14ac:dyDescent="0.3">
      <c r="B4912" t="s">
        <v>592</v>
      </c>
    </row>
    <row r="4913" spans="2:2" ht="14.4" hidden="1" x14ac:dyDescent="0.3">
      <c r="B4913" t="s">
        <v>593</v>
      </c>
    </row>
    <row r="4914" spans="2:2" ht="14.4" hidden="1" x14ac:dyDescent="0.3">
      <c r="B4914" t="s">
        <v>594</v>
      </c>
    </row>
    <row r="4915" spans="2:2" ht="14.4" hidden="1" x14ac:dyDescent="0.3">
      <c r="B4915" t="s">
        <v>595</v>
      </c>
    </row>
    <row r="4916" spans="2:2" ht="14.4" hidden="1" x14ac:dyDescent="0.3">
      <c r="B4916" t="s">
        <v>3491</v>
      </c>
    </row>
    <row r="4917" spans="2:2" ht="14.4" hidden="1" x14ac:dyDescent="0.3">
      <c r="B4917" t="s">
        <v>3494</v>
      </c>
    </row>
    <row r="4918" spans="2:2" ht="14.4" hidden="1" x14ac:dyDescent="0.3">
      <c r="B4918" t="s">
        <v>596</v>
      </c>
    </row>
    <row r="4919" spans="2:2" ht="14.4" hidden="1" x14ac:dyDescent="0.3">
      <c r="B4919" t="s">
        <v>597</v>
      </c>
    </row>
    <row r="4920" spans="2:2" ht="14.4" hidden="1" x14ac:dyDescent="0.3">
      <c r="B4920" t="s">
        <v>41</v>
      </c>
    </row>
    <row r="4921" spans="2:2" ht="14.4" hidden="1" x14ac:dyDescent="0.3">
      <c r="B4921" t="s">
        <v>9</v>
      </c>
    </row>
    <row r="4922" spans="2:2" ht="14.4" hidden="1" x14ac:dyDescent="0.3">
      <c r="B4922" t="s">
        <v>598</v>
      </c>
    </row>
    <row r="4923" spans="2:2" ht="14.4" hidden="1" x14ac:dyDescent="0.3">
      <c r="B4923" t="s">
        <v>599</v>
      </c>
    </row>
    <row r="4924" spans="2:2" ht="14.4" hidden="1" x14ac:dyDescent="0.3">
      <c r="B4924" t="s">
        <v>3504</v>
      </c>
    </row>
    <row r="4925" spans="2:2" ht="14.4" hidden="1" x14ac:dyDescent="0.3">
      <c r="B4925" t="s">
        <v>600</v>
      </c>
    </row>
    <row r="4926" spans="2:2" ht="14.4" hidden="1" x14ac:dyDescent="0.3">
      <c r="B4926" t="s">
        <v>1310</v>
      </c>
    </row>
    <row r="4927" spans="2:2" ht="14.4" hidden="1" x14ac:dyDescent="0.3">
      <c r="B4927" t="s">
        <v>3509</v>
      </c>
    </row>
    <row r="4928" spans="2:2" ht="14.4" hidden="1" x14ac:dyDescent="0.3">
      <c r="B4928" t="s">
        <v>3512</v>
      </c>
    </row>
    <row r="4929" spans="2:2" ht="14.4" hidden="1" x14ac:dyDescent="0.3">
      <c r="B4929" t="s">
        <v>601</v>
      </c>
    </row>
    <row r="4930" spans="2:2" ht="14.4" hidden="1" x14ac:dyDescent="0.3">
      <c r="B4930" t="s">
        <v>602</v>
      </c>
    </row>
    <row r="4931" spans="2:2" ht="14.4" hidden="1" x14ac:dyDescent="0.3">
      <c r="B4931" t="s">
        <v>64</v>
      </c>
    </row>
    <row r="4932" spans="2:2" ht="14.4" hidden="1" x14ac:dyDescent="0.3">
      <c r="B4932" t="s">
        <v>603</v>
      </c>
    </row>
    <row r="4933" spans="2:2" ht="14.4" hidden="1" x14ac:dyDescent="0.3">
      <c r="B4933" t="s">
        <v>604</v>
      </c>
    </row>
    <row r="4934" spans="2:2" ht="14.4" hidden="1" x14ac:dyDescent="0.3">
      <c r="B4934" t="s">
        <v>65</v>
      </c>
    </row>
    <row r="4935" spans="2:2" ht="14.4" hidden="1" x14ac:dyDescent="0.3">
      <c r="B4935" t="s">
        <v>21</v>
      </c>
    </row>
    <row r="4936" spans="2:2" ht="14.4" hidden="1" x14ac:dyDescent="0.3">
      <c r="B4936" t="s">
        <v>605</v>
      </c>
    </row>
    <row r="4937" spans="2:2" ht="14.4" hidden="1" x14ac:dyDescent="0.3">
      <c r="B4937" t="s">
        <v>606</v>
      </c>
    </row>
    <row r="4938" spans="2:2" ht="14.4" hidden="1" x14ac:dyDescent="0.3">
      <c r="B4938" t="s">
        <v>607</v>
      </c>
    </row>
    <row r="4939" spans="2:2" ht="14.4" hidden="1" x14ac:dyDescent="0.3">
      <c r="B4939" t="s">
        <v>3525</v>
      </c>
    </row>
    <row r="4940" spans="2:2" ht="14.4" hidden="1" x14ac:dyDescent="0.3">
      <c r="B4940" t="s">
        <v>608</v>
      </c>
    </row>
    <row r="4941" spans="2:2" ht="14.4" hidden="1" x14ac:dyDescent="0.3">
      <c r="B4941" t="s">
        <v>609</v>
      </c>
    </row>
    <row r="4942" spans="2:2" ht="14.4" hidden="1" x14ac:dyDescent="0.3">
      <c r="B4942" t="s">
        <v>610</v>
      </c>
    </row>
    <row r="4943" spans="2:2" ht="14.4" hidden="1" x14ac:dyDescent="0.3">
      <c r="B4943" t="s">
        <v>611</v>
      </c>
    </row>
    <row r="4944" spans="2:2" ht="14.4" hidden="1" x14ac:dyDescent="0.3">
      <c r="B4944" t="s">
        <v>612</v>
      </c>
    </row>
    <row r="4945" spans="2:2" ht="14.4" hidden="1" x14ac:dyDescent="0.3">
      <c r="B4945" t="s">
        <v>3533</v>
      </c>
    </row>
    <row r="4946" spans="2:2" ht="14.4" hidden="1" x14ac:dyDescent="0.3">
      <c r="B4946" t="s">
        <v>69</v>
      </c>
    </row>
    <row r="4947" spans="2:2" ht="14.4" hidden="1" x14ac:dyDescent="0.3">
      <c r="B4947" t="s">
        <v>613</v>
      </c>
    </row>
    <row r="4948" spans="2:2" ht="14.4" hidden="1" x14ac:dyDescent="0.3">
      <c r="B4948" t="s">
        <v>614</v>
      </c>
    </row>
    <row r="4949" spans="2:2" ht="14.4" hidden="1" x14ac:dyDescent="0.3">
      <c r="B4949" t="s">
        <v>615</v>
      </c>
    </row>
    <row r="4950" spans="2:2" ht="14.4" hidden="1" x14ac:dyDescent="0.3">
      <c r="B4950" t="s">
        <v>616</v>
      </c>
    </row>
    <row r="4951" spans="2:2" ht="14.4" hidden="1" x14ac:dyDescent="0.3">
      <c r="B4951" t="s">
        <v>617</v>
      </c>
    </row>
    <row r="4952" spans="2:2" ht="14.4" hidden="1" x14ac:dyDescent="0.3">
      <c r="B4952" t="s">
        <v>1311</v>
      </c>
    </row>
    <row r="4953" spans="2:2" ht="14.4" hidden="1" x14ac:dyDescent="0.3">
      <c r="B4953" t="s">
        <v>618</v>
      </c>
    </row>
    <row r="4954" spans="2:2" ht="14.4" hidden="1" x14ac:dyDescent="0.3">
      <c r="B4954" t="s">
        <v>619</v>
      </c>
    </row>
    <row r="4955" spans="2:2" ht="14.4" hidden="1" x14ac:dyDescent="0.3">
      <c r="B4955" t="s">
        <v>620</v>
      </c>
    </row>
    <row r="4956" spans="2:2" ht="14.4" hidden="1" x14ac:dyDescent="0.3">
      <c r="B4956" t="s">
        <v>621</v>
      </c>
    </row>
    <row r="4957" spans="2:2" ht="14.4" hidden="1" x14ac:dyDescent="0.3">
      <c r="B4957" t="s">
        <v>622</v>
      </c>
    </row>
    <row r="4958" spans="2:2" ht="14.4" hidden="1" x14ac:dyDescent="0.3">
      <c r="B4958" t="s">
        <v>623</v>
      </c>
    </row>
    <row r="4959" spans="2:2" ht="14.4" hidden="1" x14ac:dyDescent="0.3">
      <c r="B4959" t="s">
        <v>624</v>
      </c>
    </row>
    <row r="4960" spans="2:2" ht="14.4" hidden="1" x14ac:dyDescent="0.3">
      <c r="B4960" t="s">
        <v>625</v>
      </c>
    </row>
    <row r="4961" spans="2:2" ht="14.4" hidden="1" x14ac:dyDescent="0.3">
      <c r="B4961" t="s">
        <v>3551</v>
      </c>
    </row>
    <row r="4962" spans="2:2" ht="14.4" hidden="1" x14ac:dyDescent="0.3">
      <c r="B4962" t="s">
        <v>626</v>
      </c>
    </row>
    <row r="4963" spans="2:2" ht="14.4" hidden="1" x14ac:dyDescent="0.3">
      <c r="B4963" t="s">
        <v>627</v>
      </c>
    </row>
    <row r="4964" spans="2:2" ht="14.4" hidden="1" x14ac:dyDescent="0.3">
      <c r="B4964" t="s">
        <v>628</v>
      </c>
    </row>
    <row r="4965" spans="2:2" ht="14.4" hidden="1" x14ac:dyDescent="0.3">
      <c r="B4965" t="s">
        <v>1312</v>
      </c>
    </row>
    <row r="4966" spans="2:2" ht="14.4" hidden="1" x14ac:dyDescent="0.3">
      <c r="B4966" t="s">
        <v>629</v>
      </c>
    </row>
    <row r="4967" spans="2:2" ht="14.4" hidden="1" x14ac:dyDescent="0.3">
      <c r="B4967" t="s">
        <v>630</v>
      </c>
    </row>
    <row r="4968" spans="2:2" ht="14.4" hidden="1" x14ac:dyDescent="0.3">
      <c r="B4968" t="s">
        <v>631</v>
      </c>
    </row>
    <row r="4969" spans="2:2" ht="14.4" hidden="1" x14ac:dyDescent="0.3">
      <c r="B4969" t="s">
        <v>632</v>
      </c>
    </row>
    <row r="4970" spans="2:2" ht="14.4" hidden="1" x14ac:dyDescent="0.3">
      <c r="B4970" t="s">
        <v>633</v>
      </c>
    </row>
    <row r="4971" spans="2:2" ht="14.4" hidden="1" x14ac:dyDescent="0.3">
      <c r="B4971" t="s">
        <v>634</v>
      </c>
    </row>
    <row r="4972" spans="2:2" ht="14.4" hidden="1" x14ac:dyDescent="0.3">
      <c r="B4972" t="s">
        <v>635</v>
      </c>
    </row>
    <row r="4973" spans="2:2" ht="14.4" hidden="1" x14ac:dyDescent="0.3">
      <c r="B4973" t="s">
        <v>3565</v>
      </c>
    </row>
    <row r="4974" spans="2:2" ht="14.4" hidden="1" x14ac:dyDescent="0.3">
      <c r="B4974" t="s">
        <v>67</v>
      </c>
    </row>
    <row r="4975" spans="2:2" ht="14.4" hidden="1" x14ac:dyDescent="0.3">
      <c r="B4975" t="s">
        <v>3568</v>
      </c>
    </row>
    <row r="4976" spans="2:2" ht="14.4" hidden="1" x14ac:dyDescent="0.3">
      <c r="B4976" t="s">
        <v>636</v>
      </c>
    </row>
    <row r="4977" spans="2:2" ht="14.4" hidden="1" x14ac:dyDescent="0.3">
      <c r="B4977" t="s">
        <v>637</v>
      </c>
    </row>
    <row r="4978" spans="2:2" ht="14.4" hidden="1" x14ac:dyDescent="0.3">
      <c r="B4978" t="s">
        <v>638</v>
      </c>
    </row>
    <row r="4979" spans="2:2" ht="14.4" hidden="1" x14ac:dyDescent="0.3">
      <c r="B4979" t="s">
        <v>639</v>
      </c>
    </row>
    <row r="4980" spans="2:2" ht="14.4" hidden="1" x14ac:dyDescent="0.3">
      <c r="B4980" t="s">
        <v>640</v>
      </c>
    </row>
    <row r="4981" spans="2:2" ht="14.4" hidden="1" x14ac:dyDescent="0.3">
      <c r="B4981" t="s">
        <v>3576</v>
      </c>
    </row>
    <row r="4982" spans="2:2" ht="14.4" hidden="1" x14ac:dyDescent="0.3">
      <c r="B4982" t="s">
        <v>641</v>
      </c>
    </row>
    <row r="4983" spans="2:2" ht="14.4" hidden="1" x14ac:dyDescent="0.3">
      <c r="B4983" t="s">
        <v>642</v>
      </c>
    </row>
    <row r="4984" spans="2:2" ht="14.4" hidden="1" x14ac:dyDescent="0.3">
      <c r="B4984" t="s">
        <v>643</v>
      </c>
    </row>
    <row r="4985" spans="2:2" ht="14.4" hidden="1" x14ac:dyDescent="0.3">
      <c r="B4985" t="s">
        <v>644</v>
      </c>
    </row>
    <row r="4986" spans="2:2" ht="14.4" hidden="1" x14ac:dyDescent="0.3">
      <c r="B4986" t="s">
        <v>68</v>
      </c>
    </row>
    <row r="4987" spans="2:2" ht="14.4" hidden="1" x14ac:dyDescent="0.3">
      <c r="B4987" t="s">
        <v>645</v>
      </c>
    </row>
    <row r="4988" spans="2:2" ht="14.4" hidden="1" x14ac:dyDescent="0.3">
      <c r="B4988" t="s">
        <v>646</v>
      </c>
    </row>
    <row r="4989" spans="2:2" ht="14.4" hidden="1" x14ac:dyDescent="0.3">
      <c r="B4989" t="s">
        <v>647</v>
      </c>
    </row>
    <row r="4990" spans="2:2" ht="14.4" hidden="1" x14ac:dyDescent="0.3">
      <c r="B4990" t="s">
        <v>648</v>
      </c>
    </row>
    <row r="4991" spans="2:2" ht="14.4" hidden="1" x14ac:dyDescent="0.3">
      <c r="B4991" t="s">
        <v>3588</v>
      </c>
    </row>
    <row r="4992" spans="2:2" ht="14.4" hidden="1" x14ac:dyDescent="0.3">
      <c r="B4992" t="s">
        <v>66</v>
      </c>
    </row>
    <row r="4993" spans="2:2" ht="14.4" hidden="1" x14ac:dyDescent="0.3">
      <c r="B4993" t="s">
        <v>649</v>
      </c>
    </row>
    <row r="4994" spans="2:2" ht="14.4" hidden="1" x14ac:dyDescent="0.3">
      <c r="B4994" t="s">
        <v>650</v>
      </c>
    </row>
    <row r="4995" spans="2:2" ht="14.4" hidden="1" x14ac:dyDescent="0.3">
      <c r="B4995" t="s">
        <v>651</v>
      </c>
    </row>
    <row r="4996" spans="2:2" ht="14.4" hidden="1" x14ac:dyDescent="0.3">
      <c r="B4996" t="s">
        <v>70</v>
      </c>
    </row>
    <row r="4997" spans="2:2" ht="14.4" hidden="1" x14ac:dyDescent="0.3">
      <c r="B4997" t="s">
        <v>652</v>
      </c>
    </row>
    <row r="4998" spans="2:2" ht="14.4" hidden="1" x14ac:dyDescent="0.3">
      <c r="B4998" t="s">
        <v>71</v>
      </c>
    </row>
    <row r="4999" spans="2:2" ht="14.4" hidden="1" x14ac:dyDescent="0.3">
      <c r="B4999" t="s">
        <v>653</v>
      </c>
    </row>
    <row r="5000" spans="2:2" ht="14.4" hidden="1" x14ac:dyDescent="0.3">
      <c r="B5000" t="s">
        <v>654</v>
      </c>
    </row>
    <row r="5001" spans="2:2" ht="14.4" hidden="1" x14ac:dyDescent="0.3">
      <c r="B5001" t="s">
        <v>655</v>
      </c>
    </row>
    <row r="5002" spans="2:2" ht="14.4" hidden="1" x14ac:dyDescent="0.3">
      <c r="B5002" t="s">
        <v>656</v>
      </c>
    </row>
    <row r="5003" spans="2:2" ht="14.4" hidden="1" x14ac:dyDescent="0.3">
      <c r="B5003" t="s">
        <v>657</v>
      </c>
    </row>
    <row r="5004" spans="2:2" ht="14.4" hidden="1" x14ac:dyDescent="0.3">
      <c r="B5004" t="s">
        <v>658</v>
      </c>
    </row>
    <row r="5005" spans="2:2" ht="14.4" hidden="1" x14ac:dyDescent="0.3">
      <c r="B5005" t="s">
        <v>659</v>
      </c>
    </row>
    <row r="5006" spans="2:2" ht="14.4" hidden="1" x14ac:dyDescent="0.3">
      <c r="B5006" t="s">
        <v>3605</v>
      </c>
    </row>
    <row r="5007" spans="2:2" ht="14.4" hidden="1" x14ac:dyDescent="0.3">
      <c r="B5007" t="s">
        <v>660</v>
      </c>
    </row>
    <row r="5008" spans="2:2" ht="14.4" hidden="1" x14ac:dyDescent="0.3">
      <c r="B5008" t="s">
        <v>661</v>
      </c>
    </row>
    <row r="5009" spans="2:2" ht="14.4" hidden="1" x14ac:dyDescent="0.3">
      <c r="B5009" t="s">
        <v>3610</v>
      </c>
    </row>
    <row r="5010" spans="2:2" ht="14.4" hidden="1" x14ac:dyDescent="0.3">
      <c r="B5010" t="s">
        <v>1313</v>
      </c>
    </row>
    <row r="5011" spans="2:2" ht="14.4" hidden="1" x14ac:dyDescent="0.3">
      <c r="B5011" t="s">
        <v>662</v>
      </c>
    </row>
    <row r="5012" spans="2:2" ht="14.4" hidden="1" x14ac:dyDescent="0.3">
      <c r="B5012" t="s">
        <v>72</v>
      </c>
    </row>
    <row r="5013" spans="2:2" ht="14.4" hidden="1" x14ac:dyDescent="0.3">
      <c r="B5013" t="s">
        <v>663</v>
      </c>
    </row>
    <row r="5014" spans="2:2" ht="14.4" hidden="1" x14ac:dyDescent="0.3">
      <c r="B5014" t="s">
        <v>74</v>
      </c>
    </row>
    <row r="5015" spans="2:2" ht="14.4" hidden="1" x14ac:dyDescent="0.3">
      <c r="B5015" t="s">
        <v>664</v>
      </c>
    </row>
    <row r="5016" spans="2:2" ht="14.4" hidden="1" x14ac:dyDescent="0.3">
      <c r="B5016" t="s">
        <v>665</v>
      </c>
    </row>
    <row r="5017" spans="2:2" ht="14.4" hidden="1" x14ac:dyDescent="0.3">
      <c r="B5017" t="s">
        <v>3620</v>
      </c>
    </row>
    <row r="5018" spans="2:2" ht="14.4" hidden="1" x14ac:dyDescent="0.3">
      <c r="B5018" t="s">
        <v>666</v>
      </c>
    </row>
    <row r="5019" spans="2:2" ht="14.4" hidden="1" x14ac:dyDescent="0.3">
      <c r="B5019" t="s">
        <v>667</v>
      </c>
    </row>
    <row r="5020" spans="2:2" ht="14.4" hidden="1" x14ac:dyDescent="0.3">
      <c r="B5020" t="s">
        <v>3625</v>
      </c>
    </row>
    <row r="5021" spans="2:2" ht="14.4" hidden="1" x14ac:dyDescent="0.3">
      <c r="B5021" t="s">
        <v>668</v>
      </c>
    </row>
    <row r="5022" spans="2:2" ht="14.4" hidden="1" x14ac:dyDescent="0.3">
      <c r="B5022" t="s">
        <v>669</v>
      </c>
    </row>
    <row r="5023" spans="2:2" ht="14.4" hidden="1" x14ac:dyDescent="0.3">
      <c r="B5023" t="s">
        <v>670</v>
      </c>
    </row>
    <row r="5024" spans="2:2" ht="14.4" hidden="1" x14ac:dyDescent="0.3">
      <c r="B5024" t="s">
        <v>3631</v>
      </c>
    </row>
    <row r="5025" spans="2:2" ht="14.4" hidden="1" x14ac:dyDescent="0.3">
      <c r="B5025" t="s">
        <v>671</v>
      </c>
    </row>
    <row r="5026" spans="2:2" ht="14.4" hidden="1" x14ac:dyDescent="0.3">
      <c r="B5026" t="s">
        <v>671</v>
      </c>
    </row>
    <row r="5027" spans="2:2" ht="14.4" hidden="1" x14ac:dyDescent="0.3">
      <c r="B5027" t="s">
        <v>672</v>
      </c>
    </row>
    <row r="5028" spans="2:2" ht="14.4" hidden="1" x14ac:dyDescent="0.3">
      <c r="B5028" t="s">
        <v>673</v>
      </c>
    </row>
    <row r="5029" spans="2:2" ht="14.4" hidden="1" x14ac:dyDescent="0.3">
      <c r="B5029" t="s">
        <v>1314</v>
      </c>
    </row>
    <row r="5030" spans="2:2" ht="14.4" hidden="1" x14ac:dyDescent="0.3">
      <c r="B5030" t="s">
        <v>674</v>
      </c>
    </row>
    <row r="5031" spans="2:2" ht="14.4" hidden="1" x14ac:dyDescent="0.3">
      <c r="B5031" t="s">
        <v>675</v>
      </c>
    </row>
    <row r="5032" spans="2:2" ht="14.4" hidden="1" x14ac:dyDescent="0.3">
      <c r="B5032" t="s">
        <v>1315</v>
      </c>
    </row>
    <row r="5033" spans="2:2" ht="14.4" hidden="1" x14ac:dyDescent="0.3">
      <c r="B5033" t="s">
        <v>676</v>
      </c>
    </row>
    <row r="5034" spans="2:2" ht="14.4" hidden="1" x14ac:dyDescent="0.3">
      <c r="B5034" t="s">
        <v>677</v>
      </c>
    </row>
    <row r="5035" spans="2:2" ht="14.4" hidden="1" x14ac:dyDescent="0.3">
      <c r="B5035" t="s">
        <v>678</v>
      </c>
    </row>
    <row r="5036" spans="2:2" ht="14.4" hidden="1" x14ac:dyDescent="0.3">
      <c r="B5036" t="s">
        <v>3644</v>
      </c>
    </row>
    <row r="5037" spans="2:2" ht="14.4" hidden="1" x14ac:dyDescent="0.3">
      <c r="B5037" t="s">
        <v>3647</v>
      </c>
    </row>
    <row r="5038" spans="2:2" ht="14.4" hidden="1" x14ac:dyDescent="0.3">
      <c r="B5038" t="s">
        <v>679</v>
      </c>
    </row>
    <row r="5039" spans="2:2" ht="14.4" hidden="1" x14ac:dyDescent="0.3">
      <c r="B5039" t="s">
        <v>680</v>
      </c>
    </row>
    <row r="5040" spans="2:2" ht="14.4" hidden="1" x14ac:dyDescent="0.3">
      <c r="B5040" t="s">
        <v>681</v>
      </c>
    </row>
    <row r="5041" spans="2:2" ht="14.4" hidden="1" x14ac:dyDescent="0.3">
      <c r="B5041" t="s">
        <v>682</v>
      </c>
    </row>
    <row r="5042" spans="2:2" ht="14.4" hidden="1" x14ac:dyDescent="0.3">
      <c r="B5042" t="s">
        <v>683</v>
      </c>
    </row>
    <row r="5043" spans="2:2" ht="14.4" hidden="1" x14ac:dyDescent="0.3">
      <c r="B5043" t="s">
        <v>684</v>
      </c>
    </row>
    <row r="5044" spans="2:2" ht="14.4" hidden="1" x14ac:dyDescent="0.3">
      <c r="B5044" t="s">
        <v>685</v>
      </c>
    </row>
    <row r="5045" spans="2:2" ht="14.4" hidden="1" x14ac:dyDescent="0.3">
      <c r="B5045" t="s">
        <v>686</v>
      </c>
    </row>
    <row r="5046" spans="2:2" ht="14.4" hidden="1" x14ac:dyDescent="0.3">
      <c r="B5046" t="s">
        <v>687</v>
      </c>
    </row>
    <row r="5047" spans="2:2" ht="14.4" hidden="1" x14ac:dyDescent="0.3">
      <c r="B5047" t="s">
        <v>688</v>
      </c>
    </row>
    <row r="5048" spans="2:2" ht="14.4" hidden="1" x14ac:dyDescent="0.3">
      <c r="B5048" t="s">
        <v>689</v>
      </c>
    </row>
    <row r="5049" spans="2:2" ht="14.4" hidden="1" x14ac:dyDescent="0.3">
      <c r="B5049" t="s">
        <v>690</v>
      </c>
    </row>
    <row r="5050" spans="2:2" ht="14.4" hidden="1" x14ac:dyDescent="0.3">
      <c r="B5050" t="s">
        <v>691</v>
      </c>
    </row>
    <row r="5051" spans="2:2" ht="14.4" hidden="1" x14ac:dyDescent="0.3">
      <c r="B5051" t="s">
        <v>692</v>
      </c>
    </row>
    <row r="5052" spans="2:2" ht="14.4" hidden="1" x14ac:dyDescent="0.3">
      <c r="B5052" t="s">
        <v>693</v>
      </c>
    </row>
    <row r="5053" spans="2:2" ht="14.4" hidden="1" x14ac:dyDescent="0.3">
      <c r="B5053" t="s">
        <v>694</v>
      </c>
    </row>
    <row r="5054" spans="2:2" ht="14.4" hidden="1" x14ac:dyDescent="0.3">
      <c r="B5054" t="s">
        <v>22</v>
      </c>
    </row>
    <row r="5055" spans="2:2" ht="14.4" hidden="1" x14ac:dyDescent="0.3">
      <c r="B5055" t="s">
        <v>695</v>
      </c>
    </row>
    <row r="5056" spans="2:2" ht="14.4" hidden="1" x14ac:dyDescent="0.3">
      <c r="B5056" t="s">
        <v>113</v>
      </c>
    </row>
    <row r="5057" spans="2:2" ht="14.4" hidden="1" x14ac:dyDescent="0.3">
      <c r="B5057" t="s">
        <v>1316</v>
      </c>
    </row>
    <row r="5058" spans="2:2" ht="14.4" hidden="1" x14ac:dyDescent="0.3">
      <c r="B5058" t="s">
        <v>3672</v>
      </c>
    </row>
    <row r="5059" spans="2:2" ht="14.4" hidden="1" x14ac:dyDescent="0.3">
      <c r="B5059" t="s">
        <v>696</v>
      </c>
    </row>
    <row r="5060" spans="2:2" ht="14.4" hidden="1" x14ac:dyDescent="0.3">
      <c r="B5060" t="s">
        <v>697</v>
      </c>
    </row>
    <row r="5061" spans="2:2" ht="14.4" hidden="1" x14ac:dyDescent="0.3">
      <c r="B5061" t="s">
        <v>698</v>
      </c>
    </row>
    <row r="5062" spans="2:2" ht="14.4" hidden="1" x14ac:dyDescent="0.3">
      <c r="B5062" t="s">
        <v>699</v>
      </c>
    </row>
    <row r="5063" spans="2:2" ht="14.4" hidden="1" x14ac:dyDescent="0.3">
      <c r="B5063" t="s">
        <v>700</v>
      </c>
    </row>
    <row r="5064" spans="2:2" ht="14.4" hidden="1" x14ac:dyDescent="0.3">
      <c r="B5064" t="s">
        <v>701</v>
      </c>
    </row>
    <row r="5065" spans="2:2" ht="14.4" hidden="1" x14ac:dyDescent="0.3">
      <c r="B5065" t="s">
        <v>73</v>
      </c>
    </row>
    <row r="5066" spans="2:2" ht="14.4" hidden="1" x14ac:dyDescent="0.3">
      <c r="B5066" t="s">
        <v>702</v>
      </c>
    </row>
    <row r="5067" spans="2:2" ht="14.4" hidden="1" x14ac:dyDescent="0.3">
      <c r="B5067" t="s">
        <v>75</v>
      </c>
    </row>
    <row r="5068" spans="2:2" ht="14.4" hidden="1" x14ac:dyDescent="0.3">
      <c r="B5068" t="s">
        <v>703</v>
      </c>
    </row>
    <row r="5069" spans="2:2" ht="14.4" hidden="1" x14ac:dyDescent="0.3">
      <c r="B5069" t="s">
        <v>704</v>
      </c>
    </row>
    <row r="5070" spans="2:2" ht="14.4" hidden="1" x14ac:dyDescent="0.3">
      <c r="B5070" t="s">
        <v>705</v>
      </c>
    </row>
    <row r="5071" spans="2:2" ht="14.4" hidden="1" x14ac:dyDescent="0.3">
      <c r="B5071" t="s">
        <v>3687</v>
      </c>
    </row>
    <row r="5072" spans="2:2" ht="14.4" hidden="1" x14ac:dyDescent="0.3">
      <c r="B5072" t="s">
        <v>3690</v>
      </c>
    </row>
    <row r="5073" spans="2:2" ht="14.4" hidden="1" x14ac:dyDescent="0.3">
      <c r="B5073" t="s">
        <v>706</v>
      </c>
    </row>
    <row r="5074" spans="2:2" ht="14.4" hidden="1" x14ac:dyDescent="0.3">
      <c r="B5074" t="s">
        <v>3694</v>
      </c>
    </row>
    <row r="5075" spans="2:2" ht="14.4" hidden="1" x14ac:dyDescent="0.3">
      <c r="B5075" t="s">
        <v>707</v>
      </c>
    </row>
    <row r="5076" spans="2:2" ht="14.4" hidden="1" x14ac:dyDescent="0.3">
      <c r="B5076" t="s">
        <v>1317</v>
      </c>
    </row>
    <row r="5077" spans="2:2" ht="14.4" hidden="1" x14ac:dyDescent="0.3">
      <c r="B5077" t="s">
        <v>3699</v>
      </c>
    </row>
    <row r="5078" spans="2:2" ht="14.4" hidden="1" x14ac:dyDescent="0.3">
      <c r="B5078" t="s">
        <v>708</v>
      </c>
    </row>
    <row r="5079" spans="2:2" ht="14.4" hidden="1" x14ac:dyDescent="0.3">
      <c r="B5079" t="s">
        <v>709</v>
      </c>
    </row>
    <row r="5080" spans="2:2" ht="14.4" hidden="1" x14ac:dyDescent="0.3">
      <c r="B5080" t="s">
        <v>710</v>
      </c>
    </row>
    <row r="5081" spans="2:2" ht="14.4" hidden="1" x14ac:dyDescent="0.3">
      <c r="B5081" t="s">
        <v>711</v>
      </c>
    </row>
    <row r="5082" spans="2:2" ht="14.4" hidden="1" x14ac:dyDescent="0.3">
      <c r="B5082" t="s">
        <v>3706</v>
      </c>
    </row>
    <row r="5083" spans="2:2" ht="14.4" hidden="1" x14ac:dyDescent="0.3">
      <c r="B5083" t="s">
        <v>3709</v>
      </c>
    </row>
    <row r="5084" spans="2:2" ht="14.4" hidden="1" x14ac:dyDescent="0.3">
      <c r="B5084" t="s">
        <v>712</v>
      </c>
    </row>
    <row r="5085" spans="2:2" ht="14.4" hidden="1" x14ac:dyDescent="0.3">
      <c r="B5085" t="s">
        <v>713</v>
      </c>
    </row>
    <row r="5086" spans="2:2" ht="14.4" hidden="1" x14ac:dyDescent="0.3">
      <c r="B5086" t="s">
        <v>714</v>
      </c>
    </row>
    <row r="5087" spans="2:2" ht="14.4" hidden="1" x14ac:dyDescent="0.3">
      <c r="B5087" t="s">
        <v>715</v>
      </c>
    </row>
    <row r="5088" spans="2:2" ht="14.4" hidden="1" x14ac:dyDescent="0.3">
      <c r="B5088" t="s">
        <v>716</v>
      </c>
    </row>
    <row r="5089" spans="2:2" ht="14.4" hidden="1" x14ac:dyDescent="0.3">
      <c r="B5089" t="s">
        <v>717</v>
      </c>
    </row>
    <row r="5090" spans="2:2" ht="14.4" hidden="1" x14ac:dyDescent="0.3">
      <c r="B5090" t="s">
        <v>718</v>
      </c>
    </row>
    <row r="5091" spans="2:2" ht="14.4" hidden="1" x14ac:dyDescent="0.3">
      <c r="B5091" t="s">
        <v>719</v>
      </c>
    </row>
    <row r="5092" spans="2:2" ht="14.4" hidden="1" x14ac:dyDescent="0.3">
      <c r="B5092" t="s">
        <v>3720</v>
      </c>
    </row>
    <row r="5093" spans="2:2" ht="14.4" hidden="1" x14ac:dyDescent="0.3">
      <c r="B5093" t="s">
        <v>127</v>
      </c>
    </row>
    <row r="5094" spans="2:2" ht="14.4" hidden="1" x14ac:dyDescent="0.3">
      <c r="B5094" t="s">
        <v>3724</v>
      </c>
    </row>
    <row r="5095" spans="2:2" ht="14.4" hidden="1" x14ac:dyDescent="0.3">
      <c r="B5095" t="s">
        <v>3727</v>
      </c>
    </row>
    <row r="5096" spans="2:2" ht="14.4" hidden="1" x14ac:dyDescent="0.3">
      <c r="B5096" t="s">
        <v>720</v>
      </c>
    </row>
    <row r="5097" spans="2:2" ht="14.4" hidden="1" x14ac:dyDescent="0.3">
      <c r="B5097" t="s">
        <v>721</v>
      </c>
    </row>
    <row r="5098" spans="2:2" ht="14.4" hidden="1" x14ac:dyDescent="0.3">
      <c r="B5098" t="s">
        <v>722</v>
      </c>
    </row>
    <row r="5099" spans="2:2" ht="14.4" hidden="1" x14ac:dyDescent="0.3">
      <c r="B5099" t="s">
        <v>3733</v>
      </c>
    </row>
    <row r="5100" spans="2:2" ht="14.4" hidden="1" x14ac:dyDescent="0.3">
      <c r="B5100" t="s">
        <v>3736</v>
      </c>
    </row>
    <row r="5101" spans="2:2" ht="14.4" hidden="1" x14ac:dyDescent="0.3">
      <c r="B5101" t="s">
        <v>723</v>
      </c>
    </row>
    <row r="5102" spans="2:2" ht="14.4" hidden="1" x14ac:dyDescent="0.3">
      <c r="B5102" t="s">
        <v>724</v>
      </c>
    </row>
    <row r="5103" spans="2:2" ht="14.4" hidden="1" x14ac:dyDescent="0.3">
      <c r="B5103" t="s">
        <v>725</v>
      </c>
    </row>
    <row r="5104" spans="2:2" ht="14.4" hidden="1" x14ac:dyDescent="0.3">
      <c r="B5104" t="s">
        <v>76</v>
      </c>
    </row>
    <row r="5105" spans="2:2" ht="14.4" hidden="1" x14ac:dyDescent="0.3">
      <c r="B5105" t="s">
        <v>726</v>
      </c>
    </row>
    <row r="5106" spans="2:2" ht="14.4" hidden="1" x14ac:dyDescent="0.3">
      <c r="B5106" t="s">
        <v>727</v>
      </c>
    </row>
    <row r="5107" spans="2:2" ht="14.4" hidden="1" x14ac:dyDescent="0.3">
      <c r="B5107" t="s">
        <v>728</v>
      </c>
    </row>
    <row r="5108" spans="2:2" ht="14.4" hidden="1" x14ac:dyDescent="0.3">
      <c r="B5108" t="s">
        <v>729</v>
      </c>
    </row>
    <row r="5109" spans="2:2" ht="14.4" hidden="1" x14ac:dyDescent="0.3">
      <c r="B5109" t="s">
        <v>730</v>
      </c>
    </row>
    <row r="5110" spans="2:2" ht="14.4" hidden="1" x14ac:dyDescent="0.3">
      <c r="B5110" t="s">
        <v>731</v>
      </c>
    </row>
    <row r="5111" spans="2:2" ht="14.4" hidden="1" x14ac:dyDescent="0.3">
      <c r="B5111" t="s">
        <v>732</v>
      </c>
    </row>
    <row r="5112" spans="2:2" ht="14.4" hidden="1" x14ac:dyDescent="0.3">
      <c r="B5112" t="s">
        <v>3750</v>
      </c>
    </row>
    <row r="5113" spans="2:2" ht="14.4" hidden="1" x14ac:dyDescent="0.3">
      <c r="B5113" t="s">
        <v>733</v>
      </c>
    </row>
    <row r="5114" spans="2:2" ht="14.4" hidden="1" x14ac:dyDescent="0.3">
      <c r="B5114" t="s">
        <v>734</v>
      </c>
    </row>
    <row r="5115" spans="2:2" ht="14.4" hidden="1" x14ac:dyDescent="0.3">
      <c r="B5115" t="s">
        <v>735</v>
      </c>
    </row>
    <row r="5116" spans="2:2" ht="14.4" hidden="1" x14ac:dyDescent="0.3">
      <c r="B5116" t="s">
        <v>736</v>
      </c>
    </row>
    <row r="5117" spans="2:2" ht="14.4" hidden="1" x14ac:dyDescent="0.3">
      <c r="B5117" t="s">
        <v>737</v>
      </c>
    </row>
    <row r="5118" spans="2:2" ht="14.4" hidden="1" x14ac:dyDescent="0.3">
      <c r="B5118" t="s">
        <v>3758</v>
      </c>
    </row>
    <row r="5119" spans="2:2" ht="14.4" hidden="1" x14ac:dyDescent="0.3">
      <c r="B5119" t="s">
        <v>738</v>
      </c>
    </row>
    <row r="5120" spans="2:2" ht="14.4" hidden="1" x14ac:dyDescent="0.3">
      <c r="B5120" t="s">
        <v>739</v>
      </c>
    </row>
    <row r="5121" spans="2:2" ht="14.4" hidden="1" x14ac:dyDescent="0.3">
      <c r="B5121" t="s">
        <v>3763</v>
      </c>
    </row>
    <row r="5122" spans="2:2" ht="14.4" hidden="1" x14ac:dyDescent="0.3">
      <c r="B5122" t="s">
        <v>3766</v>
      </c>
    </row>
    <row r="5123" spans="2:2" ht="14.4" hidden="1" x14ac:dyDescent="0.3">
      <c r="B5123" t="s">
        <v>3769</v>
      </c>
    </row>
    <row r="5124" spans="2:2" ht="14.4" hidden="1" x14ac:dyDescent="0.3">
      <c r="B5124" t="s">
        <v>740</v>
      </c>
    </row>
    <row r="5125" spans="2:2" ht="14.4" hidden="1" x14ac:dyDescent="0.3">
      <c r="B5125" t="s">
        <v>3773</v>
      </c>
    </row>
    <row r="5126" spans="2:2" ht="14.4" hidden="1" x14ac:dyDescent="0.3">
      <c r="B5126" t="s">
        <v>741</v>
      </c>
    </row>
    <row r="5127" spans="2:2" ht="14.4" hidden="1" x14ac:dyDescent="0.3">
      <c r="B5127" t="s">
        <v>3777</v>
      </c>
    </row>
    <row r="5128" spans="2:2" ht="14.4" hidden="1" x14ac:dyDescent="0.3">
      <c r="B5128" t="s">
        <v>742</v>
      </c>
    </row>
    <row r="5129" spans="2:2" ht="14.4" hidden="1" x14ac:dyDescent="0.3">
      <c r="B5129" t="s">
        <v>743</v>
      </c>
    </row>
    <row r="5130" spans="2:2" ht="14.4" hidden="1" x14ac:dyDescent="0.3">
      <c r="B5130" t="s">
        <v>744</v>
      </c>
    </row>
    <row r="5131" spans="2:2" ht="14.4" hidden="1" x14ac:dyDescent="0.3">
      <c r="B5131" t="s">
        <v>745</v>
      </c>
    </row>
    <row r="5132" spans="2:2" ht="14.4" hidden="1" x14ac:dyDescent="0.3">
      <c r="B5132" t="s">
        <v>746</v>
      </c>
    </row>
    <row r="5133" spans="2:2" ht="14.4" hidden="1" x14ac:dyDescent="0.3">
      <c r="B5133" t="s">
        <v>747</v>
      </c>
    </row>
    <row r="5134" spans="2:2" ht="14.4" hidden="1" x14ac:dyDescent="0.3">
      <c r="B5134" t="s">
        <v>748</v>
      </c>
    </row>
    <row r="5135" spans="2:2" ht="14.4" hidden="1" x14ac:dyDescent="0.3">
      <c r="B5135" t="s">
        <v>3787</v>
      </c>
    </row>
    <row r="5136" spans="2:2" ht="14.4" hidden="1" x14ac:dyDescent="0.3">
      <c r="B5136" t="s">
        <v>749</v>
      </c>
    </row>
    <row r="5137" spans="2:2" ht="14.4" hidden="1" x14ac:dyDescent="0.3">
      <c r="B5137" t="s">
        <v>750</v>
      </c>
    </row>
    <row r="5138" spans="2:2" ht="14.4" hidden="1" x14ac:dyDescent="0.3">
      <c r="B5138" t="s">
        <v>3792</v>
      </c>
    </row>
    <row r="5139" spans="2:2" ht="14.4" hidden="1" x14ac:dyDescent="0.3">
      <c r="B5139" t="s">
        <v>751</v>
      </c>
    </row>
    <row r="5140" spans="2:2" ht="14.4" hidden="1" x14ac:dyDescent="0.3">
      <c r="B5140" t="s">
        <v>752</v>
      </c>
    </row>
    <row r="5141" spans="2:2" ht="14.4" hidden="1" x14ac:dyDescent="0.3">
      <c r="B5141" t="s">
        <v>753</v>
      </c>
    </row>
    <row r="5142" spans="2:2" ht="14.4" hidden="1" x14ac:dyDescent="0.3">
      <c r="B5142" t="s">
        <v>3798</v>
      </c>
    </row>
    <row r="5143" spans="2:2" ht="14.4" hidden="1" x14ac:dyDescent="0.3">
      <c r="B5143" t="s">
        <v>754</v>
      </c>
    </row>
    <row r="5144" spans="2:2" ht="14.4" hidden="1" x14ac:dyDescent="0.3">
      <c r="B5144" t="s">
        <v>755</v>
      </c>
    </row>
    <row r="5145" spans="2:2" ht="14.4" hidden="1" x14ac:dyDescent="0.3">
      <c r="B5145" t="s">
        <v>3803</v>
      </c>
    </row>
    <row r="5146" spans="2:2" ht="14.4" hidden="1" x14ac:dyDescent="0.3">
      <c r="B5146" t="s">
        <v>3805</v>
      </c>
    </row>
    <row r="5147" spans="2:2" ht="14.4" hidden="1" x14ac:dyDescent="0.3">
      <c r="B5147" t="s">
        <v>756</v>
      </c>
    </row>
    <row r="5148" spans="2:2" ht="14.4" hidden="1" x14ac:dyDescent="0.3">
      <c r="B5148" t="s">
        <v>3809</v>
      </c>
    </row>
    <row r="5149" spans="2:2" ht="14.4" hidden="1" x14ac:dyDescent="0.3">
      <c r="B5149" t="s">
        <v>757</v>
      </c>
    </row>
    <row r="5150" spans="2:2" ht="14.4" hidden="1" x14ac:dyDescent="0.3">
      <c r="B5150" t="s">
        <v>758</v>
      </c>
    </row>
    <row r="5151" spans="2:2" ht="14.4" hidden="1" x14ac:dyDescent="0.3">
      <c r="B5151" t="s">
        <v>759</v>
      </c>
    </row>
    <row r="5152" spans="2:2" ht="14.4" hidden="1" x14ac:dyDescent="0.3">
      <c r="B5152" t="s">
        <v>760</v>
      </c>
    </row>
    <row r="5153" spans="2:2" ht="14.4" hidden="1" x14ac:dyDescent="0.3">
      <c r="B5153" t="s">
        <v>761</v>
      </c>
    </row>
    <row r="5154" spans="2:2" ht="14.4" hidden="1" x14ac:dyDescent="0.3">
      <c r="B5154" t="s">
        <v>3817</v>
      </c>
    </row>
    <row r="5155" spans="2:2" ht="14.4" hidden="1" x14ac:dyDescent="0.3">
      <c r="B5155" t="s">
        <v>762</v>
      </c>
    </row>
    <row r="5156" spans="2:2" ht="14.4" hidden="1" x14ac:dyDescent="0.3">
      <c r="B5156" t="s">
        <v>763</v>
      </c>
    </row>
    <row r="5157" spans="2:2" ht="14.4" hidden="1" x14ac:dyDescent="0.3">
      <c r="B5157" t="s">
        <v>1318</v>
      </c>
    </row>
    <row r="5158" spans="2:2" ht="14.4" hidden="1" x14ac:dyDescent="0.3">
      <c r="B5158" t="s">
        <v>3823</v>
      </c>
    </row>
    <row r="5159" spans="2:2" ht="14.4" hidden="1" x14ac:dyDescent="0.3">
      <c r="B5159" t="s">
        <v>3826</v>
      </c>
    </row>
    <row r="5160" spans="2:2" ht="14.4" hidden="1" x14ac:dyDescent="0.3">
      <c r="B5160" t="s">
        <v>764</v>
      </c>
    </row>
    <row r="5161" spans="2:2" ht="14.4" hidden="1" x14ac:dyDescent="0.3">
      <c r="B5161" t="s">
        <v>765</v>
      </c>
    </row>
    <row r="5162" spans="2:2" ht="14.4" hidden="1" x14ac:dyDescent="0.3">
      <c r="B5162" t="s">
        <v>3831</v>
      </c>
    </row>
    <row r="5163" spans="2:2" ht="14.4" hidden="1" x14ac:dyDescent="0.3">
      <c r="B5163" t="s">
        <v>766</v>
      </c>
    </row>
    <row r="5164" spans="2:2" ht="14.4" hidden="1" x14ac:dyDescent="0.3">
      <c r="B5164" t="s">
        <v>3835</v>
      </c>
    </row>
    <row r="5165" spans="2:2" ht="14.4" hidden="1" x14ac:dyDescent="0.3">
      <c r="B5165" t="s">
        <v>3838</v>
      </c>
    </row>
    <row r="5166" spans="2:2" ht="14.4" hidden="1" x14ac:dyDescent="0.3">
      <c r="B5166" t="s">
        <v>767</v>
      </c>
    </row>
    <row r="5167" spans="2:2" ht="14.4" hidden="1" x14ac:dyDescent="0.3">
      <c r="B5167" t="s">
        <v>768</v>
      </c>
    </row>
    <row r="5168" spans="2:2" ht="14.4" hidden="1" x14ac:dyDescent="0.3">
      <c r="B5168" t="s">
        <v>769</v>
      </c>
    </row>
    <row r="5169" spans="2:2" ht="14.4" hidden="1" x14ac:dyDescent="0.3">
      <c r="B5169" t="s">
        <v>770</v>
      </c>
    </row>
    <row r="5170" spans="2:2" ht="14.4" hidden="1" x14ac:dyDescent="0.3">
      <c r="B5170" t="s">
        <v>3845</v>
      </c>
    </row>
    <row r="5171" spans="2:2" ht="14.4" hidden="1" x14ac:dyDescent="0.3">
      <c r="B5171" t="s">
        <v>77</v>
      </c>
    </row>
    <row r="5172" spans="2:2" ht="14.4" hidden="1" x14ac:dyDescent="0.3">
      <c r="B5172" t="s">
        <v>771</v>
      </c>
    </row>
    <row r="5173" spans="2:2" ht="14.4" hidden="1" x14ac:dyDescent="0.3">
      <c r="B5173" t="s">
        <v>772</v>
      </c>
    </row>
    <row r="5174" spans="2:2" ht="14.4" hidden="1" x14ac:dyDescent="0.3">
      <c r="B5174" t="s">
        <v>773</v>
      </c>
    </row>
    <row r="5175" spans="2:2" ht="14.4" hidden="1" x14ac:dyDescent="0.3">
      <c r="B5175" t="s">
        <v>774</v>
      </c>
    </row>
    <row r="5176" spans="2:2" ht="14.4" hidden="1" x14ac:dyDescent="0.3">
      <c r="B5176" t="s">
        <v>775</v>
      </c>
    </row>
    <row r="5177" spans="2:2" ht="14.4" hidden="1" x14ac:dyDescent="0.3">
      <c r="B5177" t="s">
        <v>776</v>
      </c>
    </row>
    <row r="5178" spans="2:2" ht="14.4" hidden="1" x14ac:dyDescent="0.3">
      <c r="B5178" t="s">
        <v>3855</v>
      </c>
    </row>
    <row r="5179" spans="2:2" ht="14.4" hidden="1" x14ac:dyDescent="0.3">
      <c r="B5179" t="s">
        <v>3858</v>
      </c>
    </row>
    <row r="5180" spans="2:2" ht="14.4" hidden="1" x14ac:dyDescent="0.3">
      <c r="B5180" t="s">
        <v>777</v>
      </c>
    </row>
    <row r="5181" spans="2:2" ht="14.4" hidden="1" x14ac:dyDescent="0.3">
      <c r="B5181" t="s">
        <v>778</v>
      </c>
    </row>
    <row r="5182" spans="2:2" ht="14.4" hidden="1" x14ac:dyDescent="0.3">
      <c r="B5182" t="s">
        <v>3863</v>
      </c>
    </row>
    <row r="5183" spans="2:2" ht="14.4" hidden="1" x14ac:dyDescent="0.3">
      <c r="B5183" t="s">
        <v>779</v>
      </c>
    </row>
    <row r="5184" spans="2:2" ht="14.4" hidden="1" x14ac:dyDescent="0.3">
      <c r="B5184" t="s">
        <v>780</v>
      </c>
    </row>
    <row r="5185" spans="2:2" ht="14.4" hidden="1" x14ac:dyDescent="0.3">
      <c r="B5185" t="s">
        <v>781</v>
      </c>
    </row>
    <row r="5186" spans="2:2" ht="14.4" hidden="1" x14ac:dyDescent="0.3">
      <c r="B5186" t="s">
        <v>78</v>
      </c>
    </row>
    <row r="5187" spans="2:2" ht="14.4" hidden="1" x14ac:dyDescent="0.3">
      <c r="B5187" t="s">
        <v>782</v>
      </c>
    </row>
    <row r="5188" spans="2:2" ht="14.4" hidden="1" x14ac:dyDescent="0.3">
      <c r="B5188" t="s">
        <v>783</v>
      </c>
    </row>
    <row r="5189" spans="2:2" ht="14.4" hidden="1" x14ac:dyDescent="0.3">
      <c r="B5189" t="s">
        <v>79</v>
      </c>
    </row>
    <row r="5190" spans="2:2" ht="14.4" hidden="1" x14ac:dyDescent="0.3">
      <c r="B5190" t="s">
        <v>784</v>
      </c>
    </row>
    <row r="5191" spans="2:2" ht="14.4" hidden="1" x14ac:dyDescent="0.3">
      <c r="B5191" t="s">
        <v>23</v>
      </c>
    </row>
    <row r="5192" spans="2:2" ht="14.4" hidden="1" x14ac:dyDescent="0.3">
      <c r="B5192" t="s">
        <v>785</v>
      </c>
    </row>
    <row r="5193" spans="2:2" ht="14.4" hidden="1" x14ac:dyDescent="0.3">
      <c r="B5193" t="s">
        <v>786</v>
      </c>
    </row>
    <row r="5194" spans="2:2" ht="14.4" hidden="1" x14ac:dyDescent="0.3">
      <c r="B5194" t="s">
        <v>787</v>
      </c>
    </row>
    <row r="5195" spans="2:2" ht="14.4" hidden="1" x14ac:dyDescent="0.3">
      <c r="B5195" t="s">
        <v>788</v>
      </c>
    </row>
    <row r="5196" spans="2:2" ht="14.4" hidden="1" x14ac:dyDescent="0.3">
      <c r="B5196" t="s">
        <v>789</v>
      </c>
    </row>
    <row r="5197" spans="2:2" ht="14.4" hidden="1" x14ac:dyDescent="0.3">
      <c r="B5197" t="s">
        <v>790</v>
      </c>
    </row>
    <row r="5198" spans="2:2" ht="14.4" hidden="1" x14ac:dyDescent="0.3">
      <c r="B5198" t="s">
        <v>791</v>
      </c>
    </row>
    <row r="5199" spans="2:2" ht="14.4" hidden="1" x14ac:dyDescent="0.3">
      <c r="B5199" t="s">
        <v>792</v>
      </c>
    </row>
    <row r="5200" spans="2:2" ht="14.4" hidden="1" x14ac:dyDescent="0.3">
      <c r="B5200" t="s">
        <v>793</v>
      </c>
    </row>
    <row r="5201" spans="2:2" ht="14.4" hidden="1" x14ac:dyDescent="0.3">
      <c r="B5201" t="s">
        <v>794</v>
      </c>
    </row>
    <row r="5202" spans="2:2" ht="14.4" hidden="1" x14ac:dyDescent="0.3">
      <c r="B5202" t="s">
        <v>795</v>
      </c>
    </row>
    <row r="5203" spans="2:2" ht="14.4" hidden="1" x14ac:dyDescent="0.3">
      <c r="B5203" t="s">
        <v>3887</v>
      </c>
    </row>
    <row r="5204" spans="2:2" ht="14.4" hidden="1" x14ac:dyDescent="0.3">
      <c r="B5204" t="s">
        <v>796</v>
      </c>
    </row>
    <row r="5205" spans="2:2" ht="14.4" hidden="1" x14ac:dyDescent="0.3">
      <c r="B5205" t="s">
        <v>797</v>
      </c>
    </row>
    <row r="5206" spans="2:2" ht="14.4" hidden="1" x14ac:dyDescent="0.3">
      <c r="B5206" t="s">
        <v>3892</v>
      </c>
    </row>
    <row r="5207" spans="2:2" ht="14.4" hidden="1" x14ac:dyDescent="0.3">
      <c r="B5207" t="s">
        <v>3895</v>
      </c>
    </row>
    <row r="5208" spans="2:2" ht="14.4" hidden="1" x14ac:dyDescent="0.3">
      <c r="B5208" t="s">
        <v>798</v>
      </c>
    </row>
    <row r="5209" spans="2:2" ht="14.4" hidden="1" x14ac:dyDescent="0.3">
      <c r="B5209" t="s">
        <v>1319</v>
      </c>
    </row>
    <row r="5210" spans="2:2" ht="14.4" hidden="1" x14ac:dyDescent="0.3">
      <c r="B5210" t="s">
        <v>1320</v>
      </c>
    </row>
    <row r="5211" spans="2:2" ht="14.4" hidden="1" x14ac:dyDescent="0.3">
      <c r="B5211" t="s">
        <v>799</v>
      </c>
    </row>
    <row r="5212" spans="2:2" ht="14.4" hidden="1" x14ac:dyDescent="0.3">
      <c r="B5212" t="s">
        <v>800</v>
      </c>
    </row>
    <row r="5213" spans="2:2" ht="14.4" hidden="1" x14ac:dyDescent="0.3">
      <c r="B5213" t="s">
        <v>801</v>
      </c>
    </row>
    <row r="5214" spans="2:2" ht="14.4" hidden="1" x14ac:dyDescent="0.3">
      <c r="B5214" t="s">
        <v>802</v>
      </c>
    </row>
    <row r="5215" spans="2:2" ht="14.4" hidden="1" x14ac:dyDescent="0.3">
      <c r="B5215" t="s">
        <v>803</v>
      </c>
    </row>
    <row r="5216" spans="2:2" ht="14.4" hidden="1" x14ac:dyDescent="0.3">
      <c r="B5216" t="s">
        <v>804</v>
      </c>
    </row>
    <row r="5217" spans="2:2" ht="14.4" hidden="1" x14ac:dyDescent="0.3">
      <c r="B5217" t="s">
        <v>805</v>
      </c>
    </row>
    <row r="5218" spans="2:2" ht="14.4" hidden="1" x14ac:dyDescent="0.3">
      <c r="B5218" t="s">
        <v>806</v>
      </c>
    </row>
    <row r="5219" spans="2:2" ht="14.4" hidden="1" x14ac:dyDescent="0.3">
      <c r="B5219" t="s">
        <v>807</v>
      </c>
    </row>
    <row r="5220" spans="2:2" ht="14.4" hidden="1" x14ac:dyDescent="0.3">
      <c r="B5220" t="s">
        <v>808</v>
      </c>
    </row>
    <row r="5221" spans="2:2" ht="14.4" hidden="1" x14ac:dyDescent="0.3">
      <c r="B5221" t="s">
        <v>809</v>
      </c>
    </row>
    <row r="5222" spans="2:2" ht="14.4" hidden="1" x14ac:dyDescent="0.3">
      <c r="B5222" t="s">
        <v>3912</v>
      </c>
    </row>
    <row r="5223" spans="2:2" ht="14.4" hidden="1" x14ac:dyDescent="0.3">
      <c r="B5223" t="s">
        <v>810</v>
      </c>
    </row>
    <row r="5224" spans="2:2" ht="14.4" hidden="1" x14ac:dyDescent="0.3">
      <c r="B5224" t="s">
        <v>811</v>
      </c>
    </row>
    <row r="5225" spans="2:2" ht="14.4" hidden="1" x14ac:dyDescent="0.3">
      <c r="B5225" t="s">
        <v>3918</v>
      </c>
    </row>
    <row r="5226" spans="2:2" ht="14.4" hidden="1" x14ac:dyDescent="0.3">
      <c r="B5226" t="s">
        <v>812</v>
      </c>
    </row>
    <row r="5227" spans="2:2" ht="14.4" hidden="1" x14ac:dyDescent="0.3">
      <c r="B5227" t="s">
        <v>813</v>
      </c>
    </row>
    <row r="5228" spans="2:2" ht="14.4" hidden="1" x14ac:dyDescent="0.3">
      <c r="B5228" t="s">
        <v>814</v>
      </c>
    </row>
    <row r="5229" spans="2:2" ht="14.4" hidden="1" x14ac:dyDescent="0.3">
      <c r="B5229" t="s">
        <v>3924</v>
      </c>
    </row>
    <row r="5230" spans="2:2" ht="14.4" hidden="1" x14ac:dyDescent="0.3">
      <c r="B5230" t="s">
        <v>815</v>
      </c>
    </row>
    <row r="5231" spans="2:2" ht="14.4" hidden="1" x14ac:dyDescent="0.3">
      <c r="B5231" t="s">
        <v>816</v>
      </c>
    </row>
    <row r="5232" spans="2:2" ht="14.4" hidden="1" x14ac:dyDescent="0.3">
      <c r="B5232" t="s">
        <v>3929</v>
      </c>
    </row>
    <row r="5233" spans="2:2" ht="14.4" hidden="1" x14ac:dyDescent="0.3">
      <c r="B5233" t="s">
        <v>817</v>
      </c>
    </row>
    <row r="5234" spans="2:2" ht="14.4" hidden="1" x14ac:dyDescent="0.3">
      <c r="B5234" t="s">
        <v>818</v>
      </c>
    </row>
    <row r="5235" spans="2:2" ht="14.4" hidden="1" x14ac:dyDescent="0.3">
      <c r="B5235" t="s">
        <v>819</v>
      </c>
    </row>
    <row r="5236" spans="2:2" ht="14.4" hidden="1" x14ac:dyDescent="0.3">
      <c r="B5236" t="s">
        <v>820</v>
      </c>
    </row>
    <row r="5237" spans="2:2" ht="14.4" hidden="1" x14ac:dyDescent="0.3">
      <c r="B5237" t="s">
        <v>3936</v>
      </c>
    </row>
    <row r="5238" spans="2:2" ht="14.4" hidden="1" x14ac:dyDescent="0.3">
      <c r="B5238" t="s">
        <v>821</v>
      </c>
    </row>
    <row r="5239" spans="2:2" ht="14.4" hidden="1" x14ac:dyDescent="0.3">
      <c r="B5239" t="s">
        <v>822</v>
      </c>
    </row>
    <row r="5240" spans="2:2" ht="14.4" hidden="1" x14ac:dyDescent="0.3">
      <c r="B5240" t="s">
        <v>823</v>
      </c>
    </row>
    <row r="5241" spans="2:2" ht="14.4" hidden="1" x14ac:dyDescent="0.3">
      <c r="B5241" t="s">
        <v>824</v>
      </c>
    </row>
    <row r="5242" spans="2:2" ht="14.4" hidden="1" x14ac:dyDescent="0.3">
      <c r="B5242" t="s">
        <v>825</v>
      </c>
    </row>
    <row r="5243" spans="2:2" ht="14.4" hidden="1" x14ac:dyDescent="0.3">
      <c r="B5243" t="s">
        <v>3944</v>
      </c>
    </row>
    <row r="5244" spans="2:2" ht="14.4" hidden="1" x14ac:dyDescent="0.3">
      <c r="B5244" t="s">
        <v>24</v>
      </c>
    </row>
    <row r="5245" spans="2:2" ht="14.4" hidden="1" x14ac:dyDescent="0.3">
      <c r="B5245" t="s">
        <v>826</v>
      </c>
    </row>
    <row r="5246" spans="2:2" ht="14.4" hidden="1" x14ac:dyDescent="0.3">
      <c r="B5246" t="s">
        <v>827</v>
      </c>
    </row>
    <row r="5247" spans="2:2" ht="14.4" hidden="1" x14ac:dyDescent="0.3">
      <c r="B5247" t="s">
        <v>828</v>
      </c>
    </row>
    <row r="5248" spans="2:2" ht="14.4" hidden="1" x14ac:dyDescent="0.3">
      <c r="B5248" t="s">
        <v>829</v>
      </c>
    </row>
    <row r="5249" spans="2:2" ht="14.4" hidden="1" x14ac:dyDescent="0.3">
      <c r="B5249" t="s">
        <v>3952</v>
      </c>
    </row>
    <row r="5250" spans="2:2" ht="14.4" hidden="1" x14ac:dyDescent="0.3">
      <c r="B5250" t="s">
        <v>830</v>
      </c>
    </row>
    <row r="5251" spans="2:2" ht="14.4" hidden="1" x14ac:dyDescent="0.3">
      <c r="B5251" t="s">
        <v>831</v>
      </c>
    </row>
    <row r="5252" spans="2:2" ht="14.4" hidden="1" x14ac:dyDescent="0.3">
      <c r="B5252" t="s">
        <v>3958</v>
      </c>
    </row>
    <row r="5253" spans="2:2" ht="14.4" hidden="1" x14ac:dyDescent="0.3">
      <c r="B5253" t="s">
        <v>832</v>
      </c>
    </row>
    <row r="5254" spans="2:2" ht="14.4" hidden="1" x14ac:dyDescent="0.3">
      <c r="B5254" t="s">
        <v>833</v>
      </c>
    </row>
    <row r="5255" spans="2:2" ht="14.4" hidden="1" x14ac:dyDescent="0.3">
      <c r="B5255" t="s">
        <v>834</v>
      </c>
    </row>
    <row r="5256" spans="2:2" ht="14.4" hidden="1" x14ac:dyDescent="0.3">
      <c r="B5256" t="s">
        <v>835</v>
      </c>
    </row>
    <row r="5257" spans="2:2" ht="14.4" hidden="1" x14ac:dyDescent="0.3">
      <c r="B5257" t="s">
        <v>1321</v>
      </c>
    </row>
    <row r="5258" spans="2:2" ht="14.4" hidden="1" x14ac:dyDescent="0.3">
      <c r="B5258" t="s">
        <v>3966</v>
      </c>
    </row>
    <row r="5259" spans="2:2" ht="14.4" hidden="1" x14ac:dyDescent="0.3">
      <c r="B5259" t="s">
        <v>114</v>
      </c>
    </row>
    <row r="5260" spans="2:2" ht="14.4" hidden="1" x14ac:dyDescent="0.3">
      <c r="B5260" t="s">
        <v>836</v>
      </c>
    </row>
    <row r="5261" spans="2:2" ht="14.4" hidden="1" x14ac:dyDescent="0.3">
      <c r="B5261" t="s">
        <v>1322</v>
      </c>
    </row>
    <row r="5262" spans="2:2" ht="14.4" hidden="1" x14ac:dyDescent="0.3">
      <c r="B5262" t="s">
        <v>837</v>
      </c>
    </row>
    <row r="5263" spans="2:2" ht="14.4" hidden="1" x14ac:dyDescent="0.3">
      <c r="B5263" t="s">
        <v>1323</v>
      </c>
    </row>
    <row r="5264" spans="2:2" ht="14.4" hidden="1" x14ac:dyDescent="0.3">
      <c r="B5264" t="s">
        <v>3974</v>
      </c>
    </row>
    <row r="5265" spans="2:2" ht="14.4" hidden="1" x14ac:dyDescent="0.3">
      <c r="B5265" t="s">
        <v>838</v>
      </c>
    </row>
    <row r="5266" spans="2:2" ht="14.4" hidden="1" x14ac:dyDescent="0.3">
      <c r="B5266" t="s">
        <v>839</v>
      </c>
    </row>
    <row r="5267" spans="2:2" ht="14.4" hidden="1" x14ac:dyDescent="0.3">
      <c r="B5267" t="s">
        <v>3979</v>
      </c>
    </row>
    <row r="5268" spans="2:2" ht="14.4" hidden="1" x14ac:dyDescent="0.3">
      <c r="B5268" t="s">
        <v>840</v>
      </c>
    </row>
    <row r="5269" spans="2:2" ht="14.4" hidden="1" x14ac:dyDescent="0.3">
      <c r="B5269" t="s">
        <v>841</v>
      </c>
    </row>
    <row r="5270" spans="2:2" ht="14.4" hidden="1" x14ac:dyDescent="0.3">
      <c r="B5270" t="s">
        <v>842</v>
      </c>
    </row>
    <row r="5271" spans="2:2" ht="14.4" hidden="1" x14ac:dyDescent="0.3">
      <c r="B5271" t="s">
        <v>843</v>
      </c>
    </row>
    <row r="5272" spans="2:2" ht="14.4" hidden="1" x14ac:dyDescent="0.3">
      <c r="B5272" t="s">
        <v>3986</v>
      </c>
    </row>
    <row r="5273" spans="2:2" ht="14.4" hidden="1" x14ac:dyDescent="0.3">
      <c r="B5273" t="s">
        <v>844</v>
      </c>
    </row>
    <row r="5274" spans="2:2" ht="14.4" hidden="1" x14ac:dyDescent="0.3">
      <c r="B5274" t="s">
        <v>25</v>
      </c>
    </row>
    <row r="5275" spans="2:2" ht="14.4" hidden="1" x14ac:dyDescent="0.3">
      <c r="B5275" t="s">
        <v>80</v>
      </c>
    </row>
    <row r="5276" spans="2:2" ht="14.4" hidden="1" x14ac:dyDescent="0.3">
      <c r="B5276" t="s">
        <v>845</v>
      </c>
    </row>
    <row r="5277" spans="2:2" ht="14.4" hidden="1" x14ac:dyDescent="0.3">
      <c r="B5277" t="s">
        <v>846</v>
      </c>
    </row>
    <row r="5278" spans="2:2" ht="14.4" hidden="1" x14ac:dyDescent="0.3">
      <c r="B5278" t="s">
        <v>847</v>
      </c>
    </row>
    <row r="5279" spans="2:2" ht="14.4" hidden="1" x14ac:dyDescent="0.3">
      <c r="B5279" t="s">
        <v>848</v>
      </c>
    </row>
    <row r="5280" spans="2:2" ht="14.4" hidden="1" x14ac:dyDescent="0.3">
      <c r="B5280" t="s">
        <v>849</v>
      </c>
    </row>
    <row r="5281" spans="2:2" ht="14.4" hidden="1" x14ac:dyDescent="0.3">
      <c r="B5281" t="s">
        <v>850</v>
      </c>
    </row>
    <row r="5282" spans="2:2" ht="14.4" hidden="1" x14ac:dyDescent="0.3">
      <c r="B5282" t="s">
        <v>851</v>
      </c>
    </row>
    <row r="5283" spans="2:2" ht="14.4" hidden="1" x14ac:dyDescent="0.3">
      <c r="B5283" t="s">
        <v>852</v>
      </c>
    </row>
    <row r="5284" spans="2:2" ht="14.4" hidden="1" x14ac:dyDescent="0.3">
      <c r="B5284" t="s">
        <v>853</v>
      </c>
    </row>
    <row r="5285" spans="2:2" ht="14.4" hidden="1" x14ac:dyDescent="0.3">
      <c r="B5285" t="s">
        <v>854</v>
      </c>
    </row>
    <row r="5286" spans="2:2" ht="14.4" hidden="1" x14ac:dyDescent="0.3">
      <c r="B5286" t="s">
        <v>855</v>
      </c>
    </row>
    <row r="5287" spans="2:2" ht="14.4" hidden="1" x14ac:dyDescent="0.3">
      <c r="B5287" t="s">
        <v>856</v>
      </c>
    </row>
    <row r="5288" spans="2:2" ht="14.4" hidden="1" x14ac:dyDescent="0.3">
      <c r="B5288" t="s">
        <v>856</v>
      </c>
    </row>
    <row r="5289" spans="2:2" ht="14.4" hidden="1" x14ac:dyDescent="0.3">
      <c r="B5289" t="s">
        <v>857</v>
      </c>
    </row>
    <row r="5290" spans="2:2" ht="14.4" hidden="1" x14ac:dyDescent="0.3">
      <c r="B5290" t="s">
        <v>4005</v>
      </c>
    </row>
    <row r="5291" spans="2:2" ht="14.4" hidden="1" x14ac:dyDescent="0.3">
      <c r="B5291" t="s">
        <v>4008</v>
      </c>
    </row>
    <row r="5292" spans="2:2" ht="14.4" hidden="1" x14ac:dyDescent="0.3">
      <c r="B5292" t="s">
        <v>858</v>
      </c>
    </row>
    <row r="5293" spans="2:2" ht="14.4" hidden="1" x14ac:dyDescent="0.3">
      <c r="B5293" t="s">
        <v>1324</v>
      </c>
    </row>
    <row r="5294" spans="2:2" ht="14.4" hidden="1" x14ac:dyDescent="0.3">
      <c r="B5294" t="s">
        <v>81</v>
      </c>
    </row>
    <row r="5295" spans="2:2" ht="14.4" hidden="1" x14ac:dyDescent="0.3">
      <c r="B5295" t="s">
        <v>859</v>
      </c>
    </row>
    <row r="5296" spans="2:2" ht="14.4" hidden="1" x14ac:dyDescent="0.3">
      <c r="B5296" t="s">
        <v>860</v>
      </c>
    </row>
    <row r="5297" spans="2:2" ht="14.4" hidden="1" x14ac:dyDescent="0.3">
      <c r="B5297" t="s">
        <v>861</v>
      </c>
    </row>
    <row r="5298" spans="2:2" ht="14.4" hidden="1" x14ac:dyDescent="0.3">
      <c r="B5298" t="s">
        <v>862</v>
      </c>
    </row>
    <row r="5299" spans="2:2" ht="14.4" hidden="1" x14ac:dyDescent="0.3">
      <c r="B5299" t="s">
        <v>863</v>
      </c>
    </row>
    <row r="5300" spans="2:2" ht="14.4" hidden="1" x14ac:dyDescent="0.3">
      <c r="B5300" t="s">
        <v>864</v>
      </c>
    </row>
    <row r="5301" spans="2:2" ht="14.4" hidden="1" x14ac:dyDescent="0.3">
      <c r="B5301" t="s">
        <v>865</v>
      </c>
    </row>
    <row r="5302" spans="2:2" ht="14.4" hidden="1" x14ac:dyDescent="0.3">
      <c r="B5302" t="s">
        <v>4021</v>
      </c>
    </row>
    <row r="5303" spans="2:2" ht="14.4" hidden="1" x14ac:dyDescent="0.3">
      <c r="B5303" t="s">
        <v>4024</v>
      </c>
    </row>
    <row r="5304" spans="2:2" ht="14.4" hidden="1" x14ac:dyDescent="0.3">
      <c r="B5304" t="s">
        <v>866</v>
      </c>
    </row>
    <row r="5305" spans="2:2" ht="14.4" hidden="1" x14ac:dyDescent="0.3">
      <c r="B5305" t="s">
        <v>867</v>
      </c>
    </row>
    <row r="5306" spans="2:2" ht="14.4" hidden="1" x14ac:dyDescent="0.3">
      <c r="B5306" t="s">
        <v>4029</v>
      </c>
    </row>
    <row r="5307" spans="2:2" ht="14.4" hidden="1" x14ac:dyDescent="0.3">
      <c r="B5307" t="s">
        <v>868</v>
      </c>
    </row>
    <row r="5308" spans="2:2" ht="14.4" hidden="1" x14ac:dyDescent="0.3">
      <c r="B5308" t="s">
        <v>869</v>
      </c>
    </row>
    <row r="5309" spans="2:2" ht="14.4" hidden="1" x14ac:dyDescent="0.3">
      <c r="B5309" t="s">
        <v>870</v>
      </c>
    </row>
    <row r="5310" spans="2:2" ht="14.4" hidden="1" x14ac:dyDescent="0.3">
      <c r="B5310" t="s">
        <v>871</v>
      </c>
    </row>
    <row r="5311" spans="2:2" ht="14.4" hidden="1" x14ac:dyDescent="0.3">
      <c r="B5311" t="s">
        <v>872</v>
      </c>
    </row>
    <row r="5312" spans="2:2" ht="14.4" hidden="1" x14ac:dyDescent="0.3">
      <c r="B5312" t="s">
        <v>873</v>
      </c>
    </row>
    <row r="5313" spans="2:2" ht="14.4" hidden="1" x14ac:dyDescent="0.3">
      <c r="B5313" t="s">
        <v>4037</v>
      </c>
    </row>
    <row r="5314" spans="2:2" ht="14.4" hidden="1" x14ac:dyDescent="0.3">
      <c r="B5314" t="s">
        <v>874</v>
      </c>
    </row>
    <row r="5315" spans="2:2" ht="14.4" hidden="1" x14ac:dyDescent="0.3">
      <c r="B5315" t="s">
        <v>875</v>
      </c>
    </row>
    <row r="5316" spans="2:2" ht="14.4" hidden="1" x14ac:dyDescent="0.3">
      <c r="B5316" t="s">
        <v>876</v>
      </c>
    </row>
    <row r="5317" spans="2:2" ht="14.4" hidden="1" x14ac:dyDescent="0.3">
      <c r="B5317" t="s">
        <v>877</v>
      </c>
    </row>
    <row r="5318" spans="2:2" ht="14.4" hidden="1" x14ac:dyDescent="0.3">
      <c r="B5318" t="s">
        <v>878</v>
      </c>
    </row>
    <row r="5319" spans="2:2" ht="14.4" hidden="1" x14ac:dyDescent="0.3">
      <c r="B5319" t="s">
        <v>879</v>
      </c>
    </row>
    <row r="5320" spans="2:2" ht="14.4" hidden="1" x14ac:dyDescent="0.3">
      <c r="B5320" t="s">
        <v>4046</v>
      </c>
    </row>
    <row r="5321" spans="2:2" ht="14.4" hidden="1" x14ac:dyDescent="0.3">
      <c r="B5321" t="s">
        <v>880</v>
      </c>
    </row>
    <row r="5322" spans="2:2" ht="14.4" hidden="1" x14ac:dyDescent="0.3">
      <c r="B5322" t="s">
        <v>881</v>
      </c>
    </row>
    <row r="5323" spans="2:2" ht="14.4" hidden="1" x14ac:dyDescent="0.3">
      <c r="B5323" t="s">
        <v>1325</v>
      </c>
    </row>
    <row r="5324" spans="2:2" ht="14.4" hidden="1" x14ac:dyDescent="0.3">
      <c r="B5324" t="s">
        <v>882</v>
      </c>
    </row>
    <row r="5325" spans="2:2" ht="14.4" hidden="1" x14ac:dyDescent="0.3">
      <c r="B5325" t="s">
        <v>883</v>
      </c>
    </row>
    <row r="5326" spans="2:2" ht="14.4" hidden="1" x14ac:dyDescent="0.3">
      <c r="B5326" t="s">
        <v>84</v>
      </c>
    </row>
    <row r="5327" spans="2:2" ht="14.4" hidden="1" x14ac:dyDescent="0.3">
      <c r="B5327" t="s">
        <v>884</v>
      </c>
    </row>
    <row r="5328" spans="2:2" ht="14.4" hidden="1" x14ac:dyDescent="0.3">
      <c r="B5328" t="s">
        <v>885</v>
      </c>
    </row>
    <row r="5329" spans="2:2" ht="14.4" hidden="1" x14ac:dyDescent="0.3">
      <c r="B5329" t="s">
        <v>4057</v>
      </c>
    </row>
    <row r="5330" spans="2:2" ht="14.4" hidden="1" x14ac:dyDescent="0.3">
      <c r="B5330" t="s">
        <v>886</v>
      </c>
    </row>
    <row r="5331" spans="2:2" ht="14.4" hidden="1" x14ac:dyDescent="0.3">
      <c r="B5331" t="s">
        <v>887</v>
      </c>
    </row>
    <row r="5332" spans="2:2" ht="14.4" hidden="1" x14ac:dyDescent="0.3">
      <c r="B5332" t="s">
        <v>82</v>
      </c>
    </row>
    <row r="5333" spans="2:2" ht="14.4" hidden="1" x14ac:dyDescent="0.3">
      <c r="B5333" t="s">
        <v>85</v>
      </c>
    </row>
    <row r="5334" spans="2:2" ht="14.4" hidden="1" x14ac:dyDescent="0.3">
      <c r="B5334" t="s">
        <v>888</v>
      </c>
    </row>
    <row r="5335" spans="2:2" ht="14.4" hidden="1" x14ac:dyDescent="0.3">
      <c r="B5335" t="s">
        <v>889</v>
      </c>
    </row>
    <row r="5336" spans="2:2" ht="14.4" hidden="1" x14ac:dyDescent="0.3">
      <c r="B5336" t="s">
        <v>890</v>
      </c>
    </row>
    <row r="5337" spans="2:2" ht="14.4" hidden="1" x14ac:dyDescent="0.3">
      <c r="B5337" t="s">
        <v>891</v>
      </c>
    </row>
    <row r="5338" spans="2:2" ht="14.4" hidden="1" x14ac:dyDescent="0.3">
      <c r="B5338" t="s">
        <v>86</v>
      </c>
    </row>
    <row r="5339" spans="2:2" ht="14.4" hidden="1" x14ac:dyDescent="0.3">
      <c r="B5339" t="s">
        <v>892</v>
      </c>
    </row>
    <row r="5340" spans="2:2" ht="14.4" hidden="1" x14ac:dyDescent="0.3">
      <c r="B5340" t="s">
        <v>893</v>
      </c>
    </row>
    <row r="5341" spans="2:2" ht="14.4" hidden="1" x14ac:dyDescent="0.3">
      <c r="B5341" t="s">
        <v>894</v>
      </c>
    </row>
    <row r="5342" spans="2:2" ht="14.4" hidden="1" x14ac:dyDescent="0.3">
      <c r="B5342" t="s">
        <v>895</v>
      </c>
    </row>
    <row r="5343" spans="2:2" ht="14.4" hidden="1" x14ac:dyDescent="0.3">
      <c r="B5343" t="s">
        <v>83</v>
      </c>
    </row>
    <row r="5344" spans="2:2" ht="14.4" hidden="1" x14ac:dyDescent="0.3">
      <c r="B5344" t="s">
        <v>896</v>
      </c>
    </row>
    <row r="5345" spans="2:2" ht="14.4" hidden="1" x14ac:dyDescent="0.3">
      <c r="B5345" t="s">
        <v>4075</v>
      </c>
    </row>
    <row r="5346" spans="2:2" ht="14.4" hidden="1" x14ac:dyDescent="0.3">
      <c r="B5346" t="s">
        <v>4078</v>
      </c>
    </row>
    <row r="5347" spans="2:2" ht="14.4" hidden="1" x14ac:dyDescent="0.3">
      <c r="B5347" t="s">
        <v>4081</v>
      </c>
    </row>
    <row r="5348" spans="2:2" ht="14.4" hidden="1" x14ac:dyDescent="0.3">
      <c r="B5348" t="s">
        <v>1326</v>
      </c>
    </row>
    <row r="5349" spans="2:2" ht="14.4" hidden="1" x14ac:dyDescent="0.3">
      <c r="B5349" t="s">
        <v>897</v>
      </c>
    </row>
    <row r="5350" spans="2:2" ht="14.4" hidden="1" x14ac:dyDescent="0.3">
      <c r="B5350" t="s">
        <v>898</v>
      </c>
    </row>
    <row r="5351" spans="2:2" ht="14.4" hidden="1" x14ac:dyDescent="0.3">
      <c r="B5351" t="s">
        <v>899</v>
      </c>
    </row>
    <row r="5352" spans="2:2" ht="14.4" hidden="1" x14ac:dyDescent="0.3">
      <c r="B5352" t="s">
        <v>4088</v>
      </c>
    </row>
    <row r="5353" spans="2:2" ht="14.4" hidden="1" x14ac:dyDescent="0.3">
      <c r="B5353" t="s">
        <v>900</v>
      </c>
    </row>
    <row r="5354" spans="2:2" ht="14.4" hidden="1" x14ac:dyDescent="0.3">
      <c r="B5354" t="s">
        <v>901</v>
      </c>
    </row>
    <row r="5355" spans="2:2" ht="14.4" hidden="1" x14ac:dyDescent="0.3">
      <c r="B5355" t="s">
        <v>902</v>
      </c>
    </row>
    <row r="5356" spans="2:2" ht="14.4" hidden="1" x14ac:dyDescent="0.3">
      <c r="B5356" t="s">
        <v>4094</v>
      </c>
    </row>
    <row r="5357" spans="2:2" ht="14.4" hidden="1" x14ac:dyDescent="0.3">
      <c r="B5357" t="s">
        <v>903</v>
      </c>
    </row>
    <row r="5358" spans="2:2" ht="14.4" hidden="1" x14ac:dyDescent="0.3">
      <c r="B5358" t="s">
        <v>4098</v>
      </c>
    </row>
    <row r="5359" spans="2:2" ht="14.4" hidden="1" x14ac:dyDescent="0.3">
      <c r="B5359" t="s">
        <v>904</v>
      </c>
    </row>
    <row r="5360" spans="2:2" ht="14.4" hidden="1" x14ac:dyDescent="0.3">
      <c r="B5360" t="s">
        <v>4102</v>
      </c>
    </row>
    <row r="5361" spans="2:2" ht="14.4" hidden="1" x14ac:dyDescent="0.3">
      <c r="B5361" t="s">
        <v>4105</v>
      </c>
    </row>
    <row r="5362" spans="2:2" ht="14.4" hidden="1" x14ac:dyDescent="0.3">
      <c r="B5362" t="s">
        <v>4108</v>
      </c>
    </row>
    <row r="5363" spans="2:2" ht="14.4" hidden="1" x14ac:dyDescent="0.3">
      <c r="B5363" t="s">
        <v>905</v>
      </c>
    </row>
    <row r="5364" spans="2:2" ht="14.4" hidden="1" x14ac:dyDescent="0.3">
      <c r="B5364" t="s">
        <v>906</v>
      </c>
    </row>
    <row r="5365" spans="2:2" ht="14.4" hidden="1" x14ac:dyDescent="0.3">
      <c r="B5365" t="s">
        <v>907</v>
      </c>
    </row>
    <row r="5366" spans="2:2" ht="14.4" hidden="1" x14ac:dyDescent="0.3">
      <c r="B5366" t="s">
        <v>908</v>
      </c>
    </row>
    <row r="5367" spans="2:2" ht="14.4" hidden="1" x14ac:dyDescent="0.3">
      <c r="B5367" t="s">
        <v>909</v>
      </c>
    </row>
    <row r="5368" spans="2:2" ht="14.4" hidden="1" x14ac:dyDescent="0.3">
      <c r="B5368" t="s">
        <v>4117</v>
      </c>
    </row>
    <row r="5369" spans="2:2" ht="14.4" hidden="1" x14ac:dyDescent="0.3">
      <c r="B5369" t="s">
        <v>910</v>
      </c>
    </row>
    <row r="5370" spans="2:2" ht="14.4" hidden="1" x14ac:dyDescent="0.3">
      <c r="B5370" t="s">
        <v>4121</v>
      </c>
    </row>
    <row r="5371" spans="2:2" ht="14.4" hidden="1" x14ac:dyDescent="0.3">
      <c r="B5371" t="s">
        <v>911</v>
      </c>
    </row>
    <row r="5372" spans="2:2" ht="14.4" hidden="1" x14ac:dyDescent="0.3">
      <c r="B5372" t="s">
        <v>912</v>
      </c>
    </row>
    <row r="5373" spans="2:2" ht="14.4" hidden="1" x14ac:dyDescent="0.3">
      <c r="B5373" t="s">
        <v>913</v>
      </c>
    </row>
    <row r="5374" spans="2:2" ht="14.4" hidden="1" x14ac:dyDescent="0.3">
      <c r="B5374" t="s">
        <v>914</v>
      </c>
    </row>
    <row r="5375" spans="2:2" ht="14.4" hidden="1" x14ac:dyDescent="0.3">
      <c r="B5375" t="s">
        <v>915</v>
      </c>
    </row>
    <row r="5376" spans="2:2" ht="14.4" hidden="1" x14ac:dyDescent="0.3">
      <c r="B5376" t="s">
        <v>916</v>
      </c>
    </row>
    <row r="5377" spans="2:2" ht="14.4" hidden="1" x14ac:dyDescent="0.3">
      <c r="B5377" t="s">
        <v>917</v>
      </c>
    </row>
    <row r="5378" spans="2:2" ht="14.4" hidden="1" x14ac:dyDescent="0.3">
      <c r="B5378" t="s">
        <v>4131</v>
      </c>
    </row>
    <row r="5379" spans="2:2" ht="14.4" hidden="1" x14ac:dyDescent="0.3">
      <c r="B5379" t="s">
        <v>918</v>
      </c>
    </row>
    <row r="5380" spans="2:2" ht="14.4" hidden="1" x14ac:dyDescent="0.3">
      <c r="B5380" t="s">
        <v>919</v>
      </c>
    </row>
    <row r="5381" spans="2:2" ht="14.4" hidden="1" x14ac:dyDescent="0.3">
      <c r="B5381" t="s">
        <v>4136</v>
      </c>
    </row>
    <row r="5382" spans="2:2" ht="14.4" hidden="1" x14ac:dyDescent="0.3">
      <c r="B5382" t="s">
        <v>920</v>
      </c>
    </row>
    <row r="5383" spans="2:2" ht="14.4" hidden="1" x14ac:dyDescent="0.3">
      <c r="B5383" t="s">
        <v>1327</v>
      </c>
    </row>
    <row r="5384" spans="2:2" ht="14.4" hidden="1" x14ac:dyDescent="0.3">
      <c r="B5384" t="s">
        <v>921</v>
      </c>
    </row>
    <row r="5385" spans="2:2" ht="14.4" hidden="1" x14ac:dyDescent="0.3">
      <c r="B5385" t="s">
        <v>922</v>
      </c>
    </row>
    <row r="5386" spans="2:2" ht="14.4" hidden="1" x14ac:dyDescent="0.3">
      <c r="B5386" t="s">
        <v>4143</v>
      </c>
    </row>
    <row r="5387" spans="2:2" ht="14.4" hidden="1" x14ac:dyDescent="0.3">
      <c r="B5387" t="s">
        <v>923</v>
      </c>
    </row>
    <row r="5388" spans="2:2" ht="14.4" hidden="1" x14ac:dyDescent="0.3">
      <c r="B5388" t="s">
        <v>924</v>
      </c>
    </row>
    <row r="5389" spans="2:2" ht="14.4" hidden="1" x14ac:dyDescent="0.3">
      <c r="B5389" t="s">
        <v>925</v>
      </c>
    </row>
    <row r="5390" spans="2:2" ht="14.4" hidden="1" x14ac:dyDescent="0.3">
      <c r="B5390" t="s">
        <v>926</v>
      </c>
    </row>
    <row r="5391" spans="2:2" ht="14.4" hidden="1" x14ac:dyDescent="0.3">
      <c r="B5391" t="s">
        <v>927</v>
      </c>
    </row>
    <row r="5392" spans="2:2" ht="14.4" hidden="1" x14ac:dyDescent="0.3">
      <c r="B5392" t="s">
        <v>928</v>
      </c>
    </row>
    <row r="5393" spans="2:2" ht="14.4" hidden="1" x14ac:dyDescent="0.3">
      <c r="B5393" t="s">
        <v>929</v>
      </c>
    </row>
    <row r="5394" spans="2:2" ht="14.4" hidden="1" x14ac:dyDescent="0.3">
      <c r="B5394" t="s">
        <v>930</v>
      </c>
    </row>
    <row r="5395" spans="2:2" ht="14.4" hidden="1" x14ac:dyDescent="0.3">
      <c r="B5395" t="s">
        <v>931</v>
      </c>
    </row>
    <row r="5396" spans="2:2" ht="14.4" hidden="1" x14ac:dyDescent="0.3">
      <c r="B5396" t="s">
        <v>932</v>
      </c>
    </row>
    <row r="5397" spans="2:2" ht="14.4" hidden="1" x14ac:dyDescent="0.3">
      <c r="B5397" t="s">
        <v>933</v>
      </c>
    </row>
    <row r="5398" spans="2:2" ht="14.4" hidden="1" x14ac:dyDescent="0.3">
      <c r="B5398" t="s">
        <v>934</v>
      </c>
    </row>
    <row r="5399" spans="2:2" ht="14.4" hidden="1" x14ac:dyDescent="0.3">
      <c r="B5399" t="s">
        <v>935</v>
      </c>
    </row>
    <row r="5400" spans="2:2" ht="14.4" hidden="1" x14ac:dyDescent="0.3">
      <c r="B5400" t="s">
        <v>4159</v>
      </c>
    </row>
    <row r="5401" spans="2:2" ht="14.4" hidden="1" x14ac:dyDescent="0.3">
      <c r="B5401" t="s">
        <v>4162</v>
      </c>
    </row>
    <row r="5402" spans="2:2" ht="14.4" hidden="1" x14ac:dyDescent="0.3">
      <c r="B5402" t="s">
        <v>1328</v>
      </c>
    </row>
    <row r="5403" spans="2:2" ht="14.4" hidden="1" x14ac:dyDescent="0.3">
      <c r="B5403" t="s">
        <v>1329</v>
      </c>
    </row>
    <row r="5404" spans="2:2" ht="14.4" hidden="1" x14ac:dyDescent="0.3">
      <c r="B5404" t="s">
        <v>936</v>
      </c>
    </row>
    <row r="5405" spans="2:2" ht="14.4" hidden="1" x14ac:dyDescent="0.3">
      <c r="B5405" t="s">
        <v>4168</v>
      </c>
    </row>
    <row r="5406" spans="2:2" ht="14.4" hidden="1" x14ac:dyDescent="0.3">
      <c r="B5406" t="s">
        <v>937</v>
      </c>
    </row>
    <row r="5407" spans="2:2" ht="14.4" hidden="1" x14ac:dyDescent="0.3">
      <c r="B5407" t="s">
        <v>938</v>
      </c>
    </row>
    <row r="5408" spans="2:2" ht="14.4" hidden="1" x14ac:dyDescent="0.3">
      <c r="B5408" t="s">
        <v>939</v>
      </c>
    </row>
    <row r="5409" spans="2:2" ht="14.4" hidden="1" x14ac:dyDescent="0.3">
      <c r="B5409" t="s">
        <v>940</v>
      </c>
    </row>
    <row r="5410" spans="2:2" ht="14.4" hidden="1" x14ac:dyDescent="0.3">
      <c r="B5410" t="s">
        <v>941</v>
      </c>
    </row>
    <row r="5411" spans="2:2" ht="14.4" hidden="1" x14ac:dyDescent="0.3">
      <c r="B5411" t="s">
        <v>942</v>
      </c>
    </row>
    <row r="5412" spans="2:2" ht="14.4" hidden="1" x14ac:dyDescent="0.3">
      <c r="B5412" t="s">
        <v>943</v>
      </c>
    </row>
    <row r="5413" spans="2:2" ht="14.4" hidden="1" x14ac:dyDescent="0.3">
      <c r="B5413" t="s">
        <v>944</v>
      </c>
    </row>
    <row r="5414" spans="2:2" ht="14.4" hidden="1" x14ac:dyDescent="0.3">
      <c r="B5414" t="s">
        <v>945</v>
      </c>
    </row>
    <row r="5415" spans="2:2" ht="14.4" hidden="1" x14ac:dyDescent="0.3">
      <c r="B5415" t="s">
        <v>946</v>
      </c>
    </row>
    <row r="5416" spans="2:2" ht="14.4" hidden="1" x14ac:dyDescent="0.3">
      <c r="B5416" t="s">
        <v>947</v>
      </c>
    </row>
    <row r="5417" spans="2:2" ht="14.4" hidden="1" x14ac:dyDescent="0.3">
      <c r="B5417" t="s">
        <v>4183</v>
      </c>
    </row>
    <row r="5418" spans="2:2" ht="14.4" hidden="1" x14ac:dyDescent="0.3">
      <c r="B5418" t="s">
        <v>100</v>
      </c>
    </row>
    <row r="5419" spans="2:2" ht="14.4" hidden="1" x14ac:dyDescent="0.3">
      <c r="B5419" t="s">
        <v>948</v>
      </c>
    </row>
    <row r="5420" spans="2:2" ht="14.4" hidden="1" x14ac:dyDescent="0.3">
      <c r="B5420" t="s">
        <v>949</v>
      </c>
    </row>
    <row r="5421" spans="2:2" ht="14.4" hidden="1" x14ac:dyDescent="0.3">
      <c r="B5421" t="s">
        <v>950</v>
      </c>
    </row>
    <row r="5422" spans="2:2" ht="14.4" hidden="1" x14ac:dyDescent="0.3">
      <c r="B5422" t="s">
        <v>951</v>
      </c>
    </row>
    <row r="5423" spans="2:2" ht="14.4" hidden="1" x14ac:dyDescent="0.3">
      <c r="B5423" t="s">
        <v>952</v>
      </c>
    </row>
    <row r="5424" spans="2:2" ht="14.4" hidden="1" x14ac:dyDescent="0.3">
      <c r="B5424" t="s">
        <v>953</v>
      </c>
    </row>
    <row r="5425" spans="2:2" ht="14.4" hidden="1" x14ac:dyDescent="0.3">
      <c r="B5425" t="s">
        <v>954</v>
      </c>
    </row>
    <row r="5426" spans="2:2" ht="14.4" hidden="1" x14ac:dyDescent="0.3">
      <c r="B5426" t="s">
        <v>955</v>
      </c>
    </row>
    <row r="5427" spans="2:2" ht="14.4" hidden="1" x14ac:dyDescent="0.3">
      <c r="B5427" t="s">
        <v>956</v>
      </c>
    </row>
    <row r="5428" spans="2:2" ht="14.4" hidden="1" x14ac:dyDescent="0.3">
      <c r="B5428" t="s">
        <v>957</v>
      </c>
    </row>
    <row r="5429" spans="2:2" ht="14.4" hidden="1" x14ac:dyDescent="0.3">
      <c r="B5429" t="s">
        <v>958</v>
      </c>
    </row>
    <row r="5430" spans="2:2" ht="14.4" hidden="1" x14ac:dyDescent="0.3">
      <c r="B5430" t="s">
        <v>4198</v>
      </c>
    </row>
    <row r="5431" spans="2:2" ht="14.4" hidden="1" x14ac:dyDescent="0.3">
      <c r="B5431" t="s">
        <v>959</v>
      </c>
    </row>
    <row r="5432" spans="2:2" ht="14.4" hidden="1" x14ac:dyDescent="0.3">
      <c r="B5432" t="s">
        <v>960</v>
      </c>
    </row>
    <row r="5433" spans="2:2" ht="14.4" hidden="1" x14ac:dyDescent="0.3">
      <c r="B5433" t="s">
        <v>4203</v>
      </c>
    </row>
    <row r="5434" spans="2:2" ht="14.4" hidden="1" x14ac:dyDescent="0.3">
      <c r="B5434" t="s">
        <v>961</v>
      </c>
    </row>
    <row r="5435" spans="2:2" ht="14.4" hidden="1" x14ac:dyDescent="0.3">
      <c r="B5435" t="s">
        <v>962</v>
      </c>
    </row>
    <row r="5436" spans="2:2" ht="14.4" hidden="1" x14ac:dyDescent="0.3">
      <c r="B5436" t="s">
        <v>963</v>
      </c>
    </row>
    <row r="5437" spans="2:2" ht="14.4" hidden="1" x14ac:dyDescent="0.3">
      <c r="B5437" t="s">
        <v>964</v>
      </c>
    </row>
    <row r="5438" spans="2:2" ht="14.4" hidden="1" x14ac:dyDescent="0.3">
      <c r="B5438" t="s">
        <v>965</v>
      </c>
    </row>
    <row r="5439" spans="2:2" ht="14.4" hidden="1" x14ac:dyDescent="0.3">
      <c r="B5439" t="s">
        <v>966</v>
      </c>
    </row>
    <row r="5440" spans="2:2" ht="14.4" hidden="1" x14ac:dyDescent="0.3">
      <c r="B5440" t="s">
        <v>87</v>
      </c>
    </row>
    <row r="5441" spans="2:2" ht="14.4" hidden="1" x14ac:dyDescent="0.3">
      <c r="B5441" t="s">
        <v>967</v>
      </c>
    </row>
    <row r="5442" spans="2:2" ht="14.4" hidden="1" x14ac:dyDescent="0.3">
      <c r="B5442" t="s">
        <v>968</v>
      </c>
    </row>
    <row r="5443" spans="2:2" ht="14.4" hidden="1" x14ac:dyDescent="0.3">
      <c r="B5443" t="s">
        <v>88</v>
      </c>
    </row>
    <row r="5444" spans="2:2" ht="14.4" hidden="1" x14ac:dyDescent="0.3">
      <c r="B5444" t="s">
        <v>1330</v>
      </c>
    </row>
    <row r="5445" spans="2:2" ht="14.4" hidden="1" x14ac:dyDescent="0.3">
      <c r="B5445" t="s">
        <v>969</v>
      </c>
    </row>
    <row r="5446" spans="2:2" ht="14.4" hidden="1" x14ac:dyDescent="0.3">
      <c r="B5446" t="s">
        <v>970</v>
      </c>
    </row>
    <row r="5447" spans="2:2" ht="14.4" hidden="1" x14ac:dyDescent="0.3">
      <c r="B5447" t="s">
        <v>971</v>
      </c>
    </row>
    <row r="5448" spans="2:2" ht="14.4" hidden="1" x14ac:dyDescent="0.3">
      <c r="B5448" t="s">
        <v>972</v>
      </c>
    </row>
    <row r="5449" spans="2:2" ht="14.4" hidden="1" x14ac:dyDescent="0.3">
      <c r="B5449" t="s">
        <v>973</v>
      </c>
    </row>
    <row r="5450" spans="2:2" ht="14.4" hidden="1" x14ac:dyDescent="0.3">
      <c r="B5450" t="s">
        <v>974</v>
      </c>
    </row>
    <row r="5451" spans="2:2" ht="14.4" hidden="1" x14ac:dyDescent="0.3">
      <c r="B5451" t="s">
        <v>975</v>
      </c>
    </row>
    <row r="5452" spans="2:2" ht="14.4" hidden="1" x14ac:dyDescent="0.3">
      <c r="B5452" t="s">
        <v>976</v>
      </c>
    </row>
    <row r="5453" spans="2:2" ht="14.4" hidden="1" x14ac:dyDescent="0.3">
      <c r="B5453" t="s">
        <v>977</v>
      </c>
    </row>
    <row r="5454" spans="2:2" ht="14.4" hidden="1" x14ac:dyDescent="0.3">
      <c r="B5454" t="s">
        <v>978</v>
      </c>
    </row>
    <row r="5455" spans="2:2" ht="14.4" hidden="1" x14ac:dyDescent="0.3">
      <c r="B5455" t="s">
        <v>979</v>
      </c>
    </row>
    <row r="5456" spans="2:2" ht="14.4" hidden="1" x14ac:dyDescent="0.3">
      <c r="B5456" t="s">
        <v>980</v>
      </c>
    </row>
    <row r="5457" spans="2:2" ht="14.4" hidden="1" x14ac:dyDescent="0.3">
      <c r="B5457" t="s">
        <v>981</v>
      </c>
    </row>
    <row r="5458" spans="2:2" ht="14.4" hidden="1" x14ac:dyDescent="0.3">
      <c r="B5458" t="s">
        <v>982</v>
      </c>
    </row>
    <row r="5459" spans="2:2" ht="14.4" hidden="1" x14ac:dyDescent="0.3">
      <c r="B5459" t="s">
        <v>4232</v>
      </c>
    </row>
    <row r="5460" spans="2:2" ht="14.4" hidden="1" x14ac:dyDescent="0.3">
      <c r="B5460" t="s">
        <v>983</v>
      </c>
    </row>
    <row r="5461" spans="2:2" ht="14.4" hidden="1" x14ac:dyDescent="0.3">
      <c r="B5461" t="s">
        <v>984</v>
      </c>
    </row>
    <row r="5462" spans="2:2" ht="14.4" hidden="1" x14ac:dyDescent="0.3">
      <c r="B5462" t="s">
        <v>985</v>
      </c>
    </row>
    <row r="5463" spans="2:2" ht="14.4" hidden="1" x14ac:dyDescent="0.3">
      <c r="B5463" t="s">
        <v>89</v>
      </c>
    </row>
    <row r="5464" spans="2:2" ht="14.4" hidden="1" x14ac:dyDescent="0.3">
      <c r="B5464" t="s">
        <v>986</v>
      </c>
    </row>
    <row r="5465" spans="2:2" ht="14.4" hidden="1" x14ac:dyDescent="0.3">
      <c r="B5465" t="s">
        <v>987</v>
      </c>
    </row>
    <row r="5466" spans="2:2" ht="14.4" hidden="1" x14ac:dyDescent="0.3">
      <c r="B5466" t="s">
        <v>988</v>
      </c>
    </row>
    <row r="5467" spans="2:2" ht="14.4" hidden="1" x14ac:dyDescent="0.3">
      <c r="B5467" t="s">
        <v>989</v>
      </c>
    </row>
    <row r="5468" spans="2:2" ht="14.4" hidden="1" x14ac:dyDescent="0.3">
      <c r="B5468" t="s">
        <v>990</v>
      </c>
    </row>
    <row r="5469" spans="2:2" ht="14.4" hidden="1" x14ac:dyDescent="0.3">
      <c r="B5469" t="s">
        <v>991</v>
      </c>
    </row>
    <row r="5470" spans="2:2" ht="14.4" hidden="1" x14ac:dyDescent="0.3">
      <c r="B5470" t="s">
        <v>992</v>
      </c>
    </row>
    <row r="5471" spans="2:2" ht="14.4" hidden="1" x14ac:dyDescent="0.3">
      <c r="B5471" t="s">
        <v>993</v>
      </c>
    </row>
    <row r="5472" spans="2:2" ht="14.4" hidden="1" x14ac:dyDescent="0.3">
      <c r="B5472" t="s">
        <v>994</v>
      </c>
    </row>
    <row r="5473" spans="2:2" ht="14.4" hidden="1" x14ac:dyDescent="0.3">
      <c r="B5473" t="s">
        <v>995</v>
      </c>
    </row>
    <row r="5474" spans="2:2" ht="14.4" hidden="1" x14ac:dyDescent="0.3">
      <c r="B5474" t="s">
        <v>996</v>
      </c>
    </row>
    <row r="5475" spans="2:2" ht="14.4" hidden="1" x14ac:dyDescent="0.3">
      <c r="B5475" t="s">
        <v>997</v>
      </c>
    </row>
    <row r="5476" spans="2:2" ht="14.4" hidden="1" x14ac:dyDescent="0.3">
      <c r="B5476" t="s">
        <v>4251</v>
      </c>
    </row>
    <row r="5477" spans="2:2" ht="14.4" hidden="1" x14ac:dyDescent="0.3">
      <c r="B5477" t="s">
        <v>998</v>
      </c>
    </row>
    <row r="5478" spans="2:2" ht="14.4" hidden="1" x14ac:dyDescent="0.3">
      <c r="B5478" t="s">
        <v>999</v>
      </c>
    </row>
    <row r="5479" spans="2:2" ht="14.4" hidden="1" x14ac:dyDescent="0.3">
      <c r="B5479" t="s">
        <v>4256</v>
      </c>
    </row>
    <row r="5480" spans="2:2" ht="14.4" hidden="1" x14ac:dyDescent="0.3">
      <c r="B5480" t="s">
        <v>1000</v>
      </c>
    </row>
    <row r="5481" spans="2:2" ht="14.4" hidden="1" x14ac:dyDescent="0.3">
      <c r="B5481" t="s">
        <v>26</v>
      </c>
    </row>
    <row r="5482" spans="2:2" ht="14.4" hidden="1" x14ac:dyDescent="0.3">
      <c r="B5482" t="s">
        <v>1001</v>
      </c>
    </row>
    <row r="5483" spans="2:2" ht="14.4" hidden="1" x14ac:dyDescent="0.3">
      <c r="B5483" t="s">
        <v>1002</v>
      </c>
    </row>
    <row r="5484" spans="2:2" ht="14.4" hidden="1" x14ac:dyDescent="0.3">
      <c r="B5484" t="s">
        <v>1003</v>
      </c>
    </row>
    <row r="5485" spans="2:2" ht="14.4" hidden="1" x14ac:dyDescent="0.3">
      <c r="B5485" t="s">
        <v>4264</v>
      </c>
    </row>
    <row r="5486" spans="2:2" ht="14.4" hidden="1" x14ac:dyDescent="0.3">
      <c r="B5486" t="s">
        <v>1004</v>
      </c>
    </row>
    <row r="5487" spans="2:2" ht="14.4" hidden="1" x14ac:dyDescent="0.3">
      <c r="B5487" t="s">
        <v>1005</v>
      </c>
    </row>
    <row r="5488" spans="2:2" ht="14.4" hidden="1" x14ac:dyDescent="0.3">
      <c r="B5488" t="s">
        <v>4269</v>
      </c>
    </row>
    <row r="5489" spans="2:2" ht="14.4" hidden="1" x14ac:dyDescent="0.3">
      <c r="B5489" t="s">
        <v>1331</v>
      </c>
    </row>
    <row r="5490" spans="2:2" ht="14.4" hidden="1" x14ac:dyDescent="0.3">
      <c r="B5490" t="s">
        <v>1006</v>
      </c>
    </row>
    <row r="5491" spans="2:2" ht="14.4" hidden="1" x14ac:dyDescent="0.3">
      <c r="B5491" t="s">
        <v>1340</v>
      </c>
    </row>
    <row r="5492" spans="2:2" ht="14.4" hidden="1" x14ac:dyDescent="0.3">
      <c r="B5492" t="s">
        <v>1007</v>
      </c>
    </row>
    <row r="5493" spans="2:2" ht="14.4" hidden="1" x14ac:dyDescent="0.3">
      <c r="B5493" t="s">
        <v>1008</v>
      </c>
    </row>
    <row r="5494" spans="2:2" ht="14.4" hidden="1" x14ac:dyDescent="0.3">
      <c r="B5494" t="s">
        <v>1009</v>
      </c>
    </row>
    <row r="5495" spans="2:2" ht="14.4" hidden="1" x14ac:dyDescent="0.3">
      <c r="B5495" t="s">
        <v>1010</v>
      </c>
    </row>
    <row r="5496" spans="2:2" ht="14.4" hidden="1" x14ac:dyDescent="0.3">
      <c r="B5496" t="s">
        <v>1011</v>
      </c>
    </row>
    <row r="5497" spans="2:2" ht="14.4" hidden="1" x14ac:dyDescent="0.3">
      <c r="B5497" t="s">
        <v>90</v>
      </c>
    </row>
    <row r="5498" spans="2:2" ht="14.4" hidden="1" x14ac:dyDescent="0.3">
      <c r="B5498" t="s">
        <v>1012</v>
      </c>
    </row>
    <row r="5499" spans="2:2" ht="14.4" hidden="1" x14ac:dyDescent="0.3">
      <c r="B5499" t="s">
        <v>1013</v>
      </c>
    </row>
    <row r="5500" spans="2:2" ht="14.4" hidden="1" x14ac:dyDescent="0.3">
      <c r="B5500" t="s">
        <v>1014</v>
      </c>
    </row>
    <row r="5501" spans="2:2" ht="14.4" hidden="1" x14ac:dyDescent="0.3">
      <c r="B5501" t="s">
        <v>1015</v>
      </c>
    </row>
    <row r="5502" spans="2:2" ht="14.4" hidden="1" x14ac:dyDescent="0.3">
      <c r="B5502" t="s">
        <v>1016</v>
      </c>
    </row>
    <row r="5503" spans="2:2" ht="14.4" hidden="1" x14ac:dyDescent="0.3">
      <c r="B5503" t="s">
        <v>4287</v>
      </c>
    </row>
    <row r="5504" spans="2:2" ht="14.4" hidden="1" x14ac:dyDescent="0.3">
      <c r="B5504" t="s">
        <v>1017</v>
      </c>
    </row>
    <row r="5505" spans="2:2" ht="14.4" hidden="1" x14ac:dyDescent="0.3">
      <c r="B5505" t="s">
        <v>4291</v>
      </c>
    </row>
    <row r="5506" spans="2:2" ht="14.4" hidden="1" x14ac:dyDescent="0.3">
      <c r="B5506" t="s">
        <v>1018</v>
      </c>
    </row>
    <row r="5507" spans="2:2" ht="14.4" hidden="1" x14ac:dyDescent="0.3">
      <c r="B5507" t="s">
        <v>4295</v>
      </c>
    </row>
    <row r="5508" spans="2:2" ht="14.4" hidden="1" x14ac:dyDescent="0.3">
      <c r="B5508" t="s">
        <v>1019</v>
      </c>
    </row>
    <row r="5509" spans="2:2" ht="14.4" hidden="1" x14ac:dyDescent="0.3">
      <c r="B5509" t="s">
        <v>1020</v>
      </c>
    </row>
    <row r="5510" spans="2:2" ht="14.4" hidden="1" x14ac:dyDescent="0.3">
      <c r="B5510" t="s">
        <v>1021</v>
      </c>
    </row>
    <row r="5511" spans="2:2" ht="14.4" hidden="1" x14ac:dyDescent="0.3">
      <c r="B5511" t="s">
        <v>1022</v>
      </c>
    </row>
    <row r="5512" spans="2:2" ht="14.4" hidden="1" x14ac:dyDescent="0.3">
      <c r="B5512" t="s">
        <v>1023</v>
      </c>
    </row>
    <row r="5513" spans="2:2" ht="14.4" hidden="1" x14ac:dyDescent="0.3">
      <c r="B5513" t="s">
        <v>1024</v>
      </c>
    </row>
    <row r="5514" spans="2:2" ht="14.4" hidden="1" x14ac:dyDescent="0.3">
      <c r="B5514" t="s">
        <v>1025</v>
      </c>
    </row>
    <row r="5515" spans="2:2" ht="14.4" hidden="1" x14ac:dyDescent="0.3">
      <c r="B5515" t="s">
        <v>1026</v>
      </c>
    </row>
    <row r="5516" spans="2:2" ht="14.4" hidden="1" x14ac:dyDescent="0.3">
      <c r="B5516" t="s">
        <v>4306</v>
      </c>
    </row>
    <row r="5517" spans="2:2" ht="14.4" hidden="1" x14ac:dyDescent="0.3">
      <c r="B5517" t="s">
        <v>1027</v>
      </c>
    </row>
    <row r="5518" spans="2:2" ht="14.4" hidden="1" x14ac:dyDescent="0.3">
      <c r="B5518" t="s">
        <v>1028</v>
      </c>
    </row>
    <row r="5519" spans="2:2" ht="14.4" hidden="1" x14ac:dyDescent="0.3">
      <c r="B5519" t="s">
        <v>4311</v>
      </c>
    </row>
    <row r="5520" spans="2:2" ht="14.4" hidden="1" x14ac:dyDescent="0.3">
      <c r="B5520" t="s">
        <v>1029</v>
      </c>
    </row>
    <row r="5521" spans="2:2" ht="14.4" hidden="1" x14ac:dyDescent="0.3">
      <c r="B5521" t="s">
        <v>4315</v>
      </c>
    </row>
    <row r="5522" spans="2:2" ht="14.4" hidden="1" x14ac:dyDescent="0.3">
      <c r="B5522" t="s">
        <v>1332</v>
      </c>
    </row>
    <row r="5523" spans="2:2" ht="14.4" hidden="1" x14ac:dyDescent="0.3">
      <c r="B5523" t="s">
        <v>1333</v>
      </c>
    </row>
    <row r="5524" spans="2:2" ht="14.4" hidden="1" x14ac:dyDescent="0.3">
      <c r="B5524" t="s">
        <v>1030</v>
      </c>
    </row>
    <row r="5525" spans="2:2" ht="14.4" hidden="1" x14ac:dyDescent="0.3">
      <c r="B5525" t="s">
        <v>4321</v>
      </c>
    </row>
    <row r="5526" spans="2:2" ht="14.4" hidden="1" x14ac:dyDescent="0.3">
      <c r="B5526" t="s">
        <v>1031</v>
      </c>
    </row>
    <row r="5527" spans="2:2" ht="14.4" hidden="1" x14ac:dyDescent="0.3">
      <c r="B5527" t="s">
        <v>4325</v>
      </c>
    </row>
    <row r="5528" spans="2:2" ht="14.4" hidden="1" x14ac:dyDescent="0.3">
      <c r="B5528" t="s">
        <v>1032</v>
      </c>
    </row>
    <row r="5529" spans="2:2" ht="14.4" hidden="1" x14ac:dyDescent="0.3">
      <c r="B5529" t="s">
        <v>1033</v>
      </c>
    </row>
    <row r="5530" spans="2:2" ht="14.4" hidden="1" x14ac:dyDescent="0.3">
      <c r="B5530" t="s">
        <v>4330</v>
      </c>
    </row>
    <row r="5531" spans="2:2" ht="14.4" hidden="1" x14ac:dyDescent="0.3">
      <c r="B5531" t="s">
        <v>1034</v>
      </c>
    </row>
    <row r="5532" spans="2:2" ht="14.4" hidden="1" x14ac:dyDescent="0.3">
      <c r="B5532" t="s">
        <v>1035</v>
      </c>
    </row>
    <row r="5533" spans="2:2" ht="14.4" hidden="1" x14ac:dyDescent="0.3">
      <c r="B5533" t="s">
        <v>1036</v>
      </c>
    </row>
    <row r="5534" spans="2:2" ht="14.4" hidden="1" x14ac:dyDescent="0.3">
      <c r="B5534" t="s">
        <v>1037</v>
      </c>
    </row>
    <row r="5535" spans="2:2" ht="14.4" hidden="1" x14ac:dyDescent="0.3">
      <c r="B5535" t="s">
        <v>1038</v>
      </c>
    </row>
    <row r="5536" spans="2:2" ht="14.4" hidden="1" x14ac:dyDescent="0.3">
      <c r="B5536" t="s">
        <v>1039</v>
      </c>
    </row>
    <row r="5537" spans="2:2" ht="14.4" hidden="1" x14ac:dyDescent="0.3">
      <c r="B5537" t="s">
        <v>1040</v>
      </c>
    </row>
    <row r="5538" spans="2:2" ht="14.4" hidden="1" x14ac:dyDescent="0.3">
      <c r="B5538" t="s">
        <v>4340</v>
      </c>
    </row>
    <row r="5539" spans="2:2" ht="14.4" hidden="1" x14ac:dyDescent="0.3">
      <c r="B5539" t="s">
        <v>1041</v>
      </c>
    </row>
    <row r="5540" spans="2:2" ht="14.4" hidden="1" x14ac:dyDescent="0.3">
      <c r="B5540" t="s">
        <v>91</v>
      </c>
    </row>
    <row r="5541" spans="2:2" ht="14.4" hidden="1" x14ac:dyDescent="0.3">
      <c r="B5541" t="s">
        <v>4345</v>
      </c>
    </row>
    <row r="5542" spans="2:2" ht="14.4" hidden="1" x14ac:dyDescent="0.3">
      <c r="B5542" t="s">
        <v>1042</v>
      </c>
    </row>
    <row r="5543" spans="2:2" ht="14.4" hidden="1" x14ac:dyDescent="0.3">
      <c r="B5543" t="s">
        <v>1043</v>
      </c>
    </row>
    <row r="5544" spans="2:2" ht="14.4" hidden="1" x14ac:dyDescent="0.3">
      <c r="B5544" t="s">
        <v>1044</v>
      </c>
    </row>
    <row r="5545" spans="2:2" ht="14.4" hidden="1" x14ac:dyDescent="0.3">
      <c r="B5545" t="s">
        <v>4351</v>
      </c>
    </row>
    <row r="5546" spans="2:2" ht="14.4" hidden="1" x14ac:dyDescent="0.3">
      <c r="B5546" t="s">
        <v>1045</v>
      </c>
    </row>
    <row r="5547" spans="2:2" ht="14.4" hidden="1" x14ac:dyDescent="0.3">
      <c r="B5547" t="s">
        <v>1046</v>
      </c>
    </row>
    <row r="5548" spans="2:2" ht="14.4" hidden="1" x14ac:dyDescent="0.3">
      <c r="B5548" t="s">
        <v>4356</v>
      </c>
    </row>
    <row r="5549" spans="2:2" ht="14.4" hidden="1" x14ac:dyDescent="0.3">
      <c r="B5549" t="s">
        <v>1047</v>
      </c>
    </row>
    <row r="5550" spans="2:2" ht="14.4" hidden="1" x14ac:dyDescent="0.3">
      <c r="B5550" t="s">
        <v>1048</v>
      </c>
    </row>
    <row r="5551" spans="2:2" ht="14.4" hidden="1" x14ac:dyDescent="0.3">
      <c r="B5551" t="s">
        <v>1049</v>
      </c>
    </row>
    <row r="5552" spans="2:2" ht="14.4" hidden="1" x14ac:dyDescent="0.3">
      <c r="B5552" t="s">
        <v>92</v>
      </c>
    </row>
    <row r="5553" spans="2:2" ht="14.4" hidden="1" x14ac:dyDescent="0.3">
      <c r="B5553" t="s">
        <v>4363</v>
      </c>
    </row>
    <row r="5554" spans="2:2" ht="14.4" hidden="1" x14ac:dyDescent="0.3">
      <c r="B5554" t="s">
        <v>1050</v>
      </c>
    </row>
    <row r="5555" spans="2:2" ht="14.4" hidden="1" x14ac:dyDescent="0.3">
      <c r="B5555" t="s">
        <v>1051</v>
      </c>
    </row>
    <row r="5556" spans="2:2" ht="14.4" hidden="1" x14ac:dyDescent="0.3">
      <c r="B5556" t="s">
        <v>4368</v>
      </c>
    </row>
    <row r="5557" spans="2:2" ht="14.4" hidden="1" x14ac:dyDescent="0.3">
      <c r="B5557" t="s">
        <v>1052</v>
      </c>
    </row>
    <row r="5558" spans="2:2" ht="14.4" hidden="1" x14ac:dyDescent="0.3">
      <c r="B5558" t="s">
        <v>1053</v>
      </c>
    </row>
    <row r="5559" spans="2:2" ht="14.4" hidden="1" x14ac:dyDescent="0.3">
      <c r="B5559" t="s">
        <v>1054</v>
      </c>
    </row>
    <row r="5560" spans="2:2" ht="14.4" hidden="1" x14ac:dyDescent="0.3">
      <c r="B5560" t="s">
        <v>1055</v>
      </c>
    </row>
    <row r="5561" spans="2:2" ht="14.4" hidden="1" x14ac:dyDescent="0.3">
      <c r="B5561" t="s">
        <v>4374</v>
      </c>
    </row>
    <row r="5562" spans="2:2" ht="14.4" hidden="1" x14ac:dyDescent="0.3">
      <c r="B5562" t="s">
        <v>1056</v>
      </c>
    </row>
    <row r="5563" spans="2:2" ht="14.4" hidden="1" x14ac:dyDescent="0.3">
      <c r="B5563" t="s">
        <v>1057</v>
      </c>
    </row>
    <row r="5564" spans="2:2" ht="14.4" hidden="1" x14ac:dyDescent="0.3">
      <c r="B5564" t="s">
        <v>1058</v>
      </c>
    </row>
    <row r="5565" spans="2:2" ht="14.4" hidden="1" x14ac:dyDescent="0.3">
      <c r="B5565" t="s">
        <v>1059</v>
      </c>
    </row>
    <row r="5566" spans="2:2" ht="14.4" hidden="1" x14ac:dyDescent="0.3">
      <c r="B5566" t="s">
        <v>4381</v>
      </c>
    </row>
    <row r="5567" spans="2:2" ht="14.4" hidden="1" x14ac:dyDescent="0.3">
      <c r="B5567" t="s">
        <v>1060</v>
      </c>
    </row>
    <row r="5568" spans="2:2" ht="14.4" hidden="1" x14ac:dyDescent="0.3">
      <c r="B5568" t="s">
        <v>1061</v>
      </c>
    </row>
    <row r="5569" spans="2:2" ht="14.4" hidden="1" x14ac:dyDescent="0.3">
      <c r="B5569" t="s">
        <v>1062</v>
      </c>
    </row>
    <row r="5570" spans="2:2" ht="14.4" hidden="1" x14ac:dyDescent="0.3">
      <c r="B5570" t="s">
        <v>1063</v>
      </c>
    </row>
    <row r="5571" spans="2:2" ht="14.4" hidden="1" x14ac:dyDescent="0.3">
      <c r="B5571" t="s">
        <v>1064</v>
      </c>
    </row>
    <row r="5572" spans="2:2" ht="14.4" hidden="1" x14ac:dyDescent="0.3">
      <c r="B5572" t="s">
        <v>1065</v>
      </c>
    </row>
    <row r="5573" spans="2:2" ht="14.4" hidden="1" x14ac:dyDescent="0.3">
      <c r="B5573" t="s">
        <v>1066</v>
      </c>
    </row>
    <row r="5574" spans="2:2" ht="14.4" hidden="1" x14ac:dyDescent="0.3">
      <c r="B5574" t="s">
        <v>1334</v>
      </c>
    </row>
    <row r="5575" spans="2:2" ht="14.4" hidden="1" x14ac:dyDescent="0.3">
      <c r="B5575" t="s">
        <v>1067</v>
      </c>
    </row>
    <row r="5576" spans="2:2" ht="14.4" hidden="1" x14ac:dyDescent="0.3">
      <c r="B5576" t="s">
        <v>1068</v>
      </c>
    </row>
    <row r="5577" spans="2:2" ht="14.4" hidden="1" x14ac:dyDescent="0.3">
      <c r="B5577" t="s">
        <v>1069</v>
      </c>
    </row>
    <row r="5578" spans="2:2" ht="14.4" hidden="1" x14ac:dyDescent="0.3">
      <c r="B5578" t="s">
        <v>4396</v>
      </c>
    </row>
    <row r="5579" spans="2:2" ht="14.4" hidden="1" x14ac:dyDescent="0.3">
      <c r="B5579" t="s">
        <v>1070</v>
      </c>
    </row>
    <row r="5580" spans="2:2" ht="14.4" hidden="1" x14ac:dyDescent="0.3">
      <c r="B5580" t="s">
        <v>1071</v>
      </c>
    </row>
    <row r="5581" spans="2:2" ht="14.4" hidden="1" x14ac:dyDescent="0.3">
      <c r="B5581" t="s">
        <v>4401</v>
      </c>
    </row>
    <row r="5582" spans="2:2" ht="14.4" hidden="1" x14ac:dyDescent="0.3">
      <c r="B5582" t="s">
        <v>4404</v>
      </c>
    </row>
    <row r="5583" spans="2:2" ht="14.4" hidden="1" x14ac:dyDescent="0.3">
      <c r="B5583" t="s">
        <v>1072</v>
      </c>
    </row>
    <row r="5584" spans="2:2" ht="14.4" hidden="1" x14ac:dyDescent="0.3">
      <c r="B5584" t="s">
        <v>93</v>
      </c>
    </row>
    <row r="5585" spans="2:2" ht="14.4" hidden="1" x14ac:dyDescent="0.3">
      <c r="B5585" t="s">
        <v>4409</v>
      </c>
    </row>
    <row r="5586" spans="2:2" ht="14.4" hidden="1" x14ac:dyDescent="0.3">
      <c r="B5586" t="s">
        <v>1073</v>
      </c>
    </row>
    <row r="5587" spans="2:2" ht="14.4" hidden="1" x14ac:dyDescent="0.3">
      <c r="B5587" t="s">
        <v>4413</v>
      </c>
    </row>
    <row r="5588" spans="2:2" ht="14.4" hidden="1" x14ac:dyDescent="0.3">
      <c r="B5588" t="s">
        <v>1074</v>
      </c>
    </row>
    <row r="5589" spans="2:2" ht="14.4" hidden="1" x14ac:dyDescent="0.3">
      <c r="B5589" t="s">
        <v>1075</v>
      </c>
    </row>
    <row r="5590" spans="2:2" ht="14.4" hidden="1" x14ac:dyDescent="0.3">
      <c r="B5590" t="s">
        <v>4418</v>
      </c>
    </row>
    <row r="5591" spans="2:2" ht="14.4" hidden="1" x14ac:dyDescent="0.3">
      <c r="B5591" t="s">
        <v>1076</v>
      </c>
    </row>
    <row r="5592" spans="2:2" ht="14.4" hidden="1" x14ac:dyDescent="0.3">
      <c r="B5592" t="s">
        <v>115</v>
      </c>
    </row>
    <row r="5593" spans="2:2" ht="14.4" hidden="1" x14ac:dyDescent="0.3">
      <c r="B5593" t="s">
        <v>1077</v>
      </c>
    </row>
    <row r="5594" spans="2:2" ht="14.4" hidden="1" x14ac:dyDescent="0.3">
      <c r="B5594" t="s">
        <v>1078</v>
      </c>
    </row>
    <row r="5595" spans="2:2" ht="14.4" hidden="1" x14ac:dyDescent="0.3">
      <c r="B5595" t="s">
        <v>1079</v>
      </c>
    </row>
    <row r="5596" spans="2:2" ht="14.4" hidden="1" x14ac:dyDescent="0.3">
      <c r="B5596" t="s">
        <v>4426</v>
      </c>
    </row>
    <row r="5597" spans="2:2" ht="14.4" hidden="1" x14ac:dyDescent="0.3">
      <c r="B5597" t="s">
        <v>1335</v>
      </c>
    </row>
    <row r="5598" spans="2:2" ht="14.4" hidden="1" x14ac:dyDescent="0.3">
      <c r="B5598" t="s">
        <v>1080</v>
      </c>
    </row>
    <row r="5599" spans="2:2" ht="14.4" hidden="1" x14ac:dyDescent="0.3">
      <c r="B5599" t="s">
        <v>1081</v>
      </c>
    </row>
    <row r="5600" spans="2:2" ht="14.4" hidden="1" x14ac:dyDescent="0.3">
      <c r="B5600" t="s">
        <v>1082</v>
      </c>
    </row>
    <row r="5601" spans="2:2" ht="14.4" hidden="1" x14ac:dyDescent="0.3">
      <c r="B5601" t="s">
        <v>1083</v>
      </c>
    </row>
    <row r="5602" spans="2:2" ht="14.4" hidden="1" x14ac:dyDescent="0.3">
      <c r="B5602" t="s">
        <v>4434</v>
      </c>
    </row>
    <row r="5603" spans="2:2" ht="14.4" hidden="1" x14ac:dyDescent="0.3">
      <c r="B5603" t="s">
        <v>109</v>
      </c>
    </row>
    <row r="5604" spans="2:2" ht="14.4" hidden="1" x14ac:dyDescent="0.3">
      <c r="B5604" t="s">
        <v>1084</v>
      </c>
    </row>
    <row r="5605" spans="2:2" ht="14.4" hidden="1" x14ac:dyDescent="0.3">
      <c r="B5605" t="s">
        <v>1085</v>
      </c>
    </row>
    <row r="5606" spans="2:2" ht="14.4" hidden="1" x14ac:dyDescent="0.3">
      <c r="B5606" t="s">
        <v>4440</v>
      </c>
    </row>
    <row r="5607" spans="2:2" ht="14.4" hidden="1" x14ac:dyDescent="0.3">
      <c r="B5607" t="s">
        <v>94</v>
      </c>
    </row>
    <row r="5608" spans="2:2" ht="14.4" hidden="1" x14ac:dyDescent="0.3">
      <c r="B5608" t="s">
        <v>1086</v>
      </c>
    </row>
    <row r="5609" spans="2:2" ht="14.4" hidden="1" x14ac:dyDescent="0.3">
      <c r="B5609" t="s">
        <v>1087</v>
      </c>
    </row>
    <row r="5610" spans="2:2" ht="14.4" hidden="1" x14ac:dyDescent="0.3">
      <c r="B5610" t="s">
        <v>1088</v>
      </c>
    </row>
    <row r="5611" spans="2:2" ht="14.4" hidden="1" x14ac:dyDescent="0.3">
      <c r="B5611" t="s">
        <v>1089</v>
      </c>
    </row>
    <row r="5612" spans="2:2" ht="14.4" hidden="1" x14ac:dyDescent="0.3">
      <c r="B5612" t="s">
        <v>1090</v>
      </c>
    </row>
    <row r="5613" spans="2:2" ht="14.4" hidden="1" x14ac:dyDescent="0.3">
      <c r="B5613" t="s">
        <v>1091</v>
      </c>
    </row>
    <row r="5614" spans="2:2" ht="14.4" hidden="1" x14ac:dyDescent="0.3">
      <c r="B5614" t="s">
        <v>1092</v>
      </c>
    </row>
    <row r="5615" spans="2:2" ht="14.4" hidden="1" x14ac:dyDescent="0.3">
      <c r="B5615" t="s">
        <v>1093</v>
      </c>
    </row>
    <row r="5616" spans="2:2" ht="14.4" hidden="1" x14ac:dyDescent="0.3">
      <c r="B5616" t="s">
        <v>1094</v>
      </c>
    </row>
    <row r="5617" spans="2:2" ht="14.4" hidden="1" x14ac:dyDescent="0.3">
      <c r="B5617" t="s">
        <v>1095</v>
      </c>
    </row>
    <row r="5618" spans="2:2" ht="14.4" hidden="1" x14ac:dyDescent="0.3">
      <c r="B5618" t="s">
        <v>1096</v>
      </c>
    </row>
    <row r="5619" spans="2:2" ht="14.4" hidden="1" x14ac:dyDescent="0.3">
      <c r="B5619" t="s">
        <v>1097</v>
      </c>
    </row>
    <row r="5620" spans="2:2" ht="14.4" hidden="1" x14ac:dyDescent="0.3">
      <c r="B5620" t="s">
        <v>1098</v>
      </c>
    </row>
    <row r="5621" spans="2:2" ht="14.4" hidden="1" x14ac:dyDescent="0.3">
      <c r="B5621" t="s">
        <v>1099</v>
      </c>
    </row>
    <row r="5622" spans="2:2" ht="14.4" hidden="1" x14ac:dyDescent="0.3">
      <c r="B5622" t="s">
        <v>1100</v>
      </c>
    </row>
    <row r="5623" spans="2:2" ht="14.4" hidden="1" x14ac:dyDescent="0.3">
      <c r="B5623" t="s">
        <v>1101</v>
      </c>
    </row>
    <row r="5624" spans="2:2" ht="14.4" hidden="1" x14ac:dyDescent="0.3">
      <c r="B5624" t="s">
        <v>1102</v>
      </c>
    </row>
    <row r="5625" spans="2:2" ht="14.4" hidden="1" x14ac:dyDescent="0.3">
      <c r="B5625" t="s">
        <v>1103</v>
      </c>
    </row>
    <row r="5626" spans="2:2" ht="14.4" hidden="1" x14ac:dyDescent="0.3">
      <c r="B5626" t="s">
        <v>1104</v>
      </c>
    </row>
    <row r="5627" spans="2:2" ht="14.4" hidden="1" x14ac:dyDescent="0.3">
      <c r="B5627" t="s">
        <v>1105</v>
      </c>
    </row>
    <row r="5628" spans="2:2" ht="14.4" hidden="1" x14ac:dyDescent="0.3">
      <c r="B5628" t="s">
        <v>1106</v>
      </c>
    </row>
    <row r="5629" spans="2:2" ht="14.4" hidden="1" x14ac:dyDescent="0.3">
      <c r="B5629" t="s">
        <v>1107</v>
      </c>
    </row>
    <row r="5630" spans="2:2" ht="14.4" hidden="1" x14ac:dyDescent="0.3">
      <c r="B5630" t="s">
        <v>27</v>
      </c>
    </row>
    <row r="5631" spans="2:2" ht="14.4" hidden="1" x14ac:dyDescent="0.3">
      <c r="B5631" t="s">
        <v>1108</v>
      </c>
    </row>
    <row r="5632" spans="2:2" ht="14.4" hidden="1" x14ac:dyDescent="0.3">
      <c r="B5632" t="s">
        <v>1109</v>
      </c>
    </row>
    <row r="5633" spans="2:2" ht="14.4" hidden="1" x14ac:dyDescent="0.3">
      <c r="B5633" t="s">
        <v>1110</v>
      </c>
    </row>
    <row r="5634" spans="2:2" ht="14.4" hidden="1" x14ac:dyDescent="0.3">
      <c r="B5634" t="s">
        <v>116</v>
      </c>
    </row>
    <row r="5635" spans="2:2" ht="14.4" hidden="1" x14ac:dyDescent="0.3">
      <c r="B5635" t="s">
        <v>1111</v>
      </c>
    </row>
    <row r="5636" spans="2:2" ht="14.4" hidden="1" x14ac:dyDescent="0.3">
      <c r="B5636" t="s">
        <v>1112</v>
      </c>
    </row>
    <row r="5637" spans="2:2" ht="14.4" hidden="1" x14ac:dyDescent="0.3">
      <c r="B5637" t="s">
        <v>1113</v>
      </c>
    </row>
    <row r="5638" spans="2:2" ht="14.4" hidden="1" x14ac:dyDescent="0.3">
      <c r="B5638" t="s">
        <v>1114</v>
      </c>
    </row>
    <row r="5639" spans="2:2" ht="14.4" hidden="1" x14ac:dyDescent="0.3">
      <c r="B5639" t="s">
        <v>1115</v>
      </c>
    </row>
    <row r="5640" spans="2:2" ht="14.4" hidden="1" x14ac:dyDescent="0.3">
      <c r="B5640" t="s">
        <v>1116</v>
      </c>
    </row>
    <row r="5641" spans="2:2" ht="14.4" hidden="1" x14ac:dyDescent="0.3">
      <c r="B5641" t="s">
        <v>1117</v>
      </c>
    </row>
    <row r="5642" spans="2:2" ht="14.4" hidden="1" x14ac:dyDescent="0.3">
      <c r="B5642" t="s">
        <v>1118</v>
      </c>
    </row>
    <row r="5643" spans="2:2" ht="14.4" hidden="1" x14ac:dyDescent="0.3">
      <c r="B5643" t="s">
        <v>1119</v>
      </c>
    </row>
    <row r="5644" spans="2:2" ht="14.4" hidden="1" x14ac:dyDescent="0.3">
      <c r="B5644" t="s">
        <v>1120</v>
      </c>
    </row>
    <row r="5645" spans="2:2" ht="14.4" hidden="1" x14ac:dyDescent="0.3">
      <c r="B5645" t="s">
        <v>1121</v>
      </c>
    </row>
    <row r="5646" spans="2:2" ht="14.4" hidden="1" x14ac:dyDescent="0.3">
      <c r="B5646" t="s">
        <v>1122</v>
      </c>
    </row>
    <row r="5647" spans="2:2" ht="14.4" hidden="1" x14ac:dyDescent="0.3">
      <c r="B5647" t="s">
        <v>1123</v>
      </c>
    </row>
    <row r="5648" spans="2:2" ht="14.4" hidden="1" x14ac:dyDescent="0.3">
      <c r="B5648" t="s">
        <v>1124</v>
      </c>
    </row>
    <row r="5649" spans="2:2" ht="14.4" hidden="1" x14ac:dyDescent="0.3">
      <c r="B5649" t="s">
        <v>1125</v>
      </c>
    </row>
    <row r="5650" spans="2:2" ht="14.4" hidden="1" x14ac:dyDescent="0.3">
      <c r="B5650" t="s">
        <v>1126</v>
      </c>
    </row>
    <row r="5651" spans="2:2" ht="14.4" hidden="1" x14ac:dyDescent="0.3">
      <c r="B5651" t="s">
        <v>1127</v>
      </c>
    </row>
    <row r="5652" spans="2:2" ht="14.4" hidden="1" x14ac:dyDescent="0.3">
      <c r="B5652" t="s">
        <v>95</v>
      </c>
    </row>
    <row r="5653" spans="2:2" ht="14.4" hidden="1" x14ac:dyDescent="0.3">
      <c r="B5653" t="s">
        <v>4492</v>
      </c>
    </row>
    <row r="5654" spans="2:2" ht="14.4" hidden="1" x14ac:dyDescent="0.3">
      <c r="B5654" t="s">
        <v>1128</v>
      </c>
    </row>
    <row r="5655" spans="2:2" ht="14.4" hidden="1" x14ac:dyDescent="0.3">
      <c r="B5655" t="s">
        <v>1129</v>
      </c>
    </row>
    <row r="5656" spans="2:2" ht="14.4" hidden="1" x14ac:dyDescent="0.3">
      <c r="B5656" t="s">
        <v>1130</v>
      </c>
    </row>
    <row r="5657" spans="2:2" ht="14.4" hidden="1" x14ac:dyDescent="0.3">
      <c r="B5657" t="s">
        <v>1131</v>
      </c>
    </row>
    <row r="5658" spans="2:2" ht="14.4" hidden="1" x14ac:dyDescent="0.3">
      <c r="B5658" t="s">
        <v>1132</v>
      </c>
    </row>
    <row r="5659" spans="2:2" ht="14.4" hidden="1" x14ac:dyDescent="0.3">
      <c r="B5659" t="s">
        <v>1133</v>
      </c>
    </row>
    <row r="5660" spans="2:2" ht="14.4" hidden="1" x14ac:dyDescent="0.3">
      <c r="B5660" t="s">
        <v>1134</v>
      </c>
    </row>
    <row r="5661" spans="2:2" ht="14.4" hidden="1" x14ac:dyDescent="0.3">
      <c r="B5661" t="s">
        <v>1135</v>
      </c>
    </row>
    <row r="5662" spans="2:2" ht="14.4" hidden="1" x14ac:dyDescent="0.3">
      <c r="B5662" t="s">
        <v>1136</v>
      </c>
    </row>
    <row r="5663" spans="2:2" ht="14.4" hidden="1" x14ac:dyDescent="0.3">
      <c r="B5663" t="s">
        <v>1137</v>
      </c>
    </row>
    <row r="5664" spans="2:2" ht="14.4" hidden="1" x14ac:dyDescent="0.3">
      <c r="B5664" t="s">
        <v>4505</v>
      </c>
    </row>
    <row r="5665" spans="2:2" ht="14.4" hidden="1" x14ac:dyDescent="0.3">
      <c r="B5665" t="s">
        <v>97</v>
      </c>
    </row>
    <row r="5666" spans="2:2" ht="14.4" hidden="1" x14ac:dyDescent="0.3">
      <c r="B5666" t="s">
        <v>97</v>
      </c>
    </row>
    <row r="5667" spans="2:2" ht="14.4" hidden="1" x14ac:dyDescent="0.3">
      <c r="B5667" t="s">
        <v>1138</v>
      </c>
    </row>
    <row r="5668" spans="2:2" ht="14.4" hidden="1" x14ac:dyDescent="0.3">
      <c r="B5668" t="s">
        <v>98</v>
      </c>
    </row>
    <row r="5669" spans="2:2" ht="14.4" hidden="1" x14ac:dyDescent="0.3">
      <c r="B5669" t="s">
        <v>1139</v>
      </c>
    </row>
    <row r="5670" spans="2:2" ht="14.4" hidden="1" x14ac:dyDescent="0.3">
      <c r="B5670" t="s">
        <v>99</v>
      </c>
    </row>
    <row r="5671" spans="2:2" ht="14.4" hidden="1" x14ac:dyDescent="0.3">
      <c r="B5671" t="s">
        <v>1140</v>
      </c>
    </row>
    <row r="5672" spans="2:2" ht="14.4" hidden="1" x14ac:dyDescent="0.3">
      <c r="B5672" t="s">
        <v>1141</v>
      </c>
    </row>
    <row r="5673" spans="2:2" ht="14.4" hidden="1" x14ac:dyDescent="0.3">
      <c r="B5673" t="s">
        <v>1142</v>
      </c>
    </row>
    <row r="5674" spans="2:2" ht="14.4" hidden="1" x14ac:dyDescent="0.3">
      <c r="B5674" t="s">
        <v>4517</v>
      </c>
    </row>
    <row r="5675" spans="2:2" ht="14.4" hidden="1" x14ac:dyDescent="0.3">
      <c r="B5675" t="s">
        <v>1143</v>
      </c>
    </row>
    <row r="5676" spans="2:2" ht="14.4" hidden="1" x14ac:dyDescent="0.3">
      <c r="B5676" t="s">
        <v>1144</v>
      </c>
    </row>
    <row r="5677" spans="2:2" ht="14.4" hidden="1" x14ac:dyDescent="0.3">
      <c r="B5677" t="s">
        <v>117</v>
      </c>
    </row>
    <row r="5678" spans="2:2" ht="14.4" hidden="1" x14ac:dyDescent="0.3">
      <c r="B5678" t="s">
        <v>1145</v>
      </c>
    </row>
    <row r="5679" spans="2:2" ht="14.4" hidden="1" x14ac:dyDescent="0.3">
      <c r="B5679" t="s">
        <v>1146</v>
      </c>
    </row>
    <row r="5680" spans="2:2" ht="14.4" hidden="1" x14ac:dyDescent="0.3">
      <c r="B5680" t="s">
        <v>1147</v>
      </c>
    </row>
    <row r="5681" spans="2:2" ht="14.4" hidden="1" x14ac:dyDescent="0.3">
      <c r="B5681" t="s">
        <v>4525</v>
      </c>
    </row>
    <row r="5682" spans="2:2" ht="14.4" hidden="1" x14ac:dyDescent="0.3">
      <c r="B5682" t="s">
        <v>1148</v>
      </c>
    </row>
    <row r="5683" spans="2:2" ht="14.4" hidden="1" x14ac:dyDescent="0.3">
      <c r="B5683" t="s">
        <v>1149</v>
      </c>
    </row>
    <row r="5684" spans="2:2" ht="14.4" hidden="1" x14ac:dyDescent="0.3">
      <c r="B5684" t="s">
        <v>1150</v>
      </c>
    </row>
    <row r="5685" spans="2:2" ht="14.4" hidden="1" x14ac:dyDescent="0.3">
      <c r="B5685" t="s">
        <v>4531</v>
      </c>
    </row>
    <row r="5686" spans="2:2" ht="14.4" hidden="1" x14ac:dyDescent="0.3">
      <c r="B5686" t="s">
        <v>1151</v>
      </c>
    </row>
    <row r="5687" spans="2:2" ht="14.4" hidden="1" x14ac:dyDescent="0.3">
      <c r="B5687" t="s">
        <v>1152</v>
      </c>
    </row>
    <row r="5688" spans="2:2" ht="14.4" hidden="1" x14ac:dyDescent="0.3">
      <c r="B5688" t="s">
        <v>1153</v>
      </c>
    </row>
    <row r="5689" spans="2:2" ht="14.4" hidden="1" x14ac:dyDescent="0.3">
      <c r="B5689" t="s">
        <v>1154</v>
      </c>
    </row>
    <row r="5690" spans="2:2" ht="14.4" hidden="1" x14ac:dyDescent="0.3">
      <c r="B5690" t="s">
        <v>4539</v>
      </c>
    </row>
    <row r="5691" spans="2:2" ht="14.4" hidden="1" x14ac:dyDescent="0.3">
      <c r="B5691" t="s">
        <v>1155</v>
      </c>
    </row>
    <row r="5692" spans="2:2" ht="14.4" hidden="1" x14ac:dyDescent="0.3">
      <c r="B5692" t="s">
        <v>1156</v>
      </c>
    </row>
    <row r="5693" spans="2:2" ht="14.4" hidden="1" x14ac:dyDescent="0.3">
      <c r="B5693" t="s">
        <v>1157</v>
      </c>
    </row>
    <row r="5694" spans="2:2" ht="14.4" hidden="1" x14ac:dyDescent="0.3">
      <c r="B5694" t="s">
        <v>1158</v>
      </c>
    </row>
    <row r="5695" spans="2:2" ht="14.4" hidden="1" x14ac:dyDescent="0.3">
      <c r="B5695" t="s">
        <v>1159</v>
      </c>
    </row>
    <row r="5696" spans="2:2" ht="14.4" hidden="1" x14ac:dyDescent="0.3">
      <c r="B5696" t="s">
        <v>1160</v>
      </c>
    </row>
    <row r="5697" spans="2:2" ht="14.4" hidden="1" x14ac:dyDescent="0.3">
      <c r="B5697" t="s">
        <v>1161</v>
      </c>
    </row>
    <row r="5698" spans="2:2" ht="14.4" hidden="1" x14ac:dyDescent="0.3">
      <c r="B5698" t="s">
        <v>1162</v>
      </c>
    </row>
    <row r="5699" spans="2:2" ht="14.4" hidden="1" x14ac:dyDescent="0.3">
      <c r="B5699" t="s">
        <v>101</v>
      </c>
    </row>
    <row r="5700" spans="2:2" ht="14.4" hidden="1" x14ac:dyDescent="0.3">
      <c r="B5700" t="s">
        <v>1163</v>
      </c>
    </row>
    <row r="5701" spans="2:2" ht="14.4" hidden="1" x14ac:dyDescent="0.3">
      <c r="B5701" t="s">
        <v>1164</v>
      </c>
    </row>
    <row r="5702" spans="2:2" ht="14.4" hidden="1" x14ac:dyDescent="0.3">
      <c r="B5702" t="s">
        <v>1165</v>
      </c>
    </row>
    <row r="5703" spans="2:2" ht="14.4" hidden="1" x14ac:dyDescent="0.3">
      <c r="B5703" t="s">
        <v>4555</v>
      </c>
    </row>
    <row r="5704" spans="2:2" ht="14.4" hidden="1" x14ac:dyDescent="0.3">
      <c r="B5704" t="s">
        <v>1166</v>
      </c>
    </row>
    <row r="5705" spans="2:2" ht="14.4" hidden="1" x14ac:dyDescent="0.3">
      <c r="B5705" t="s">
        <v>1167</v>
      </c>
    </row>
    <row r="5706" spans="2:2" ht="14.4" hidden="1" x14ac:dyDescent="0.3">
      <c r="B5706" t="s">
        <v>1168</v>
      </c>
    </row>
    <row r="5707" spans="2:2" ht="14.4" hidden="1" x14ac:dyDescent="0.3">
      <c r="B5707" t="s">
        <v>1336</v>
      </c>
    </row>
    <row r="5708" spans="2:2" ht="14.4" hidden="1" x14ac:dyDescent="0.3">
      <c r="B5708" t="s">
        <v>1169</v>
      </c>
    </row>
    <row r="5709" spans="2:2" ht="14.4" hidden="1" x14ac:dyDescent="0.3">
      <c r="B5709" t="s">
        <v>1170</v>
      </c>
    </row>
    <row r="5710" spans="2:2" ht="14.4" hidden="1" x14ac:dyDescent="0.3">
      <c r="B5710" t="s">
        <v>1171</v>
      </c>
    </row>
    <row r="5711" spans="2:2" ht="14.4" hidden="1" x14ac:dyDescent="0.3">
      <c r="B5711" t="s">
        <v>1172</v>
      </c>
    </row>
    <row r="5712" spans="2:2" ht="14.4" hidden="1" x14ac:dyDescent="0.3">
      <c r="B5712" t="s">
        <v>1173</v>
      </c>
    </row>
    <row r="5713" spans="2:2" ht="14.4" hidden="1" x14ac:dyDescent="0.3">
      <c r="B5713" t="s">
        <v>1174</v>
      </c>
    </row>
    <row r="5714" spans="2:2" ht="14.4" hidden="1" x14ac:dyDescent="0.3">
      <c r="B5714" t="s">
        <v>1175</v>
      </c>
    </row>
    <row r="5715" spans="2:2" ht="14.4" hidden="1" x14ac:dyDescent="0.3">
      <c r="B5715" t="s">
        <v>1176</v>
      </c>
    </row>
    <row r="5716" spans="2:2" ht="14.4" hidden="1" x14ac:dyDescent="0.3">
      <c r="B5716" t="s">
        <v>4570</v>
      </c>
    </row>
    <row r="5717" spans="2:2" ht="14.4" hidden="1" x14ac:dyDescent="0.3">
      <c r="B5717" t="s">
        <v>1177</v>
      </c>
    </row>
    <row r="5718" spans="2:2" ht="14.4" hidden="1" x14ac:dyDescent="0.3">
      <c r="B5718" t="s">
        <v>1178</v>
      </c>
    </row>
    <row r="5719" spans="2:2" ht="14.4" hidden="1" x14ac:dyDescent="0.3">
      <c r="B5719" t="s">
        <v>1179</v>
      </c>
    </row>
    <row r="5720" spans="2:2" ht="14.4" hidden="1" x14ac:dyDescent="0.3">
      <c r="B5720" t="s">
        <v>1337</v>
      </c>
    </row>
    <row r="5721" spans="2:2" ht="14.4" hidden="1" x14ac:dyDescent="0.3">
      <c r="B5721" t="s">
        <v>1180</v>
      </c>
    </row>
    <row r="5722" spans="2:2" ht="14.4" hidden="1" x14ac:dyDescent="0.3">
      <c r="B5722" t="s">
        <v>102</v>
      </c>
    </row>
    <row r="5723" spans="2:2" ht="14.4" hidden="1" x14ac:dyDescent="0.3">
      <c r="B5723" t="s">
        <v>103</v>
      </c>
    </row>
    <row r="5724" spans="2:2" ht="14.4" hidden="1" x14ac:dyDescent="0.3">
      <c r="B5724" t="s">
        <v>4580</v>
      </c>
    </row>
    <row r="5725" spans="2:2" ht="14.4" hidden="1" x14ac:dyDescent="0.3">
      <c r="B5725" t="s">
        <v>1181</v>
      </c>
    </row>
    <row r="5726" spans="2:2" ht="14.4" hidden="1" x14ac:dyDescent="0.3">
      <c r="B5726" t="s">
        <v>1182</v>
      </c>
    </row>
    <row r="5727" spans="2:2" ht="14.4" hidden="1" x14ac:dyDescent="0.3">
      <c r="B5727" t="s">
        <v>1182</v>
      </c>
    </row>
    <row r="5728" spans="2:2" ht="14.4" hidden="1" x14ac:dyDescent="0.3">
      <c r="B5728" t="s">
        <v>1183</v>
      </c>
    </row>
    <row r="5729" spans="2:2" ht="14.4" hidden="1" x14ac:dyDescent="0.3">
      <c r="B5729" t="s">
        <v>125</v>
      </c>
    </row>
    <row r="5730" spans="2:2" ht="14.4" hidden="1" x14ac:dyDescent="0.3">
      <c r="B5730" t="s">
        <v>1184</v>
      </c>
    </row>
    <row r="5731" spans="2:2" ht="14.4" hidden="1" x14ac:dyDescent="0.3">
      <c r="B5731" t="s">
        <v>1185</v>
      </c>
    </row>
    <row r="5732" spans="2:2" ht="14.4" hidden="1" x14ac:dyDescent="0.3">
      <c r="B5732" t="s">
        <v>1186</v>
      </c>
    </row>
    <row r="5733" spans="2:2" ht="14.4" hidden="1" x14ac:dyDescent="0.3">
      <c r="B5733" t="s">
        <v>1187</v>
      </c>
    </row>
    <row r="5734" spans="2:2" ht="14.4" hidden="1" x14ac:dyDescent="0.3">
      <c r="B5734" t="s">
        <v>4591</v>
      </c>
    </row>
    <row r="5735" spans="2:2" ht="14.4" hidden="1" x14ac:dyDescent="0.3">
      <c r="B5735" t="s">
        <v>1188</v>
      </c>
    </row>
    <row r="5736" spans="2:2" ht="14.4" hidden="1" x14ac:dyDescent="0.3">
      <c r="B5736" t="s">
        <v>1189</v>
      </c>
    </row>
    <row r="5737" spans="2:2" ht="14.4" hidden="1" x14ac:dyDescent="0.3">
      <c r="B5737" t="s">
        <v>1190</v>
      </c>
    </row>
    <row r="5738" spans="2:2" ht="14.4" hidden="1" x14ac:dyDescent="0.3">
      <c r="B5738" t="s">
        <v>1191</v>
      </c>
    </row>
    <row r="5739" spans="2:2" ht="14.4" hidden="1" x14ac:dyDescent="0.3">
      <c r="B5739" t="s">
        <v>1192</v>
      </c>
    </row>
    <row r="5740" spans="2:2" ht="14.4" hidden="1" x14ac:dyDescent="0.3">
      <c r="B5740" t="s">
        <v>96</v>
      </c>
    </row>
    <row r="5741" spans="2:2" ht="14.4" hidden="1" x14ac:dyDescent="0.3">
      <c r="B5741" t="s">
        <v>1193</v>
      </c>
    </row>
    <row r="5742" spans="2:2" ht="14.4" hidden="1" x14ac:dyDescent="0.3">
      <c r="B5742" t="s">
        <v>1194</v>
      </c>
    </row>
    <row r="5743" spans="2:2" ht="14.4" hidden="1" x14ac:dyDescent="0.3">
      <c r="B5743" t="s">
        <v>1195</v>
      </c>
    </row>
    <row r="5744" spans="2:2" ht="14.4" hidden="1" x14ac:dyDescent="0.3">
      <c r="B5744" t="s">
        <v>1196</v>
      </c>
    </row>
    <row r="5745" spans="2:2" ht="14.4" hidden="1" x14ac:dyDescent="0.3">
      <c r="B5745" t="s">
        <v>4604</v>
      </c>
    </row>
    <row r="5746" spans="2:2" ht="14.4" hidden="1" x14ac:dyDescent="0.3">
      <c r="B5746" t="s">
        <v>1197</v>
      </c>
    </row>
    <row r="5747" spans="2:2" ht="14.4" hidden="1" x14ac:dyDescent="0.3">
      <c r="B5747" t="s">
        <v>1198</v>
      </c>
    </row>
    <row r="5748" spans="2:2" ht="14.4" hidden="1" x14ac:dyDescent="0.3">
      <c r="B5748" t="s">
        <v>107</v>
      </c>
    </row>
    <row r="5749" spans="2:2" ht="14.4" hidden="1" x14ac:dyDescent="0.3">
      <c r="B5749" t="s">
        <v>1199</v>
      </c>
    </row>
    <row r="5750" spans="2:2" ht="14.4" hidden="1" x14ac:dyDescent="0.3">
      <c r="B5750" t="s">
        <v>1200</v>
      </c>
    </row>
    <row r="5751" spans="2:2" ht="14.4" hidden="1" x14ac:dyDescent="0.3">
      <c r="B5751" t="s">
        <v>1201</v>
      </c>
    </row>
    <row r="5752" spans="2:2" ht="14.4" hidden="1" x14ac:dyDescent="0.3">
      <c r="B5752" t="s">
        <v>4613</v>
      </c>
    </row>
    <row r="5753" spans="2:2" ht="14.4" hidden="1" x14ac:dyDescent="0.3">
      <c r="B5753" t="s">
        <v>1202</v>
      </c>
    </row>
    <row r="5754" spans="2:2" ht="14.4" hidden="1" x14ac:dyDescent="0.3">
      <c r="B5754" t="s">
        <v>1203</v>
      </c>
    </row>
    <row r="5755" spans="2:2" ht="14.4" hidden="1" x14ac:dyDescent="0.3">
      <c r="B5755" t="s">
        <v>4618</v>
      </c>
    </row>
    <row r="5756" spans="2:2" ht="14.4" hidden="1" x14ac:dyDescent="0.3">
      <c r="B5756" t="s">
        <v>4618</v>
      </c>
    </row>
    <row r="5757" spans="2:2" ht="14.4" hidden="1" x14ac:dyDescent="0.3">
      <c r="B5757" t="s">
        <v>1204</v>
      </c>
    </row>
    <row r="5758" spans="2:2" ht="14.4" hidden="1" x14ac:dyDescent="0.3">
      <c r="B5758" t="s">
        <v>4622</v>
      </c>
    </row>
    <row r="5759" spans="2:2" ht="14.4" hidden="1" x14ac:dyDescent="0.3">
      <c r="B5759" t="s">
        <v>1205</v>
      </c>
    </row>
    <row r="5760" spans="2:2" ht="14.4" hidden="1" x14ac:dyDescent="0.3">
      <c r="B5760" t="s">
        <v>1206</v>
      </c>
    </row>
    <row r="5761" spans="2:2" ht="14.4" hidden="1" x14ac:dyDescent="0.3">
      <c r="B5761" t="s">
        <v>1207</v>
      </c>
    </row>
    <row r="5762" spans="2:2" ht="14.4" hidden="1" x14ac:dyDescent="0.3">
      <c r="B5762" t="s">
        <v>105</v>
      </c>
    </row>
    <row r="5763" spans="2:2" ht="14.4" hidden="1" x14ac:dyDescent="0.3">
      <c r="B5763" t="s">
        <v>1208</v>
      </c>
    </row>
    <row r="5764" spans="2:2" ht="14.4" hidden="1" x14ac:dyDescent="0.3">
      <c r="B5764" t="s">
        <v>106</v>
      </c>
    </row>
    <row r="5765" spans="2:2" ht="14.4" hidden="1" x14ac:dyDescent="0.3">
      <c r="B5765" t="s">
        <v>1209</v>
      </c>
    </row>
    <row r="5766" spans="2:2" ht="14.4" hidden="1" x14ac:dyDescent="0.3">
      <c r="B5766" t="s">
        <v>4632</v>
      </c>
    </row>
    <row r="5767" spans="2:2" ht="14.4" hidden="1" x14ac:dyDescent="0.3">
      <c r="B5767" t="s">
        <v>1210</v>
      </c>
    </row>
    <row r="5768" spans="2:2" ht="14.4" hidden="1" x14ac:dyDescent="0.3">
      <c r="B5768" t="s">
        <v>1211</v>
      </c>
    </row>
    <row r="5769" spans="2:2" ht="14.4" hidden="1" x14ac:dyDescent="0.3">
      <c r="B5769" t="s">
        <v>104</v>
      </c>
    </row>
    <row r="5770" spans="2:2" ht="14.4" hidden="1" x14ac:dyDescent="0.3">
      <c r="B5770" t="s">
        <v>4638</v>
      </c>
    </row>
    <row r="5771" spans="2:2" ht="14.4" hidden="1" x14ac:dyDescent="0.3">
      <c r="B5771" t="s">
        <v>1212</v>
      </c>
    </row>
    <row r="5772" spans="2:2" ht="14.4" hidden="1" x14ac:dyDescent="0.3">
      <c r="B5772" t="s">
        <v>1213</v>
      </c>
    </row>
    <row r="5773" spans="2:2" ht="14.4" hidden="1" x14ac:dyDescent="0.3">
      <c r="B5773" t="s">
        <v>1214</v>
      </c>
    </row>
    <row r="5774" spans="2:2" ht="14.4" hidden="1" x14ac:dyDescent="0.3">
      <c r="B5774" t="s">
        <v>1215</v>
      </c>
    </row>
    <row r="5775" spans="2:2" ht="14.4" hidden="1" x14ac:dyDescent="0.3">
      <c r="B5775" t="s">
        <v>4645</v>
      </c>
    </row>
    <row r="5776" spans="2:2" ht="14.4" hidden="1" x14ac:dyDescent="0.3">
      <c r="B5776" t="s">
        <v>1216</v>
      </c>
    </row>
    <row r="5777" spans="2:2" ht="14.4" hidden="1" x14ac:dyDescent="0.3">
      <c r="B5777" t="s">
        <v>1217</v>
      </c>
    </row>
    <row r="5778" spans="2:2" ht="14.4" hidden="1" x14ac:dyDescent="0.3">
      <c r="B5778" t="s">
        <v>1218</v>
      </c>
    </row>
    <row r="5779" spans="2:2" ht="14.4" hidden="1" x14ac:dyDescent="0.3">
      <c r="B5779" t="s">
        <v>1219</v>
      </c>
    </row>
    <row r="5780" spans="2:2" ht="14.4" hidden="1" x14ac:dyDescent="0.3">
      <c r="B5780" t="s">
        <v>1220</v>
      </c>
    </row>
    <row r="5781" spans="2:2" ht="14.4" hidden="1" x14ac:dyDescent="0.3">
      <c r="B5781" t="s">
        <v>1221</v>
      </c>
    </row>
    <row r="5782" spans="2:2" ht="14.4" hidden="1" x14ac:dyDescent="0.3">
      <c r="B5782" t="s">
        <v>1222</v>
      </c>
    </row>
    <row r="5783" spans="2:2" ht="14.4" hidden="1" x14ac:dyDescent="0.3">
      <c r="B5783" t="s">
        <v>1223</v>
      </c>
    </row>
    <row r="5784" spans="2:2" ht="14.4" hidden="1" x14ac:dyDescent="0.3">
      <c r="B5784" t="s">
        <v>1224</v>
      </c>
    </row>
    <row r="5785" spans="2:2" ht="14.4" hidden="1" x14ac:dyDescent="0.3">
      <c r="B5785" t="s">
        <v>4657</v>
      </c>
    </row>
    <row r="5786" spans="2:2" ht="14.4" hidden="1" x14ac:dyDescent="0.3">
      <c r="B5786" t="s">
        <v>4660</v>
      </c>
    </row>
    <row r="5787" spans="2:2" ht="14.4" hidden="1" x14ac:dyDescent="0.3">
      <c r="B5787" t="s">
        <v>1225</v>
      </c>
    </row>
    <row r="5788" spans="2:2" ht="14.4" hidden="1" x14ac:dyDescent="0.3">
      <c r="B5788" t="s">
        <v>1226</v>
      </c>
    </row>
    <row r="5789" spans="2:2" ht="14.4" hidden="1" x14ac:dyDescent="0.3">
      <c r="B5789" t="s">
        <v>1227</v>
      </c>
    </row>
    <row r="5790" spans="2:2" ht="14.4" hidden="1" x14ac:dyDescent="0.3">
      <c r="B5790" t="s">
        <v>1339</v>
      </c>
    </row>
    <row r="5791" spans="2:2" ht="14.4" hidden="1" x14ac:dyDescent="0.3">
      <c r="B5791" t="s">
        <v>1228</v>
      </c>
    </row>
    <row r="5792" spans="2:2" ht="14.4" hidden="1" x14ac:dyDescent="0.3">
      <c r="B5792" t="s">
        <v>1229</v>
      </c>
    </row>
    <row r="5793" spans="2:2" ht="14.4" hidden="1" x14ac:dyDescent="0.3">
      <c r="B5793" t="s">
        <v>1230</v>
      </c>
    </row>
    <row r="5794" spans="2:2" ht="14.4" hidden="1" x14ac:dyDescent="0.3">
      <c r="B5794" t="s">
        <v>1231</v>
      </c>
    </row>
    <row r="5795" spans="2:2" ht="14.4" hidden="1" x14ac:dyDescent="0.3">
      <c r="B5795" t="s">
        <v>4671</v>
      </c>
    </row>
    <row r="5796" spans="2:2" ht="14.4" hidden="1" x14ac:dyDescent="0.3">
      <c r="B5796" t="s">
        <v>1232</v>
      </c>
    </row>
    <row r="5797" spans="2:2" ht="14.4" hidden="1" x14ac:dyDescent="0.3">
      <c r="B5797" t="s">
        <v>4675</v>
      </c>
    </row>
    <row r="5798" spans="2:2" ht="14.4" hidden="1" x14ac:dyDescent="0.3">
      <c r="B5798" t="s">
        <v>1233</v>
      </c>
    </row>
    <row r="5799" spans="2:2" ht="14.4" hidden="1" x14ac:dyDescent="0.3">
      <c r="B5799" t="s">
        <v>4679</v>
      </c>
    </row>
    <row r="5800" spans="2:2" ht="14.4" hidden="1" x14ac:dyDescent="0.3">
      <c r="B5800" t="s">
        <v>1234</v>
      </c>
    </row>
    <row r="5801" spans="2:2" ht="14.4" hidden="1" x14ac:dyDescent="0.3">
      <c r="B5801" t="s">
        <v>1235</v>
      </c>
    </row>
    <row r="5802" spans="2:2" ht="14.4" hidden="1" x14ac:dyDescent="0.3">
      <c r="B5802" t="s">
        <v>1236</v>
      </c>
    </row>
    <row r="5803" spans="2:2" ht="14.4" hidden="1" x14ac:dyDescent="0.3">
      <c r="B5803" t="s">
        <v>1237</v>
      </c>
    </row>
    <row r="5804" spans="2:2" ht="14.4" hidden="1" x14ac:dyDescent="0.3">
      <c r="B5804" t="s">
        <v>1238</v>
      </c>
    </row>
    <row r="5805" spans="2:2" ht="14.4" hidden="1" x14ac:dyDescent="0.3">
      <c r="B5805" t="s">
        <v>4687</v>
      </c>
    </row>
    <row r="5806" spans="2:2" ht="14.4" hidden="1" x14ac:dyDescent="0.3">
      <c r="B5806" t="s">
        <v>1239</v>
      </c>
    </row>
    <row r="5807" spans="2:2" ht="14.4" hidden="1" x14ac:dyDescent="0.3">
      <c r="B5807" t="s">
        <v>4691</v>
      </c>
    </row>
    <row r="5808" spans="2:2" ht="14.4" hidden="1" x14ac:dyDescent="0.3">
      <c r="B5808" t="s">
        <v>1240</v>
      </c>
    </row>
    <row r="5809" spans="2:2" ht="14.4" hidden="1" x14ac:dyDescent="0.3">
      <c r="B5809" t="s">
        <v>1241</v>
      </c>
    </row>
    <row r="5810" spans="2:2" ht="14.4" hidden="1" x14ac:dyDescent="0.3">
      <c r="B5810" t="s">
        <v>1242</v>
      </c>
    </row>
    <row r="5811" spans="2:2" ht="14.4" hidden="1" x14ac:dyDescent="0.3">
      <c r="B5811" t="s">
        <v>4697</v>
      </c>
    </row>
    <row r="5812" spans="2:2" ht="14.4" hidden="1" x14ac:dyDescent="0.3">
      <c r="B5812" t="s">
        <v>1338</v>
      </c>
    </row>
    <row r="5813" spans="2:2" ht="14.4" hidden="1" x14ac:dyDescent="0.3">
      <c r="B5813" t="s">
        <v>1243</v>
      </c>
    </row>
    <row r="5814" spans="2:2" ht="14.4" hidden="1" x14ac:dyDescent="0.3">
      <c r="B5814" t="s">
        <v>1244</v>
      </c>
    </row>
    <row r="5815" spans="2:2" ht="14.4" hidden="1" x14ac:dyDescent="0.3">
      <c r="B5815" t="s">
        <v>1245</v>
      </c>
    </row>
    <row r="5816" spans="2:2" ht="14.4" hidden="1" x14ac:dyDescent="0.3">
      <c r="B5816" t="s">
        <v>1246</v>
      </c>
    </row>
    <row r="5817" spans="2:2" ht="14.4" hidden="1" x14ac:dyDescent="0.3">
      <c r="B5817" t="s">
        <v>1247</v>
      </c>
    </row>
    <row r="5818" spans="2:2" ht="14.4" hidden="1" x14ac:dyDescent="0.3">
      <c r="B5818" t="s">
        <v>1247</v>
      </c>
    </row>
    <row r="5819" spans="2:2" ht="14.4" hidden="1" x14ac:dyDescent="0.3">
      <c r="B5819" t="s">
        <v>108</v>
      </c>
    </row>
    <row r="5820" spans="2:2" ht="14.4" hidden="1" x14ac:dyDescent="0.3">
      <c r="B5820" t="s">
        <v>4707</v>
      </c>
    </row>
    <row r="5821" spans="2:2" ht="14.4" hidden="1" x14ac:dyDescent="0.3">
      <c r="B5821" t="s">
        <v>1248</v>
      </c>
    </row>
    <row r="5822" spans="2:2" ht="14.4" hidden="1" x14ac:dyDescent="0.3">
      <c r="B5822" t="s">
        <v>1249</v>
      </c>
    </row>
    <row r="5823" spans="2:2" ht="14.4" hidden="1" x14ac:dyDescent="0.3">
      <c r="B5823" t="s">
        <v>1250</v>
      </c>
    </row>
    <row r="5824" spans="2:2" ht="14.4" hidden="1" x14ac:dyDescent="0.3">
      <c r="B5824" t="s">
        <v>1251</v>
      </c>
    </row>
    <row r="5825" spans="2:2" ht="14.4" hidden="1" x14ac:dyDescent="0.3">
      <c r="B5825" t="s">
        <v>1252</v>
      </c>
    </row>
    <row r="5826" spans="2:2" ht="14.4" hidden="1" x14ac:dyDescent="0.3">
      <c r="B5826" t="s">
        <v>1253</v>
      </c>
    </row>
    <row r="5827" spans="2:2" ht="14.4" hidden="1" x14ac:dyDescent="0.3">
      <c r="B5827" t="s">
        <v>1254</v>
      </c>
    </row>
    <row r="5828" spans="2:2" ht="14.4" hidden="1" x14ac:dyDescent="0.3">
      <c r="B5828" t="s">
        <v>1255</v>
      </c>
    </row>
    <row r="5829" spans="2:2" ht="14.4" hidden="1" x14ac:dyDescent="0.3">
      <c r="B5829" t="s">
        <v>1256</v>
      </c>
    </row>
    <row r="5830" spans="2:2" ht="14.4" hidden="1" x14ac:dyDescent="0.3">
      <c r="B5830" t="s">
        <v>1257</v>
      </c>
    </row>
    <row r="5831" spans="2:2" ht="14.4" hidden="1" x14ac:dyDescent="0.3">
      <c r="B5831" t="s">
        <v>1258</v>
      </c>
    </row>
    <row r="5832" spans="2:2" ht="14.4" hidden="1" x14ac:dyDescent="0.3">
      <c r="B5832" t="s">
        <v>1259</v>
      </c>
    </row>
    <row r="5833" spans="2:2" ht="14.4" hidden="1" x14ac:dyDescent="0.3">
      <c r="B5833" t="s">
        <v>4722</v>
      </c>
    </row>
    <row r="5834" spans="2:2" ht="14.4" hidden="1" x14ac:dyDescent="0.3">
      <c r="B5834" t="s">
        <v>1260</v>
      </c>
    </row>
    <row r="5835" spans="2:2" ht="14.4" hidden="1" x14ac:dyDescent="0.3">
      <c r="B5835" t="s">
        <v>1261</v>
      </c>
    </row>
    <row r="5836" spans="2:2" ht="14.4" hidden="1" x14ac:dyDescent="0.3">
      <c r="B5836" t="s">
        <v>1262</v>
      </c>
    </row>
    <row r="5837" spans="2:2" ht="14.4" hidden="1" x14ac:dyDescent="0.3">
      <c r="B5837" t="s">
        <v>1263</v>
      </c>
    </row>
    <row r="5838" spans="2:2" ht="14.4" hidden="1" x14ac:dyDescent="0.3">
      <c r="B5838" t="s">
        <v>1264</v>
      </c>
    </row>
    <row r="5839" spans="2:2" ht="14.4" hidden="1" x14ac:dyDescent="0.3">
      <c r="B5839" t="s">
        <v>1265</v>
      </c>
    </row>
    <row r="5840" spans="2:2" ht="14.4" hidden="1" x14ac:dyDescent="0.3">
      <c r="B5840" t="s">
        <v>1266</v>
      </c>
    </row>
    <row r="5841" spans="2:2" ht="14.4" hidden="1" x14ac:dyDescent="0.3">
      <c r="B5841" t="s">
        <v>1267</v>
      </c>
    </row>
    <row r="5842" spans="2:2" ht="14.4" hidden="1" x14ac:dyDescent="0.3">
      <c r="B5842" t="s">
        <v>4732</v>
      </c>
    </row>
    <row r="5843" spans="2:2" ht="14.4" hidden="1" x14ac:dyDescent="0.3">
      <c r="B5843" t="s">
        <v>126</v>
      </c>
    </row>
    <row r="5844" spans="2:2" ht="14.4" hidden="1" x14ac:dyDescent="0.3">
      <c r="B5844" t="s">
        <v>1268</v>
      </c>
    </row>
    <row r="5845" spans="2:2" ht="14.4" hidden="1" x14ac:dyDescent="0.3">
      <c r="B5845" t="s">
        <v>1269</v>
      </c>
    </row>
    <row r="5846" spans="2:2" ht="14.4" hidden="1" x14ac:dyDescent="0.3">
      <c r="B5846" t="s">
        <v>1270</v>
      </c>
    </row>
    <row r="5847" spans="2:2" ht="14.4" hidden="1" x14ac:dyDescent="0.3">
      <c r="B5847" t="s">
        <v>1271</v>
      </c>
    </row>
    <row r="5848" spans="2:2" ht="14.4" hidden="1" x14ac:dyDescent="0.3">
      <c r="B5848" t="s">
        <v>1272</v>
      </c>
    </row>
    <row r="5849" spans="2:2" ht="14.4" hidden="1" x14ac:dyDescent="0.3">
      <c r="B5849" t="s">
        <v>1273</v>
      </c>
    </row>
    <row r="5850" spans="2:2" ht="14.4" hidden="1" x14ac:dyDescent="0.3">
      <c r="B5850" t="s">
        <v>1274</v>
      </c>
    </row>
    <row r="5851" spans="2:2" ht="14.4" hidden="1" x14ac:dyDescent="0.3">
      <c r="B5851" t="s">
        <v>1275</v>
      </c>
    </row>
    <row r="5852" spans="2:2" ht="14.4" hidden="1" x14ac:dyDescent="0.3">
      <c r="B5852" t="s">
        <v>1276</v>
      </c>
    </row>
    <row r="5853" spans="2:2" ht="14.4" hidden="1" x14ac:dyDescent="0.3">
      <c r="B5853" t="s">
        <v>1277</v>
      </c>
    </row>
    <row r="5854" spans="2:2" ht="14.4" hidden="1" x14ac:dyDescent="0.3">
      <c r="B5854" t="s">
        <v>1278</v>
      </c>
    </row>
    <row r="5855" spans="2:2" ht="14.4" hidden="1" x14ac:dyDescent="0.3">
      <c r="B5855" t="s">
        <v>1279</v>
      </c>
    </row>
    <row r="5856" spans="2:2" ht="14.4" hidden="1" x14ac:dyDescent="0.3">
      <c r="B5856" t="s">
        <v>1280</v>
      </c>
    </row>
    <row r="5857" spans="2:2" ht="14.4" hidden="1" x14ac:dyDescent="0.3">
      <c r="B5857" t="s">
        <v>1281</v>
      </c>
    </row>
    <row r="5858" spans="2:2" ht="14.4" hidden="1" x14ac:dyDescent="0.3">
      <c r="B5858" t="s">
        <v>1282</v>
      </c>
    </row>
    <row r="5859" spans="2:2" ht="14.4" hidden="1" x14ac:dyDescent="0.3">
      <c r="B5859" t="s">
        <v>4751</v>
      </c>
    </row>
    <row r="5860" spans="2:2" ht="14.4" hidden="1" x14ac:dyDescent="0.3">
      <c r="B5860" t="s">
        <v>1283</v>
      </c>
    </row>
    <row r="5861" spans="2:2" ht="14.4" hidden="1" x14ac:dyDescent="0.3">
      <c r="B5861" t="s">
        <v>1284</v>
      </c>
    </row>
    <row r="5862" spans="2:2" ht="14.4" hidden="1" x14ac:dyDescent="0.3">
      <c r="B5862" t="s">
        <v>1285</v>
      </c>
    </row>
    <row r="5863" spans="2:2" ht="14.4" hidden="1" x14ac:dyDescent="0.3">
      <c r="B5863" t="s">
        <v>1286</v>
      </c>
    </row>
    <row r="5864" spans="2:2" ht="14.4" hidden="1" x14ac:dyDescent="0.3">
      <c r="B5864" t="s">
        <v>1287</v>
      </c>
    </row>
    <row r="5865" spans="2:2" ht="14.4" hidden="1" x14ac:dyDescent="0.3">
      <c r="B5865" t="s">
        <v>1288</v>
      </c>
    </row>
    <row r="5866" spans="2:2" ht="14.4" hidden="1" x14ac:dyDescent="0.3">
      <c r="B5866" t="s">
        <v>1289</v>
      </c>
    </row>
    <row r="5867" spans="2:2" ht="14.4" hidden="1" x14ac:dyDescent="0.3">
      <c r="B5867" t="s">
        <v>1014</v>
      </c>
    </row>
    <row r="5868" spans="2:2" ht="14.4" hidden="1" x14ac:dyDescent="0.3">
      <c r="B5868" t="s">
        <v>1015</v>
      </c>
    </row>
    <row r="5869" spans="2:2" ht="14.4" hidden="1" x14ac:dyDescent="0.3">
      <c r="B5869" t="s">
        <v>1016</v>
      </c>
    </row>
    <row r="5870" spans="2:2" ht="14.4" hidden="1" x14ac:dyDescent="0.3">
      <c r="B5870" t="s">
        <v>4287</v>
      </c>
    </row>
    <row r="5871" spans="2:2" ht="14.4" hidden="1" x14ac:dyDescent="0.3">
      <c r="B5871" t="s">
        <v>1017</v>
      </c>
    </row>
    <row r="5872" spans="2:2" ht="14.4" hidden="1" x14ac:dyDescent="0.3">
      <c r="B5872" t="s">
        <v>4291</v>
      </c>
    </row>
    <row r="5873" spans="2:2" ht="14.4" hidden="1" x14ac:dyDescent="0.3">
      <c r="B5873" t="s">
        <v>1018</v>
      </c>
    </row>
    <row r="5874" spans="2:2" ht="14.4" hidden="1" x14ac:dyDescent="0.3">
      <c r="B5874" t="s">
        <v>4295</v>
      </c>
    </row>
    <row r="5875" spans="2:2" ht="14.4" hidden="1" x14ac:dyDescent="0.3">
      <c r="B5875" t="s">
        <v>1019</v>
      </c>
    </row>
    <row r="5876" spans="2:2" ht="14.4" hidden="1" x14ac:dyDescent="0.3">
      <c r="B5876" t="s">
        <v>1020</v>
      </c>
    </row>
    <row r="5877" spans="2:2" ht="14.4" hidden="1" x14ac:dyDescent="0.3">
      <c r="B5877" t="s">
        <v>1021</v>
      </c>
    </row>
    <row r="5878" spans="2:2" ht="14.4" hidden="1" x14ac:dyDescent="0.3">
      <c r="B5878" t="s">
        <v>1022</v>
      </c>
    </row>
    <row r="5879" spans="2:2" ht="14.4" hidden="1" x14ac:dyDescent="0.3">
      <c r="B5879" t="s">
        <v>1023</v>
      </c>
    </row>
    <row r="5880" spans="2:2" ht="14.4" hidden="1" x14ac:dyDescent="0.3">
      <c r="B5880" t="s">
        <v>1024</v>
      </c>
    </row>
    <row r="5881" spans="2:2" ht="14.4" hidden="1" x14ac:dyDescent="0.3">
      <c r="B5881" t="s">
        <v>1025</v>
      </c>
    </row>
    <row r="5882" spans="2:2" ht="14.4" hidden="1" x14ac:dyDescent="0.3">
      <c r="B5882" t="s">
        <v>1026</v>
      </c>
    </row>
    <row r="5883" spans="2:2" ht="14.4" hidden="1" x14ac:dyDescent="0.3">
      <c r="B5883" t="s">
        <v>4306</v>
      </c>
    </row>
    <row r="5884" spans="2:2" ht="14.4" hidden="1" x14ac:dyDescent="0.3">
      <c r="B5884" t="s">
        <v>1027</v>
      </c>
    </row>
    <row r="5885" spans="2:2" ht="14.4" hidden="1" x14ac:dyDescent="0.3">
      <c r="B5885" t="s">
        <v>1028</v>
      </c>
    </row>
    <row r="5886" spans="2:2" ht="14.4" hidden="1" x14ac:dyDescent="0.3">
      <c r="B5886" t="s">
        <v>4311</v>
      </c>
    </row>
    <row r="5887" spans="2:2" ht="14.4" hidden="1" x14ac:dyDescent="0.3">
      <c r="B5887" t="s">
        <v>1029</v>
      </c>
    </row>
    <row r="5888" spans="2:2" ht="14.4" hidden="1" x14ac:dyDescent="0.3">
      <c r="B5888" t="s">
        <v>4315</v>
      </c>
    </row>
    <row r="5889" spans="2:2" ht="14.4" hidden="1" x14ac:dyDescent="0.3">
      <c r="B5889" t="s">
        <v>1332</v>
      </c>
    </row>
    <row r="5890" spans="2:2" ht="14.4" hidden="1" x14ac:dyDescent="0.3">
      <c r="B5890" t="s">
        <v>1333</v>
      </c>
    </row>
    <row r="5891" spans="2:2" ht="14.4" hidden="1" x14ac:dyDescent="0.3">
      <c r="B5891" t="s">
        <v>1030</v>
      </c>
    </row>
    <row r="5892" spans="2:2" ht="14.4" hidden="1" x14ac:dyDescent="0.3">
      <c r="B5892" t="s">
        <v>4321</v>
      </c>
    </row>
    <row r="5893" spans="2:2" ht="14.4" hidden="1" x14ac:dyDescent="0.3">
      <c r="B5893" t="s">
        <v>1031</v>
      </c>
    </row>
    <row r="5894" spans="2:2" ht="14.4" hidden="1" x14ac:dyDescent="0.3">
      <c r="B5894" t="s">
        <v>4325</v>
      </c>
    </row>
    <row r="5895" spans="2:2" ht="14.4" hidden="1" x14ac:dyDescent="0.3">
      <c r="B5895" t="s">
        <v>1032</v>
      </c>
    </row>
    <row r="5896" spans="2:2" ht="14.4" hidden="1" x14ac:dyDescent="0.3">
      <c r="B5896" t="s">
        <v>1033</v>
      </c>
    </row>
    <row r="5897" spans="2:2" ht="14.4" hidden="1" x14ac:dyDescent="0.3">
      <c r="B5897" t="s">
        <v>4330</v>
      </c>
    </row>
    <row r="5898" spans="2:2" ht="14.4" hidden="1" x14ac:dyDescent="0.3">
      <c r="B5898" t="s">
        <v>1034</v>
      </c>
    </row>
    <row r="5899" spans="2:2" ht="14.4" hidden="1" x14ac:dyDescent="0.3">
      <c r="B5899" t="s">
        <v>1035</v>
      </c>
    </row>
    <row r="5900" spans="2:2" ht="14.4" hidden="1" x14ac:dyDescent="0.3">
      <c r="B5900" t="s">
        <v>1036</v>
      </c>
    </row>
    <row r="5901" spans="2:2" ht="14.4" hidden="1" x14ac:dyDescent="0.3">
      <c r="B5901" t="s">
        <v>1037</v>
      </c>
    </row>
    <row r="5902" spans="2:2" ht="14.4" hidden="1" x14ac:dyDescent="0.3">
      <c r="B5902" t="s">
        <v>1038</v>
      </c>
    </row>
    <row r="5903" spans="2:2" ht="14.4" hidden="1" x14ac:dyDescent="0.3">
      <c r="B5903" t="s">
        <v>1039</v>
      </c>
    </row>
    <row r="5904" spans="2:2" ht="14.4" hidden="1" x14ac:dyDescent="0.3">
      <c r="B5904" t="s">
        <v>1040</v>
      </c>
    </row>
    <row r="5905" spans="2:2" ht="14.4" hidden="1" x14ac:dyDescent="0.3">
      <c r="B5905" t="s">
        <v>4340</v>
      </c>
    </row>
    <row r="5906" spans="2:2" ht="14.4" hidden="1" x14ac:dyDescent="0.3">
      <c r="B5906" t="s">
        <v>1041</v>
      </c>
    </row>
    <row r="5907" spans="2:2" ht="14.4" hidden="1" x14ac:dyDescent="0.3">
      <c r="B5907" t="s">
        <v>91</v>
      </c>
    </row>
    <row r="5908" spans="2:2" ht="14.4" hidden="1" x14ac:dyDescent="0.3">
      <c r="B5908" t="s">
        <v>4345</v>
      </c>
    </row>
    <row r="5909" spans="2:2" ht="14.4" hidden="1" x14ac:dyDescent="0.3">
      <c r="B5909" t="s">
        <v>1042</v>
      </c>
    </row>
    <row r="5910" spans="2:2" ht="14.4" hidden="1" x14ac:dyDescent="0.3">
      <c r="B5910" t="s">
        <v>1043</v>
      </c>
    </row>
    <row r="5911" spans="2:2" ht="14.4" hidden="1" x14ac:dyDescent="0.3">
      <c r="B5911" t="s">
        <v>1044</v>
      </c>
    </row>
    <row r="5912" spans="2:2" ht="14.4" hidden="1" x14ac:dyDescent="0.3">
      <c r="B5912" t="s">
        <v>4351</v>
      </c>
    </row>
    <row r="5913" spans="2:2" ht="14.4" hidden="1" x14ac:dyDescent="0.3">
      <c r="B5913" t="s">
        <v>1045</v>
      </c>
    </row>
    <row r="5914" spans="2:2" ht="14.4" hidden="1" x14ac:dyDescent="0.3">
      <c r="B5914" t="s">
        <v>1046</v>
      </c>
    </row>
    <row r="5915" spans="2:2" ht="14.4" hidden="1" x14ac:dyDescent="0.3">
      <c r="B5915" t="s">
        <v>4356</v>
      </c>
    </row>
    <row r="5916" spans="2:2" ht="14.4" hidden="1" x14ac:dyDescent="0.3">
      <c r="B5916" t="s">
        <v>1047</v>
      </c>
    </row>
    <row r="5917" spans="2:2" ht="14.4" hidden="1" x14ac:dyDescent="0.3">
      <c r="B5917" t="s">
        <v>1048</v>
      </c>
    </row>
    <row r="5918" spans="2:2" ht="14.4" hidden="1" x14ac:dyDescent="0.3">
      <c r="B5918" t="s">
        <v>1049</v>
      </c>
    </row>
    <row r="5919" spans="2:2" ht="14.4" hidden="1" x14ac:dyDescent="0.3">
      <c r="B5919" t="s">
        <v>92</v>
      </c>
    </row>
    <row r="5920" spans="2:2" ht="14.4" hidden="1" x14ac:dyDescent="0.3">
      <c r="B5920" t="s">
        <v>4363</v>
      </c>
    </row>
    <row r="5921" spans="2:2" ht="14.4" hidden="1" x14ac:dyDescent="0.3">
      <c r="B5921" t="s">
        <v>1050</v>
      </c>
    </row>
    <row r="5922" spans="2:2" ht="14.4" hidden="1" x14ac:dyDescent="0.3">
      <c r="B5922" t="s">
        <v>1051</v>
      </c>
    </row>
    <row r="5923" spans="2:2" ht="14.4" hidden="1" x14ac:dyDescent="0.3">
      <c r="B5923" t="s">
        <v>4368</v>
      </c>
    </row>
    <row r="5924" spans="2:2" ht="14.4" hidden="1" x14ac:dyDescent="0.3">
      <c r="B5924" t="s">
        <v>1052</v>
      </c>
    </row>
    <row r="5925" spans="2:2" ht="14.4" hidden="1" x14ac:dyDescent="0.3">
      <c r="B5925" t="s">
        <v>1053</v>
      </c>
    </row>
    <row r="5926" spans="2:2" ht="14.4" hidden="1" x14ac:dyDescent="0.3">
      <c r="B5926" t="s">
        <v>1054</v>
      </c>
    </row>
    <row r="5927" spans="2:2" ht="14.4" hidden="1" x14ac:dyDescent="0.3">
      <c r="B5927" t="s">
        <v>1055</v>
      </c>
    </row>
    <row r="5928" spans="2:2" ht="14.4" hidden="1" x14ac:dyDescent="0.3">
      <c r="B5928" t="s">
        <v>4374</v>
      </c>
    </row>
    <row r="5929" spans="2:2" ht="14.4" hidden="1" x14ac:dyDescent="0.3">
      <c r="B5929" t="s">
        <v>1056</v>
      </c>
    </row>
    <row r="5930" spans="2:2" ht="14.4" hidden="1" x14ac:dyDescent="0.3">
      <c r="B5930" t="s">
        <v>1057</v>
      </c>
    </row>
    <row r="5931" spans="2:2" ht="14.4" hidden="1" x14ac:dyDescent="0.3">
      <c r="B5931" t="s">
        <v>1058</v>
      </c>
    </row>
    <row r="5932" spans="2:2" ht="14.4" hidden="1" x14ac:dyDescent="0.3">
      <c r="B5932" t="s">
        <v>1059</v>
      </c>
    </row>
    <row r="5933" spans="2:2" ht="14.4" hidden="1" x14ac:dyDescent="0.3">
      <c r="B5933" t="s">
        <v>4381</v>
      </c>
    </row>
    <row r="5934" spans="2:2" ht="14.4" hidden="1" x14ac:dyDescent="0.3">
      <c r="B5934" t="s">
        <v>1060</v>
      </c>
    </row>
    <row r="5935" spans="2:2" ht="14.4" hidden="1" x14ac:dyDescent="0.3">
      <c r="B5935" t="s">
        <v>1061</v>
      </c>
    </row>
    <row r="5936" spans="2:2" ht="14.4" hidden="1" x14ac:dyDescent="0.3">
      <c r="B5936" t="s">
        <v>1062</v>
      </c>
    </row>
    <row r="5937" spans="2:2" ht="14.4" hidden="1" x14ac:dyDescent="0.3">
      <c r="B5937" t="s">
        <v>1063</v>
      </c>
    </row>
    <row r="5938" spans="2:2" ht="14.4" hidden="1" x14ac:dyDescent="0.3">
      <c r="B5938" t="s">
        <v>1064</v>
      </c>
    </row>
    <row r="5939" spans="2:2" ht="14.4" hidden="1" x14ac:dyDescent="0.3">
      <c r="B5939" t="s">
        <v>1065</v>
      </c>
    </row>
    <row r="5940" spans="2:2" ht="14.4" hidden="1" x14ac:dyDescent="0.3">
      <c r="B5940" t="s">
        <v>1066</v>
      </c>
    </row>
    <row r="5941" spans="2:2" ht="14.4" hidden="1" x14ac:dyDescent="0.3">
      <c r="B5941" t="s">
        <v>1334</v>
      </c>
    </row>
    <row r="5942" spans="2:2" ht="14.4" hidden="1" x14ac:dyDescent="0.3">
      <c r="B5942" t="s">
        <v>1067</v>
      </c>
    </row>
    <row r="5943" spans="2:2" ht="14.4" hidden="1" x14ac:dyDescent="0.3">
      <c r="B5943" t="s">
        <v>1068</v>
      </c>
    </row>
    <row r="5944" spans="2:2" ht="14.4" hidden="1" x14ac:dyDescent="0.3">
      <c r="B5944" t="s">
        <v>1069</v>
      </c>
    </row>
    <row r="5945" spans="2:2" ht="14.4" hidden="1" x14ac:dyDescent="0.3">
      <c r="B5945" t="s">
        <v>4396</v>
      </c>
    </row>
    <row r="5946" spans="2:2" ht="14.4" hidden="1" x14ac:dyDescent="0.3">
      <c r="B5946" t="s">
        <v>1070</v>
      </c>
    </row>
    <row r="5947" spans="2:2" ht="14.4" hidden="1" x14ac:dyDescent="0.3">
      <c r="B5947" t="s">
        <v>1071</v>
      </c>
    </row>
    <row r="5948" spans="2:2" ht="14.4" hidden="1" x14ac:dyDescent="0.3">
      <c r="B5948" t="s">
        <v>4401</v>
      </c>
    </row>
    <row r="5949" spans="2:2" ht="14.4" hidden="1" x14ac:dyDescent="0.3">
      <c r="B5949" t="s">
        <v>4404</v>
      </c>
    </row>
    <row r="5950" spans="2:2" ht="14.4" hidden="1" x14ac:dyDescent="0.3">
      <c r="B5950" t="s">
        <v>1072</v>
      </c>
    </row>
    <row r="5951" spans="2:2" ht="14.4" hidden="1" x14ac:dyDescent="0.3">
      <c r="B5951" t="s">
        <v>93</v>
      </c>
    </row>
    <row r="5952" spans="2:2" ht="14.4" hidden="1" x14ac:dyDescent="0.3">
      <c r="B5952" t="s">
        <v>4409</v>
      </c>
    </row>
    <row r="5953" spans="2:2" ht="14.4" hidden="1" x14ac:dyDescent="0.3">
      <c r="B5953" t="s">
        <v>1073</v>
      </c>
    </row>
    <row r="5954" spans="2:2" ht="14.4" hidden="1" x14ac:dyDescent="0.3">
      <c r="B5954" t="s">
        <v>4413</v>
      </c>
    </row>
    <row r="5955" spans="2:2" ht="14.4" hidden="1" x14ac:dyDescent="0.3">
      <c r="B5955" t="s">
        <v>1074</v>
      </c>
    </row>
    <row r="5956" spans="2:2" ht="14.4" hidden="1" x14ac:dyDescent="0.3">
      <c r="B5956" t="s">
        <v>1075</v>
      </c>
    </row>
    <row r="5957" spans="2:2" ht="14.4" hidden="1" x14ac:dyDescent="0.3">
      <c r="B5957" t="s">
        <v>4418</v>
      </c>
    </row>
    <row r="5958" spans="2:2" ht="14.4" hidden="1" x14ac:dyDescent="0.3">
      <c r="B5958" t="s">
        <v>1076</v>
      </c>
    </row>
    <row r="5959" spans="2:2" ht="14.4" hidden="1" x14ac:dyDescent="0.3">
      <c r="B5959" t="s">
        <v>115</v>
      </c>
    </row>
    <row r="5960" spans="2:2" ht="14.4" hidden="1" x14ac:dyDescent="0.3">
      <c r="B5960" t="s">
        <v>1077</v>
      </c>
    </row>
    <row r="5961" spans="2:2" ht="14.4" hidden="1" x14ac:dyDescent="0.3">
      <c r="B5961" t="s">
        <v>1078</v>
      </c>
    </row>
    <row r="5962" spans="2:2" ht="14.4" hidden="1" x14ac:dyDescent="0.3">
      <c r="B5962" t="s">
        <v>1079</v>
      </c>
    </row>
    <row r="5963" spans="2:2" ht="14.4" hidden="1" x14ac:dyDescent="0.3">
      <c r="B5963" t="s">
        <v>4426</v>
      </c>
    </row>
    <row r="5964" spans="2:2" ht="14.4" hidden="1" x14ac:dyDescent="0.3">
      <c r="B5964" t="s">
        <v>1335</v>
      </c>
    </row>
    <row r="5965" spans="2:2" ht="14.4" hidden="1" x14ac:dyDescent="0.3">
      <c r="B5965" t="s">
        <v>1080</v>
      </c>
    </row>
    <row r="5966" spans="2:2" ht="14.4" hidden="1" x14ac:dyDescent="0.3">
      <c r="B5966" t="s">
        <v>1081</v>
      </c>
    </row>
    <row r="5967" spans="2:2" ht="14.4" hidden="1" x14ac:dyDescent="0.3">
      <c r="B5967" t="s">
        <v>1082</v>
      </c>
    </row>
    <row r="5968" spans="2:2" ht="14.4" hidden="1" x14ac:dyDescent="0.3">
      <c r="B5968" t="s">
        <v>1083</v>
      </c>
    </row>
    <row r="5969" spans="2:2" ht="14.4" hidden="1" x14ac:dyDescent="0.3">
      <c r="B5969" t="s">
        <v>4434</v>
      </c>
    </row>
    <row r="5970" spans="2:2" ht="14.4" hidden="1" x14ac:dyDescent="0.3">
      <c r="B5970" t="s">
        <v>109</v>
      </c>
    </row>
    <row r="5971" spans="2:2" ht="14.4" hidden="1" x14ac:dyDescent="0.3">
      <c r="B5971" t="s">
        <v>1084</v>
      </c>
    </row>
    <row r="5972" spans="2:2" ht="14.4" hidden="1" x14ac:dyDescent="0.3">
      <c r="B5972" t="s">
        <v>1085</v>
      </c>
    </row>
    <row r="5973" spans="2:2" ht="14.4" hidden="1" x14ac:dyDescent="0.3">
      <c r="B5973" t="s">
        <v>4440</v>
      </c>
    </row>
    <row r="5974" spans="2:2" ht="14.4" hidden="1" x14ac:dyDescent="0.3">
      <c r="B5974" t="s">
        <v>94</v>
      </c>
    </row>
    <row r="5975" spans="2:2" ht="14.4" hidden="1" x14ac:dyDescent="0.3">
      <c r="B5975" t="s">
        <v>1086</v>
      </c>
    </row>
    <row r="5976" spans="2:2" ht="14.4" hidden="1" x14ac:dyDescent="0.3">
      <c r="B5976" t="s">
        <v>1087</v>
      </c>
    </row>
    <row r="5977" spans="2:2" ht="14.4" hidden="1" x14ac:dyDescent="0.3">
      <c r="B5977" t="s">
        <v>1088</v>
      </c>
    </row>
    <row r="5978" spans="2:2" ht="14.4" hidden="1" x14ac:dyDescent="0.3">
      <c r="B5978" t="s">
        <v>1089</v>
      </c>
    </row>
    <row r="5979" spans="2:2" ht="14.4" hidden="1" x14ac:dyDescent="0.3">
      <c r="B5979" t="s">
        <v>1090</v>
      </c>
    </row>
    <row r="5980" spans="2:2" ht="14.4" hidden="1" x14ac:dyDescent="0.3">
      <c r="B5980" t="s">
        <v>1091</v>
      </c>
    </row>
    <row r="5981" spans="2:2" ht="14.4" hidden="1" x14ac:dyDescent="0.3">
      <c r="B5981" t="s">
        <v>1092</v>
      </c>
    </row>
    <row r="5982" spans="2:2" ht="14.4" hidden="1" x14ac:dyDescent="0.3">
      <c r="B5982" t="s">
        <v>1093</v>
      </c>
    </row>
    <row r="5983" spans="2:2" ht="14.4" hidden="1" x14ac:dyDescent="0.3">
      <c r="B5983" t="s">
        <v>1094</v>
      </c>
    </row>
    <row r="5984" spans="2:2" ht="14.4" hidden="1" x14ac:dyDescent="0.3">
      <c r="B5984" t="s">
        <v>1095</v>
      </c>
    </row>
    <row r="5985" spans="2:2" ht="14.4" hidden="1" x14ac:dyDescent="0.3">
      <c r="B5985" t="s">
        <v>1096</v>
      </c>
    </row>
    <row r="5986" spans="2:2" ht="14.4" hidden="1" x14ac:dyDescent="0.3">
      <c r="B5986" t="s">
        <v>1097</v>
      </c>
    </row>
    <row r="5987" spans="2:2" ht="14.4" hidden="1" x14ac:dyDescent="0.3">
      <c r="B5987" t="s">
        <v>1098</v>
      </c>
    </row>
    <row r="5988" spans="2:2" ht="14.4" hidden="1" x14ac:dyDescent="0.3">
      <c r="B5988" t="s">
        <v>1099</v>
      </c>
    </row>
    <row r="5989" spans="2:2" ht="14.4" hidden="1" x14ac:dyDescent="0.3">
      <c r="B5989" t="s">
        <v>1100</v>
      </c>
    </row>
    <row r="5990" spans="2:2" ht="14.4" hidden="1" x14ac:dyDescent="0.3">
      <c r="B5990" t="s">
        <v>1101</v>
      </c>
    </row>
    <row r="5991" spans="2:2" ht="14.4" hidden="1" x14ac:dyDescent="0.3">
      <c r="B5991" t="s">
        <v>1102</v>
      </c>
    </row>
    <row r="5992" spans="2:2" ht="14.4" hidden="1" x14ac:dyDescent="0.3">
      <c r="B5992" t="s">
        <v>1103</v>
      </c>
    </row>
    <row r="5993" spans="2:2" ht="14.4" hidden="1" x14ac:dyDescent="0.3">
      <c r="B5993" t="s">
        <v>1104</v>
      </c>
    </row>
    <row r="5994" spans="2:2" ht="14.4" hidden="1" x14ac:dyDescent="0.3">
      <c r="B5994" t="s">
        <v>1105</v>
      </c>
    </row>
    <row r="5995" spans="2:2" ht="14.4" hidden="1" x14ac:dyDescent="0.3">
      <c r="B5995" t="s">
        <v>1106</v>
      </c>
    </row>
    <row r="5996" spans="2:2" ht="14.4" hidden="1" x14ac:dyDescent="0.3">
      <c r="B5996" t="s">
        <v>1107</v>
      </c>
    </row>
    <row r="5997" spans="2:2" ht="14.4" hidden="1" x14ac:dyDescent="0.3">
      <c r="B5997" t="s">
        <v>27</v>
      </c>
    </row>
    <row r="5998" spans="2:2" ht="14.4" hidden="1" x14ac:dyDescent="0.3">
      <c r="B5998" t="s">
        <v>1108</v>
      </c>
    </row>
    <row r="5999" spans="2:2" ht="14.4" hidden="1" x14ac:dyDescent="0.3">
      <c r="B5999" t="s">
        <v>1109</v>
      </c>
    </row>
    <row r="6000" spans="2:2" ht="14.4" hidden="1" x14ac:dyDescent="0.3">
      <c r="B6000" t="s">
        <v>1110</v>
      </c>
    </row>
    <row r="6001" spans="2:2" ht="14.4" hidden="1" x14ac:dyDescent="0.3">
      <c r="B6001" t="s">
        <v>116</v>
      </c>
    </row>
    <row r="6002" spans="2:2" ht="14.4" hidden="1" x14ac:dyDescent="0.3">
      <c r="B6002" t="s">
        <v>1111</v>
      </c>
    </row>
    <row r="6003" spans="2:2" ht="14.4" hidden="1" x14ac:dyDescent="0.3">
      <c r="B6003" t="s">
        <v>1112</v>
      </c>
    </row>
    <row r="6004" spans="2:2" ht="14.4" hidden="1" x14ac:dyDescent="0.3">
      <c r="B6004" t="s">
        <v>1113</v>
      </c>
    </row>
    <row r="6005" spans="2:2" ht="14.4" hidden="1" x14ac:dyDescent="0.3">
      <c r="B6005" t="s">
        <v>1114</v>
      </c>
    </row>
    <row r="6006" spans="2:2" ht="14.4" hidden="1" x14ac:dyDescent="0.3">
      <c r="B6006" t="s">
        <v>1115</v>
      </c>
    </row>
    <row r="6007" spans="2:2" ht="14.4" hidden="1" x14ac:dyDescent="0.3">
      <c r="B6007" t="s">
        <v>1116</v>
      </c>
    </row>
    <row r="6008" spans="2:2" ht="14.4" hidden="1" x14ac:dyDescent="0.3">
      <c r="B6008" t="s">
        <v>1117</v>
      </c>
    </row>
    <row r="6009" spans="2:2" ht="14.4" hidden="1" x14ac:dyDescent="0.3">
      <c r="B6009" t="s">
        <v>1118</v>
      </c>
    </row>
    <row r="6010" spans="2:2" ht="14.4" hidden="1" x14ac:dyDescent="0.3">
      <c r="B6010" t="s">
        <v>1119</v>
      </c>
    </row>
    <row r="6011" spans="2:2" ht="14.4" hidden="1" x14ac:dyDescent="0.3">
      <c r="B6011" t="s">
        <v>1120</v>
      </c>
    </row>
    <row r="6012" spans="2:2" ht="14.4" hidden="1" x14ac:dyDescent="0.3">
      <c r="B6012" t="s">
        <v>1121</v>
      </c>
    </row>
    <row r="6013" spans="2:2" ht="14.4" hidden="1" x14ac:dyDescent="0.3">
      <c r="B6013" t="s">
        <v>1122</v>
      </c>
    </row>
    <row r="6014" spans="2:2" ht="14.4" hidden="1" x14ac:dyDescent="0.3">
      <c r="B6014" t="s">
        <v>1123</v>
      </c>
    </row>
    <row r="6015" spans="2:2" ht="14.4" hidden="1" x14ac:dyDescent="0.3">
      <c r="B6015" t="s">
        <v>1124</v>
      </c>
    </row>
    <row r="6016" spans="2:2" ht="14.4" hidden="1" x14ac:dyDescent="0.3">
      <c r="B6016" t="s">
        <v>1125</v>
      </c>
    </row>
    <row r="6017" spans="2:2" ht="14.4" hidden="1" x14ac:dyDescent="0.3">
      <c r="B6017" t="s">
        <v>1126</v>
      </c>
    </row>
    <row r="6018" spans="2:2" ht="14.4" hidden="1" x14ac:dyDescent="0.3">
      <c r="B6018" t="s">
        <v>1127</v>
      </c>
    </row>
    <row r="6019" spans="2:2" ht="14.4" hidden="1" x14ac:dyDescent="0.3">
      <c r="B6019" t="s">
        <v>95</v>
      </c>
    </row>
    <row r="6020" spans="2:2" ht="14.4" hidden="1" x14ac:dyDescent="0.3">
      <c r="B6020" t="s">
        <v>4492</v>
      </c>
    </row>
    <row r="6021" spans="2:2" ht="14.4" hidden="1" x14ac:dyDescent="0.3">
      <c r="B6021" t="s">
        <v>1128</v>
      </c>
    </row>
    <row r="6022" spans="2:2" ht="14.4" hidden="1" x14ac:dyDescent="0.3">
      <c r="B6022" t="s">
        <v>1129</v>
      </c>
    </row>
    <row r="6023" spans="2:2" ht="14.4" hidden="1" x14ac:dyDescent="0.3">
      <c r="B6023" t="s">
        <v>1130</v>
      </c>
    </row>
    <row r="6024" spans="2:2" ht="14.4" hidden="1" x14ac:dyDescent="0.3">
      <c r="B6024" t="s">
        <v>1131</v>
      </c>
    </row>
    <row r="6025" spans="2:2" ht="14.4" hidden="1" x14ac:dyDescent="0.3">
      <c r="B6025" t="s">
        <v>1132</v>
      </c>
    </row>
    <row r="6026" spans="2:2" ht="14.4" hidden="1" x14ac:dyDescent="0.3">
      <c r="B6026" t="s">
        <v>1133</v>
      </c>
    </row>
    <row r="6027" spans="2:2" ht="14.4" hidden="1" x14ac:dyDescent="0.3">
      <c r="B6027" t="s">
        <v>1134</v>
      </c>
    </row>
    <row r="6028" spans="2:2" ht="14.4" hidden="1" x14ac:dyDescent="0.3">
      <c r="B6028" t="s">
        <v>1135</v>
      </c>
    </row>
    <row r="6029" spans="2:2" ht="14.4" hidden="1" x14ac:dyDescent="0.3">
      <c r="B6029" t="s">
        <v>1136</v>
      </c>
    </row>
    <row r="6030" spans="2:2" ht="14.4" hidden="1" x14ac:dyDescent="0.3">
      <c r="B6030" t="s">
        <v>1137</v>
      </c>
    </row>
    <row r="6031" spans="2:2" ht="14.4" hidden="1" x14ac:dyDescent="0.3">
      <c r="B6031" t="s">
        <v>4505</v>
      </c>
    </row>
    <row r="6032" spans="2:2" ht="14.4" hidden="1" x14ac:dyDescent="0.3">
      <c r="B6032" t="s">
        <v>97</v>
      </c>
    </row>
    <row r="6033" spans="2:2" ht="14.4" hidden="1" x14ac:dyDescent="0.3">
      <c r="B6033" t="s">
        <v>97</v>
      </c>
    </row>
    <row r="6034" spans="2:2" ht="14.4" hidden="1" x14ac:dyDescent="0.3">
      <c r="B6034" t="s">
        <v>1138</v>
      </c>
    </row>
    <row r="6035" spans="2:2" ht="14.4" hidden="1" x14ac:dyDescent="0.3">
      <c r="B6035" t="s">
        <v>98</v>
      </c>
    </row>
    <row r="6036" spans="2:2" ht="14.4" hidden="1" x14ac:dyDescent="0.3">
      <c r="B6036" t="s">
        <v>1139</v>
      </c>
    </row>
    <row r="6037" spans="2:2" ht="14.4" hidden="1" x14ac:dyDescent="0.3">
      <c r="B6037" t="s">
        <v>99</v>
      </c>
    </row>
    <row r="6038" spans="2:2" ht="14.4" hidden="1" x14ac:dyDescent="0.3">
      <c r="B6038" t="s">
        <v>1140</v>
      </c>
    </row>
    <row r="6039" spans="2:2" ht="14.4" hidden="1" x14ac:dyDescent="0.3">
      <c r="B6039" t="s">
        <v>1141</v>
      </c>
    </row>
    <row r="6040" spans="2:2" ht="14.4" hidden="1" x14ac:dyDescent="0.3">
      <c r="B6040" t="s">
        <v>1142</v>
      </c>
    </row>
    <row r="6041" spans="2:2" ht="14.4" hidden="1" x14ac:dyDescent="0.3">
      <c r="B6041" t="s">
        <v>4517</v>
      </c>
    </row>
    <row r="6042" spans="2:2" ht="14.4" hidden="1" x14ac:dyDescent="0.3">
      <c r="B6042" t="s">
        <v>1143</v>
      </c>
    </row>
    <row r="6043" spans="2:2" ht="14.4" hidden="1" x14ac:dyDescent="0.3">
      <c r="B6043" t="s">
        <v>1144</v>
      </c>
    </row>
    <row r="6044" spans="2:2" ht="14.4" hidden="1" x14ac:dyDescent="0.3">
      <c r="B6044" t="s">
        <v>117</v>
      </c>
    </row>
    <row r="6045" spans="2:2" ht="14.4" hidden="1" x14ac:dyDescent="0.3">
      <c r="B6045" t="s">
        <v>1145</v>
      </c>
    </row>
    <row r="6046" spans="2:2" ht="14.4" hidden="1" x14ac:dyDescent="0.3">
      <c r="B6046" t="s">
        <v>1146</v>
      </c>
    </row>
    <row r="6047" spans="2:2" ht="14.4" hidden="1" x14ac:dyDescent="0.3">
      <c r="B6047" t="s">
        <v>1147</v>
      </c>
    </row>
    <row r="6048" spans="2:2" ht="14.4" hidden="1" x14ac:dyDescent="0.3">
      <c r="B6048" t="s">
        <v>4525</v>
      </c>
    </row>
    <row r="6049" spans="2:2" ht="14.4" hidden="1" x14ac:dyDescent="0.3">
      <c r="B6049" t="s">
        <v>1148</v>
      </c>
    </row>
    <row r="6050" spans="2:2" ht="14.4" hidden="1" x14ac:dyDescent="0.3">
      <c r="B6050" t="s">
        <v>1149</v>
      </c>
    </row>
    <row r="6051" spans="2:2" ht="14.4" hidden="1" x14ac:dyDescent="0.3">
      <c r="B6051" t="s">
        <v>1150</v>
      </c>
    </row>
    <row r="6052" spans="2:2" ht="14.4" hidden="1" x14ac:dyDescent="0.3">
      <c r="B6052" t="s">
        <v>4531</v>
      </c>
    </row>
    <row r="6053" spans="2:2" ht="14.4" hidden="1" x14ac:dyDescent="0.3">
      <c r="B6053" t="s">
        <v>1151</v>
      </c>
    </row>
    <row r="6054" spans="2:2" ht="14.4" hidden="1" x14ac:dyDescent="0.3">
      <c r="B6054" t="s">
        <v>1152</v>
      </c>
    </row>
    <row r="6055" spans="2:2" ht="14.4" hidden="1" x14ac:dyDescent="0.3">
      <c r="B6055" t="s">
        <v>1153</v>
      </c>
    </row>
    <row r="6056" spans="2:2" ht="14.4" hidden="1" x14ac:dyDescent="0.3">
      <c r="B6056" t="s">
        <v>1154</v>
      </c>
    </row>
    <row r="6057" spans="2:2" ht="14.4" hidden="1" x14ac:dyDescent="0.3">
      <c r="B6057" t="s">
        <v>4539</v>
      </c>
    </row>
    <row r="6058" spans="2:2" ht="14.4" hidden="1" x14ac:dyDescent="0.3">
      <c r="B6058" t="s">
        <v>1155</v>
      </c>
    </row>
    <row r="6059" spans="2:2" ht="14.4" hidden="1" x14ac:dyDescent="0.3">
      <c r="B6059" t="s">
        <v>1156</v>
      </c>
    </row>
    <row r="6060" spans="2:2" ht="14.4" hidden="1" x14ac:dyDescent="0.3">
      <c r="B6060" t="s">
        <v>1157</v>
      </c>
    </row>
    <row r="6061" spans="2:2" ht="14.4" hidden="1" x14ac:dyDescent="0.3">
      <c r="B6061" t="s">
        <v>1158</v>
      </c>
    </row>
    <row r="6062" spans="2:2" ht="14.4" hidden="1" x14ac:dyDescent="0.3">
      <c r="B6062" t="s">
        <v>1159</v>
      </c>
    </row>
    <row r="6063" spans="2:2" ht="14.4" hidden="1" x14ac:dyDescent="0.3">
      <c r="B6063" t="s">
        <v>1160</v>
      </c>
    </row>
    <row r="6064" spans="2:2" ht="14.4" hidden="1" x14ac:dyDescent="0.3">
      <c r="B6064" t="s">
        <v>1161</v>
      </c>
    </row>
    <row r="6065" spans="2:2" ht="14.4" hidden="1" x14ac:dyDescent="0.3">
      <c r="B6065" t="s">
        <v>1162</v>
      </c>
    </row>
    <row r="6066" spans="2:2" ht="14.4" hidden="1" x14ac:dyDescent="0.3">
      <c r="B6066" t="s">
        <v>101</v>
      </c>
    </row>
    <row r="6067" spans="2:2" ht="14.4" hidden="1" x14ac:dyDescent="0.3">
      <c r="B6067" t="s">
        <v>1163</v>
      </c>
    </row>
    <row r="6068" spans="2:2" ht="14.4" hidden="1" x14ac:dyDescent="0.3">
      <c r="B6068" t="s">
        <v>1164</v>
      </c>
    </row>
    <row r="6069" spans="2:2" ht="14.4" hidden="1" x14ac:dyDescent="0.3">
      <c r="B6069" t="s">
        <v>1165</v>
      </c>
    </row>
    <row r="6070" spans="2:2" ht="14.4" hidden="1" x14ac:dyDescent="0.3">
      <c r="B6070" t="s">
        <v>4555</v>
      </c>
    </row>
    <row r="6071" spans="2:2" ht="14.4" hidden="1" x14ac:dyDescent="0.3">
      <c r="B6071" t="s">
        <v>1166</v>
      </c>
    </row>
    <row r="6072" spans="2:2" ht="14.4" hidden="1" x14ac:dyDescent="0.3">
      <c r="B6072" t="s">
        <v>1167</v>
      </c>
    </row>
    <row r="6073" spans="2:2" ht="14.4" hidden="1" x14ac:dyDescent="0.3">
      <c r="B6073" t="s">
        <v>1168</v>
      </c>
    </row>
    <row r="6074" spans="2:2" ht="14.4" hidden="1" x14ac:dyDescent="0.3">
      <c r="B6074" t="s">
        <v>1336</v>
      </c>
    </row>
    <row r="6075" spans="2:2" ht="14.4" hidden="1" x14ac:dyDescent="0.3">
      <c r="B6075" t="s">
        <v>1169</v>
      </c>
    </row>
    <row r="6076" spans="2:2" ht="14.4" hidden="1" x14ac:dyDescent="0.3">
      <c r="B6076" t="s">
        <v>1170</v>
      </c>
    </row>
    <row r="6077" spans="2:2" ht="14.4" hidden="1" x14ac:dyDescent="0.3">
      <c r="B6077" t="s">
        <v>1171</v>
      </c>
    </row>
    <row r="6078" spans="2:2" ht="14.4" hidden="1" x14ac:dyDescent="0.3">
      <c r="B6078" t="s">
        <v>1172</v>
      </c>
    </row>
    <row r="6079" spans="2:2" ht="14.4" hidden="1" x14ac:dyDescent="0.3">
      <c r="B6079" t="s">
        <v>1173</v>
      </c>
    </row>
    <row r="6080" spans="2:2" ht="14.4" hidden="1" x14ac:dyDescent="0.3">
      <c r="B6080" t="s">
        <v>1174</v>
      </c>
    </row>
    <row r="6081" spans="2:2" ht="14.4" hidden="1" x14ac:dyDescent="0.3">
      <c r="B6081" t="s">
        <v>1175</v>
      </c>
    </row>
    <row r="6082" spans="2:2" ht="14.4" hidden="1" x14ac:dyDescent="0.3">
      <c r="B6082" t="s">
        <v>1176</v>
      </c>
    </row>
    <row r="6083" spans="2:2" ht="14.4" hidden="1" x14ac:dyDescent="0.3">
      <c r="B6083" t="s">
        <v>4570</v>
      </c>
    </row>
    <row r="6084" spans="2:2" ht="14.4" hidden="1" x14ac:dyDescent="0.3">
      <c r="B6084" t="s">
        <v>1177</v>
      </c>
    </row>
    <row r="6085" spans="2:2" ht="14.4" hidden="1" x14ac:dyDescent="0.3">
      <c r="B6085" t="s">
        <v>1178</v>
      </c>
    </row>
    <row r="6086" spans="2:2" ht="14.4" hidden="1" x14ac:dyDescent="0.3">
      <c r="B6086" t="s">
        <v>1179</v>
      </c>
    </row>
    <row r="6087" spans="2:2" ht="14.4" hidden="1" x14ac:dyDescent="0.3">
      <c r="B6087" t="s">
        <v>1337</v>
      </c>
    </row>
    <row r="6088" spans="2:2" ht="14.4" hidden="1" x14ac:dyDescent="0.3">
      <c r="B6088" t="s">
        <v>1180</v>
      </c>
    </row>
    <row r="6089" spans="2:2" ht="14.4" hidden="1" x14ac:dyDescent="0.3">
      <c r="B6089" t="s">
        <v>102</v>
      </c>
    </row>
    <row r="6090" spans="2:2" ht="14.4" hidden="1" x14ac:dyDescent="0.3">
      <c r="B6090" t="s">
        <v>103</v>
      </c>
    </row>
    <row r="6091" spans="2:2" ht="14.4" hidden="1" x14ac:dyDescent="0.3">
      <c r="B6091" t="s">
        <v>4580</v>
      </c>
    </row>
    <row r="6092" spans="2:2" ht="14.4" hidden="1" x14ac:dyDescent="0.3">
      <c r="B6092" t="s">
        <v>1181</v>
      </c>
    </row>
    <row r="6093" spans="2:2" ht="14.4" hidden="1" x14ac:dyDescent="0.3">
      <c r="B6093" t="s">
        <v>1182</v>
      </c>
    </row>
    <row r="6094" spans="2:2" ht="14.4" hidden="1" x14ac:dyDescent="0.3">
      <c r="B6094" t="s">
        <v>1182</v>
      </c>
    </row>
    <row r="6095" spans="2:2" ht="14.4" hidden="1" x14ac:dyDescent="0.3">
      <c r="B6095" t="s">
        <v>1183</v>
      </c>
    </row>
    <row r="6096" spans="2:2" ht="14.4" hidden="1" x14ac:dyDescent="0.3">
      <c r="B6096" t="s">
        <v>125</v>
      </c>
    </row>
    <row r="6097" spans="2:2" ht="14.4" hidden="1" x14ac:dyDescent="0.3">
      <c r="B6097" t="s">
        <v>1184</v>
      </c>
    </row>
    <row r="6098" spans="2:2" ht="14.4" hidden="1" x14ac:dyDescent="0.3">
      <c r="B6098" t="s">
        <v>1185</v>
      </c>
    </row>
    <row r="6099" spans="2:2" ht="14.4" hidden="1" x14ac:dyDescent="0.3">
      <c r="B6099" t="s">
        <v>1186</v>
      </c>
    </row>
    <row r="6100" spans="2:2" ht="14.4" hidden="1" x14ac:dyDescent="0.3">
      <c r="B6100" t="s">
        <v>1187</v>
      </c>
    </row>
    <row r="6101" spans="2:2" ht="14.4" hidden="1" x14ac:dyDescent="0.3">
      <c r="B6101" t="s">
        <v>4591</v>
      </c>
    </row>
    <row r="6102" spans="2:2" ht="14.4" hidden="1" x14ac:dyDescent="0.3">
      <c r="B6102" t="s">
        <v>1188</v>
      </c>
    </row>
    <row r="6103" spans="2:2" ht="14.4" hidden="1" x14ac:dyDescent="0.3">
      <c r="B6103" t="s">
        <v>1189</v>
      </c>
    </row>
    <row r="6104" spans="2:2" ht="14.4" hidden="1" x14ac:dyDescent="0.3">
      <c r="B6104" t="s">
        <v>1190</v>
      </c>
    </row>
    <row r="6105" spans="2:2" ht="14.4" hidden="1" x14ac:dyDescent="0.3">
      <c r="B6105" t="s">
        <v>1191</v>
      </c>
    </row>
    <row r="6106" spans="2:2" ht="14.4" hidden="1" x14ac:dyDescent="0.3">
      <c r="B6106" t="s">
        <v>1192</v>
      </c>
    </row>
    <row r="6107" spans="2:2" ht="14.4" hidden="1" x14ac:dyDescent="0.3">
      <c r="B6107" t="s">
        <v>96</v>
      </c>
    </row>
    <row r="6108" spans="2:2" ht="14.4" hidden="1" x14ac:dyDescent="0.3">
      <c r="B6108" t="s">
        <v>1193</v>
      </c>
    </row>
    <row r="6109" spans="2:2" ht="14.4" hidden="1" x14ac:dyDescent="0.3">
      <c r="B6109" t="s">
        <v>1194</v>
      </c>
    </row>
    <row r="6110" spans="2:2" ht="14.4" hidden="1" x14ac:dyDescent="0.3">
      <c r="B6110" t="s">
        <v>1195</v>
      </c>
    </row>
    <row r="6111" spans="2:2" ht="14.4" hidden="1" x14ac:dyDescent="0.3">
      <c r="B6111" t="s">
        <v>1196</v>
      </c>
    </row>
    <row r="6112" spans="2:2" ht="14.4" hidden="1" x14ac:dyDescent="0.3">
      <c r="B6112" t="s">
        <v>4604</v>
      </c>
    </row>
    <row r="6113" spans="2:2" ht="14.4" hidden="1" x14ac:dyDescent="0.3">
      <c r="B6113" t="s">
        <v>1197</v>
      </c>
    </row>
    <row r="6114" spans="2:2" ht="14.4" hidden="1" x14ac:dyDescent="0.3">
      <c r="B6114" t="s">
        <v>1198</v>
      </c>
    </row>
    <row r="6115" spans="2:2" ht="14.4" hidden="1" x14ac:dyDescent="0.3">
      <c r="B6115" t="s">
        <v>107</v>
      </c>
    </row>
    <row r="6116" spans="2:2" ht="14.4" hidden="1" x14ac:dyDescent="0.3">
      <c r="B6116" t="s">
        <v>1199</v>
      </c>
    </row>
    <row r="6117" spans="2:2" ht="14.4" hidden="1" x14ac:dyDescent="0.3">
      <c r="B6117" t="s">
        <v>1200</v>
      </c>
    </row>
    <row r="6118" spans="2:2" ht="14.4" hidden="1" x14ac:dyDescent="0.3">
      <c r="B6118" t="s">
        <v>1201</v>
      </c>
    </row>
    <row r="6119" spans="2:2" ht="14.4" hidden="1" x14ac:dyDescent="0.3">
      <c r="B6119" t="s">
        <v>4613</v>
      </c>
    </row>
    <row r="6120" spans="2:2" ht="14.4" hidden="1" x14ac:dyDescent="0.3">
      <c r="B6120" t="s">
        <v>1202</v>
      </c>
    </row>
    <row r="6121" spans="2:2" ht="14.4" hidden="1" x14ac:dyDescent="0.3">
      <c r="B6121" t="s">
        <v>1203</v>
      </c>
    </row>
    <row r="6122" spans="2:2" ht="14.4" hidden="1" x14ac:dyDescent="0.3">
      <c r="B6122" t="s">
        <v>4618</v>
      </c>
    </row>
    <row r="6123" spans="2:2" ht="14.4" hidden="1" x14ac:dyDescent="0.3">
      <c r="B6123" t="s">
        <v>4618</v>
      </c>
    </row>
    <row r="6124" spans="2:2" ht="14.4" hidden="1" x14ac:dyDescent="0.3">
      <c r="B6124" t="s">
        <v>1204</v>
      </c>
    </row>
    <row r="6125" spans="2:2" ht="14.4" hidden="1" x14ac:dyDescent="0.3">
      <c r="B6125" t="s">
        <v>4622</v>
      </c>
    </row>
    <row r="6126" spans="2:2" ht="14.4" hidden="1" x14ac:dyDescent="0.3">
      <c r="B6126" t="s">
        <v>1205</v>
      </c>
    </row>
    <row r="6127" spans="2:2" ht="14.4" hidden="1" x14ac:dyDescent="0.3">
      <c r="B6127" t="s">
        <v>1206</v>
      </c>
    </row>
    <row r="6128" spans="2:2" ht="14.4" hidden="1" x14ac:dyDescent="0.3">
      <c r="B6128" t="s">
        <v>1207</v>
      </c>
    </row>
    <row r="6129" spans="2:2" ht="14.4" hidden="1" x14ac:dyDescent="0.3">
      <c r="B6129" t="s">
        <v>105</v>
      </c>
    </row>
    <row r="6130" spans="2:2" ht="14.4" hidden="1" x14ac:dyDescent="0.3">
      <c r="B6130" t="s">
        <v>1208</v>
      </c>
    </row>
    <row r="6131" spans="2:2" ht="14.4" hidden="1" x14ac:dyDescent="0.3">
      <c r="B6131" t="s">
        <v>106</v>
      </c>
    </row>
    <row r="6132" spans="2:2" ht="14.4" hidden="1" x14ac:dyDescent="0.3">
      <c r="B6132" t="s">
        <v>1209</v>
      </c>
    </row>
    <row r="6133" spans="2:2" ht="14.4" hidden="1" x14ac:dyDescent="0.3">
      <c r="B6133" t="s">
        <v>4632</v>
      </c>
    </row>
    <row r="6134" spans="2:2" ht="14.4" hidden="1" x14ac:dyDescent="0.3">
      <c r="B6134" t="s">
        <v>1210</v>
      </c>
    </row>
    <row r="6135" spans="2:2" ht="14.4" hidden="1" x14ac:dyDescent="0.3">
      <c r="B6135" t="s">
        <v>1211</v>
      </c>
    </row>
    <row r="6136" spans="2:2" ht="14.4" hidden="1" x14ac:dyDescent="0.3">
      <c r="B6136" t="s">
        <v>104</v>
      </c>
    </row>
    <row r="6137" spans="2:2" ht="14.4" hidden="1" x14ac:dyDescent="0.3">
      <c r="B6137" t="s">
        <v>4638</v>
      </c>
    </row>
    <row r="6138" spans="2:2" ht="14.4" hidden="1" x14ac:dyDescent="0.3">
      <c r="B6138" t="s">
        <v>1212</v>
      </c>
    </row>
    <row r="6139" spans="2:2" ht="14.4" hidden="1" x14ac:dyDescent="0.3">
      <c r="B6139" t="s">
        <v>1213</v>
      </c>
    </row>
    <row r="6140" spans="2:2" ht="14.4" hidden="1" x14ac:dyDescent="0.3">
      <c r="B6140" t="s">
        <v>1214</v>
      </c>
    </row>
    <row r="6141" spans="2:2" ht="14.4" hidden="1" x14ac:dyDescent="0.3">
      <c r="B6141" t="s">
        <v>1215</v>
      </c>
    </row>
    <row r="6142" spans="2:2" ht="14.4" hidden="1" x14ac:dyDescent="0.3">
      <c r="B6142" t="s">
        <v>4645</v>
      </c>
    </row>
    <row r="6143" spans="2:2" ht="14.4" hidden="1" x14ac:dyDescent="0.3">
      <c r="B6143" t="s">
        <v>1216</v>
      </c>
    </row>
    <row r="6144" spans="2:2" ht="14.4" hidden="1" x14ac:dyDescent="0.3">
      <c r="B6144" t="s">
        <v>1217</v>
      </c>
    </row>
    <row r="6145" spans="2:2" ht="14.4" hidden="1" x14ac:dyDescent="0.3">
      <c r="B6145" t="s">
        <v>1218</v>
      </c>
    </row>
    <row r="6146" spans="2:2" ht="14.4" hidden="1" x14ac:dyDescent="0.3">
      <c r="B6146" t="s">
        <v>1219</v>
      </c>
    </row>
    <row r="6147" spans="2:2" ht="14.4" hidden="1" x14ac:dyDescent="0.3">
      <c r="B6147" t="s">
        <v>1220</v>
      </c>
    </row>
    <row r="6148" spans="2:2" ht="14.4" hidden="1" x14ac:dyDescent="0.3">
      <c r="B6148" t="s">
        <v>1221</v>
      </c>
    </row>
    <row r="6149" spans="2:2" ht="14.4" hidden="1" x14ac:dyDescent="0.3">
      <c r="B6149" t="s">
        <v>1222</v>
      </c>
    </row>
    <row r="6150" spans="2:2" ht="14.4" hidden="1" x14ac:dyDescent="0.3">
      <c r="B6150" t="s">
        <v>1223</v>
      </c>
    </row>
    <row r="6151" spans="2:2" ht="14.4" hidden="1" x14ac:dyDescent="0.3">
      <c r="B6151" t="s">
        <v>1224</v>
      </c>
    </row>
    <row r="6152" spans="2:2" ht="14.4" hidden="1" x14ac:dyDescent="0.3">
      <c r="B6152" t="s">
        <v>4657</v>
      </c>
    </row>
    <row r="6153" spans="2:2" ht="14.4" hidden="1" x14ac:dyDescent="0.3">
      <c r="B6153" t="s">
        <v>4660</v>
      </c>
    </row>
    <row r="6154" spans="2:2" ht="14.4" hidden="1" x14ac:dyDescent="0.3">
      <c r="B6154" t="s">
        <v>1225</v>
      </c>
    </row>
    <row r="6155" spans="2:2" ht="14.4" hidden="1" x14ac:dyDescent="0.3">
      <c r="B6155" t="s">
        <v>1226</v>
      </c>
    </row>
    <row r="6156" spans="2:2" ht="14.4" hidden="1" x14ac:dyDescent="0.3">
      <c r="B6156" t="s">
        <v>1227</v>
      </c>
    </row>
    <row r="6157" spans="2:2" ht="14.4" hidden="1" x14ac:dyDescent="0.3">
      <c r="B6157" t="s">
        <v>1339</v>
      </c>
    </row>
    <row r="6158" spans="2:2" ht="14.4" hidden="1" x14ac:dyDescent="0.3">
      <c r="B6158" t="s">
        <v>1228</v>
      </c>
    </row>
    <row r="6159" spans="2:2" ht="14.4" hidden="1" x14ac:dyDescent="0.3">
      <c r="B6159" t="s">
        <v>1229</v>
      </c>
    </row>
    <row r="6160" spans="2:2" ht="14.4" hidden="1" x14ac:dyDescent="0.3">
      <c r="B6160" t="s">
        <v>1230</v>
      </c>
    </row>
    <row r="6161" spans="2:2" ht="14.4" hidden="1" x14ac:dyDescent="0.3">
      <c r="B6161" t="s">
        <v>1231</v>
      </c>
    </row>
    <row r="6162" spans="2:2" ht="14.4" hidden="1" x14ac:dyDescent="0.3">
      <c r="B6162" t="s">
        <v>4671</v>
      </c>
    </row>
    <row r="6163" spans="2:2" ht="14.4" hidden="1" x14ac:dyDescent="0.3">
      <c r="B6163" t="s">
        <v>1232</v>
      </c>
    </row>
    <row r="6164" spans="2:2" ht="14.4" hidden="1" x14ac:dyDescent="0.3">
      <c r="B6164" t="s">
        <v>4675</v>
      </c>
    </row>
    <row r="6165" spans="2:2" ht="14.4" hidden="1" x14ac:dyDescent="0.3">
      <c r="B6165" t="s">
        <v>1233</v>
      </c>
    </row>
    <row r="6166" spans="2:2" ht="14.4" hidden="1" x14ac:dyDescent="0.3">
      <c r="B6166" t="s">
        <v>4679</v>
      </c>
    </row>
    <row r="6167" spans="2:2" ht="14.4" hidden="1" x14ac:dyDescent="0.3">
      <c r="B6167" t="s">
        <v>1234</v>
      </c>
    </row>
    <row r="6168" spans="2:2" ht="14.4" hidden="1" x14ac:dyDescent="0.3">
      <c r="B6168" t="s">
        <v>1235</v>
      </c>
    </row>
    <row r="6169" spans="2:2" ht="14.4" hidden="1" x14ac:dyDescent="0.3">
      <c r="B6169" t="s">
        <v>1236</v>
      </c>
    </row>
    <row r="6170" spans="2:2" ht="14.4" hidden="1" x14ac:dyDescent="0.3">
      <c r="B6170" t="s">
        <v>1237</v>
      </c>
    </row>
    <row r="6171" spans="2:2" ht="14.4" hidden="1" x14ac:dyDescent="0.3">
      <c r="B6171" t="s">
        <v>1238</v>
      </c>
    </row>
    <row r="6172" spans="2:2" ht="14.4" hidden="1" x14ac:dyDescent="0.3">
      <c r="B6172" t="s">
        <v>4687</v>
      </c>
    </row>
    <row r="6173" spans="2:2" ht="14.4" hidden="1" x14ac:dyDescent="0.3">
      <c r="B6173" t="s">
        <v>1239</v>
      </c>
    </row>
    <row r="6174" spans="2:2" ht="14.4" hidden="1" x14ac:dyDescent="0.3">
      <c r="B6174" t="s">
        <v>4691</v>
      </c>
    </row>
    <row r="6175" spans="2:2" ht="14.4" hidden="1" x14ac:dyDescent="0.3">
      <c r="B6175" t="s">
        <v>1240</v>
      </c>
    </row>
    <row r="6176" spans="2:2" ht="14.4" hidden="1" x14ac:dyDescent="0.3">
      <c r="B6176" t="s">
        <v>1241</v>
      </c>
    </row>
    <row r="6177" spans="2:2" ht="14.4" hidden="1" x14ac:dyDescent="0.3">
      <c r="B6177" t="s">
        <v>1242</v>
      </c>
    </row>
    <row r="6178" spans="2:2" ht="14.4" hidden="1" x14ac:dyDescent="0.3">
      <c r="B6178" t="s">
        <v>4697</v>
      </c>
    </row>
    <row r="6179" spans="2:2" ht="14.4" hidden="1" x14ac:dyDescent="0.3">
      <c r="B6179" t="s">
        <v>1338</v>
      </c>
    </row>
    <row r="6180" spans="2:2" ht="14.4" hidden="1" x14ac:dyDescent="0.3">
      <c r="B6180" t="s">
        <v>1243</v>
      </c>
    </row>
    <row r="6181" spans="2:2" ht="14.4" hidden="1" x14ac:dyDescent="0.3">
      <c r="B6181" t="s">
        <v>1244</v>
      </c>
    </row>
    <row r="6182" spans="2:2" ht="14.4" hidden="1" x14ac:dyDescent="0.3">
      <c r="B6182" t="s">
        <v>1245</v>
      </c>
    </row>
    <row r="6183" spans="2:2" ht="14.4" hidden="1" x14ac:dyDescent="0.3">
      <c r="B6183" t="s">
        <v>1246</v>
      </c>
    </row>
    <row r="6184" spans="2:2" ht="14.4" hidden="1" x14ac:dyDescent="0.3">
      <c r="B6184" t="s">
        <v>1247</v>
      </c>
    </row>
    <row r="6185" spans="2:2" ht="14.4" hidden="1" x14ac:dyDescent="0.3">
      <c r="B6185" t="s">
        <v>1247</v>
      </c>
    </row>
    <row r="6186" spans="2:2" ht="14.4" hidden="1" x14ac:dyDescent="0.3">
      <c r="B6186" t="s">
        <v>108</v>
      </c>
    </row>
    <row r="6187" spans="2:2" ht="14.4" hidden="1" x14ac:dyDescent="0.3">
      <c r="B6187" t="s">
        <v>4707</v>
      </c>
    </row>
    <row r="6188" spans="2:2" ht="14.4" hidden="1" x14ac:dyDescent="0.3">
      <c r="B6188" t="s">
        <v>1248</v>
      </c>
    </row>
    <row r="6189" spans="2:2" ht="14.4" hidden="1" x14ac:dyDescent="0.3">
      <c r="B6189" t="s">
        <v>1249</v>
      </c>
    </row>
    <row r="6190" spans="2:2" ht="14.4" hidden="1" x14ac:dyDescent="0.3">
      <c r="B6190" t="s">
        <v>1250</v>
      </c>
    </row>
    <row r="6191" spans="2:2" ht="14.4" hidden="1" x14ac:dyDescent="0.3">
      <c r="B6191" t="s">
        <v>1251</v>
      </c>
    </row>
    <row r="6192" spans="2:2" ht="14.4" hidden="1" x14ac:dyDescent="0.3">
      <c r="B6192" t="s">
        <v>1252</v>
      </c>
    </row>
    <row r="6193" spans="2:2" ht="14.4" hidden="1" x14ac:dyDescent="0.3">
      <c r="B6193" t="s">
        <v>1253</v>
      </c>
    </row>
    <row r="6194" spans="2:2" ht="14.4" hidden="1" x14ac:dyDescent="0.3">
      <c r="B6194" t="s">
        <v>1254</v>
      </c>
    </row>
    <row r="6195" spans="2:2" ht="14.4" hidden="1" x14ac:dyDescent="0.3">
      <c r="B6195" t="s">
        <v>1255</v>
      </c>
    </row>
    <row r="6196" spans="2:2" ht="14.4" hidden="1" x14ac:dyDescent="0.3">
      <c r="B6196" t="s">
        <v>1256</v>
      </c>
    </row>
    <row r="6197" spans="2:2" ht="14.4" hidden="1" x14ac:dyDescent="0.3">
      <c r="B6197" t="s">
        <v>1257</v>
      </c>
    </row>
    <row r="6198" spans="2:2" ht="14.4" hidden="1" x14ac:dyDescent="0.3">
      <c r="B6198" t="s">
        <v>1258</v>
      </c>
    </row>
    <row r="6199" spans="2:2" ht="14.4" hidden="1" x14ac:dyDescent="0.3">
      <c r="B6199" t="s">
        <v>1259</v>
      </c>
    </row>
    <row r="6200" spans="2:2" ht="14.4" hidden="1" x14ac:dyDescent="0.3">
      <c r="B6200" t="s">
        <v>4722</v>
      </c>
    </row>
    <row r="6201" spans="2:2" ht="14.4" hidden="1" x14ac:dyDescent="0.3">
      <c r="B6201" t="s">
        <v>1260</v>
      </c>
    </row>
    <row r="6202" spans="2:2" ht="14.4" hidden="1" x14ac:dyDescent="0.3">
      <c r="B6202" t="s">
        <v>1261</v>
      </c>
    </row>
    <row r="6203" spans="2:2" ht="14.4" hidden="1" x14ac:dyDescent="0.3">
      <c r="B6203" t="s">
        <v>1262</v>
      </c>
    </row>
    <row r="6204" spans="2:2" ht="14.4" hidden="1" x14ac:dyDescent="0.3">
      <c r="B6204" t="s">
        <v>1263</v>
      </c>
    </row>
    <row r="6205" spans="2:2" ht="14.4" hidden="1" x14ac:dyDescent="0.3">
      <c r="B6205" t="s">
        <v>1264</v>
      </c>
    </row>
    <row r="6206" spans="2:2" ht="14.4" hidden="1" x14ac:dyDescent="0.3">
      <c r="B6206" t="s">
        <v>1265</v>
      </c>
    </row>
    <row r="6207" spans="2:2" ht="14.4" hidden="1" x14ac:dyDescent="0.3">
      <c r="B6207" t="s">
        <v>1266</v>
      </c>
    </row>
    <row r="6208" spans="2:2" ht="14.4" hidden="1" x14ac:dyDescent="0.3">
      <c r="B6208" t="s">
        <v>1267</v>
      </c>
    </row>
    <row r="6209" spans="2:2" ht="14.4" hidden="1" x14ac:dyDescent="0.3">
      <c r="B6209" t="s">
        <v>4732</v>
      </c>
    </row>
    <row r="6210" spans="2:2" ht="14.4" hidden="1" x14ac:dyDescent="0.3">
      <c r="B6210" t="s">
        <v>126</v>
      </c>
    </row>
    <row r="6211" spans="2:2" ht="14.4" hidden="1" x14ac:dyDescent="0.3">
      <c r="B6211" t="s">
        <v>1268</v>
      </c>
    </row>
    <row r="6212" spans="2:2" ht="14.4" hidden="1" x14ac:dyDescent="0.3">
      <c r="B6212" t="s">
        <v>1269</v>
      </c>
    </row>
    <row r="6213" spans="2:2" ht="14.4" hidden="1" x14ac:dyDescent="0.3">
      <c r="B6213" t="s">
        <v>1270</v>
      </c>
    </row>
    <row r="6214" spans="2:2" ht="14.4" hidden="1" x14ac:dyDescent="0.3">
      <c r="B6214" t="s">
        <v>1271</v>
      </c>
    </row>
    <row r="6215" spans="2:2" ht="14.4" hidden="1" x14ac:dyDescent="0.3">
      <c r="B6215" t="s">
        <v>1272</v>
      </c>
    </row>
    <row r="6216" spans="2:2" ht="14.4" hidden="1" x14ac:dyDescent="0.3">
      <c r="B6216" t="s">
        <v>1273</v>
      </c>
    </row>
    <row r="6217" spans="2:2" ht="14.4" hidden="1" x14ac:dyDescent="0.3">
      <c r="B6217" t="s">
        <v>1274</v>
      </c>
    </row>
    <row r="6218" spans="2:2" ht="14.4" hidden="1" x14ac:dyDescent="0.3">
      <c r="B6218" t="s">
        <v>1275</v>
      </c>
    </row>
    <row r="6219" spans="2:2" ht="14.4" hidden="1" x14ac:dyDescent="0.3">
      <c r="B6219" t="s">
        <v>1276</v>
      </c>
    </row>
    <row r="6220" spans="2:2" ht="14.4" hidden="1" x14ac:dyDescent="0.3">
      <c r="B6220" t="s">
        <v>1277</v>
      </c>
    </row>
    <row r="6221" spans="2:2" ht="14.4" hidden="1" x14ac:dyDescent="0.3">
      <c r="B6221" t="s">
        <v>1278</v>
      </c>
    </row>
    <row r="6222" spans="2:2" ht="14.4" hidden="1" x14ac:dyDescent="0.3">
      <c r="B6222" t="s">
        <v>1279</v>
      </c>
    </row>
    <row r="6223" spans="2:2" ht="14.4" hidden="1" x14ac:dyDescent="0.3">
      <c r="B6223" t="s">
        <v>1280</v>
      </c>
    </row>
    <row r="6224" spans="2:2" ht="14.4" hidden="1" x14ac:dyDescent="0.3">
      <c r="B6224" t="s">
        <v>1281</v>
      </c>
    </row>
    <row r="6225" spans="2:2" ht="14.4" hidden="1" x14ac:dyDescent="0.3">
      <c r="B6225" t="s">
        <v>1282</v>
      </c>
    </row>
    <row r="6226" spans="2:2" ht="14.4" hidden="1" x14ac:dyDescent="0.3">
      <c r="B6226" t="s">
        <v>4751</v>
      </c>
    </row>
    <row r="6227" spans="2:2" ht="14.4" hidden="1" x14ac:dyDescent="0.3">
      <c r="B6227" t="s">
        <v>1283</v>
      </c>
    </row>
    <row r="6228" spans="2:2" ht="14.4" hidden="1" x14ac:dyDescent="0.3">
      <c r="B6228" t="s">
        <v>1284</v>
      </c>
    </row>
    <row r="6229" spans="2:2" ht="14.4" hidden="1" x14ac:dyDescent="0.3">
      <c r="B6229" t="s">
        <v>1285</v>
      </c>
    </row>
    <row r="6230" spans="2:2" ht="14.4" hidden="1" x14ac:dyDescent="0.3">
      <c r="B6230" t="s">
        <v>1286</v>
      </c>
    </row>
    <row r="6231" spans="2:2" ht="14.4" hidden="1" x14ac:dyDescent="0.3">
      <c r="B6231" t="s">
        <v>1287</v>
      </c>
    </row>
    <row r="6232" spans="2:2" ht="14.4" hidden="1" x14ac:dyDescent="0.3">
      <c r="B6232" t="s">
        <v>1288</v>
      </c>
    </row>
    <row r="6233" spans="2:2" ht="14.4" hidden="1" x14ac:dyDescent="0.3">
      <c r="B6233" t="s">
        <v>1289</v>
      </c>
    </row>
    <row r="6234" spans="2:2" ht="14.4" customHeight="1" x14ac:dyDescent="0.3"/>
    <row r="6235" spans="2:2" ht="14.4" customHeight="1" x14ac:dyDescent="0.3"/>
    <row r="6236" spans="2:2" ht="14.4" customHeight="1" x14ac:dyDescent="0.3"/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3"/>
  <sheetViews>
    <sheetView workbookViewId="0">
      <selection activeCell="A2" sqref="A2:A3"/>
    </sheetView>
  </sheetViews>
  <sheetFormatPr defaultRowHeight="14.4" x14ac:dyDescent="0.3"/>
  <sheetData>
    <row r="2" spans="1:1" x14ac:dyDescent="0.3">
      <c r="A2" t="s">
        <v>4765</v>
      </c>
    </row>
    <row r="3" spans="1:1" x14ac:dyDescent="0.3">
      <c r="A3" t="s">
        <v>4766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6" tint="0.39997558519241921"/>
  </sheetPr>
  <dimension ref="A1:BB100"/>
  <sheetViews>
    <sheetView tabSelected="1" zoomScale="70" zoomScaleNormal="70" workbookViewId="0">
      <pane xSplit="4" ySplit="1" topLeftCell="AE47" activePane="bottomRight" state="frozen"/>
      <selection activeCell="J36" sqref="J36"/>
      <selection pane="topRight" activeCell="J36" sqref="J36"/>
      <selection pane="bottomLeft" activeCell="J36" sqref="J36"/>
      <selection pane="bottomRight" activeCell="AP50" sqref="AP50"/>
    </sheetView>
  </sheetViews>
  <sheetFormatPr defaultRowHeight="14.4" x14ac:dyDescent="0.3"/>
  <cols>
    <col min="1" max="1" width="11.88671875" customWidth="1"/>
    <col min="4" max="4" width="12.77734375" customWidth="1"/>
    <col min="19" max="19" width="12.5546875" bestFit="1" customWidth="1"/>
    <col min="22" max="23" width="12.5546875" bestFit="1" customWidth="1"/>
    <col min="26" max="26" width="11.5546875" bestFit="1" customWidth="1"/>
    <col min="27" max="27" width="12.5546875" bestFit="1" customWidth="1"/>
    <col min="30" max="31" width="11.5546875" bestFit="1" customWidth="1"/>
    <col min="34" max="35" width="11.5546875" bestFit="1" customWidth="1"/>
    <col min="38" max="38" width="11.5546875" bestFit="1" customWidth="1"/>
    <col min="39" max="39" width="12.6640625" bestFit="1" customWidth="1"/>
    <col min="40" max="40" width="12.5546875" bestFit="1" customWidth="1"/>
    <col min="42" max="42" width="19" customWidth="1"/>
    <col min="43" max="44" width="14.5546875" customWidth="1"/>
    <col min="51" max="51" width="13.44140625" bestFit="1" customWidth="1"/>
    <col min="52" max="52" width="13.21875" bestFit="1" customWidth="1"/>
    <col min="53" max="53" width="15" bestFit="1" customWidth="1"/>
  </cols>
  <sheetData>
    <row r="1" spans="1:54" ht="90" x14ac:dyDescent="0.35">
      <c r="A1" s="78" t="s">
        <v>4770</v>
      </c>
      <c r="B1" s="78" t="s">
        <v>4771</v>
      </c>
      <c r="C1" s="79">
        <v>105</v>
      </c>
      <c r="D1" s="80">
        <f>C1/86400</f>
        <v>1.2152777777777778E-3</v>
      </c>
      <c r="E1" s="52">
        <v>2</v>
      </c>
      <c r="F1" s="52"/>
      <c r="G1" s="53" t="s">
        <v>4772</v>
      </c>
      <c r="H1" s="53" t="s">
        <v>4773</v>
      </c>
      <c r="I1" s="52" t="s">
        <v>4776</v>
      </c>
      <c r="J1" s="52" t="s">
        <v>4839</v>
      </c>
      <c r="K1" s="52" t="s">
        <v>4777</v>
      </c>
      <c r="L1" s="52" t="s">
        <v>4778</v>
      </c>
      <c r="M1" s="52" t="s">
        <v>4779</v>
      </c>
      <c r="N1" s="52" t="s">
        <v>4775</v>
      </c>
      <c r="O1" s="52" t="s">
        <v>4840</v>
      </c>
      <c r="P1" s="52" t="s">
        <v>4841</v>
      </c>
      <c r="Q1" s="52" t="s">
        <v>4802</v>
      </c>
      <c r="R1" s="52" t="s">
        <v>4803</v>
      </c>
      <c r="S1" s="52" t="s">
        <v>4799</v>
      </c>
      <c r="T1" s="52" t="s">
        <v>4774</v>
      </c>
      <c r="U1" s="52" t="s">
        <v>4800</v>
      </c>
      <c r="V1" s="52" t="s">
        <v>4801</v>
      </c>
      <c r="W1" s="52" t="s">
        <v>4795</v>
      </c>
      <c r="X1" s="52" t="s">
        <v>4796</v>
      </c>
      <c r="Y1" s="52" t="s">
        <v>4797</v>
      </c>
      <c r="Z1" s="52" t="s">
        <v>4798</v>
      </c>
      <c r="AA1" s="52" t="s">
        <v>4791</v>
      </c>
      <c r="AB1" s="52" t="s">
        <v>4792</v>
      </c>
      <c r="AC1" s="52" t="s">
        <v>4793</v>
      </c>
      <c r="AD1" s="52" t="s">
        <v>4794</v>
      </c>
      <c r="AE1" s="52" t="s">
        <v>4787</v>
      </c>
      <c r="AF1" s="52" t="s">
        <v>4788</v>
      </c>
      <c r="AG1" s="52" t="s">
        <v>4789</v>
      </c>
      <c r="AH1" s="52" t="s">
        <v>4790</v>
      </c>
      <c r="AI1" s="52" t="s">
        <v>4786</v>
      </c>
      <c r="AJ1" s="52" t="s">
        <v>4785</v>
      </c>
      <c r="AK1" s="52" t="s">
        <v>4784</v>
      </c>
      <c r="AL1" s="52" t="s">
        <v>4783</v>
      </c>
      <c r="AM1" s="52" t="s">
        <v>4780</v>
      </c>
      <c r="AN1" s="52" t="s">
        <v>4781</v>
      </c>
      <c r="AO1" s="52"/>
      <c r="AP1" s="52" t="s">
        <v>4782</v>
      </c>
      <c r="AQ1" s="52"/>
      <c r="AR1" s="52" t="s">
        <v>4823</v>
      </c>
    </row>
    <row r="2" spans="1:54" ht="40.799999999999997" x14ac:dyDescent="0.3">
      <c r="A2" s="56" t="s">
        <v>4815</v>
      </c>
      <c r="B2" s="57" t="s">
        <v>2658</v>
      </c>
      <c r="C2" s="57" t="s">
        <v>4767</v>
      </c>
      <c r="D2" s="57">
        <v>1</v>
      </c>
      <c r="E2" s="57" t="s">
        <v>4768</v>
      </c>
      <c r="F2" s="57" t="s">
        <v>4768</v>
      </c>
      <c r="G2" s="57">
        <v>12.25</v>
      </c>
      <c r="H2" s="57">
        <v>3.95</v>
      </c>
      <c r="I2" s="57">
        <v>4.05</v>
      </c>
      <c r="J2" s="57">
        <v>4.05</v>
      </c>
      <c r="K2" s="57">
        <v>4.2</v>
      </c>
      <c r="L2" s="57">
        <v>4.05</v>
      </c>
      <c r="M2" s="57">
        <v>4.1100000000000003</v>
      </c>
      <c r="N2" s="57">
        <v>4.1500000000000004</v>
      </c>
      <c r="O2" s="57">
        <v>0.1</v>
      </c>
      <c r="P2" s="57">
        <v>2.4700000000000002</v>
      </c>
      <c r="Q2" s="58">
        <v>2397895</v>
      </c>
      <c r="R2" s="57">
        <v>98.55</v>
      </c>
      <c r="S2" s="59">
        <v>507375</v>
      </c>
      <c r="T2" s="57">
        <v>4.1500000000000004</v>
      </c>
      <c r="U2" s="57">
        <v>4.2</v>
      </c>
      <c r="V2" s="59">
        <v>342774</v>
      </c>
      <c r="W2" s="59">
        <v>1072110</v>
      </c>
      <c r="X2" s="57">
        <v>4.0999999999999996</v>
      </c>
      <c r="Y2" s="57">
        <v>4.25</v>
      </c>
      <c r="Z2" s="59">
        <v>246337</v>
      </c>
      <c r="AA2" s="59">
        <v>1356769</v>
      </c>
      <c r="AB2" s="57">
        <v>4.05</v>
      </c>
      <c r="AC2" s="57">
        <v>4.3</v>
      </c>
      <c r="AD2" s="59">
        <v>270585</v>
      </c>
      <c r="AE2" s="59">
        <v>2186413</v>
      </c>
      <c r="AF2" s="57">
        <v>4</v>
      </c>
      <c r="AG2" s="57">
        <v>4.3499999999999996</v>
      </c>
      <c r="AH2" s="59">
        <v>188580</v>
      </c>
      <c r="AI2" s="59">
        <v>225841</v>
      </c>
      <c r="AJ2" s="57">
        <v>3.95</v>
      </c>
      <c r="AK2" s="57">
        <v>4.4000000000000004</v>
      </c>
      <c r="AL2" s="59">
        <v>391870</v>
      </c>
      <c r="AM2" s="59">
        <v>6228183</v>
      </c>
      <c r="AN2" s="59">
        <v>2301280</v>
      </c>
      <c r="AO2" s="60">
        <v>43304</v>
      </c>
      <c r="AP2" s="61" t="s">
        <v>4822</v>
      </c>
      <c r="AQ2" s="76"/>
      <c r="AR2" s="76">
        <f>43305+TIMEVALUE(SUBSTITUTE(AP2,";",":"))</f>
        <v>43305.451574074075</v>
      </c>
      <c r="AY2" s="63" t="str">
        <f>AP2</f>
        <v>24-JUL-2018 10;50;16</v>
      </c>
      <c r="AZ2" s="63">
        <f>BA2</f>
        <v>43301</v>
      </c>
      <c r="BA2" s="51">
        <v>43301</v>
      </c>
      <c r="BB2">
        <f>DATEVALUE("20-07-18")</f>
        <v>43301</v>
      </c>
    </row>
    <row r="3" spans="1:54" ht="28.2" customHeight="1" x14ac:dyDescent="0.3">
      <c r="A3" s="56" t="s">
        <v>4815</v>
      </c>
      <c r="B3" s="57" t="s">
        <v>2658</v>
      </c>
      <c r="C3" s="57" t="s">
        <v>4767</v>
      </c>
      <c r="D3" s="57">
        <v>1</v>
      </c>
      <c r="E3" s="57" t="s">
        <v>4768</v>
      </c>
      <c r="F3" s="57" t="s">
        <v>4768</v>
      </c>
      <c r="G3" s="57">
        <v>12.25</v>
      </c>
      <c r="H3" s="57">
        <v>3.95</v>
      </c>
      <c r="I3" s="57">
        <v>4.05</v>
      </c>
      <c r="J3" s="57">
        <v>4.05</v>
      </c>
      <c r="K3" s="57">
        <v>4.4000000000000004</v>
      </c>
      <c r="L3" s="57">
        <v>4.05</v>
      </c>
      <c r="M3" s="57">
        <v>4.18</v>
      </c>
      <c r="N3" s="57">
        <v>4.4000000000000004</v>
      </c>
      <c r="O3" s="57">
        <v>0.35</v>
      </c>
      <c r="P3" s="57">
        <v>8.64</v>
      </c>
      <c r="Q3" s="58">
        <v>4693315</v>
      </c>
      <c r="R3" s="57">
        <v>196.18</v>
      </c>
      <c r="S3" s="59">
        <v>74528</v>
      </c>
      <c r="T3" s="57">
        <v>4.3499999999999996</v>
      </c>
      <c r="U3" s="57">
        <v>4.4000000000000004</v>
      </c>
      <c r="V3" s="59">
        <v>394157</v>
      </c>
      <c r="W3" s="59">
        <v>527556</v>
      </c>
      <c r="X3" s="57">
        <v>4.3</v>
      </c>
      <c r="Y3" s="57">
        <v>4.45</v>
      </c>
      <c r="Z3" s="59">
        <v>345770</v>
      </c>
      <c r="AA3" s="59">
        <v>726800</v>
      </c>
      <c r="AB3" s="57">
        <v>4.25</v>
      </c>
      <c r="AC3" s="57">
        <v>4.5</v>
      </c>
      <c r="AD3" s="59">
        <v>251707</v>
      </c>
      <c r="AE3" s="59">
        <v>660513</v>
      </c>
      <c r="AF3" s="57">
        <v>4.2</v>
      </c>
      <c r="AG3" s="57">
        <v>4.55</v>
      </c>
      <c r="AH3" s="59">
        <v>35409</v>
      </c>
      <c r="AI3" s="59">
        <v>488432</v>
      </c>
      <c r="AJ3" s="57">
        <v>4.1500000000000004</v>
      </c>
      <c r="AK3" s="57">
        <v>4.5999999999999996</v>
      </c>
      <c r="AL3" s="59">
        <v>166505</v>
      </c>
      <c r="AM3" s="59">
        <v>6518275</v>
      </c>
      <c r="AN3" s="59">
        <v>2114432</v>
      </c>
      <c r="AO3" s="60">
        <v>43304</v>
      </c>
      <c r="AP3" s="61" t="s">
        <v>4824</v>
      </c>
      <c r="AQ3" s="76" t="s">
        <v>4769</v>
      </c>
      <c r="AR3" s="76">
        <f t="shared" ref="AR3:AR66" si="0">43305+TIMEVALUE(SUBSTITUTE(AP3,";",":"))</f>
        <v>43305.484583333331</v>
      </c>
      <c r="AY3" s="63" t="str">
        <f t="shared" ref="AY3:AY18" si="1">AP3</f>
        <v>24-JUL-2018 11;37;48</v>
      </c>
      <c r="AZ3" s="63">
        <f>BA3</f>
        <v>43301.000347222223</v>
      </c>
      <c r="BA3" s="64">
        <v>43301.000347222223</v>
      </c>
      <c r="BB3">
        <f>1/12</f>
        <v>8.3333333333333329E-2</v>
      </c>
    </row>
    <row r="4" spans="1:54" x14ac:dyDescent="0.3">
      <c r="A4" s="62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8"/>
      <c r="R4" s="57"/>
      <c r="S4" s="59"/>
      <c r="T4" s="57"/>
      <c r="U4" s="57"/>
      <c r="V4" s="59"/>
      <c r="W4" s="59"/>
      <c r="X4" s="57"/>
      <c r="Y4" s="57"/>
      <c r="Z4" s="59"/>
      <c r="AA4" s="59"/>
      <c r="AB4" s="57"/>
      <c r="AC4" s="57"/>
      <c r="AD4" s="59"/>
      <c r="AE4" s="59"/>
      <c r="AF4" s="57"/>
      <c r="AG4" s="57"/>
      <c r="AH4" s="59"/>
      <c r="AI4" s="59"/>
      <c r="AJ4" s="57"/>
      <c r="AK4" s="57"/>
      <c r="AL4" s="59"/>
      <c r="AM4" s="59"/>
      <c r="AN4" s="59"/>
      <c r="AO4" s="60"/>
      <c r="AP4" s="61"/>
      <c r="AQ4" s="76"/>
      <c r="AR4" s="76" t="e">
        <f t="shared" si="0"/>
        <v>#VALUE!</v>
      </c>
      <c r="AY4" s="63"/>
      <c r="AZ4" s="63"/>
      <c r="BA4" s="64"/>
    </row>
    <row r="5" spans="1:54" ht="40.799999999999997" x14ac:dyDescent="0.3">
      <c r="A5" s="56" t="s">
        <v>4815</v>
      </c>
      <c r="B5" s="57" t="s">
        <v>2658</v>
      </c>
      <c r="C5" s="57" t="s">
        <v>4767</v>
      </c>
      <c r="D5" s="57">
        <v>1</v>
      </c>
      <c r="E5" s="57" t="s">
        <v>4768</v>
      </c>
      <c r="F5" s="57" t="s">
        <v>4768</v>
      </c>
      <c r="G5" s="57">
        <v>12.25</v>
      </c>
      <c r="H5" s="57">
        <v>3.95</v>
      </c>
      <c r="I5" s="57">
        <v>4.05</v>
      </c>
      <c r="J5" s="57">
        <v>4.05</v>
      </c>
      <c r="K5" s="57">
        <v>4.4000000000000004</v>
      </c>
      <c r="L5" s="57">
        <v>4.05</v>
      </c>
      <c r="M5" s="57">
        <v>4.18</v>
      </c>
      <c r="N5" s="57">
        <v>4.4000000000000004</v>
      </c>
      <c r="O5" s="57">
        <v>0.35</v>
      </c>
      <c r="P5" s="57">
        <v>8.64</v>
      </c>
      <c r="Q5" s="58">
        <v>4693315</v>
      </c>
      <c r="R5" s="57">
        <v>196.18</v>
      </c>
      <c r="S5" s="59">
        <v>74528</v>
      </c>
      <c r="T5" s="57">
        <v>4.3499999999999996</v>
      </c>
      <c r="U5" s="57">
        <v>4.4000000000000004</v>
      </c>
      <c r="V5" s="59">
        <v>394157</v>
      </c>
      <c r="W5" s="59">
        <v>527556</v>
      </c>
      <c r="X5" s="57">
        <v>4.3</v>
      </c>
      <c r="Y5" s="57">
        <v>4.45</v>
      </c>
      <c r="Z5" s="59">
        <v>345770</v>
      </c>
      <c r="AA5" s="59">
        <v>726800</v>
      </c>
      <c r="AB5" s="57">
        <v>4.25</v>
      </c>
      <c r="AC5" s="57">
        <v>4.5</v>
      </c>
      <c r="AD5" s="59">
        <v>251707</v>
      </c>
      <c r="AE5" s="59">
        <v>660513</v>
      </c>
      <c r="AF5" s="57">
        <v>4.2</v>
      </c>
      <c r="AG5" s="57">
        <v>4.55</v>
      </c>
      <c r="AH5" s="59">
        <v>35409</v>
      </c>
      <c r="AI5" s="59">
        <v>488432</v>
      </c>
      <c r="AJ5" s="57">
        <v>4.1500000000000004</v>
      </c>
      <c r="AK5" s="57">
        <v>4.5999999999999996</v>
      </c>
      <c r="AL5" s="59">
        <v>166505</v>
      </c>
      <c r="AM5" s="59">
        <v>6518275</v>
      </c>
      <c r="AN5" s="59">
        <v>2114432</v>
      </c>
      <c r="AO5" s="60">
        <v>43304</v>
      </c>
      <c r="AP5" s="61" t="s">
        <v>4824</v>
      </c>
      <c r="AQ5" s="76" t="s">
        <v>4769</v>
      </c>
      <c r="AR5" s="76">
        <f t="shared" si="0"/>
        <v>43305.484583333331</v>
      </c>
      <c r="AY5" s="63"/>
      <c r="BA5" s="64"/>
    </row>
    <row r="6" spans="1:54" ht="40.799999999999997" x14ac:dyDescent="0.3">
      <c r="A6" s="56" t="s">
        <v>4815</v>
      </c>
      <c r="B6" s="57" t="s">
        <v>2658</v>
      </c>
      <c r="C6" s="57" t="s">
        <v>4767</v>
      </c>
      <c r="D6" s="57">
        <v>1</v>
      </c>
      <c r="E6" s="57" t="s">
        <v>4768</v>
      </c>
      <c r="F6" s="57" t="s">
        <v>4768</v>
      </c>
      <c r="G6" s="57">
        <v>12.25</v>
      </c>
      <c r="H6" s="57">
        <v>3.95</v>
      </c>
      <c r="I6" s="57">
        <v>4.05</v>
      </c>
      <c r="J6" s="57">
        <v>4.05</v>
      </c>
      <c r="K6" s="57">
        <v>4.4000000000000004</v>
      </c>
      <c r="L6" s="57">
        <v>4.05</v>
      </c>
      <c r="M6" s="57">
        <v>4.18</v>
      </c>
      <c r="N6" s="57">
        <v>4.4000000000000004</v>
      </c>
      <c r="O6" s="57">
        <v>0.35</v>
      </c>
      <c r="P6" s="57">
        <v>8.64</v>
      </c>
      <c r="Q6" s="58">
        <v>4693315</v>
      </c>
      <c r="R6" s="57">
        <v>196.18</v>
      </c>
      <c r="S6" s="59">
        <v>74528</v>
      </c>
      <c r="T6" s="57">
        <v>4.3499999999999996</v>
      </c>
      <c r="U6" s="57">
        <v>4.4000000000000004</v>
      </c>
      <c r="V6" s="59">
        <v>394157</v>
      </c>
      <c r="W6" s="59">
        <v>527556</v>
      </c>
      <c r="X6" s="57">
        <v>4.3</v>
      </c>
      <c r="Y6" s="57">
        <v>4.45</v>
      </c>
      <c r="Z6" s="59">
        <v>345770</v>
      </c>
      <c r="AA6" s="59">
        <v>726800</v>
      </c>
      <c r="AB6" s="57">
        <v>4.25</v>
      </c>
      <c r="AC6" s="57">
        <v>4.5</v>
      </c>
      <c r="AD6" s="59">
        <v>251707</v>
      </c>
      <c r="AE6" s="59">
        <v>660513</v>
      </c>
      <c r="AF6" s="57">
        <v>4.2</v>
      </c>
      <c r="AG6" s="57">
        <v>4.55</v>
      </c>
      <c r="AH6" s="59">
        <v>35409</v>
      </c>
      <c r="AI6" s="59">
        <v>488432</v>
      </c>
      <c r="AJ6" s="57">
        <v>4.1500000000000004</v>
      </c>
      <c r="AK6" s="57">
        <v>4.5999999999999996</v>
      </c>
      <c r="AL6" s="59">
        <v>166505</v>
      </c>
      <c r="AM6" s="59">
        <v>6518275</v>
      </c>
      <c r="AN6" s="59">
        <v>2114432</v>
      </c>
      <c r="AO6" s="60">
        <v>43304</v>
      </c>
      <c r="AP6" s="61" t="s">
        <v>4824</v>
      </c>
      <c r="AQ6" s="76" t="s">
        <v>4769</v>
      </c>
      <c r="AR6" s="76">
        <f t="shared" si="0"/>
        <v>43305.484583333331</v>
      </c>
      <c r="AY6" s="63"/>
      <c r="BA6" s="64"/>
    </row>
    <row r="7" spans="1:54" ht="40.799999999999997" x14ac:dyDescent="0.3">
      <c r="A7" s="62" t="s">
        <v>4815</v>
      </c>
      <c r="B7" s="57" t="s">
        <v>2658</v>
      </c>
      <c r="C7" s="57" t="s">
        <v>4767</v>
      </c>
      <c r="D7" s="57">
        <v>1</v>
      </c>
      <c r="E7" s="57" t="s">
        <v>4768</v>
      </c>
      <c r="F7" s="57" t="s">
        <v>4768</v>
      </c>
      <c r="G7" s="57">
        <v>12.25</v>
      </c>
      <c r="H7" s="57">
        <v>3.95</v>
      </c>
      <c r="I7" s="57">
        <v>4.05</v>
      </c>
      <c r="J7" s="57">
        <v>4.05</v>
      </c>
      <c r="K7" s="57">
        <v>4.4000000000000004</v>
      </c>
      <c r="L7" s="57">
        <v>4.05</v>
      </c>
      <c r="M7" s="57">
        <v>4.18</v>
      </c>
      <c r="N7" s="57">
        <v>4.4000000000000004</v>
      </c>
      <c r="O7" s="57">
        <v>0.35</v>
      </c>
      <c r="P7" s="57">
        <v>8.64</v>
      </c>
      <c r="Q7" s="58">
        <v>4693315</v>
      </c>
      <c r="R7" s="57">
        <v>196.18</v>
      </c>
      <c r="S7" s="59">
        <v>74528</v>
      </c>
      <c r="T7" s="57">
        <v>4.3499999999999996</v>
      </c>
      <c r="U7" s="57">
        <v>4.4000000000000004</v>
      </c>
      <c r="V7" s="59">
        <v>394157</v>
      </c>
      <c r="W7" s="59">
        <v>527556</v>
      </c>
      <c r="X7" s="57">
        <v>4.3</v>
      </c>
      <c r="Y7" s="57">
        <v>4.45</v>
      </c>
      <c r="Z7" s="59">
        <v>345770</v>
      </c>
      <c r="AA7" s="59">
        <v>726800</v>
      </c>
      <c r="AB7" s="57">
        <v>4.25</v>
      </c>
      <c r="AC7" s="57">
        <v>4.5</v>
      </c>
      <c r="AD7" s="59">
        <v>251707</v>
      </c>
      <c r="AE7" s="59">
        <v>660513</v>
      </c>
      <c r="AF7" s="57">
        <v>4.2</v>
      </c>
      <c r="AG7" s="57">
        <v>4.55</v>
      </c>
      <c r="AH7" s="59">
        <v>35409</v>
      </c>
      <c r="AI7" s="59">
        <v>488432</v>
      </c>
      <c r="AJ7" s="57">
        <v>4.1500000000000004</v>
      </c>
      <c r="AK7" s="57">
        <v>4.5999999999999996</v>
      </c>
      <c r="AL7" s="59">
        <v>166505</v>
      </c>
      <c r="AM7" s="59">
        <v>6518275</v>
      </c>
      <c r="AN7" s="59">
        <v>2114432</v>
      </c>
      <c r="AO7" s="60">
        <v>43304</v>
      </c>
      <c r="AP7" s="61" t="s">
        <v>4824</v>
      </c>
      <c r="AQ7" s="76" t="s">
        <v>4769</v>
      </c>
      <c r="AR7" s="76">
        <f t="shared" si="0"/>
        <v>43305.484583333331</v>
      </c>
      <c r="AY7" s="63"/>
      <c r="BA7" s="64"/>
    </row>
    <row r="8" spans="1:54" ht="40.799999999999997" x14ac:dyDescent="0.3">
      <c r="A8" s="56" t="s">
        <v>4815</v>
      </c>
      <c r="B8" s="57" t="s">
        <v>2658</v>
      </c>
      <c r="C8" s="57" t="s">
        <v>4767</v>
      </c>
      <c r="D8" s="57">
        <v>1</v>
      </c>
      <c r="E8" s="57" t="s">
        <v>4768</v>
      </c>
      <c r="F8" s="57" t="s">
        <v>4768</v>
      </c>
      <c r="G8" s="57">
        <v>12.25</v>
      </c>
      <c r="H8" s="57">
        <v>3.95</v>
      </c>
      <c r="I8" s="57">
        <v>4.05</v>
      </c>
      <c r="J8" s="57">
        <v>4.05</v>
      </c>
      <c r="K8" s="57">
        <v>4.45</v>
      </c>
      <c r="L8" s="57">
        <v>4.05</v>
      </c>
      <c r="M8" s="57">
        <v>4.25</v>
      </c>
      <c r="N8" s="57">
        <v>4.3499999999999996</v>
      </c>
      <c r="O8" s="57">
        <v>0.3</v>
      </c>
      <c r="P8" s="57">
        <v>7.41</v>
      </c>
      <c r="Q8" s="58">
        <v>6878210</v>
      </c>
      <c r="R8" s="57">
        <v>292.32</v>
      </c>
      <c r="S8" s="59">
        <v>439162</v>
      </c>
      <c r="T8" s="57">
        <v>4.3499999999999996</v>
      </c>
      <c r="U8" s="57">
        <v>4.4000000000000004</v>
      </c>
      <c r="V8" s="59">
        <v>201455</v>
      </c>
      <c r="W8" s="59">
        <v>850052</v>
      </c>
      <c r="X8" s="57">
        <v>4.3</v>
      </c>
      <c r="Y8" s="57">
        <v>4.45</v>
      </c>
      <c r="Z8" s="59">
        <v>351714</v>
      </c>
      <c r="AA8" s="59">
        <v>867009</v>
      </c>
      <c r="AB8" s="57">
        <v>4.25</v>
      </c>
      <c r="AC8" s="57">
        <v>4.5</v>
      </c>
      <c r="AD8" s="59">
        <v>269365</v>
      </c>
      <c r="AE8" s="59">
        <v>898365</v>
      </c>
      <c r="AF8" s="57">
        <v>4.2</v>
      </c>
      <c r="AG8" s="57">
        <v>4.55</v>
      </c>
      <c r="AH8" s="59">
        <v>65875</v>
      </c>
      <c r="AI8" s="59">
        <v>480999</v>
      </c>
      <c r="AJ8" s="57">
        <v>4.1500000000000004</v>
      </c>
      <c r="AK8" s="57">
        <v>4.5999999999999996</v>
      </c>
      <c r="AL8" s="59">
        <v>246902</v>
      </c>
      <c r="AM8" s="59">
        <v>7592345</v>
      </c>
      <c r="AN8" s="59">
        <v>2410483</v>
      </c>
      <c r="AO8" s="60">
        <v>43304</v>
      </c>
      <c r="AP8" s="61" t="s">
        <v>4825</v>
      </c>
      <c r="AQ8" s="76" t="s">
        <v>4769</v>
      </c>
      <c r="AR8" s="76">
        <f t="shared" si="0"/>
        <v>43305.488402777781</v>
      </c>
      <c r="AY8" s="63"/>
      <c r="BA8" s="64"/>
    </row>
    <row r="9" spans="1:54" ht="40.799999999999997" x14ac:dyDescent="0.3">
      <c r="A9" s="56" t="s">
        <v>4815</v>
      </c>
      <c r="B9" s="57" t="s">
        <v>2658</v>
      </c>
      <c r="C9" s="57" t="s">
        <v>4767</v>
      </c>
      <c r="D9" s="57">
        <v>1</v>
      </c>
      <c r="E9" s="57" t="s">
        <v>4768</v>
      </c>
      <c r="F9" s="57" t="s">
        <v>4768</v>
      </c>
      <c r="G9" s="57">
        <v>12.25</v>
      </c>
      <c r="H9" s="57">
        <v>3.95</v>
      </c>
      <c r="I9" s="57">
        <v>4.05</v>
      </c>
      <c r="J9" s="57">
        <v>4.05</v>
      </c>
      <c r="K9" s="57">
        <v>4.45</v>
      </c>
      <c r="L9" s="57">
        <v>4.05</v>
      </c>
      <c r="M9" s="57">
        <v>4.25</v>
      </c>
      <c r="N9" s="57">
        <v>4.3499999999999996</v>
      </c>
      <c r="O9" s="57">
        <v>0.3</v>
      </c>
      <c r="P9" s="57">
        <v>7.41</v>
      </c>
      <c r="Q9" s="58">
        <v>6878210</v>
      </c>
      <c r="R9" s="57">
        <v>292.32</v>
      </c>
      <c r="S9" s="59">
        <v>439162</v>
      </c>
      <c r="T9" s="57">
        <v>4.3499999999999996</v>
      </c>
      <c r="U9" s="57">
        <v>4.4000000000000004</v>
      </c>
      <c r="V9" s="59">
        <v>201455</v>
      </c>
      <c r="W9" s="59">
        <v>850052</v>
      </c>
      <c r="X9" s="57">
        <v>4.3</v>
      </c>
      <c r="Y9" s="57">
        <v>4.45</v>
      </c>
      <c r="Z9" s="59">
        <v>351714</v>
      </c>
      <c r="AA9" s="59">
        <v>867009</v>
      </c>
      <c r="AB9" s="57">
        <v>4.25</v>
      </c>
      <c r="AC9" s="57">
        <v>4.5</v>
      </c>
      <c r="AD9" s="59">
        <v>269365</v>
      </c>
      <c r="AE9" s="59">
        <v>898365</v>
      </c>
      <c r="AF9" s="57">
        <v>4.2</v>
      </c>
      <c r="AG9" s="57">
        <v>4.55</v>
      </c>
      <c r="AH9" s="59">
        <v>65875</v>
      </c>
      <c r="AI9" s="59">
        <v>480999</v>
      </c>
      <c r="AJ9" s="57">
        <v>4.1500000000000004</v>
      </c>
      <c r="AK9" s="57">
        <v>4.5999999999999996</v>
      </c>
      <c r="AL9" s="59">
        <v>246902</v>
      </c>
      <c r="AM9" s="59">
        <v>7592345</v>
      </c>
      <c r="AN9" s="59">
        <v>2410483</v>
      </c>
      <c r="AO9" s="60">
        <v>43304</v>
      </c>
      <c r="AP9" s="61" t="s">
        <v>4825</v>
      </c>
      <c r="AQ9" s="76" t="s">
        <v>4769</v>
      </c>
      <c r="AR9" s="76">
        <f t="shared" si="0"/>
        <v>43305.488402777781</v>
      </c>
      <c r="AY9" s="63"/>
      <c r="BA9" s="64"/>
    </row>
    <row r="10" spans="1:54" ht="40.799999999999997" x14ac:dyDescent="0.3">
      <c r="A10" s="56" t="s">
        <v>4815</v>
      </c>
      <c r="B10" s="57" t="s">
        <v>2658</v>
      </c>
      <c r="C10" s="57" t="s">
        <v>4767</v>
      </c>
      <c r="D10" s="57">
        <v>1</v>
      </c>
      <c r="E10" s="57" t="s">
        <v>4768</v>
      </c>
      <c r="F10" s="57" t="s">
        <v>4768</v>
      </c>
      <c r="G10" s="57">
        <v>12.25</v>
      </c>
      <c r="H10" s="57">
        <v>3.95</v>
      </c>
      <c r="I10" s="57">
        <v>4.05</v>
      </c>
      <c r="J10" s="57">
        <v>4.05</v>
      </c>
      <c r="K10" s="57">
        <v>4.45</v>
      </c>
      <c r="L10" s="57">
        <v>4.05</v>
      </c>
      <c r="M10" s="57">
        <v>4.25</v>
      </c>
      <c r="N10" s="57">
        <v>4.3499999999999996</v>
      </c>
      <c r="O10" s="57">
        <v>0.3</v>
      </c>
      <c r="P10" s="57">
        <v>7.41</v>
      </c>
      <c r="Q10" s="58">
        <v>7127617</v>
      </c>
      <c r="R10" s="57">
        <v>302.92</v>
      </c>
      <c r="S10" s="59">
        <v>257531</v>
      </c>
      <c r="T10" s="57">
        <v>4.3</v>
      </c>
      <c r="U10" s="57">
        <v>4.3499999999999996</v>
      </c>
      <c r="V10" s="59">
        <v>208119</v>
      </c>
      <c r="W10" s="59">
        <v>323959</v>
      </c>
      <c r="X10" s="57">
        <v>4.25</v>
      </c>
      <c r="Y10" s="57">
        <v>4.4000000000000004</v>
      </c>
      <c r="Z10" s="59">
        <v>314202</v>
      </c>
      <c r="AA10" s="59">
        <v>636365</v>
      </c>
      <c r="AB10" s="57">
        <v>4.2</v>
      </c>
      <c r="AC10" s="57">
        <v>4.45</v>
      </c>
      <c r="AD10" s="59">
        <v>348809</v>
      </c>
      <c r="AE10" s="59">
        <v>490999</v>
      </c>
      <c r="AF10" s="57">
        <v>4.1500000000000004</v>
      </c>
      <c r="AG10" s="57">
        <v>4.5</v>
      </c>
      <c r="AH10" s="59">
        <v>272465</v>
      </c>
      <c r="AI10" s="59">
        <v>648090</v>
      </c>
      <c r="AJ10" s="57">
        <v>4.0999999999999996</v>
      </c>
      <c r="AK10" s="57">
        <v>4.55</v>
      </c>
      <c r="AL10" s="59">
        <v>71525</v>
      </c>
      <c r="AM10" s="59">
        <v>5710057</v>
      </c>
      <c r="AN10" s="59">
        <v>2752698</v>
      </c>
      <c r="AO10" s="60">
        <v>43304</v>
      </c>
      <c r="AP10" s="61" t="s">
        <v>4826</v>
      </c>
      <c r="AQ10" s="76" t="s">
        <v>4769</v>
      </c>
      <c r="AR10" s="76">
        <f t="shared" si="0"/>
        <v>43305.489444444444</v>
      </c>
      <c r="AY10" s="63"/>
      <c r="BA10" s="64"/>
    </row>
    <row r="11" spans="1:54" ht="40.799999999999997" x14ac:dyDescent="0.3">
      <c r="A11" s="56" t="s">
        <v>4815</v>
      </c>
      <c r="B11" s="57" t="s">
        <v>2658</v>
      </c>
      <c r="C11" s="57" t="s">
        <v>4767</v>
      </c>
      <c r="D11" s="57">
        <v>1</v>
      </c>
      <c r="E11" s="57" t="s">
        <v>4768</v>
      </c>
      <c r="F11" s="57" t="s">
        <v>4768</v>
      </c>
      <c r="G11" s="57">
        <v>12.25</v>
      </c>
      <c r="H11" s="57">
        <v>3.95</v>
      </c>
      <c r="I11" s="57">
        <v>4.05</v>
      </c>
      <c r="J11" s="57">
        <v>4.05</v>
      </c>
      <c r="K11" s="57">
        <v>4.45</v>
      </c>
      <c r="L11" s="57">
        <v>4.05</v>
      </c>
      <c r="M11" s="57">
        <v>4.25</v>
      </c>
      <c r="N11" s="57">
        <v>4.3499999999999996</v>
      </c>
      <c r="O11" s="57">
        <v>0.3</v>
      </c>
      <c r="P11" s="57">
        <v>7.41</v>
      </c>
      <c r="Q11" s="58">
        <v>7127617</v>
      </c>
      <c r="R11" s="57">
        <v>302.92</v>
      </c>
      <c r="S11" s="59">
        <v>257531</v>
      </c>
      <c r="T11" s="57">
        <v>4.3</v>
      </c>
      <c r="U11" s="57">
        <v>4.3499999999999996</v>
      </c>
      <c r="V11" s="59">
        <v>208119</v>
      </c>
      <c r="W11" s="59">
        <v>323959</v>
      </c>
      <c r="X11" s="57">
        <v>4.25</v>
      </c>
      <c r="Y11" s="57">
        <v>4.4000000000000004</v>
      </c>
      <c r="Z11" s="59">
        <v>314202</v>
      </c>
      <c r="AA11" s="59">
        <v>636365</v>
      </c>
      <c r="AB11" s="57">
        <v>4.2</v>
      </c>
      <c r="AC11" s="57">
        <v>4.45</v>
      </c>
      <c r="AD11" s="59">
        <v>348809</v>
      </c>
      <c r="AE11" s="59">
        <v>490999</v>
      </c>
      <c r="AF11" s="57">
        <v>4.1500000000000004</v>
      </c>
      <c r="AG11" s="57">
        <v>4.5</v>
      </c>
      <c r="AH11" s="59">
        <v>272465</v>
      </c>
      <c r="AI11" s="59">
        <v>648090</v>
      </c>
      <c r="AJ11" s="57">
        <v>4.0999999999999996</v>
      </c>
      <c r="AK11" s="57">
        <v>4.55</v>
      </c>
      <c r="AL11" s="59">
        <v>71525</v>
      </c>
      <c r="AM11" s="59">
        <v>5710057</v>
      </c>
      <c r="AN11" s="59">
        <v>2752698</v>
      </c>
      <c r="AO11" s="60">
        <v>43304</v>
      </c>
      <c r="AP11" s="61" t="s">
        <v>4826</v>
      </c>
      <c r="AQ11" s="76" t="s">
        <v>4769</v>
      </c>
      <c r="AR11" s="76">
        <f t="shared" si="0"/>
        <v>43305.489444444444</v>
      </c>
      <c r="AY11" s="63"/>
      <c r="BA11" s="64"/>
    </row>
    <row r="12" spans="1:54" ht="40.799999999999997" x14ac:dyDescent="0.3">
      <c r="A12" s="56" t="s">
        <v>4815</v>
      </c>
      <c r="B12" s="57" t="s">
        <v>2658</v>
      </c>
      <c r="C12" s="57" t="s">
        <v>4767</v>
      </c>
      <c r="D12" s="57">
        <v>1</v>
      </c>
      <c r="E12" s="57" t="s">
        <v>4768</v>
      </c>
      <c r="F12" s="57" t="s">
        <v>4768</v>
      </c>
      <c r="G12" s="57">
        <v>12.25</v>
      </c>
      <c r="H12" s="57">
        <v>3.95</v>
      </c>
      <c r="I12" s="57">
        <v>4.05</v>
      </c>
      <c r="J12" s="57">
        <v>4.05</v>
      </c>
      <c r="K12" s="57">
        <v>4.45</v>
      </c>
      <c r="L12" s="57">
        <v>4.05</v>
      </c>
      <c r="M12" s="57">
        <v>4.25</v>
      </c>
      <c r="N12" s="57">
        <v>4.3</v>
      </c>
      <c r="O12" s="57">
        <v>0.25</v>
      </c>
      <c r="P12" s="57">
        <v>6.17</v>
      </c>
      <c r="Q12" s="58">
        <v>7392675</v>
      </c>
      <c r="R12" s="57">
        <v>314.19</v>
      </c>
      <c r="S12" s="59">
        <v>450209</v>
      </c>
      <c r="T12" s="57">
        <v>4.3</v>
      </c>
      <c r="U12" s="57">
        <v>4.3499999999999996</v>
      </c>
      <c r="V12" s="59">
        <v>128782</v>
      </c>
      <c r="W12" s="59">
        <v>623986</v>
      </c>
      <c r="X12" s="57">
        <v>4.25</v>
      </c>
      <c r="Y12" s="57">
        <v>4.4000000000000004</v>
      </c>
      <c r="Z12" s="59">
        <v>250649</v>
      </c>
      <c r="AA12" s="59">
        <v>943935</v>
      </c>
      <c r="AB12" s="57">
        <v>4.2</v>
      </c>
      <c r="AC12" s="57">
        <v>4.45</v>
      </c>
      <c r="AD12" s="59">
        <v>368559</v>
      </c>
      <c r="AE12" s="59">
        <v>500489</v>
      </c>
      <c r="AF12" s="57">
        <v>4.1500000000000004</v>
      </c>
      <c r="AG12" s="57">
        <v>4.5</v>
      </c>
      <c r="AH12" s="59">
        <v>274900</v>
      </c>
      <c r="AI12" s="59">
        <v>649490</v>
      </c>
      <c r="AJ12" s="57">
        <v>4.0999999999999996</v>
      </c>
      <c r="AK12" s="57">
        <v>4.55</v>
      </c>
      <c r="AL12" s="59">
        <v>66535</v>
      </c>
      <c r="AM12" s="59">
        <v>6223522</v>
      </c>
      <c r="AN12" s="59">
        <v>2778903</v>
      </c>
      <c r="AO12" s="60">
        <v>43304</v>
      </c>
      <c r="AP12" s="61" t="s">
        <v>4827</v>
      </c>
      <c r="AQ12" s="76" t="s">
        <v>4769</v>
      </c>
      <c r="AR12" s="76">
        <f t="shared" si="0"/>
        <v>43305.491527777776</v>
      </c>
      <c r="AY12" s="63"/>
      <c r="BA12" s="64"/>
    </row>
    <row r="13" spans="1:54" ht="40.799999999999997" x14ac:dyDescent="0.3">
      <c r="A13" s="56" t="s">
        <v>4815</v>
      </c>
      <c r="B13" s="57" t="s">
        <v>2658</v>
      </c>
      <c r="C13" s="57" t="s">
        <v>4767</v>
      </c>
      <c r="D13" s="57">
        <v>1</v>
      </c>
      <c r="E13" s="57" t="s">
        <v>4768</v>
      </c>
      <c r="F13" s="57" t="s">
        <v>4768</v>
      </c>
      <c r="G13" s="57">
        <v>12.25</v>
      </c>
      <c r="H13" s="57">
        <v>3.95</v>
      </c>
      <c r="I13" s="57">
        <v>4.05</v>
      </c>
      <c r="J13" s="57">
        <v>4.05</v>
      </c>
      <c r="K13" s="57">
        <v>4.45</v>
      </c>
      <c r="L13" s="57">
        <v>4.05</v>
      </c>
      <c r="M13" s="57">
        <v>4.25</v>
      </c>
      <c r="N13" s="57">
        <v>4.3</v>
      </c>
      <c r="O13" s="57">
        <v>0.25</v>
      </c>
      <c r="P13" s="57">
        <v>6.17</v>
      </c>
      <c r="Q13" s="58">
        <v>7392675</v>
      </c>
      <c r="R13" s="57">
        <v>314.19</v>
      </c>
      <c r="S13" s="59">
        <v>450209</v>
      </c>
      <c r="T13" s="57">
        <v>4.3</v>
      </c>
      <c r="U13" s="57">
        <v>4.3499999999999996</v>
      </c>
      <c r="V13" s="59">
        <v>128782</v>
      </c>
      <c r="W13" s="59">
        <v>623986</v>
      </c>
      <c r="X13" s="57">
        <v>4.25</v>
      </c>
      <c r="Y13" s="57">
        <v>4.4000000000000004</v>
      </c>
      <c r="Z13" s="59">
        <v>250649</v>
      </c>
      <c r="AA13" s="59">
        <v>943935</v>
      </c>
      <c r="AB13" s="57">
        <v>4.2</v>
      </c>
      <c r="AC13" s="57">
        <v>4.45</v>
      </c>
      <c r="AD13" s="59">
        <v>368559</v>
      </c>
      <c r="AE13" s="59">
        <v>500489</v>
      </c>
      <c r="AF13" s="57">
        <v>4.1500000000000004</v>
      </c>
      <c r="AG13" s="57">
        <v>4.5</v>
      </c>
      <c r="AH13" s="59">
        <v>274900</v>
      </c>
      <c r="AI13" s="59">
        <v>649490</v>
      </c>
      <c r="AJ13" s="57">
        <v>4.0999999999999996</v>
      </c>
      <c r="AK13" s="57">
        <v>4.55</v>
      </c>
      <c r="AL13" s="59">
        <v>66535</v>
      </c>
      <c r="AM13" s="59">
        <v>6223522</v>
      </c>
      <c r="AN13" s="59">
        <v>2778903</v>
      </c>
      <c r="AO13" s="60">
        <v>43304</v>
      </c>
      <c r="AP13" s="61" t="s">
        <v>4827</v>
      </c>
      <c r="AQ13" s="76" t="s">
        <v>4769</v>
      </c>
      <c r="AR13" s="76">
        <f t="shared" si="0"/>
        <v>43305.491527777776</v>
      </c>
      <c r="AY13" s="63"/>
      <c r="BA13" s="64"/>
    </row>
    <row r="14" spans="1:54" ht="40.799999999999997" x14ac:dyDescent="0.3">
      <c r="A14" s="56" t="s">
        <v>4815</v>
      </c>
      <c r="B14" s="57" t="s">
        <v>2658</v>
      </c>
      <c r="C14" s="57" t="s">
        <v>4767</v>
      </c>
      <c r="D14" s="57">
        <v>1</v>
      </c>
      <c r="E14" s="57" t="s">
        <v>4768</v>
      </c>
      <c r="F14" s="57" t="s">
        <v>4768</v>
      </c>
      <c r="G14" s="57">
        <v>12.25</v>
      </c>
      <c r="H14" s="57">
        <v>3.95</v>
      </c>
      <c r="I14" s="57">
        <v>4.05</v>
      </c>
      <c r="J14" s="57">
        <v>4.05</v>
      </c>
      <c r="K14" s="57">
        <v>4.45</v>
      </c>
      <c r="L14" s="57">
        <v>4.05</v>
      </c>
      <c r="M14" s="57">
        <v>4.25</v>
      </c>
      <c r="N14" s="57">
        <v>4.3</v>
      </c>
      <c r="O14" s="57">
        <v>0.25</v>
      </c>
      <c r="P14" s="57">
        <v>6.17</v>
      </c>
      <c r="Q14" s="58">
        <v>7407199</v>
      </c>
      <c r="R14" s="57">
        <v>314.81</v>
      </c>
      <c r="S14" s="59">
        <v>565695</v>
      </c>
      <c r="T14" s="57">
        <v>4.3</v>
      </c>
      <c r="U14" s="57">
        <v>4.3499999999999996</v>
      </c>
      <c r="V14" s="59">
        <v>123509</v>
      </c>
      <c r="W14" s="59">
        <v>622696</v>
      </c>
      <c r="X14" s="57">
        <v>4.25</v>
      </c>
      <c r="Y14" s="57">
        <v>4.4000000000000004</v>
      </c>
      <c r="Z14" s="59">
        <v>348825</v>
      </c>
      <c r="AA14" s="59">
        <v>958935</v>
      </c>
      <c r="AB14" s="57">
        <v>4.2</v>
      </c>
      <c r="AC14" s="57">
        <v>4.45</v>
      </c>
      <c r="AD14" s="59">
        <v>368560</v>
      </c>
      <c r="AE14" s="59">
        <v>500489</v>
      </c>
      <c r="AF14" s="57">
        <v>4.1500000000000004</v>
      </c>
      <c r="AG14" s="57">
        <v>4.5</v>
      </c>
      <c r="AH14" s="59">
        <v>271400</v>
      </c>
      <c r="AI14" s="59">
        <v>650930</v>
      </c>
      <c r="AJ14" s="57">
        <v>4.0999999999999996</v>
      </c>
      <c r="AK14" s="57">
        <v>4.55</v>
      </c>
      <c r="AL14" s="59">
        <v>47734</v>
      </c>
      <c r="AM14" s="59">
        <v>6354958</v>
      </c>
      <c r="AN14" s="59">
        <v>2869606</v>
      </c>
      <c r="AO14" s="60">
        <v>43304</v>
      </c>
      <c r="AP14" s="61" t="s">
        <v>4828</v>
      </c>
      <c r="AQ14" s="76" t="s">
        <v>4769</v>
      </c>
      <c r="AR14" s="76">
        <f t="shared" si="0"/>
        <v>43305.49291666667</v>
      </c>
      <c r="AY14" s="63"/>
      <c r="BA14" s="64"/>
    </row>
    <row r="15" spans="1:54" ht="40.799999999999997" x14ac:dyDescent="0.3">
      <c r="A15" s="56" t="s">
        <v>4815</v>
      </c>
      <c r="B15" s="57" t="s">
        <v>2658</v>
      </c>
      <c r="C15" s="57" t="s">
        <v>4767</v>
      </c>
      <c r="D15" s="57">
        <v>1</v>
      </c>
      <c r="E15" s="57" t="s">
        <v>4768</v>
      </c>
      <c r="F15" s="57" t="s">
        <v>4768</v>
      </c>
      <c r="G15" s="57">
        <v>12.25</v>
      </c>
      <c r="H15" s="57">
        <v>3.95</v>
      </c>
      <c r="I15" s="57">
        <v>4.05</v>
      </c>
      <c r="J15" s="57">
        <v>4.05</v>
      </c>
      <c r="K15" s="57">
        <v>4.45</v>
      </c>
      <c r="L15" s="57">
        <v>4.05</v>
      </c>
      <c r="M15" s="57">
        <v>4.25</v>
      </c>
      <c r="N15" s="57">
        <v>4.3</v>
      </c>
      <c r="O15" s="57">
        <v>0.25</v>
      </c>
      <c r="P15" s="57">
        <v>6.17</v>
      </c>
      <c r="Q15" s="58">
        <v>7407199</v>
      </c>
      <c r="R15" s="57">
        <v>314.81</v>
      </c>
      <c r="S15" s="59">
        <v>565695</v>
      </c>
      <c r="T15" s="57">
        <v>4.3</v>
      </c>
      <c r="U15" s="57">
        <v>4.3499999999999996</v>
      </c>
      <c r="V15" s="59">
        <v>123509</v>
      </c>
      <c r="W15" s="59">
        <v>622696</v>
      </c>
      <c r="X15" s="57">
        <v>4.25</v>
      </c>
      <c r="Y15" s="57">
        <v>4.4000000000000004</v>
      </c>
      <c r="Z15" s="59">
        <v>348825</v>
      </c>
      <c r="AA15" s="59">
        <v>958935</v>
      </c>
      <c r="AB15" s="57">
        <v>4.2</v>
      </c>
      <c r="AC15" s="57">
        <v>4.45</v>
      </c>
      <c r="AD15" s="59">
        <v>368560</v>
      </c>
      <c r="AE15" s="59">
        <v>500489</v>
      </c>
      <c r="AF15" s="57">
        <v>4.1500000000000004</v>
      </c>
      <c r="AG15" s="57">
        <v>4.5</v>
      </c>
      <c r="AH15" s="59">
        <v>271400</v>
      </c>
      <c r="AI15" s="59">
        <v>650930</v>
      </c>
      <c r="AJ15" s="57">
        <v>4.0999999999999996</v>
      </c>
      <c r="AK15" s="57">
        <v>4.55</v>
      </c>
      <c r="AL15" s="59">
        <v>47734</v>
      </c>
      <c r="AM15" s="59">
        <v>6354958</v>
      </c>
      <c r="AN15" s="59">
        <v>2869606</v>
      </c>
      <c r="AO15" s="60">
        <v>43304</v>
      </c>
      <c r="AP15" s="61" t="s">
        <v>4828</v>
      </c>
      <c r="AQ15" s="76" t="s">
        <v>4769</v>
      </c>
      <c r="AR15" s="76">
        <f t="shared" si="0"/>
        <v>43305.49291666667</v>
      </c>
      <c r="AY15" s="63"/>
      <c r="BA15" s="64"/>
    </row>
    <row r="16" spans="1:54" ht="40.799999999999997" x14ac:dyDescent="0.3">
      <c r="A16" s="56" t="s">
        <v>4815</v>
      </c>
      <c r="B16" s="57" t="s">
        <v>2658</v>
      </c>
      <c r="C16" s="57" t="s">
        <v>4767</v>
      </c>
      <c r="D16" s="57">
        <v>1</v>
      </c>
      <c r="E16" s="57" t="s">
        <v>4768</v>
      </c>
      <c r="F16" s="57" t="s">
        <v>4768</v>
      </c>
      <c r="G16" s="57">
        <v>12.25</v>
      </c>
      <c r="H16" s="57">
        <v>3.95</v>
      </c>
      <c r="I16" s="57">
        <v>4.05</v>
      </c>
      <c r="J16" s="57">
        <v>4.05</v>
      </c>
      <c r="K16" s="57">
        <v>4.45</v>
      </c>
      <c r="L16" s="57">
        <v>4.05</v>
      </c>
      <c r="M16" s="57">
        <v>4.25</v>
      </c>
      <c r="N16" s="57">
        <v>4.3</v>
      </c>
      <c r="O16" s="57">
        <v>0.25</v>
      </c>
      <c r="P16" s="57">
        <v>6.17</v>
      </c>
      <c r="Q16" s="58">
        <v>7407199</v>
      </c>
      <c r="R16" s="57">
        <v>314.81</v>
      </c>
      <c r="S16" s="59">
        <v>565695</v>
      </c>
      <c r="T16" s="57">
        <v>4.3</v>
      </c>
      <c r="U16" s="57">
        <v>4.3499999999999996</v>
      </c>
      <c r="V16" s="59">
        <v>123509</v>
      </c>
      <c r="W16" s="59">
        <v>622696</v>
      </c>
      <c r="X16" s="57">
        <v>4.25</v>
      </c>
      <c r="Y16" s="57">
        <v>4.4000000000000004</v>
      </c>
      <c r="Z16" s="59">
        <v>348825</v>
      </c>
      <c r="AA16" s="59">
        <v>958935</v>
      </c>
      <c r="AB16" s="57">
        <v>4.2</v>
      </c>
      <c r="AC16" s="57">
        <v>4.45</v>
      </c>
      <c r="AD16" s="59">
        <v>368560</v>
      </c>
      <c r="AE16" s="59">
        <v>500489</v>
      </c>
      <c r="AF16" s="57">
        <v>4.1500000000000004</v>
      </c>
      <c r="AG16" s="57">
        <v>4.5</v>
      </c>
      <c r="AH16" s="59">
        <v>271400</v>
      </c>
      <c r="AI16" s="59">
        <v>650930</v>
      </c>
      <c r="AJ16" s="57">
        <v>4.0999999999999996</v>
      </c>
      <c r="AK16" s="57">
        <v>4.55</v>
      </c>
      <c r="AL16" s="59">
        <v>47734</v>
      </c>
      <c r="AM16" s="59">
        <v>6354958</v>
      </c>
      <c r="AN16" s="59">
        <v>2869606</v>
      </c>
      <c r="AO16" s="60">
        <v>43304</v>
      </c>
      <c r="AP16" s="61" t="s">
        <v>4828</v>
      </c>
      <c r="AQ16" s="76" t="s">
        <v>4769</v>
      </c>
      <c r="AR16" s="76">
        <f t="shared" si="0"/>
        <v>43305.49291666667</v>
      </c>
      <c r="AY16" s="63"/>
      <c r="BA16" s="64"/>
    </row>
    <row r="17" spans="1:51" ht="40.799999999999997" x14ac:dyDescent="0.3">
      <c r="A17" s="56" t="s">
        <v>4815</v>
      </c>
      <c r="B17" s="57" t="s">
        <v>2658</v>
      </c>
      <c r="C17" s="57" t="s">
        <v>4767</v>
      </c>
      <c r="D17" s="57">
        <v>1</v>
      </c>
      <c r="E17" s="57" t="s">
        <v>4768</v>
      </c>
      <c r="F17" s="57" t="s">
        <v>4768</v>
      </c>
      <c r="G17" s="57">
        <v>12.25</v>
      </c>
      <c r="H17" s="57">
        <v>3.95</v>
      </c>
      <c r="I17" s="57">
        <v>4.05</v>
      </c>
      <c r="J17" s="57">
        <v>4.05</v>
      </c>
      <c r="K17" s="57">
        <v>4.45</v>
      </c>
      <c r="L17" s="57">
        <v>4.05</v>
      </c>
      <c r="M17" s="57">
        <v>4.26</v>
      </c>
      <c r="N17" s="57">
        <v>4.3</v>
      </c>
      <c r="O17" s="57">
        <v>0.25</v>
      </c>
      <c r="P17" s="57">
        <v>6.17</v>
      </c>
      <c r="Q17" s="58">
        <v>7770373</v>
      </c>
      <c r="R17" s="57">
        <v>331.02</v>
      </c>
      <c r="S17" s="59">
        <v>326914</v>
      </c>
      <c r="T17" s="57">
        <v>4.3</v>
      </c>
      <c r="U17" s="57">
        <v>4.3499999999999996</v>
      </c>
      <c r="V17" s="59">
        <v>504089</v>
      </c>
      <c r="W17" s="59">
        <v>503196</v>
      </c>
      <c r="X17" s="57">
        <v>4.25</v>
      </c>
      <c r="Y17" s="57">
        <v>4.4000000000000004</v>
      </c>
      <c r="Z17" s="59">
        <v>634034</v>
      </c>
      <c r="AA17" s="59">
        <v>665858</v>
      </c>
      <c r="AB17" s="57">
        <v>4.2</v>
      </c>
      <c r="AC17" s="57">
        <v>4.45</v>
      </c>
      <c r="AD17" s="59">
        <v>658795</v>
      </c>
      <c r="AE17" s="59">
        <v>501489</v>
      </c>
      <c r="AF17" s="57">
        <v>4.1500000000000004</v>
      </c>
      <c r="AG17" s="57">
        <v>4.5</v>
      </c>
      <c r="AH17" s="59">
        <v>493647</v>
      </c>
      <c r="AI17" s="59">
        <v>664030</v>
      </c>
      <c r="AJ17" s="57">
        <v>4.0999999999999996</v>
      </c>
      <c r="AK17" s="57">
        <v>4.55</v>
      </c>
      <c r="AL17" s="59">
        <v>53734</v>
      </c>
      <c r="AM17" s="59">
        <v>5716804</v>
      </c>
      <c r="AN17" s="59">
        <v>4014305</v>
      </c>
      <c r="AO17" s="60">
        <v>43304</v>
      </c>
      <c r="AP17" s="61" t="s">
        <v>4829</v>
      </c>
      <c r="AQ17" s="76" t="s">
        <v>4769</v>
      </c>
      <c r="AR17" s="76">
        <f t="shared" si="0"/>
        <v>43305.495000000003</v>
      </c>
      <c r="AY17" s="63"/>
    </row>
    <row r="18" spans="1:51" ht="40.799999999999997" x14ac:dyDescent="0.3">
      <c r="A18" s="56" t="s">
        <v>4815</v>
      </c>
      <c r="B18" s="57" t="s">
        <v>2658</v>
      </c>
      <c r="C18" s="57" t="s">
        <v>4767</v>
      </c>
      <c r="D18" s="57">
        <v>1</v>
      </c>
      <c r="E18" s="57" t="s">
        <v>4768</v>
      </c>
      <c r="F18" s="57" t="s">
        <v>4768</v>
      </c>
      <c r="G18" s="57">
        <v>12.25</v>
      </c>
      <c r="H18" s="57">
        <v>3.95</v>
      </c>
      <c r="I18" s="57">
        <v>4.05</v>
      </c>
      <c r="J18" s="57">
        <v>4.05</v>
      </c>
      <c r="K18" s="57">
        <v>4.45</v>
      </c>
      <c r="L18" s="57">
        <v>4.05</v>
      </c>
      <c r="M18" s="57">
        <v>4.26</v>
      </c>
      <c r="N18" s="57">
        <v>4.3</v>
      </c>
      <c r="O18" s="57">
        <v>0.25</v>
      </c>
      <c r="P18" s="57">
        <v>6.17</v>
      </c>
      <c r="Q18" s="58">
        <v>7770373</v>
      </c>
      <c r="R18" s="57">
        <v>331.02</v>
      </c>
      <c r="S18" s="59">
        <v>326914</v>
      </c>
      <c r="T18" s="57">
        <v>4.3</v>
      </c>
      <c r="U18" s="57">
        <v>4.3499999999999996</v>
      </c>
      <c r="V18" s="59">
        <v>504089</v>
      </c>
      <c r="W18" s="59">
        <v>503196</v>
      </c>
      <c r="X18" s="57">
        <v>4.25</v>
      </c>
      <c r="Y18" s="57">
        <v>4.4000000000000004</v>
      </c>
      <c r="Z18" s="59">
        <v>634034</v>
      </c>
      <c r="AA18" s="59">
        <v>665858</v>
      </c>
      <c r="AB18" s="57">
        <v>4.2</v>
      </c>
      <c r="AC18" s="57">
        <v>4.45</v>
      </c>
      <c r="AD18" s="59">
        <v>658795</v>
      </c>
      <c r="AE18" s="59">
        <v>501489</v>
      </c>
      <c r="AF18" s="57">
        <v>4.1500000000000004</v>
      </c>
      <c r="AG18" s="57">
        <v>4.5</v>
      </c>
      <c r="AH18" s="59">
        <v>493647</v>
      </c>
      <c r="AI18" s="59">
        <v>664030</v>
      </c>
      <c r="AJ18" s="57">
        <v>4.0999999999999996</v>
      </c>
      <c r="AK18" s="57">
        <v>4.55</v>
      </c>
      <c r="AL18" s="59">
        <v>53734</v>
      </c>
      <c r="AM18" s="59">
        <v>5716804</v>
      </c>
      <c r="AN18" s="59">
        <v>4014305</v>
      </c>
      <c r="AO18" s="60">
        <v>43304</v>
      </c>
      <c r="AP18" s="61" t="s">
        <v>4829</v>
      </c>
      <c r="AQ18" s="76" t="s">
        <v>4769</v>
      </c>
      <c r="AR18" s="76">
        <f t="shared" si="0"/>
        <v>43305.495000000003</v>
      </c>
      <c r="AY18" s="63"/>
    </row>
    <row r="19" spans="1:51" ht="40.799999999999997" x14ac:dyDescent="0.3">
      <c r="A19" s="56" t="s">
        <v>4815</v>
      </c>
      <c r="B19" s="57" t="s">
        <v>2658</v>
      </c>
      <c r="C19" s="57" t="s">
        <v>4767</v>
      </c>
      <c r="D19" s="57">
        <v>1</v>
      </c>
      <c r="E19" s="57" t="s">
        <v>4768</v>
      </c>
      <c r="F19" s="57" t="s">
        <v>4768</v>
      </c>
      <c r="G19" s="57">
        <v>12.25</v>
      </c>
      <c r="H19" s="57">
        <v>3.95</v>
      </c>
      <c r="I19" s="57">
        <v>4.05</v>
      </c>
      <c r="J19" s="57">
        <v>4.05</v>
      </c>
      <c r="K19" s="57">
        <v>4.45</v>
      </c>
      <c r="L19" s="57">
        <v>4.05</v>
      </c>
      <c r="M19" s="57">
        <v>4.26</v>
      </c>
      <c r="N19" s="57">
        <v>4.3</v>
      </c>
      <c r="O19" s="57">
        <v>0.25</v>
      </c>
      <c r="P19" s="57">
        <v>6.17</v>
      </c>
      <c r="Q19" s="58">
        <v>7782784</v>
      </c>
      <c r="R19" s="57">
        <v>331.55</v>
      </c>
      <c r="S19" s="59">
        <v>324464</v>
      </c>
      <c r="T19" s="57">
        <v>4.3</v>
      </c>
      <c r="U19" s="57">
        <v>4.3499999999999996</v>
      </c>
      <c r="V19" s="59">
        <v>558663</v>
      </c>
      <c r="W19" s="59">
        <v>508302</v>
      </c>
      <c r="X19" s="57">
        <v>4.25</v>
      </c>
      <c r="Y19" s="57">
        <v>4.4000000000000004</v>
      </c>
      <c r="Z19" s="59">
        <v>640634</v>
      </c>
      <c r="AA19" s="59">
        <v>665858</v>
      </c>
      <c r="AB19" s="57">
        <v>4.2</v>
      </c>
      <c r="AC19" s="57">
        <v>4.45</v>
      </c>
      <c r="AD19" s="59">
        <v>665295</v>
      </c>
      <c r="AE19" s="59">
        <v>501489</v>
      </c>
      <c r="AF19" s="57">
        <v>4.1500000000000004</v>
      </c>
      <c r="AG19" s="57">
        <v>4.5</v>
      </c>
      <c r="AH19" s="59">
        <v>493297</v>
      </c>
      <c r="AI19" s="59">
        <v>659580</v>
      </c>
      <c r="AJ19" s="57">
        <v>4.0999999999999996</v>
      </c>
      <c r="AK19" s="57">
        <v>4.55</v>
      </c>
      <c r="AL19" s="59">
        <v>53734</v>
      </c>
      <c r="AM19" s="59">
        <v>5719410</v>
      </c>
      <c r="AN19" s="59">
        <v>4090679</v>
      </c>
      <c r="AO19" s="60">
        <v>43304</v>
      </c>
      <c r="AP19" s="61" t="s">
        <v>4830</v>
      </c>
      <c r="AQ19" s="77" t="s">
        <v>4769</v>
      </c>
      <c r="AR19" s="76">
        <f t="shared" si="0"/>
        <v>43305.496041666665</v>
      </c>
    </row>
    <row r="20" spans="1:51" x14ac:dyDescent="0.3">
      <c r="A20" s="56" t="s">
        <v>4833</v>
      </c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8"/>
      <c r="R20" s="57"/>
      <c r="S20" s="59"/>
      <c r="T20" s="57"/>
      <c r="U20" s="57"/>
      <c r="V20" s="59"/>
      <c r="W20" s="59"/>
      <c r="X20" s="57"/>
      <c r="Y20" s="57"/>
      <c r="Z20" s="59"/>
      <c r="AA20" s="59"/>
      <c r="AB20" s="57"/>
      <c r="AC20" s="57"/>
      <c r="AD20" s="59"/>
      <c r="AE20" s="59"/>
      <c r="AF20" s="57"/>
      <c r="AG20" s="57"/>
      <c r="AH20" s="59"/>
      <c r="AI20" s="59"/>
      <c r="AJ20" s="57"/>
      <c r="AK20" s="57"/>
      <c r="AL20" s="59"/>
      <c r="AM20" s="59"/>
      <c r="AN20" s="59"/>
      <c r="AO20" s="60"/>
      <c r="AP20" s="61"/>
      <c r="AQ20" s="77"/>
      <c r="AR20" s="76" t="e">
        <f t="shared" si="0"/>
        <v>#VALUE!</v>
      </c>
    </row>
    <row r="21" spans="1:51" x14ac:dyDescent="0.3">
      <c r="A21" s="56" t="s">
        <v>4833</v>
      </c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8"/>
      <c r="R21" s="57"/>
      <c r="S21" s="59"/>
      <c r="T21" s="57"/>
      <c r="U21" s="57"/>
      <c r="V21" s="59"/>
      <c r="W21" s="59"/>
      <c r="X21" s="57"/>
      <c r="Y21" s="57"/>
      <c r="Z21" s="59"/>
      <c r="AA21" s="59"/>
      <c r="AB21" s="57"/>
      <c r="AC21" s="57"/>
      <c r="AD21" s="59"/>
      <c r="AE21" s="59"/>
      <c r="AF21" s="57"/>
      <c r="AG21" s="57"/>
      <c r="AH21" s="59"/>
      <c r="AI21" s="59"/>
      <c r="AJ21" s="57"/>
      <c r="AK21" s="57"/>
      <c r="AL21" s="59"/>
      <c r="AM21" s="59"/>
      <c r="AN21" s="59"/>
      <c r="AO21" s="60"/>
      <c r="AP21" s="61"/>
      <c r="AQ21" s="77"/>
      <c r="AR21" s="76" t="e">
        <f t="shared" si="0"/>
        <v>#VALUE!</v>
      </c>
    </row>
    <row r="22" spans="1:51" ht="40.799999999999997" x14ac:dyDescent="0.3">
      <c r="A22" s="56" t="s">
        <v>4815</v>
      </c>
      <c r="B22" s="57" t="s">
        <v>2658</v>
      </c>
      <c r="C22" s="57" t="s">
        <v>4767</v>
      </c>
      <c r="D22" s="57">
        <v>1</v>
      </c>
      <c r="E22" s="57" t="s">
        <v>4768</v>
      </c>
      <c r="F22" s="57" t="s">
        <v>4768</v>
      </c>
      <c r="G22" s="57">
        <v>12.25</v>
      </c>
      <c r="H22" s="57">
        <v>3.95</v>
      </c>
      <c r="I22" s="57">
        <v>4.05</v>
      </c>
      <c r="J22" s="57">
        <v>4.05</v>
      </c>
      <c r="K22" s="57">
        <v>4.45</v>
      </c>
      <c r="L22" s="57">
        <v>4.05</v>
      </c>
      <c r="M22" s="57">
        <v>4.26</v>
      </c>
      <c r="N22" s="57">
        <v>4.3</v>
      </c>
      <c r="O22" s="57">
        <v>0.25</v>
      </c>
      <c r="P22" s="57">
        <v>6.17</v>
      </c>
      <c r="Q22" s="58">
        <v>7909868</v>
      </c>
      <c r="R22" s="57">
        <v>336.96</v>
      </c>
      <c r="S22" s="59">
        <v>234520</v>
      </c>
      <c r="T22" s="57">
        <v>4.3</v>
      </c>
      <c r="U22" s="57">
        <v>4.3499999999999996</v>
      </c>
      <c r="V22" s="59">
        <v>636020</v>
      </c>
      <c r="W22" s="59">
        <v>505202</v>
      </c>
      <c r="X22" s="57">
        <v>4.25</v>
      </c>
      <c r="Y22" s="57">
        <v>4.4000000000000004</v>
      </c>
      <c r="Z22" s="59">
        <v>731136</v>
      </c>
      <c r="AA22" s="59">
        <v>671388</v>
      </c>
      <c r="AB22" s="57">
        <v>4.2</v>
      </c>
      <c r="AC22" s="57">
        <v>4.45</v>
      </c>
      <c r="AD22" s="59">
        <v>680995</v>
      </c>
      <c r="AE22" s="59">
        <v>498490</v>
      </c>
      <c r="AF22" s="57">
        <v>4.1500000000000004</v>
      </c>
      <c r="AG22" s="57">
        <v>4.5</v>
      </c>
      <c r="AH22" s="59">
        <v>494118</v>
      </c>
      <c r="AI22" s="59">
        <v>659580</v>
      </c>
      <c r="AJ22" s="57">
        <v>4.0999999999999996</v>
      </c>
      <c r="AK22" s="57">
        <v>4.55</v>
      </c>
      <c r="AL22" s="59">
        <v>64574</v>
      </c>
      <c r="AM22" s="59">
        <v>5628897</v>
      </c>
      <c r="AN22" s="59">
        <v>4302799</v>
      </c>
      <c r="AO22" s="60">
        <v>43304</v>
      </c>
      <c r="AP22" s="61" t="s">
        <v>4834</v>
      </c>
      <c r="AQ22" s="77" t="s">
        <v>4769</v>
      </c>
      <c r="AR22" s="76">
        <f t="shared" si="0"/>
        <v>43305.498472222222</v>
      </c>
    </row>
    <row r="23" spans="1:51" ht="40.799999999999997" x14ac:dyDescent="0.3">
      <c r="A23" s="56" t="s">
        <v>4815</v>
      </c>
      <c r="B23" s="57" t="s">
        <v>2658</v>
      </c>
      <c r="C23" s="57" t="s">
        <v>4767</v>
      </c>
      <c r="D23" s="57">
        <v>1</v>
      </c>
      <c r="E23" s="57" t="s">
        <v>4768</v>
      </c>
      <c r="F23" s="57" t="s">
        <v>4768</v>
      </c>
      <c r="G23" s="57">
        <v>12.25</v>
      </c>
      <c r="H23" s="57">
        <v>3.95</v>
      </c>
      <c r="I23" s="57">
        <v>4.05</v>
      </c>
      <c r="J23" s="57">
        <v>4.05</v>
      </c>
      <c r="K23" s="57">
        <v>4.45</v>
      </c>
      <c r="L23" s="57">
        <v>4.05</v>
      </c>
      <c r="M23" s="57">
        <v>4.26</v>
      </c>
      <c r="N23" s="57">
        <v>4.3</v>
      </c>
      <c r="O23" s="57">
        <v>0.25</v>
      </c>
      <c r="P23" s="57">
        <v>6.17</v>
      </c>
      <c r="Q23" s="58">
        <v>7909868</v>
      </c>
      <c r="R23" s="57">
        <v>336.96</v>
      </c>
      <c r="S23" s="59">
        <v>234520</v>
      </c>
      <c r="T23" s="57">
        <v>4.3</v>
      </c>
      <c r="U23" s="57">
        <v>4.3499999999999996</v>
      </c>
      <c r="V23" s="59">
        <v>636020</v>
      </c>
      <c r="W23" s="59">
        <v>505202</v>
      </c>
      <c r="X23" s="57">
        <v>4.25</v>
      </c>
      <c r="Y23" s="57">
        <v>4.4000000000000004</v>
      </c>
      <c r="Z23" s="59">
        <v>731136</v>
      </c>
      <c r="AA23" s="59">
        <v>671388</v>
      </c>
      <c r="AB23" s="57">
        <v>4.2</v>
      </c>
      <c r="AC23" s="57">
        <v>4.45</v>
      </c>
      <c r="AD23" s="59">
        <v>680995</v>
      </c>
      <c r="AE23" s="59">
        <v>498490</v>
      </c>
      <c r="AF23" s="57">
        <v>4.1500000000000004</v>
      </c>
      <c r="AG23" s="57">
        <v>4.5</v>
      </c>
      <c r="AH23" s="59">
        <v>494118</v>
      </c>
      <c r="AI23" s="59">
        <v>659580</v>
      </c>
      <c r="AJ23" s="57">
        <v>4.0999999999999996</v>
      </c>
      <c r="AK23" s="57">
        <v>4.55</v>
      </c>
      <c r="AL23" s="59">
        <v>64574</v>
      </c>
      <c r="AM23" s="59">
        <v>5628897</v>
      </c>
      <c r="AN23" s="59">
        <v>4302799</v>
      </c>
      <c r="AO23" s="60">
        <v>43304</v>
      </c>
      <c r="AP23" s="61" t="s">
        <v>4834</v>
      </c>
      <c r="AQ23" s="77" t="s">
        <v>4769</v>
      </c>
      <c r="AR23" s="76">
        <f t="shared" si="0"/>
        <v>43305.498472222222</v>
      </c>
    </row>
    <row r="24" spans="1:51" ht="40.799999999999997" x14ac:dyDescent="0.3">
      <c r="A24" s="56" t="s">
        <v>4815</v>
      </c>
      <c r="B24" s="57" t="s">
        <v>2658</v>
      </c>
      <c r="C24" s="57" t="s">
        <v>4767</v>
      </c>
      <c r="D24" s="57">
        <v>1</v>
      </c>
      <c r="E24" s="57" t="s">
        <v>4768</v>
      </c>
      <c r="F24" s="57" t="s">
        <v>4768</v>
      </c>
      <c r="G24" s="57">
        <v>12.25</v>
      </c>
      <c r="H24" s="57">
        <v>3.95</v>
      </c>
      <c r="I24" s="57">
        <v>4.05</v>
      </c>
      <c r="J24" s="57">
        <v>4.05</v>
      </c>
      <c r="K24" s="57">
        <v>4.45</v>
      </c>
      <c r="L24" s="57">
        <v>4.05</v>
      </c>
      <c r="M24" s="57">
        <v>4.26</v>
      </c>
      <c r="N24" s="57">
        <v>4.3499999999999996</v>
      </c>
      <c r="O24" s="57">
        <v>0.3</v>
      </c>
      <c r="P24" s="57">
        <v>7.41</v>
      </c>
      <c r="Q24" s="58">
        <v>8001738</v>
      </c>
      <c r="R24" s="57">
        <v>340.87</v>
      </c>
      <c r="S24" s="59">
        <v>171662</v>
      </c>
      <c r="T24" s="57">
        <v>4.3</v>
      </c>
      <c r="U24" s="57">
        <v>4.3499999999999996</v>
      </c>
      <c r="V24" s="59">
        <v>730475</v>
      </c>
      <c r="W24" s="59">
        <v>513402</v>
      </c>
      <c r="X24" s="57">
        <v>4.25</v>
      </c>
      <c r="Y24" s="57">
        <v>4.4000000000000004</v>
      </c>
      <c r="Z24" s="59">
        <v>743933</v>
      </c>
      <c r="AA24" s="59">
        <v>668649</v>
      </c>
      <c r="AB24" s="57">
        <v>4.2</v>
      </c>
      <c r="AC24" s="57">
        <v>4.45</v>
      </c>
      <c r="AD24" s="59">
        <v>712495</v>
      </c>
      <c r="AE24" s="59">
        <v>498490</v>
      </c>
      <c r="AF24" s="57">
        <v>4.1500000000000004</v>
      </c>
      <c r="AG24" s="57">
        <v>4.5</v>
      </c>
      <c r="AH24" s="59">
        <v>494118</v>
      </c>
      <c r="AI24" s="59">
        <v>660680</v>
      </c>
      <c r="AJ24" s="57">
        <v>4.0999999999999996</v>
      </c>
      <c r="AK24" s="57">
        <v>4.55</v>
      </c>
      <c r="AL24" s="59">
        <v>65974</v>
      </c>
      <c r="AM24" s="59">
        <v>5572600</v>
      </c>
      <c r="AN24" s="59">
        <v>4448151</v>
      </c>
      <c r="AO24" s="60">
        <v>43304</v>
      </c>
      <c r="AP24" s="61" t="s">
        <v>4835</v>
      </c>
      <c r="AQ24" s="77" t="s">
        <v>4769</v>
      </c>
      <c r="AR24" s="76">
        <f t="shared" si="0"/>
        <v>43305.499872685185</v>
      </c>
    </row>
    <row r="25" spans="1:51" ht="40.799999999999997" x14ac:dyDescent="0.3">
      <c r="A25" s="56" t="s">
        <v>4815</v>
      </c>
      <c r="B25" s="57" t="s">
        <v>2658</v>
      </c>
      <c r="C25" s="57" t="s">
        <v>4767</v>
      </c>
      <c r="D25" s="57">
        <v>1</v>
      </c>
      <c r="E25" s="57" t="s">
        <v>4768</v>
      </c>
      <c r="F25" s="57" t="s">
        <v>4768</v>
      </c>
      <c r="G25" s="57">
        <v>12.25</v>
      </c>
      <c r="H25" s="57">
        <v>3.95</v>
      </c>
      <c r="I25" s="57">
        <v>4.05</v>
      </c>
      <c r="J25" s="57">
        <v>4.05</v>
      </c>
      <c r="K25" s="57">
        <v>4.45</v>
      </c>
      <c r="L25" s="57">
        <v>4.05</v>
      </c>
      <c r="M25" s="57">
        <v>4.26</v>
      </c>
      <c r="N25" s="57">
        <v>4.3499999999999996</v>
      </c>
      <c r="O25" s="57">
        <v>0.3</v>
      </c>
      <c r="P25" s="57">
        <v>7.41</v>
      </c>
      <c r="Q25" s="58">
        <v>8001738</v>
      </c>
      <c r="R25" s="57">
        <v>340.87</v>
      </c>
      <c r="S25" s="59">
        <v>171662</v>
      </c>
      <c r="T25" s="57">
        <v>4.3</v>
      </c>
      <c r="U25" s="57">
        <v>4.3499999999999996</v>
      </c>
      <c r="V25" s="59">
        <v>730475</v>
      </c>
      <c r="W25" s="59">
        <v>513402</v>
      </c>
      <c r="X25" s="57">
        <v>4.25</v>
      </c>
      <c r="Y25" s="57">
        <v>4.4000000000000004</v>
      </c>
      <c r="Z25" s="59">
        <v>743933</v>
      </c>
      <c r="AA25" s="59">
        <v>668649</v>
      </c>
      <c r="AB25" s="57">
        <v>4.2</v>
      </c>
      <c r="AC25" s="57">
        <v>4.45</v>
      </c>
      <c r="AD25" s="59">
        <v>712495</v>
      </c>
      <c r="AE25" s="59">
        <v>498490</v>
      </c>
      <c r="AF25" s="57">
        <v>4.1500000000000004</v>
      </c>
      <c r="AG25" s="57">
        <v>4.5</v>
      </c>
      <c r="AH25" s="59">
        <v>494118</v>
      </c>
      <c r="AI25" s="59">
        <v>660680</v>
      </c>
      <c r="AJ25" s="57">
        <v>4.0999999999999996</v>
      </c>
      <c r="AK25" s="57">
        <v>4.55</v>
      </c>
      <c r="AL25" s="59">
        <v>65974</v>
      </c>
      <c r="AM25" s="59">
        <v>5572600</v>
      </c>
      <c r="AN25" s="59">
        <v>4448151</v>
      </c>
      <c r="AO25" s="60">
        <v>43304</v>
      </c>
      <c r="AP25" s="61" t="s">
        <v>4835</v>
      </c>
      <c r="AQ25" s="77" t="s">
        <v>4769</v>
      </c>
      <c r="AR25" s="76">
        <f t="shared" si="0"/>
        <v>43305.499872685185</v>
      </c>
    </row>
    <row r="26" spans="1:51" ht="40.799999999999997" x14ac:dyDescent="0.3">
      <c r="A26" s="56" t="s">
        <v>4815</v>
      </c>
      <c r="B26" s="57" t="s">
        <v>2658</v>
      </c>
      <c r="C26" s="57" t="s">
        <v>4767</v>
      </c>
      <c r="D26" s="57">
        <v>1</v>
      </c>
      <c r="E26" s="57" t="s">
        <v>4768</v>
      </c>
      <c r="F26" s="57" t="s">
        <v>4768</v>
      </c>
      <c r="G26" s="57">
        <v>12.25</v>
      </c>
      <c r="H26" s="57">
        <v>3.95</v>
      </c>
      <c r="I26" s="57">
        <v>4.05</v>
      </c>
      <c r="J26" s="57">
        <v>4.05</v>
      </c>
      <c r="K26" s="57">
        <v>4.45</v>
      </c>
      <c r="L26" s="57">
        <v>4.05</v>
      </c>
      <c r="M26" s="57">
        <v>4.26</v>
      </c>
      <c r="N26" s="57">
        <v>4.3499999999999996</v>
      </c>
      <c r="O26" s="57">
        <v>0.3</v>
      </c>
      <c r="P26" s="57">
        <v>7.41</v>
      </c>
      <c r="Q26" s="58">
        <v>8200652</v>
      </c>
      <c r="R26" s="57">
        <v>349.35</v>
      </c>
      <c r="S26" s="59">
        <v>209429</v>
      </c>
      <c r="T26" s="57">
        <v>4.3</v>
      </c>
      <c r="U26" s="57">
        <v>4.3499999999999996</v>
      </c>
      <c r="V26" s="59">
        <v>757545</v>
      </c>
      <c r="W26" s="59">
        <v>530487</v>
      </c>
      <c r="X26" s="57">
        <v>4.25</v>
      </c>
      <c r="Y26" s="57">
        <v>4.4000000000000004</v>
      </c>
      <c r="Z26" s="59">
        <v>740946</v>
      </c>
      <c r="AA26" s="59">
        <v>667456</v>
      </c>
      <c r="AB26" s="57">
        <v>4.2</v>
      </c>
      <c r="AC26" s="57">
        <v>4.45</v>
      </c>
      <c r="AD26" s="59">
        <v>686795</v>
      </c>
      <c r="AE26" s="59">
        <v>499790</v>
      </c>
      <c r="AF26" s="57">
        <v>4.1500000000000004</v>
      </c>
      <c r="AG26" s="57">
        <v>4.5</v>
      </c>
      <c r="AH26" s="59">
        <v>528118</v>
      </c>
      <c r="AI26" s="59">
        <v>662180</v>
      </c>
      <c r="AJ26" s="57">
        <v>4.0999999999999996</v>
      </c>
      <c r="AK26" s="57">
        <v>4.55</v>
      </c>
      <c r="AL26" s="59">
        <v>70974</v>
      </c>
      <c r="AM26" s="59">
        <v>5639959</v>
      </c>
      <c r="AN26" s="59">
        <v>4510035</v>
      </c>
      <c r="AO26" s="60">
        <v>43304</v>
      </c>
      <c r="AP26" s="61" t="s">
        <v>4836</v>
      </c>
      <c r="AQ26" s="77" t="s">
        <v>4769</v>
      </c>
      <c r="AR26" s="76">
        <f t="shared" si="0"/>
        <v>43305.501261574071</v>
      </c>
    </row>
    <row r="27" spans="1:51" ht="40.799999999999997" x14ac:dyDescent="0.3">
      <c r="A27" s="56" t="s">
        <v>4815</v>
      </c>
      <c r="B27" s="57" t="s">
        <v>2658</v>
      </c>
      <c r="C27" s="57" t="s">
        <v>4767</v>
      </c>
      <c r="D27" s="57">
        <v>1</v>
      </c>
      <c r="E27" s="57" t="s">
        <v>4768</v>
      </c>
      <c r="F27" s="57" t="s">
        <v>4768</v>
      </c>
      <c r="G27" s="57">
        <v>12.25</v>
      </c>
      <c r="H27" s="57">
        <v>3.95</v>
      </c>
      <c r="I27" s="57">
        <v>4.05</v>
      </c>
      <c r="J27" s="57">
        <v>4.05</v>
      </c>
      <c r="K27" s="57">
        <v>4.45</v>
      </c>
      <c r="L27" s="57">
        <v>4.05</v>
      </c>
      <c r="M27" s="57">
        <v>4.26</v>
      </c>
      <c r="N27" s="57">
        <v>4.3</v>
      </c>
      <c r="O27" s="57">
        <v>0.25</v>
      </c>
      <c r="P27" s="57">
        <v>6.17</v>
      </c>
      <c r="Q27" s="58">
        <v>8243929</v>
      </c>
      <c r="R27" s="57">
        <v>351.19</v>
      </c>
      <c r="S27" s="59">
        <v>216094</v>
      </c>
      <c r="T27" s="57">
        <v>4.3</v>
      </c>
      <c r="U27" s="57">
        <v>4.3499999999999996</v>
      </c>
      <c r="V27" s="59">
        <v>838552</v>
      </c>
      <c r="W27" s="59">
        <v>517387</v>
      </c>
      <c r="X27" s="57">
        <v>4.25</v>
      </c>
      <c r="Y27" s="57">
        <v>4.4000000000000004</v>
      </c>
      <c r="Z27" s="59">
        <v>748950</v>
      </c>
      <c r="AA27" s="59">
        <v>699713</v>
      </c>
      <c r="AB27" s="57">
        <v>4.2</v>
      </c>
      <c r="AC27" s="57">
        <v>4.45</v>
      </c>
      <c r="AD27" s="59">
        <v>682795</v>
      </c>
      <c r="AE27" s="59">
        <v>501295</v>
      </c>
      <c r="AF27" s="57">
        <v>4.1500000000000004</v>
      </c>
      <c r="AG27" s="57">
        <v>4.5</v>
      </c>
      <c r="AH27" s="59">
        <v>528768</v>
      </c>
      <c r="AI27" s="59">
        <v>656286</v>
      </c>
      <c r="AJ27" s="57">
        <v>4.0999999999999996</v>
      </c>
      <c r="AK27" s="57">
        <v>4.55</v>
      </c>
      <c r="AL27" s="59">
        <v>69474</v>
      </c>
      <c r="AM27" s="59">
        <v>5661427</v>
      </c>
      <c r="AN27" s="59">
        <v>4609196</v>
      </c>
      <c r="AO27" s="60">
        <v>43304</v>
      </c>
      <c r="AP27" s="61" t="s">
        <v>4837</v>
      </c>
      <c r="AQ27" s="77" t="s">
        <v>4769</v>
      </c>
      <c r="AR27" s="76">
        <f t="shared" si="0"/>
        <v>43305.502650462964</v>
      </c>
    </row>
    <row r="28" spans="1:51" ht="40.799999999999997" x14ac:dyDescent="0.3">
      <c r="A28" s="56" t="s">
        <v>4815</v>
      </c>
      <c r="B28" s="57" t="s">
        <v>2658</v>
      </c>
      <c r="C28" s="57" t="s">
        <v>4767</v>
      </c>
      <c r="D28" s="57">
        <v>1</v>
      </c>
      <c r="E28" s="57" t="s">
        <v>4768</v>
      </c>
      <c r="F28" s="57" t="s">
        <v>4768</v>
      </c>
      <c r="G28" s="57">
        <v>12.25</v>
      </c>
      <c r="H28" s="57">
        <v>3.95</v>
      </c>
      <c r="I28" s="57">
        <v>4.05</v>
      </c>
      <c r="J28" s="57">
        <v>4.05</v>
      </c>
      <c r="K28" s="57">
        <v>4.45</v>
      </c>
      <c r="L28" s="57">
        <v>4.05</v>
      </c>
      <c r="M28" s="57">
        <v>4.26</v>
      </c>
      <c r="N28" s="57">
        <v>4.3</v>
      </c>
      <c r="O28" s="57">
        <v>0.25</v>
      </c>
      <c r="P28" s="57">
        <v>6.17</v>
      </c>
      <c r="Q28" s="58">
        <v>8243929</v>
      </c>
      <c r="R28" s="57">
        <v>351.19</v>
      </c>
      <c r="S28" s="59">
        <v>216094</v>
      </c>
      <c r="T28" s="57">
        <v>4.3</v>
      </c>
      <c r="U28" s="57">
        <v>4.3499999999999996</v>
      </c>
      <c r="V28" s="59">
        <v>838552</v>
      </c>
      <c r="W28" s="59">
        <v>517387</v>
      </c>
      <c r="X28" s="57">
        <v>4.25</v>
      </c>
      <c r="Y28" s="57">
        <v>4.4000000000000004</v>
      </c>
      <c r="Z28" s="59">
        <v>748950</v>
      </c>
      <c r="AA28" s="59">
        <v>699713</v>
      </c>
      <c r="AB28" s="57">
        <v>4.2</v>
      </c>
      <c r="AC28" s="57">
        <v>4.45</v>
      </c>
      <c r="AD28" s="59">
        <v>682795</v>
      </c>
      <c r="AE28" s="59">
        <v>501295</v>
      </c>
      <c r="AF28" s="57">
        <v>4.1500000000000004</v>
      </c>
      <c r="AG28" s="57">
        <v>4.5</v>
      </c>
      <c r="AH28" s="59">
        <v>528768</v>
      </c>
      <c r="AI28" s="59">
        <v>656286</v>
      </c>
      <c r="AJ28" s="57">
        <v>4.0999999999999996</v>
      </c>
      <c r="AK28" s="57">
        <v>4.55</v>
      </c>
      <c r="AL28" s="59">
        <v>69474</v>
      </c>
      <c r="AM28" s="59">
        <v>5661427</v>
      </c>
      <c r="AN28" s="59">
        <v>4609196</v>
      </c>
      <c r="AO28" s="60">
        <v>43304</v>
      </c>
      <c r="AP28" s="61" t="s">
        <v>4837</v>
      </c>
      <c r="AQ28" s="77" t="s">
        <v>4769</v>
      </c>
      <c r="AR28" s="76">
        <f t="shared" si="0"/>
        <v>43305.502650462964</v>
      </c>
    </row>
    <row r="29" spans="1:51" ht="40.799999999999997" x14ac:dyDescent="0.3">
      <c r="A29" s="56" t="s">
        <v>4815</v>
      </c>
      <c r="B29" s="57" t="s">
        <v>2658</v>
      </c>
      <c r="C29" s="57" t="s">
        <v>4767</v>
      </c>
      <c r="D29" s="57">
        <v>1</v>
      </c>
      <c r="E29" s="57" t="s">
        <v>4768</v>
      </c>
      <c r="F29" s="57" t="s">
        <v>4768</v>
      </c>
      <c r="G29" s="57">
        <v>12.25</v>
      </c>
      <c r="H29" s="57">
        <v>3.95</v>
      </c>
      <c r="I29" s="57">
        <v>4.05</v>
      </c>
      <c r="J29" s="57">
        <v>4.05</v>
      </c>
      <c r="K29" s="57">
        <v>4.45</v>
      </c>
      <c r="L29" s="57">
        <v>4.05</v>
      </c>
      <c r="M29" s="57">
        <v>4.26</v>
      </c>
      <c r="N29" s="57">
        <v>4.3499999999999996</v>
      </c>
      <c r="O29" s="57">
        <v>0.3</v>
      </c>
      <c r="P29" s="57">
        <v>7.41</v>
      </c>
      <c r="Q29" s="58">
        <v>8272897</v>
      </c>
      <c r="R29" s="57">
        <v>352.43</v>
      </c>
      <c r="S29" s="59">
        <v>210882</v>
      </c>
      <c r="T29" s="57">
        <v>4.3</v>
      </c>
      <c r="U29" s="57">
        <v>4.3499999999999996</v>
      </c>
      <c r="V29" s="59">
        <v>826548</v>
      </c>
      <c r="W29" s="59">
        <v>521498</v>
      </c>
      <c r="X29" s="57">
        <v>4.25</v>
      </c>
      <c r="Y29" s="57">
        <v>4.4000000000000004</v>
      </c>
      <c r="Z29" s="59">
        <v>783702</v>
      </c>
      <c r="AA29" s="59">
        <v>699997</v>
      </c>
      <c r="AB29" s="57">
        <v>4.2</v>
      </c>
      <c r="AC29" s="57">
        <v>4.45</v>
      </c>
      <c r="AD29" s="59">
        <v>730996</v>
      </c>
      <c r="AE29" s="59">
        <v>501295</v>
      </c>
      <c r="AF29" s="57">
        <v>4.1500000000000004</v>
      </c>
      <c r="AG29" s="57">
        <v>4.5</v>
      </c>
      <c r="AH29" s="59">
        <v>530768</v>
      </c>
      <c r="AI29" s="59">
        <v>656786</v>
      </c>
      <c r="AJ29" s="57">
        <v>4.0999999999999996</v>
      </c>
      <c r="AK29" s="57">
        <v>4.55</v>
      </c>
      <c r="AL29" s="59">
        <v>59474</v>
      </c>
      <c r="AM29" s="59">
        <v>5661299</v>
      </c>
      <c r="AN29" s="59">
        <v>4681876</v>
      </c>
      <c r="AO29" s="60">
        <v>43304</v>
      </c>
      <c r="AP29" s="61" t="s">
        <v>4838</v>
      </c>
      <c r="AQ29" s="77" t="s">
        <v>4769</v>
      </c>
      <c r="AR29" s="76">
        <f t="shared" si="0"/>
        <v>43305.504733796297</v>
      </c>
    </row>
    <row r="30" spans="1:51" ht="40.799999999999997" x14ac:dyDescent="0.3">
      <c r="A30" s="56" t="s">
        <v>4815</v>
      </c>
      <c r="B30" s="57" t="s">
        <v>2658</v>
      </c>
      <c r="C30" s="57" t="s">
        <v>4767</v>
      </c>
      <c r="D30" s="57">
        <v>1</v>
      </c>
      <c r="E30" s="57" t="s">
        <v>4768</v>
      </c>
      <c r="F30" s="57" t="s">
        <v>4768</v>
      </c>
      <c r="G30" s="57">
        <v>12.25</v>
      </c>
      <c r="H30" s="57">
        <v>3.95</v>
      </c>
      <c r="I30" s="57">
        <v>4.05</v>
      </c>
      <c r="J30" s="57">
        <v>4.05</v>
      </c>
      <c r="K30" s="57">
        <v>4.45</v>
      </c>
      <c r="L30" s="57">
        <v>4.05</v>
      </c>
      <c r="M30" s="57">
        <v>4.26</v>
      </c>
      <c r="N30" s="57">
        <v>4.3499999999999996</v>
      </c>
      <c r="O30" s="57">
        <v>0.3</v>
      </c>
      <c r="P30" s="57">
        <v>7.41</v>
      </c>
      <c r="Q30" s="58">
        <v>8272897</v>
      </c>
      <c r="R30" s="57">
        <v>352.43</v>
      </c>
      <c r="S30" s="59">
        <v>210882</v>
      </c>
      <c r="T30" s="57">
        <v>4.3</v>
      </c>
      <c r="U30" s="57">
        <v>4.3499999999999996</v>
      </c>
      <c r="V30" s="59">
        <v>826548</v>
      </c>
      <c r="W30" s="59">
        <v>521498</v>
      </c>
      <c r="X30" s="57">
        <v>4.25</v>
      </c>
      <c r="Y30" s="57">
        <v>4.4000000000000004</v>
      </c>
      <c r="Z30" s="59">
        <v>783702</v>
      </c>
      <c r="AA30" s="59">
        <v>699997</v>
      </c>
      <c r="AB30" s="57">
        <v>4.2</v>
      </c>
      <c r="AC30" s="57">
        <v>4.45</v>
      </c>
      <c r="AD30" s="59">
        <v>730996</v>
      </c>
      <c r="AE30" s="59">
        <v>501295</v>
      </c>
      <c r="AF30" s="57">
        <v>4.1500000000000004</v>
      </c>
      <c r="AG30" s="57">
        <v>4.5</v>
      </c>
      <c r="AH30" s="59">
        <v>530768</v>
      </c>
      <c r="AI30" s="59">
        <v>656786</v>
      </c>
      <c r="AJ30" s="57">
        <v>4.0999999999999996</v>
      </c>
      <c r="AK30" s="57">
        <v>4.55</v>
      </c>
      <c r="AL30" s="59">
        <v>59474</v>
      </c>
      <c r="AM30" s="59">
        <v>5661299</v>
      </c>
      <c r="AN30" s="59">
        <v>4681876</v>
      </c>
      <c r="AO30" s="60">
        <v>43304</v>
      </c>
      <c r="AP30" s="61" t="s">
        <v>4838</v>
      </c>
      <c r="AQ30" s="77" t="s">
        <v>4769</v>
      </c>
      <c r="AR30" s="76">
        <f t="shared" si="0"/>
        <v>43305.504733796297</v>
      </c>
    </row>
    <row r="31" spans="1:51" ht="40.799999999999997" x14ac:dyDescent="0.3">
      <c r="A31" s="56" t="s">
        <v>4815</v>
      </c>
      <c r="B31" s="57" t="s">
        <v>2658</v>
      </c>
      <c r="C31" s="57" t="s">
        <v>4767</v>
      </c>
      <c r="D31" s="57">
        <v>1</v>
      </c>
      <c r="E31" s="57" t="s">
        <v>4768</v>
      </c>
      <c r="F31" s="57" t="s">
        <v>4768</v>
      </c>
      <c r="G31" s="57">
        <v>12.25</v>
      </c>
      <c r="H31" s="57">
        <v>3.95</v>
      </c>
      <c r="I31" s="57">
        <v>4.05</v>
      </c>
      <c r="J31" s="57">
        <v>4.05</v>
      </c>
      <c r="K31" s="57">
        <v>4.45</v>
      </c>
      <c r="L31" s="57">
        <v>4.05</v>
      </c>
      <c r="M31" s="57">
        <v>4.26</v>
      </c>
      <c r="N31" s="57">
        <v>4.3499999999999996</v>
      </c>
      <c r="O31" s="57">
        <v>0.3</v>
      </c>
      <c r="P31" s="57">
        <v>7.41</v>
      </c>
      <c r="Q31" s="58">
        <v>8272897</v>
      </c>
      <c r="R31" s="57">
        <v>352.43</v>
      </c>
      <c r="S31" s="59">
        <v>210882</v>
      </c>
      <c r="T31" s="57">
        <v>4.3</v>
      </c>
      <c r="U31" s="57">
        <v>4.3499999999999996</v>
      </c>
      <c r="V31" s="59">
        <v>826548</v>
      </c>
      <c r="W31" s="59">
        <v>521498</v>
      </c>
      <c r="X31" s="57">
        <v>4.25</v>
      </c>
      <c r="Y31" s="57">
        <v>4.4000000000000004</v>
      </c>
      <c r="Z31" s="59">
        <v>783702</v>
      </c>
      <c r="AA31" s="59">
        <v>699997</v>
      </c>
      <c r="AB31" s="57">
        <v>4.2</v>
      </c>
      <c r="AC31" s="57">
        <v>4.45</v>
      </c>
      <c r="AD31" s="59">
        <v>730996</v>
      </c>
      <c r="AE31" s="59">
        <v>501295</v>
      </c>
      <c r="AF31" s="57">
        <v>4.1500000000000004</v>
      </c>
      <c r="AG31" s="57">
        <v>4.5</v>
      </c>
      <c r="AH31" s="59">
        <v>530768</v>
      </c>
      <c r="AI31" s="59">
        <v>656786</v>
      </c>
      <c r="AJ31" s="57">
        <v>4.0999999999999996</v>
      </c>
      <c r="AK31" s="57">
        <v>4.55</v>
      </c>
      <c r="AL31" s="59">
        <v>59474</v>
      </c>
      <c r="AM31" s="59">
        <v>5661299</v>
      </c>
      <c r="AN31" s="59">
        <v>4681876</v>
      </c>
      <c r="AO31" s="60">
        <v>43304</v>
      </c>
      <c r="AP31" s="61" t="s">
        <v>4838</v>
      </c>
      <c r="AQ31" s="77" t="s">
        <v>4769</v>
      </c>
      <c r="AR31" s="76">
        <f t="shared" si="0"/>
        <v>43305.504733796297</v>
      </c>
    </row>
    <row r="32" spans="1:51" ht="40.799999999999997" x14ac:dyDescent="0.3">
      <c r="A32" s="56" t="s">
        <v>4815</v>
      </c>
      <c r="B32" s="57" t="s">
        <v>2658</v>
      </c>
      <c r="C32" s="57" t="s">
        <v>4767</v>
      </c>
      <c r="D32" s="57">
        <v>1</v>
      </c>
      <c r="E32" s="57" t="s">
        <v>4768</v>
      </c>
      <c r="F32" s="57" t="s">
        <v>4768</v>
      </c>
      <c r="G32" s="57">
        <v>12.25</v>
      </c>
      <c r="H32" s="57">
        <v>3.95</v>
      </c>
      <c r="I32" s="57">
        <v>4.05</v>
      </c>
      <c r="J32" s="57">
        <v>4.05</v>
      </c>
      <c r="K32" s="57">
        <v>4.45</v>
      </c>
      <c r="L32" s="57">
        <v>4.05</v>
      </c>
      <c r="M32" s="57">
        <v>4.26</v>
      </c>
      <c r="N32" s="57">
        <v>4.3499999999999996</v>
      </c>
      <c r="O32" s="57">
        <v>0.3</v>
      </c>
      <c r="P32" s="57">
        <v>7.41</v>
      </c>
      <c r="Q32" s="58">
        <v>8311174</v>
      </c>
      <c r="R32" s="57">
        <v>354.06</v>
      </c>
      <c r="S32" s="59">
        <v>266246</v>
      </c>
      <c r="T32" s="57">
        <v>4.3</v>
      </c>
      <c r="U32" s="57">
        <v>4.3499999999999996</v>
      </c>
      <c r="V32" s="59">
        <v>736260</v>
      </c>
      <c r="W32" s="59">
        <v>523598</v>
      </c>
      <c r="X32" s="57">
        <v>4.25</v>
      </c>
      <c r="Y32" s="57">
        <v>4.4000000000000004</v>
      </c>
      <c r="Z32" s="59">
        <v>820432</v>
      </c>
      <c r="AA32" s="59">
        <v>651715</v>
      </c>
      <c r="AB32" s="57">
        <v>4.2</v>
      </c>
      <c r="AC32" s="57">
        <v>4.45</v>
      </c>
      <c r="AD32" s="59">
        <v>749456</v>
      </c>
      <c r="AE32" s="59">
        <v>276794</v>
      </c>
      <c r="AF32" s="57">
        <v>4.1500000000000004</v>
      </c>
      <c r="AG32" s="57">
        <v>4.5</v>
      </c>
      <c r="AH32" s="59">
        <v>555860</v>
      </c>
      <c r="AI32" s="59">
        <v>656886</v>
      </c>
      <c r="AJ32" s="57">
        <v>4.0999999999999996</v>
      </c>
      <c r="AK32" s="57">
        <v>4.55</v>
      </c>
      <c r="AL32" s="59">
        <v>67974</v>
      </c>
      <c r="AM32" s="59">
        <v>5519760</v>
      </c>
      <c r="AN32" s="59">
        <v>4707747</v>
      </c>
      <c r="AO32" s="60">
        <v>43304</v>
      </c>
      <c r="AP32" s="61" t="s">
        <v>4842</v>
      </c>
      <c r="AQ32" s="77" t="s">
        <v>4769</v>
      </c>
      <c r="AR32" s="76">
        <f t="shared" si="0"/>
        <v>43305.508206018516</v>
      </c>
    </row>
    <row r="33" spans="1:44" ht="40.799999999999997" x14ac:dyDescent="0.3">
      <c r="A33" s="56" t="s">
        <v>4815</v>
      </c>
      <c r="B33" s="57" t="s">
        <v>2658</v>
      </c>
      <c r="C33" s="57" t="s">
        <v>4767</v>
      </c>
      <c r="D33" s="57">
        <v>1</v>
      </c>
      <c r="E33" s="57" t="s">
        <v>4768</v>
      </c>
      <c r="F33" s="57" t="s">
        <v>4768</v>
      </c>
      <c r="G33" s="57">
        <v>12.25</v>
      </c>
      <c r="H33" s="57">
        <v>3.95</v>
      </c>
      <c r="I33" s="57">
        <v>4.05</v>
      </c>
      <c r="J33" s="57">
        <v>4.05</v>
      </c>
      <c r="K33" s="57">
        <v>4.45</v>
      </c>
      <c r="L33" s="57">
        <v>4.05</v>
      </c>
      <c r="M33" s="57">
        <v>4.26</v>
      </c>
      <c r="N33" s="57">
        <v>4.3499999999999996</v>
      </c>
      <c r="O33" s="57">
        <v>0.3</v>
      </c>
      <c r="P33" s="57">
        <v>7.41</v>
      </c>
      <c r="Q33" s="58">
        <v>8311174</v>
      </c>
      <c r="R33" s="57">
        <v>354.06</v>
      </c>
      <c r="S33" s="59">
        <v>266246</v>
      </c>
      <c r="T33" s="57">
        <v>4.3</v>
      </c>
      <c r="U33" s="57">
        <v>4.3499999999999996</v>
      </c>
      <c r="V33" s="59">
        <v>736260</v>
      </c>
      <c r="W33" s="59">
        <v>523598</v>
      </c>
      <c r="X33" s="57">
        <v>4.25</v>
      </c>
      <c r="Y33" s="57">
        <v>4.4000000000000004</v>
      </c>
      <c r="Z33" s="59">
        <v>820432</v>
      </c>
      <c r="AA33" s="59">
        <v>651715</v>
      </c>
      <c r="AB33" s="57">
        <v>4.2</v>
      </c>
      <c r="AC33" s="57">
        <v>4.45</v>
      </c>
      <c r="AD33" s="59">
        <v>749456</v>
      </c>
      <c r="AE33" s="59">
        <v>276794</v>
      </c>
      <c r="AF33" s="57">
        <v>4.1500000000000004</v>
      </c>
      <c r="AG33" s="57">
        <v>4.5</v>
      </c>
      <c r="AH33" s="59">
        <v>555860</v>
      </c>
      <c r="AI33" s="59">
        <v>656886</v>
      </c>
      <c r="AJ33" s="57">
        <v>4.0999999999999996</v>
      </c>
      <c r="AK33" s="57">
        <v>4.55</v>
      </c>
      <c r="AL33" s="59">
        <v>67974</v>
      </c>
      <c r="AM33" s="59">
        <v>5519760</v>
      </c>
      <c r="AN33" s="59">
        <v>4707747</v>
      </c>
      <c r="AO33" s="60">
        <v>43304</v>
      </c>
      <c r="AP33" s="61" t="s">
        <v>4842</v>
      </c>
      <c r="AQ33" s="77" t="s">
        <v>4769</v>
      </c>
      <c r="AR33" s="76">
        <f t="shared" si="0"/>
        <v>43305.508206018516</v>
      </c>
    </row>
    <row r="34" spans="1:44" ht="40.799999999999997" x14ac:dyDescent="0.3">
      <c r="A34" s="56" t="s">
        <v>4815</v>
      </c>
      <c r="B34" s="57" t="s">
        <v>2658</v>
      </c>
      <c r="C34" s="57" t="s">
        <v>4767</v>
      </c>
      <c r="D34" s="57">
        <v>1</v>
      </c>
      <c r="E34" s="57" t="s">
        <v>4768</v>
      </c>
      <c r="F34" s="57" t="s">
        <v>4768</v>
      </c>
      <c r="G34" s="57">
        <v>12.25</v>
      </c>
      <c r="H34" s="57">
        <v>3.95</v>
      </c>
      <c r="I34" s="57">
        <v>4.05</v>
      </c>
      <c r="J34" s="57">
        <v>4.05</v>
      </c>
      <c r="K34" s="57">
        <v>4.45</v>
      </c>
      <c r="L34" s="57">
        <v>4.05</v>
      </c>
      <c r="M34" s="57">
        <v>4.26</v>
      </c>
      <c r="N34" s="57">
        <v>4.3</v>
      </c>
      <c r="O34" s="57">
        <v>0.25</v>
      </c>
      <c r="P34" s="57">
        <v>6.17</v>
      </c>
      <c r="Q34" s="58">
        <v>8384196</v>
      </c>
      <c r="R34" s="57">
        <v>357.17</v>
      </c>
      <c r="S34" s="59">
        <v>202404</v>
      </c>
      <c r="T34" s="57">
        <v>4.3</v>
      </c>
      <c r="U34" s="57">
        <v>4.3499999999999996</v>
      </c>
      <c r="V34" s="59">
        <v>743172</v>
      </c>
      <c r="W34" s="59">
        <v>513334</v>
      </c>
      <c r="X34" s="57">
        <v>4.25</v>
      </c>
      <c r="Y34" s="57">
        <v>4.4000000000000004</v>
      </c>
      <c r="Z34" s="59">
        <v>820432</v>
      </c>
      <c r="AA34" s="59">
        <v>663204</v>
      </c>
      <c r="AB34" s="57">
        <v>4.2</v>
      </c>
      <c r="AC34" s="57">
        <v>4.45</v>
      </c>
      <c r="AD34" s="59">
        <v>785956</v>
      </c>
      <c r="AE34" s="59">
        <v>276794</v>
      </c>
      <c r="AF34" s="57">
        <v>4.1500000000000004</v>
      </c>
      <c r="AG34" s="57">
        <v>4.5</v>
      </c>
      <c r="AH34" s="59">
        <v>556060</v>
      </c>
      <c r="AI34" s="59">
        <v>661586</v>
      </c>
      <c r="AJ34" s="57">
        <v>4.0999999999999996</v>
      </c>
      <c r="AK34" s="57">
        <v>4.55</v>
      </c>
      <c r="AL34" s="59">
        <v>77974</v>
      </c>
      <c r="AM34" s="59">
        <v>5465688</v>
      </c>
      <c r="AN34" s="59">
        <v>4718459</v>
      </c>
      <c r="AO34" s="60">
        <v>43304</v>
      </c>
      <c r="AP34" s="61" t="s">
        <v>4843</v>
      </c>
      <c r="AQ34" s="77" t="s">
        <v>4769</v>
      </c>
      <c r="AR34" s="76">
        <f t="shared" si="0"/>
        <v>43305.509942129633</v>
      </c>
    </row>
    <row r="35" spans="1:44" ht="40.799999999999997" x14ac:dyDescent="0.3">
      <c r="A35" s="56" t="s">
        <v>4815</v>
      </c>
      <c r="B35" s="57" t="s">
        <v>2658</v>
      </c>
      <c r="C35" s="57" t="s">
        <v>4767</v>
      </c>
      <c r="D35" s="57">
        <v>1</v>
      </c>
      <c r="E35" s="57" t="s">
        <v>4768</v>
      </c>
      <c r="F35" s="57" t="s">
        <v>4768</v>
      </c>
      <c r="G35" s="57">
        <v>12.25</v>
      </c>
      <c r="H35" s="57">
        <v>3.95</v>
      </c>
      <c r="I35" s="57">
        <v>4.05</v>
      </c>
      <c r="J35" s="57">
        <v>4.05</v>
      </c>
      <c r="K35" s="57">
        <v>4.45</v>
      </c>
      <c r="L35" s="57">
        <v>4.05</v>
      </c>
      <c r="M35" s="57">
        <v>4.26</v>
      </c>
      <c r="N35" s="57">
        <v>4.3</v>
      </c>
      <c r="O35" s="57">
        <v>0.25</v>
      </c>
      <c r="P35" s="57">
        <v>6.17</v>
      </c>
      <c r="Q35" s="58">
        <v>8384196</v>
      </c>
      <c r="R35" s="57">
        <v>357.17</v>
      </c>
      <c r="S35" s="59">
        <v>202404</v>
      </c>
      <c r="T35" s="57">
        <v>4.3</v>
      </c>
      <c r="U35" s="57">
        <v>4.3499999999999996</v>
      </c>
      <c r="V35" s="59">
        <v>743172</v>
      </c>
      <c r="W35" s="59">
        <v>513334</v>
      </c>
      <c r="X35" s="57">
        <v>4.25</v>
      </c>
      <c r="Y35" s="57">
        <v>4.4000000000000004</v>
      </c>
      <c r="Z35" s="59">
        <v>820432</v>
      </c>
      <c r="AA35" s="59">
        <v>663204</v>
      </c>
      <c r="AB35" s="57">
        <v>4.2</v>
      </c>
      <c r="AC35" s="57">
        <v>4.45</v>
      </c>
      <c r="AD35" s="59">
        <v>785956</v>
      </c>
      <c r="AE35" s="59">
        <v>276794</v>
      </c>
      <c r="AF35" s="57">
        <v>4.1500000000000004</v>
      </c>
      <c r="AG35" s="57">
        <v>4.5</v>
      </c>
      <c r="AH35" s="59">
        <v>556060</v>
      </c>
      <c r="AI35" s="59">
        <v>661586</v>
      </c>
      <c r="AJ35" s="57">
        <v>4.0999999999999996</v>
      </c>
      <c r="AK35" s="57">
        <v>4.55</v>
      </c>
      <c r="AL35" s="59">
        <v>77974</v>
      </c>
      <c r="AM35" s="59">
        <v>5465688</v>
      </c>
      <c r="AN35" s="59">
        <v>4718459</v>
      </c>
      <c r="AO35" s="60">
        <v>43304</v>
      </c>
      <c r="AP35" s="61" t="s">
        <v>4843</v>
      </c>
      <c r="AQ35" s="77" t="s">
        <v>4769</v>
      </c>
      <c r="AR35" s="76">
        <f t="shared" si="0"/>
        <v>43305.509942129633</v>
      </c>
    </row>
    <row r="36" spans="1:44" ht="40.799999999999997" x14ac:dyDescent="0.3">
      <c r="A36" s="56" t="s">
        <v>4815</v>
      </c>
      <c r="B36" s="57" t="s">
        <v>2658</v>
      </c>
      <c r="C36" s="57" t="s">
        <v>4767</v>
      </c>
      <c r="D36" s="57">
        <v>1</v>
      </c>
      <c r="E36" s="57" t="s">
        <v>4768</v>
      </c>
      <c r="F36" s="57" t="s">
        <v>4768</v>
      </c>
      <c r="G36" s="57">
        <v>12.25</v>
      </c>
      <c r="H36" s="57">
        <v>3.95</v>
      </c>
      <c r="I36" s="57">
        <v>4.05</v>
      </c>
      <c r="J36" s="57">
        <v>4.05</v>
      </c>
      <c r="K36" s="57">
        <v>4.45</v>
      </c>
      <c r="L36" s="57">
        <v>4.05</v>
      </c>
      <c r="M36" s="57">
        <v>4.2699999999999996</v>
      </c>
      <c r="N36" s="57">
        <v>4.3499999999999996</v>
      </c>
      <c r="O36" s="57">
        <v>0.3</v>
      </c>
      <c r="P36" s="57">
        <v>7.41</v>
      </c>
      <c r="Q36" s="58">
        <v>9133736</v>
      </c>
      <c r="R36" s="57">
        <v>390.01</v>
      </c>
      <c r="S36" s="59">
        <v>389850</v>
      </c>
      <c r="T36" s="57">
        <v>4.3499999999999996</v>
      </c>
      <c r="U36" s="57">
        <v>4.4000000000000004</v>
      </c>
      <c r="V36" s="59">
        <v>778869</v>
      </c>
      <c r="W36" s="59">
        <v>424011</v>
      </c>
      <c r="X36" s="57">
        <v>4.3</v>
      </c>
      <c r="Y36" s="57">
        <v>4.45</v>
      </c>
      <c r="Z36" s="59">
        <v>753274</v>
      </c>
      <c r="AA36" s="59">
        <v>462934</v>
      </c>
      <c r="AB36" s="57">
        <v>4.25</v>
      </c>
      <c r="AC36" s="57">
        <v>4.5</v>
      </c>
      <c r="AD36" s="59">
        <v>562040</v>
      </c>
      <c r="AE36" s="59">
        <v>664204</v>
      </c>
      <c r="AF36" s="57">
        <v>4.2</v>
      </c>
      <c r="AG36" s="57">
        <v>4.55</v>
      </c>
      <c r="AH36" s="59">
        <v>80574</v>
      </c>
      <c r="AI36" s="59">
        <v>284094</v>
      </c>
      <c r="AJ36" s="57">
        <v>4.1500000000000004</v>
      </c>
      <c r="AK36" s="57">
        <v>4.5999999999999996</v>
      </c>
      <c r="AL36" s="59">
        <v>252727</v>
      </c>
      <c r="AM36" s="59">
        <v>6040515</v>
      </c>
      <c r="AN36" s="59">
        <v>3922622</v>
      </c>
      <c r="AO36" s="60">
        <v>43304</v>
      </c>
      <c r="AP36" s="57" t="s">
        <v>4844</v>
      </c>
      <c r="AQ36" s="77" t="s">
        <v>4769</v>
      </c>
      <c r="AR36" s="76">
        <f t="shared" si="0"/>
        <v>43305.512372685182</v>
      </c>
    </row>
    <row r="37" spans="1:44" ht="40.799999999999997" x14ac:dyDescent="0.3">
      <c r="A37" s="56" t="s">
        <v>4815</v>
      </c>
      <c r="B37" s="57" t="s">
        <v>2658</v>
      </c>
      <c r="C37" s="57" t="s">
        <v>4767</v>
      </c>
      <c r="D37" s="57">
        <v>1</v>
      </c>
      <c r="E37" s="57" t="s">
        <v>4768</v>
      </c>
      <c r="F37" s="57" t="s">
        <v>4768</v>
      </c>
      <c r="G37" s="57">
        <v>12.25</v>
      </c>
      <c r="H37" s="57">
        <v>3.95</v>
      </c>
      <c r="I37" s="57">
        <v>4.05</v>
      </c>
      <c r="J37" s="57">
        <v>4.05</v>
      </c>
      <c r="K37" s="57">
        <v>4.45</v>
      </c>
      <c r="L37" s="57">
        <v>4.05</v>
      </c>
      <c r="M37" s="57">
        <v>4.2699999999999996</v>
      </c>
      <c r="N37" s="57">
        <v>4.3499999999999996</v>
      </c>
      <c r="O37" s="57">
        <v>0.3</v>
      </c>
      <c r="P37" s="57">
        <v>7.41</v>
      </c>
      <c r="Q37" s="58">
        <v>9133736</v>
      </c>
      <c r="R37" s="57">
        <v>390.01</v>
      </c>
      <c r="S37" s="59">
        <v>389850</v>
      </c>
      <c r="T37" s="57">
        <v>4.3499999999999996</v>
      </c>
      <c r="U37" s="57">
        <v>4.4000000000000004</v>
      </c>
      <c r="V37" s="59">
        <v>778869</v>
      </c>
      <c r="W37" s="59">
        <v>424011</v>
      </c>
      <c r="X37" s="57">
        <v>4.3</v>
      </c>
      <c r="Y37" s="57">
        <v>4.45</v>
      </c>
      <c r="Z37" s="59">
        <v>753274</v>
      </c>
      <c r="AA37" s="59">
        <v>462934</v>
      </c>
      <c r="AB37" s="57">
        <v>4.25</v>
      </c>
      <c r="AC37" s="57">
        <v>4.5</v>
      </c>
      <c r="AD37" s="59">
        <v>562040</v>
      </c>
      <c r="AE37" s="59">
        <v>664204</v>
      </c>
      <c r="AF37" s="57">
        <v>4.2</v>
      </c>
      <c r="AG37" s="57">
        <v>4.55</v>
      </c>
      <c r="AH37" s="59">
        <v>80574</v>
      </c>
      <c r="AI37" s="59">
        <v>284094</v>
      </c>
      <c r="AJ37" s="57">
        <v>4.1500000000000004</v>
      </c>
      <c r="AK37" s="57">
        <v>4.5999999999999996</v>
      </c>
      <c r="AL37" s="59">
        <v>252727</v>
      </c>
      <c r="AM37" s="59">
        <v>6040515</v>
      </c>
      <c r="AN37" s="59">
        <v>3922622</v>
      </c>
      <c r="AO37" s="60">
        <v>43304</v>
      </c>
      <c r="AP37" s="57" t="s">
        <v>4844</v>
      </c>
      <c r="AQ37" s="77" t="s">
        <v>4769</v>
      </c>
      <c r="AR37" s="76">
        <f t="shared" si="0"/>
        <v>43305.512372685182</v>
      </c>
    </row>
    <row r="38" spans="1:44" ht="40.799999999999997" x14ac:dyDescent="0.3">
      <c r="A38" s="56" t="s">
        <v>4815</v>
      </c>
      <c r="B38" s="57" t="s">
        <v>2658</v>
      </c>
      <c r="C38" s="57" t="s">
        <v>4767</v>
      </c>
      <c r="D38" s="57">
        <v>1</v>
      </c>
      <c r="E38" s="57" t="s">
        <v>4768</v>
      </c>
      <c r="F38" s="57" t="s">
        <v>4768</v>
      </c>
      <c r="G38" s="57">
        <v>12.25</v>
      </c>
      <c r="H38" s="57">
        <v>3.95</v>
      </c>
      <c r="I38" s="57">
        <v>4.05</v>
      </c>
      <c r="J38" s="57">
        <v>4.05</v>
      </c>
      <c r="K38" s="57">
        <v>4.45</v>
      </c>
      <c r="L38" s="57">
        <v>4.05</v>
      </c>
      <c r="M38" s="57">
        <v>4.2699999999999996</v>
      </c>
      <c r="N38" s="57">
        <v>4.4000000000000004</v>
      </c>
      <c r="O38" s="57">
        <v>0.35</v>
      </c>
      <c r="P38" s="57">
        <v>8.64</v>
      </c>
      <c r="Q38" s="58">
        <v>9265874</v>
      </c>
      <c r="R38" s="57">
        <v>395.65</v>
      </c>
      <c r="S38" s="59">
        <v>423305</v>
      </c>
      <c r="T38" s="57">
        <v>4.3499999999999996</v>
      </c>
      <c r="U38" s="57">
        <v>4.4000000000000004</v>
      </c>
      <c r="V38" s="59">
        <v>808283</v>
      </c>
      <c r="W38" s="59">
        <v>423611</v>
      </c>
      <c r="X38" s="57">
        <v>4.3</v>
      </c>
      <c r="Y38" s="57">
        <v>4.45</v>
      </c>
      <c r="Z38" s="59">
        <v>815475</v>
      </c>
      <c r="AA38" s="59">
        <v>462834</v>
      </c>
      <c r="AB38" s="57">
        <v>4.25</v>
      </c>
      <c r="AC38" s="57">
        <v>4.5</v>
      </c>
      <c r="AD38" s="59">
        <v>562893</v>
      </c>
      <c r="AE38" s="59">
        <v>659204</v>
      </c>
      <c r="AF38" s="57">
        <v>4.2</v>
      </c>
      <c r="AG38" s="57">
        <v>4.55</v>
      </c>
      <c r="AH38" s="59">
        <v>88174</v>
      </c>
      <c r="AI38" s="59">
        <v>283094</v>
      </c>
      <c r="AJ38" s="57">
        <v>4.1500000000000004</v>
      </c>
      <c r="AK38" s="57">
        <v>4.5999999999999996</v>
      </c>
      <c r="AL38" s="59">
        <v>311537</v>
      </c>
      <c r="AM38" s="59">
        <v>6066470</v>
      </c>
      <c r="AN38" s="59">
        <v>4083200</v>
      </c>
      <c r="AO38" s="60">
        <v>43304</v>
      </c>
      <c r="AP38" s="57" t="s">
        <v>4845</v>
      </c>
      <c r="AQ38" s="77" t="s">
        <v>4769</v>
      </c>
      <c r="AR38" s="76">
        <f t="shared" si="0"/>
        <v>43305.514456018522</v>
      </c>
    </row>
    <row r="39" spans="1:44" ht="40.799999999999997" x14ac:dyDescent="0.3">
      <c r="A39" s="56" t="s">
        <v>4815</v>
      </c>
      <c r="B39" s="57" t="s">
        <v>2658</v>
      </c>
      <c r="C39" s="57" t="s">
        <v>4767</v>
      </c>
      <c r="D39" s="57">
        <v>1</v>
      </c>
      <c r="E39" s="57" t="s">
        <v>4768</v>
      </c>
      <c r="F39" s="57" t="s">
        <v>4768</v>
      </c>
      <c r="G39" s="57">
        <v>12.25</v>
      </c>
      <c r="H39" s="57">
        <v>3.95</v>
      </c>
      <c r="I39" s="57">
        <v>4.05</v>
      </c>
      <c r="J39" s="57">
        <v>4.05</v>
      </c>
      <c r="K39" s="57">
        <v>4.45</v>
      </c>
      <c r="L39" s="57">
        <v>4.05</v>
      </c>
      <c r="M39" s="57">
        <v>4.2699999999999996</v>
      </c>
      <c r="N39" s="57">
        <v>4.4000000000000004</v>
      </c>
      <c r="O39" s="57">
        <v>0.35</v>
      </c>
      <c r="P39" s="57">
        <v>8.64</v>
      </c>
      <c r="Q39" s="58">
        <v>9265874</v>
      </c>
      <c r="R39" s="57">
        <v>395.65</v>
      </c>
      <c r="S39" s="59">
        <v>423305</v>
      </c>
      <c r="T39" s="57">
        <v>4.3499999999999996</v>
      </c>
      <c r="U39" s="57">
        <v>4.4000000000000004</v>
      </c>
      <c r="V39" s="59">
        <v>808283</v>
      </c>
      <c r="W39" s="59">
        <v>423611</v>
      </c>
      <c r="X39" s="57">
        <v>4.3</v>
      </c>
      <c r="Y39" s="57">
        <v>4.45</v>
      </c>
      <c r="Z39" s="59">
        <v>815475</v>
      </c>
      <c r="AA39" s="59">
        <v>462834</v>
      </c>
      <c r="AB39" s="57">
        <v>4.25</v>
      </c>
      <c r="AC39" s="57">
        <v>4.5</v>
      </c>
      <c r="AD39" s="59">
        <v>562893</v>
      </c>
      <c r="AE39" s="59">
        <v>659204</v>
      </c>
      <c r="AF39" s="57">
        <v>4.2</v>
      </c>
      <c r="AG39" s="57">
        <v>4.55</v>
      </c>
      <c r="AH39" s="59">
        <v>88174</v>
      </c>
      <c r="AI39" s="59">
        <v>283094</v>
      </c>
      <c r="AJ39" s="57">
        <v>4.1500000000000004</v>
      </c>
      <c r="AK39" s="57">
        <v>4.5999999999999996</v>
      </c>
      <c r="AL39" s="59">
        <v>311537</v>
      </c>
      <c r="AM39" s="59">
        <v>6066470</v>
      </c>
      <c r="AN39" s="59">
        <v>4083200</v>
      </c>
      <c r="AO39" s="60">
        <v>43304</v>
      </c>
      <c r="AP39" s="57" t="s">
        <v>4845</v>
      </c>
      <c r="AQ39" s="77" t="s">
        <v>4769</v>
      </c>
      <c r="AR39" s="76">
        <f t="shared" si="0"/>
        <v>43305.514456018522</v>
      </c>
    </row>
    <row r="40" spans="1:44" ht="40.799999999999997" x14ac:dyDescent="0.3">
      <c r="A40" s="56" t="s">
        <v>4815</v>
      </c>
      <c r="B40" s="57" t="s">
        <v>2658</v>
      </c>
      <c r="C40" s="57" t="s">
        <v>4767</v>
      </c>
      <c r="D40" s="57">
        <v>1</v>
      </c>
      <c r="E40" s="57" t="s">
        <v>4768</v>
      </c>
      <c r="F40" s="57" t="s">
        <v>4768</v>
      </c>
      <c r="G40" s="57">
        <v>12.25</v>
      </c>
      <c r="H40" s="57">
        <v>3.95</v>
      </c>
      <c r="I40" s="57">
        <v>4.05</v>
      </c>
      <c r="J40" s="57">
        <v>4.05</v>
      </c>
      <c r="K40" s="57">
        <v>4.45</v>
      </c>
      <c r="L40" s="57">
        <v>4.05</v>
      </c>
      <c r="M40" s="57">
        <v>4.2699999999999996</v>
      </c>
      <c r="N40" s="57">
        <v>4.3</v>
      </c>
      <c r="O40" s="57">
        <v>0.25</v>
      </c>
      <c r="P40" s="57">
        <v>6.17</v>
      </c>
      <c r="Q40" s="58">
        <v>9647383</v>
      </c>
      <c r="R40" s="57">
        <v>411.94</v>
      </c>
      <c r="S40" s="59">
        <v>433238</v>
      </c>
      <c r="T40" s="57">
        <v>4.3</v>
      </c>
      <c r="U40" s="57">
        <v>4.3499999999999996</v>
      </c>
      <c r="V40" s="59">
        <v>106068</v>
      </c>
      <c r="W40" s="59">
        <v>409834</v>
      </c>
      <c r="X40" s="57">
        <v>4.25</v>
      </c>
      <c r="Y40" s="57">
        <v>4.4000000000000004</v>
      </c>
      <c r="Z40" s="59">
        <v>634195</v>
      </c>
      <c r="AA40" s="59">
        <v>653504</v>
      </c>
      <c r="AB40" s="57">
        <v>4.2</v>
      </c>
      <c r="AC40" s="57">
        <v>4.45</v>
      </c>
      <c r="AD40" s="59">
        <v>678560</v>
      </c>
      <c r="AE40" s="59">
        <v>286939</v>
      </c>
      <c r="AF40" s="57">
        <v>4.1500000000000004</v>
      </c>
      <c r="AG40" s="57">
        <v>4.5</v>
      </c>
      <c r="AH40" s="59">
        <v>577693</v>
      </c>
      <c r="AI40" s="59">
        <v>660146</v>
      </c>
      <c r="AJ40" s="57">
        <v>4.0999999999999996</v>
      </c>
      <c r="AK40" s="57">
        <v>4.55</v>
      </c>
      <c r="AL40" s="59">
        <v>99174</v>
      </c>
      <c r="AM40" s="59">
        <v>5590097</v>
      </c>
      <c r="AN40" s="59">
        <v>3900640</v>
      </c>
      <c r="AO40" s="60">
        <v>43304</v>
      </c>
      <c r="AP40" s="57" t="s">
        <v>4846</v>
      </c>
      <c r="AQ40" s="77" t="s">
        <v>4769</v>
      </c>
      <c r="AR40" s="76">
        <f t="shared" si="0"/>
        <v>43305.516539351855</v>
      </c>
    </row>
    <row r="41" spans="1:44" ht="28.8" x14ac:dyDescent="0.3">
      <c r="A41" s="56" t="s">
        <v>4833</v>
      </c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8"/>
      <c r="R41" s="57"/>
      <c r="S41" s="59"/>
      <c r="T41" s="57"/>
      <c r="U41" s="57"/>
      <c r="V41" s="59"/>
      <c r="W41" s="59"/>
      <c r="X41" s="57"/>
      <c r="Y41" s="57"/>
      <c r="Z41" s="59"/>
      <c r="AA41" s="59"/>
      <c r="AB41" s="57"/>
      <c r="AC41" s="57"/>
      <c r="AD41" s="59"/>
      <c r="AE41" s="59"/>
      <c r="AF41" s="57"/>
      <c r="AG41" s="57"/>
      <c r="AH41" s="59"/>
      <c r="AI41" s="59"/>
      <c r="AJ41" s="57"/>
      <c r="AK41" s="57"/>
      <c r="AL41" s="59"/>
      <c r="AM41" s="59"/>
      <c r="AN41" s="59"/>
      <c r="AO41" s="60"/>
      <c r="AP41" s="57"/>
      <c r="AQ41" s="77" t="s">
        <v>4769</v>
      </c>
      <c r="AR41" s="76" t="e">
        <f t="shared" si="0"/>
        <v>#VALUE!</v>
      </c>
    </row>
    <row r="42" spans="1:44" ht="28.8" x14ac:dyDescent="0.3">
      <c r="A42" s="56" t="s">
        <v>4833</v>
      </c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8"/>
      <c r="R42" s="57"/>
      <c r="S42" s="59"/>
      <c r="T42" s="57"/>
      <c r="U42" s="57"/>
      <c r="V42" s="59"/>
      <c r="W42" s="59"/>
      <c r="X42" s="57"/>
      <c r="Y42" s="57"/>
      <c r="Z42" s="59"/>
      <c r="AA42" s="59"/>
      <c r="AB42" s="57"/>
      <c r="AC42" s="57"/>
      <c r="AD42" s="59"/>
      <c r="AE42" s="59"/>
      <c r="AF42" s="57"/>
      <c r="AG42" s="57"/>
      <c r="AH42" s="59"/>
      <c r="AI42" s="59"/>
      <c r="AJ42" s="57"/>
      <c r="AK42" s="57"/>
      <c r="AL42" s="59"/>
      <c r="AM42" s="59"/>
      <c r="AN42" s="59"/>
      <c r="AO42" s="60"/>
      <c r="AP42" s="57"/>
      <c r="AQ42" s="77" t="s">
        <v>4769</v>
      </c>
      <c r="AR42" s="76" t="e">
        <f t="shared" si="0"/>
        <v>#VALUE!</v>
      </c>
    </row>
    <row r="43" spans="1:44" ht="40.799999999999997" x14ac:dyDescent="0.3">
      <c r="A43" s="56" t="s">
        <v>4815</v>
      </c>
      <c r="B43" s="57" t="s">
        <v>2658</v>
      </c>
      <c r="C43" s="57" t="s">
        <v>4767</v>
      </c>
      <c r="D43" s="57">
        <v>1</v>
      </c>
      <c r="E43" s="57" t="s">
        <v>4768</v>
      </c>
      <c r="F43" s="57" t="s">
        <v>4768</v>
      </c>
      <c r="G43" s="57">
        <v>12.25</v>
      </c>
      <c r="H43" s="57">
        <v>3.95</v>
      </c>
      <c r="I43" s="57">
        <v>4.05</v>
      </c>
      <c r="J43" s="57">
        <v>4.05</v>
      </c>
      <c r="K43" s="57">
        <v>4.45</v>
      </c>
      <c r="L43" s="57">
        <v>4.05</v>
      </c>
      <c r="M43" s="57">
        <v>4.2699999999999996</v>
      </c>
      <c r="N43" s="57">
        <v>4.3499999999999996</v>
      </c>
      <c r="O43" s="57">
        <v>0.3</v>
      </c>
      <c r="P43" s="57">
        <v>7.41</v>
      </c>
      <c r="Q43" s="58">
        <v>9943302</v>
      </c>
      <c r="R43" s="57">
        <v>424.58</v>
      </c>
      <c r="S43" s="59">
        <v>439893</v>
      </c>
      <c r="T43" s="57">
        <v>4.3499999999999996</v>
      </c>
      <c r="U43" s="57">
        <v>4.4000000000000004</v>
      </c>
      <c r="V43" s="59">
        <v>464791</v>
      </c>
      <c r="W43" s="59">
        <v>543970</v>
      </c>
      <c r="X43" s="57">
        <v>4.3</v>
      </c>
      <c r="Y43" s="57">
        <v>4.45</v>
      </c>
      <c r="Z43" s="59">
        <v>463667</v>
      </c>
      <c r="AA43" s="59">
        <v>493269</v>
      </c>
      <c r="AB43" s="57">
        <v>4.25</v>
      </c>
      <c r="AC43" s="57">
        <v>4.5</v>
      </c>
      <c r="AD43" s="59">
        <v>580504</v>
      </c>
      <c r="AE43" s="59">
        <v>658704</v>
      </c>
      <c r="AF43" s="57">
        <v>4.2</v>
      </c>
      <c r="AG43" s="57">
        <v>4.55</v>
      </c>
      <c r="AH43" s="59">
        <v>176174</v>
      </c>
      <c r="AI43" s="59">
        <v>278938</v>
      </c>
      <c r="AJ43" s="57">
        <v>4.1500000000000004</v>
      </c>
      <c r="AK43" s="57">
        <v>4.5999999999999996</v>
      </c>
      <c r="AL43" s="59">
        <v>322224</v>
      </c>
      <c r="AM43" s="59">
        <v>6212796</v>
      </c>
      <c r="AN43" s="59">
        <v>3698297</v>
      </c>
      <c r="AO43" s="60">
        <v>43304</v>
      </c>
      <c r="AP43" s="57" t="s">
        <v>4847</v>
      </c>
      <c r="AQ43" s="77" t="s">
        <v>4769</v>
      </c>
      <c r="AR43" s="76">
        <f t="shared" si="0"/>
        <v>43305.526620370372</v>
      </c>
    </row>
    <row r="44" spans="1:44" ht="40.799999999999997" x14ac:dyDescent="0.3">
      <c r="A44" s="56" t="s">
        <v>4815</v>
      </c>
      <c r="B44" s="57" t="s">
        <v>2658</v>
      </c>
      <c r="C44" s="57" t="s">
        <v>4767</v>
      </c>
      <c r="D44" s="57">
        <v>1</v>
      </c>
      <c r="E44" s="57" t="s">
        <v>4768</v>
      </c>
      <c r="F44" s="57" t="s">
        <v>4768</v>
      </c>
      <c r="G44" s="57">
        <v>12.25</v>
      </c>
      <c r="H44" s="57">
        <v>3.95</v>
      </c>
      <c r="I44" s="57">
        <v>4.05</v>
      </c>
      <c r="J44" s="57">
        <v>4.05</v>
      </c>
      <c r="K44" s="57">
        <v>4.45</v>
      </c>
      <c r="L44" s="57">
        <v>4.05</v>
      </c>
      <c r="M44" s="57">
        <v>4.2699999999999996</v>
      </c>
      <c r="N44" s="57">
        <v>4.3499999999999996</v>
      </c>
      <c r="O44" s="57">
        <v>0.3</v>
      </c>
      <c r="P44" s="57">
        <v>7.41</v>
      </c>
      <c r="Q44" s="58">
        <v>9943302</v>
      </c>
      <c r="R44" s="57">
        <v>424.58</v>
      </c>
      <c r="S44" s="59">
        <v>439893</v>
      </c>
      <c r="T44" s="57">
        <v>4.3499999999999996</v>
      </c>
      <c r="U44" s="57">
        <v>4.4000000000000004</v>
      </c>
      <c r="V44" s="59">
        <v>464791</v>
      </c>
      <c r="W44" s="59">
        <v>543970</v>
      </c>
      <c r="X44" s="57">
        <v>4.3</v>
      </c>
      <c r="Y44" s="57">
        <v>4.45</v>
      </c>
      <c r="Z44" s="59">
        <v>463667</v>
      </c>
      <c r="AA44" s="59">
        <v>493269</v>
      </c>
      <c r="AB44" s="57">
        <v>4.25</v>
      </c>
      <c r="AC44" s="57">
        <v>4.5</v>
      </c>
      <c r="AD44" s="59">
        <v>580504</v>
      </c>
      <c r="AE44" s="59">
        <v>658704</v>
      </c>
      <c r="AF44" s="57">
        <v>4.2</v>
      </c>
      <c r="AG44" s="57">
        <v>4.55</v>
      </c>
      <c r="AH44" s="59">
        <v>176174</v>
      </c>
      <c r="AI44" s="59">
        <v>278938</v>
      </c>
      <c r="AJ44" s="57">
        <v>4.1500000000000004</v>
      </c>
      <c r="AK44" s="57">
        <v>4.5999999999999996</v>
      </c>
      <c r="AL44" s="59">
        <v>322224</v>
      </c>
      <c r="AM44" s="59">
        <v>6212796</v>
      </c>
      <c r="AN44" s="59">
        <v>3698297</v>
      </c>
      <c r="AO44" s="60">
        <v>43304</v>
      </c>
      <c r="AP44" s="57" t="s">
        <v>4847</v>
      </c>
      <c r="AQ44" s="77" t="s">
        <v>4769</v>
      </c>
      <c r="AR44" s="76">
        <f t="shared" si="0"/>
        <v>43305.526620370372</v>
      </c>
    </row>
    <row r="45" spans="1:44" x14ac:dyDescent="0.3">
      <c r="A45" s="56" t="s">
        <v>4833</v>
      </c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8"/>
      <c r="R45" s="57"/>
      <c r="S45" s="59"/>
      <c r="T45" s="57"/>
      <c r="U45" s="57"/>
      <c r="V45" s="59"/>
      <c r="W45" s="59"/>
      <c r="X45" s="57"/>
      <c r="Y45" s="57"/>
      <c r="Z45" s="59"/>
      <c r="AA45" s="59"/>
      <c r="AB45" s="57"/>
      <c r="AC45" s="57"/>
      <c r="AD45" s="59"/>
      <c r="AE45" s="59"/>
      <c r="AF45" s="57"/>
      <c r="AG45" s="57"/>
      <c r="AH45" s="59"/>
      <c r="AI45" s="59"/>
      <c r="AJ45" s="57"/>
      <c r="AK45" s="57"/>
      <c r="AL45" s="59"/>
      <c r="AM45" s="59"/>
      <c r="AN45" s="59"/>
      <c r="AO45" s="60"/>
      <c r="AP45" s="57"/>
      <c r="AQ45" s="57"/>
      <c r="AR45" s="76" t="e">
        <f t="shared" si="0"/>
        <v>#VALUE!</v>
      </c>
    </row>
    <row r="46" spans="1:44" x14ac:dyDescent="0.3">
      <c r="A46" s="56" t="s">
        <v>4833</v>
      </c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8"/>
      <c r="R46" s="57"/>
      <c r="S46" s="59"/>
      <c r="T46" s="57"/>
      <c r="U46" s="57"/>
      <c r="V46" s="59"/>
      <c r="W46" s="59"/>
      <c r="X46" s="57"/>
      <c r="Y46" s="57"/>
      <c r="Z46" s="59"/>
      <c r="AA46" s="59"/>
      <c r="AB46" s="57"/>
      <c r="AC46" s="57"/>
      <c r="AD46" s="59"/>
      <c r="AE46" s="59"/>
      <c r="AF46" s="57"/>
      <c r="AG46" s="57"/>
      <c r="AH46" s="59"/>
      <c r="AI46" s="59"/>
      <c r="AJ46" s="57"/>
      <c r="AK46" s="57"/>
      <c r="AL46" s="59"/>
      <c r="AM46" s="59"/>
      <c r="AN46" s="59"/>
      <c r="AO46" s="60"/>
      <c r="AP46" s="57"/>
      <c r="AQ46" s="57"/>
      <c r="AR46" s="76" t="e">
        <f t="shared" si="0"/>
        <v>#VALUE!</v>
      </c>
    </row>
    <row r="47" spans="1:44" ht="40.799999999999997" x14ac:dyDescent="0.3">
      <c r="A47" s="56" t="s">
        <v>4815</v>
      </c>
      <c r="B47" s="57" t="s">
        <v>2658</v>
      </c>
      <c r="C47" s="57" t="s">
        <v>4767</v>
      </c>
      <c r="D47" s="57">
        <v>1</v>
      </c>
      <c r="E47" s="57" t="s">
        <v>4768</v>
      </c>
      <c r="F47" s="57" t="s">
        <v>4768</v>
      </c>
      <c r="G47" s="57">
        <v>12.25</v>
      </c>
      <c r="H47" s="57">
        <v>3.95</v>
      </c>
      <c r="I47" s="57">
        <v>4.05</v>
      </c>
      <c r="J47" s="57">
        <v>4.05</v>
      </c>
      <c r="K47" s="57">
        <v>4.45</v>
      </c>
      <c r="L47" s="57">
        <v>4.05</v>
      </c>
      <c r="M47" s="57">
        <v>4.28</v>
      </c>
      <c r="N47" s="57">
        <v>4.3</v>
      </c>
      <c r="O47" s="57">
        <v>0.25</v>
      </c>
      <c r="P47" s="57">
        <v>6.17</v>
      </c>
      <c r="Q47" s="58">
        <v>10479820</v>
      </c>
      <c r="R47" s="57">
        <v>448.54</v>
      </c>
      <c r="S47" s="59">
        <v>480449</v>
      </c>
      <c r="T47" s="57">
        <v>4.3</v>
      </c>
      <c r="U47" s="57">
        <v>4.3499999999999996</v>
      </c>
      <c r="V47" s="59">
        <v>214388</v>
      </c>
      <c r="W47" s="59">
        <v>632569</v>
      </c>
      <c r="X47" s="57">
        <v>4.25</v>
      </c>
      <c r="Y47" s="57">
        <v>4.4000000000000004</v>
      </c>
      <c r="Z47" s="59">
        <v>632094</v>
      </c>
      <c r="AA47" s="59">
        <v>628004</v>
      </c>
      <c r="AB47" s="57">
        <v>4.2</v>
      </c>
      <c r="AC47" s="57">
        <v>4.45</v>
      </c>
      <c r="AD47" s="59">
        <v>408847</v>
      </c>
      <c r="AE47" s="59">
        <v>277238</v>
      </c>
      <c r="AF47" s="57">
        <v>4.1500000000000004</v>
      </c>
      <c r="AG47" s="57">
        <v>4.5</v>
      </c>
      <c r="AH47" s="59">
        <v>471401</v>
      </c>
      <c r="AI47" s="59">
        <v>663197</v>
      </c>
      <c r="AJ47" s="57">
        <v>4.0999999999999996</v>
      </c>
      <c r="AK47" s="57">
        <v>4.55</v>
      </c>
      <c r="AL47" s="59">
        <v>174671</v>
      </c>
      <c r="AM47" s="59">
        <v>5874012</v>
      </c>
      <c r="AN47" s="59">
        <v>3894902</v>
      </c>
      <c r="AO47" s="60">
        <v>43304</v>
      </c>
      <c r="AP47" s="57" t="s">
        <v>4848</v>
      </c>
      <c r="AQ47" s="77" t="s">
        <v>4769</v>
      </c>
      <c r="AR47" s="76">
        <f t="shared" si="0"/>
        <v>43305.530787037038</v>
      </c>
    </row>
    <row r="48" spans="1:44" ht="40.799999999999997" x14ac:dyDescent="0.3">
      <c r="A48" s="56" t="s">
        <v>4815</v>
      </c>
      <c r="B48" s="57" t="s">
        <v>2658</v>
      </c>
      <c r="C48" s="57" t="s">
        <v>4767</v>
      </c>
      <c r="D48" s="57">
        <v>1</v>
      </c>
      <c r="E48" s="57" t="s">
        <v>4768</v>
      </c>
      <c r="F48" s="57" t="s">
        <v>4768</v>
      </c>
      <c r="G48" s="57">
        <v>12.25</v>
      </c>
      <c r="H48" s="57">
        <v>3.95</v>
      </c>
      <c r="I48" s="57">
        <v>4.05</v>
      </c>
      <c r="J48" s="57">
        <v>4.05</v>
      </c>
      <c r="K48" s="57">
        <v>4.45</v>
      </c>
      <c r="L48" s="57">
        <v>4.05</v>
      </c>
      <c r="M48" s="57">
        <v>4.28</v>
      </c>
      <c r="N48" s="57">
        <v>4.3</v>
      </c>
      <c r="O48" s="57">
        <v>0.25</v>
      </c>
      <c r="P48" s="57">
        <v>6.17</v>
      </c>
      <c r="Q48" s="58">
        <v>10479820</v>
      </c>
      <c r="R48" s="57">
        <v>448.54</v>
      </c>
      <c r="S48" s="59">
        <v>480449</v>
      </c>
      <c r="T48" s="57">
        <v>4.3</v>
      </c>
      <c r="U48" s="57">
        <v>4.3499999999999996</v>
      </c>
      <c r="V48" s="59">
        <v>214388</v>
      </c>
      <c r="W48" s="59">
        <v>632569</v>
      </c>
      <c r="X48" s="57">
        <v>4.25</v>
      </c>
      <c r="Y48" s="57">
        <v>4.4000000000000004</v>
      </c>
      <c r="Z48" s="59">
        <v>632094</v>
      </c>
      <c r="AA48" s="59">
        <v>628004</v>
      </c>
      <c r="AB48" s="57">
        <v>4.2</v>
      </c>
      <c r="AC48" s="57">
        <v>4.45</v>
      </c>
      <c r="AD48" s="59">
        <v>408847</v>
      </c>
      <c r="AE48" s="59">
        <v>277238</v>
      </c>
      <c r="AF48" s="57">
        <v>4.1500000000000004</v>
      </c>
      <c r="AG48" s="57">
        <v>4.5</v>
      </c>
      <c r="AH48" s="59">
        <v>471401</v>
      </c>
      <c r="AI48" s="59">
        <v>663197</v>
      </c>
      <c r="AJ48" s="57">
        <v>4.0999999999999996</v>
      </c>
      <c r="AK48" s="57">
        <v>4.55</v>
      </c>
      <c r="AL48" s="59">
        <v>174671</v>
      </c>
      <c r="AM48" s="59">
        <v>5874012</v>
      </c>
      <c r="AN48" s="59">
        <v>3894902</v>
      </c>
      <c r="AO48" s="60">
        <v>43304</v>
      </c>
      <c r="AP48" s="57" t="s">
        <v>4848</v>
      </c>
      <c r="AQ48" s="77" t="s">
        <v>4769</v>
      </c>
      <c r="AR48" s="76">
        <f t="shared" si="0"/>
        <v>43305.530787037038</v>
      </c>
    </row>
    <row r="49" spans="1:44" ht="40.799999999999997" x14ac:dyDescent="0.3">
      <c r="A49" s="56" t="s">
        <v>4815</v>
      </c>
      <c r="B49" s="57" t="s">
        <v>2658</v>
      </c>
      <c r="C49" s="57" t="s">
        <v>4767</v>
      </c>
      <c r="D49" s="57">
        <v>1</v>
      </c>
      <c r="E49" s="57" t="s">
        <v>4768</v>
      </c>
      <c r="F49" s="57" t="s">
        <v>4768</v>
      </c>
      <c r="G49" s="57">
        <v>12.25</v>
      </c>
      <c r="H49" s="57">
        <v>3.95</v>
      </c>
      <c r="I49" s="57">
        <v>4.05</v>
      </c>
      <c r="J49" s="57">
        <v>4.05</v>
      </c>
      <c r="K49" s="57">
        <v>4.45</v>
      </c>
      <c r="L49" s="57">
        <v>4.05</v>
      </c>
      <c r="M49" s="57">
        <v>4.28</v>
      </c>
      <c r="N49" s="57">
        <v>4.3</v>
      </c>
      <c r="O49" s="57">
        <v>0.25</v>
      </c>
      <c r="P49" s="57">
        <v>6.17</v>
      </c>
      <c r="Q49" s="58">
        <v>10538185</v>
      </c>
      <c r="R49" s="57">
        <v>451.03</v>
      </c>
      <c r="S49" s="59">
        <v>651785</v>
      </c>
      <c r="T49" s="57">
        <v>4.3</v>
      </c>
      <c r="U49" s="57">
        <v>4.3499999999999996</v>
      </c>
      <c r="V49" s="59">
        <v>201488</v>
      </c>
      <c r="W49" s="59">
        <v>707581</v>
      </c>
      <c r="X49" s="57">
        <v>4.25</v>
      </c>
      <c r="Y49" s="57">
        <v>4.4000000000000004</v>
      </c>
      <c r="Z49" s="59">
        <v>632994</v>
      </c>
      <c r="AA49" s="59">
        <v>736004</v>
      </c>
      <c r="AB49" s="57">
        <v>4.2</v>
      </c>
      <c r="AC49" s="57">
        <v>4.45</v>
      </c>
      <c r="AD49" s="59">
        <v>412347</v>
      </c>
      <c r="AE49" s="59">
        <v>529238</v>
      </c>
      <c r="AF49" s="57">
        <v>4.1500000000000004</v>
      </c>
      <c r="AG49" s="57">
        <v>4.5</v>
      </c>
      <c r="AH49" s="59">
        <v>482688</v>
      </c>
      <c r="AI49" s="59">
        <v>663201</v>
      </c>
      <c r="AJ49" s="57">
        <v>4.0999999999999996</v>
      </c>
      <c r="AK49" s="57">
        <v>4.55</v>
      </c>
      <c r="AL49" s="59">
        <v>174671</v>
      </c>
      <c r="AM49" s="59">
        <v>6370663</v>
      </c>
      <c r="AN49" s="59">
        <v>3898389</v>
      </c>
      <c r="AO49" s="60">
        <v>43304</v>
      </c>
      <c r="AP49" s="57" t="s">
        <v>4849</v>
      </c>
      <c r="AQ49" s="77" t="s">
        <v>4769</v>
      </c>
      <c r="AR49" s="76">
        <f t="shared" si="0"/>
        <v>43305.533217592594</v>
      </c>
    </row>
    <row r="50" spans="1:44" ht="40.799999999999997" x14ac:dyDescent="0.3">
      <c r="A50" s="56" t="s">
        <v>4815</v>
      </c>
      <c r="B50" s="57" t="s">
        <v>2658</v>
      </c>
      <c r="C50" s="57" t="s">
        <v>4767</v>
      </c>
      <c r="D50" s="57">
        <v>1</v>
      </c>
      <c r="E50" s="57" t="s">
        <v>4768</v>
      </c>
      <c r="F50" s="57" t="s">
        <v>4768</v>
      </c>
      <c r="G50" s="57">
        <v>12.25</v>
      </c>
      <c r="H50" s="57">
        <v>3.95</v>
      </c>
      <c r="I50" s="57">
        <v>4.05</v>
      </c>
      <c r="J50" s="57">
        <v>4.05</v>
      </c>
      <c r="K50" s="57">
        <v>4.45</v>
      </c>
      <c r="L50" s="57">
        <v>4.05</v>
      </c>
      <c r="M50" s="57">
        <v>4.26</v>
      </c>
      <c r="N50" s="57">
        <v>4.3</v>
      </c>
      <c r="O50" s="57">
        <v>0.25</v>
      </c>
      <c r="P50" s="57">
        <v>6.17</v>
      </c>
      <c r="Q50" s="58">
        <v>8243929</v>
      </c>
      <c r="R50" s="57">
        <v>351.19</v>
      </c>
      <c r="S50" s="59">
        <v>216094</v>
      </c>
      <c r="T50" s="57">
        <v>4.3</v>
      </c>
      <c r="U50" s="57">
        <v>4.3499999999999996</v>
      </c>
      <c r="V50" s="59">
        <v>838552</v>
      </c>
      <c r="W50" s="59">
        <v>517387</v>
      </c>
      <c r="X50" s="57">
        <v>4.25</v>
      </c>
      <c r="Y50" s="57">
        <v>4.4000000000000004</v>
      </c>
      <c r="Z50" s="59">
        <v>748950</v>
      </c>
      <c r="AA50" s="59">
        <v>699713</v>
      </c>
      <c r="AB50" s="57">
        <v>4.2</v>
      </c>
      <c r="AC50" s="57">
        <v>4.45</v>
      </c>
      <c r="AD50" s="59">
        <v>682795</v>
      </c>
      <c r="AE50" s="59">
        <v>501295</v>
      </c>
      <c r="AF50" s="57">
        <v>4.1500000000000004</v>
      </c>
      <c r="AG50" s="57">
        <v>4.5</v>
      </c>
      <c r="AH50" s="59">
        <v>528768</v>
      </c>
      <c r="AI50" s="59">
        <v>656286</v>
      </c>
      <c r="AJ50" s="57">
        <v>4.0999999999999996</v>
      </c>
      <c r="AK50" s="57">
        <v>4.55</v>
      </c>
      <c r="AL50" s="59">
        <v>69474</v>
      </c>
      <c r="AM50" s="59">
        <v>5661427</v>
      </c>
      <c r="AN50" s="59">
        <v>4609196</v>
      </c>
      <c r="AO50" s="60">
        <v>43304</v>
      </c>
      <c r="AP50" s="57" t="s">
        <v>4837</v>
      </c>
      <c r="AQ50" s="77" t="s">
        <v>4769</v>
      </c>
      <c r="AR50" s="76">
        <f t="shared" si="0"/>
        <v>43305.502650462964</v>
      </c>
    </row>
    <row r="51" spans="1:44" x14ac:dyDescent="0.3">
      <c r="A51" s="56" t="s">
        <v>4833</v>
      </c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8"/>
      <c r="R51" s="57"/>
      <c r="S51" s="59"/>
      <c r="T51" s="57"/>
      <c r="U51" s="57"/>
      <c r="V51" s="59"/>
      <c r="W51" s="59"/>
      <c r="X51" s="57"/>
      <c r="Y51" s="57"/>
      <c r="Z51" s="59"/>
      <c r="AA51" s="59"/>
      <c r="AB51" s="57"/>
      <c r="AC51" s="57"/>
      <c r="AD51" s="59"/>
      <c r="AE51" s="59"/>
      <c r="AF51" s="57"/>
      <c r="AG51" s="57"/>
      <c r="AH51" s="59"/>
      <c r="AI51" s="59"/>
      <c r="AJ51" s="57"/>
      <c r="AK51" s="57"/>
      <c r="AL51" s="59"/>
      <c r="AM51" s="59"/>
      <c r="AN51" s="59"/>
      <c r="AO51" s="60"/>
      <c r="AP51" s="57"/>
      <c r="AQ51" s="57"/>
      <c r="AR51" s="76" t="e">
        <f t="shared" si="0"/>
        <v>#VALUE!</v>
      </c>
    </row>
    <row r="52" spans="1:44" ht="40.799999999999997" x14ac:dyDescent="0.3">
      <c r="A52" s="56" t="s">
        <v>4815</v>
      </c>
      <c r="B52" s="57" t="s">
        <v>2658</v>
      </c>
      <c r="C52" s="57" t="s">
        <v>4767</v>
      </c>
      <c r="D52" s="57">
        <v>1</v>
      </c>
      <c r="E52" s="57" t="s">
        <v>4768</v>
      </c>
      <c r="F52" s="57" t="s">
        <v>4768</v>
      </c>
      <c r="G52" s="57">
        <v>12.25</v>
      </c>
      <c r="H52" s="57">
        <v>3.95</v>
      </c>
      <c r="I52" s="57">
        <v>4.05</v>
      </c>
      <c r="J52" s="57">
        <v>4.05</v>
      </c>
      <c r="K52" s="57">
        <v>4.45</v>
      </c>
      <c r="L52" s="57">
        <v>4.05</v>
      </c>
      <c r="M52" s="57">
        <v>4.28</v>
      </c>
      <c r="N52" s="57">
        <v>4.3</v>
      </c>
      <c r="O52" s="57">
        <v>0.25</v>
      </c>
      <c r="P52" s="57">
        <v>6.17</v>
      </c>
      <c r="Q52" s="58">
        <v>10644871</v>
      </c>
      <c r="R52" s="57">
        <v>455.6</v>
      </c>
      <c r="S52" s="59">
        <v>692126</v>
      </c>
      <c r="T52" s="57">
        <v>4.3</v>
      </c>
      <c r="U52" s="57">
        <v>4.3499999999999996</v>
      </c>
      <c r="V52" s="59">
        <v>219166</v>
      </c>
      <c r="W52" s="59">
        <v>678631</v>
      </c>
      <c r="X52" s="57">
        <v>4.25</v>
      </c>
      <c r="Y52" s="57">
        <v>4.4000000000000004</v>
      </c>
      <c r="Z52" s="59">
        <v>625022</v>
      </c>
      <c r="AA52" s="59">
        <v>727154</v>
      </c>
      <c r="AB52" s="57">
        <v>4.2</v>
      </c>
      <c r="AC52" s="57">
        <v>4.45</v>
      </c>
      <c r="AD52" s="59">
        <v>424447</v>
      </c>
      <c r="AE52" s="59">
        <v>530288</v>
      </c>
      <c r="AF52" s="57">
        <v>4.1500000000000004</v>
      </c>
      <c r="AG52" s="57">
        <v>4.5</v>
      </c>
      <c r="AH52" s="59">
        <v>482888</v>
      </c>
      <c r="AI52" s="59">
        <v>661301</v>
      </c>
      <c r="AJ52" s="57">
        <v>4.0999999999999996</v>
      </c>
      <c r="AK52" s="57">
        <v>4.55</v>
      </c>
      <c r="AL52" s="59">
        <v>174671</v>
      </c>
      <c r="AM52" s="59">
        <v>6379254</v>
      </c>
      <c r="AN52" s="59">
        <v>3921768</v>
      </c>
      <c r="AO52" s="60">
        <v>43304</v>
      </c>
      <c r="AP52" s="57" t="s">
        <v>4850</v>
      </c>
      <c r="AQ52" s="77" t="s">
        <v>4769</v>
      </c>
      <c r="AR52" s="76">
        <f t="shared" si="0"/>
        <v>43305.53738425926</v>
      </c>
    </row>
    <row r="53" spans="1:44" x14ac:dyDescent="0.3">
      <c r="A53" s="56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8"/>
      <c r="R53" s="57"/>
      <c r="S53" s="59"/>
      <c r="T53" s="57"/>
      <c r="U53" s="57"/>
      <c r="V53" s="59"/>
      <c r="W53" s="59"/>
      <c r="X53" s="57"/>
      <c r="Y53" s="57"/>
      <c r="Z53" s="59"/>
      <c r="AA53" s="59"/>
      <c r="AB53" s="57"/>
      <c r="AC53" s="57"/>
      <c r="AD53" s="59"/>
      <c r="AE53" s="59"/>
      <c r="AF53" s="57"/>
      <c r="AG53" s="57"/>
      <c r="AH53" s="59"/>
      <c r="AI53" s="59"/>
      <c r="AJ53" s="57"/>
      <c r="AK53" s="57"/>
      <c r="AL53" s="59"/>
      <c r="AM53" s="59"/>
      <c r="AN53" s="59"/>
      <c r="AO53" s="60"/>
      <c r="AP53" s="57"/>
      <c r="AQ53" s="57"/>
      <c r="AR53" s="76" t="e">
        <f t="shared" si="0"/>
        <v>#VALUE!</v>
      </c>
    </row>
    <row r="54" spans="1:44" x14ac:dyDescent="0.3">
      <c r="A54" s="56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8"/>
      <c r="R54" s="57"/>
      <c r="S54" s="59"/>
      <c r="T54" s="57"/>
      <c r="U54" s="57"/>
      <c r="V54" s="59"/>
      <c r="W54" s="59"/>
      <c r="X54" s="57"/>
      <c r="Y54" s="57"/>
      <c r="Z54" s="59"/>
      <c r="AA54" s="59"/>
      <c r="AB54" s="57"/>
      <c r="AC54" s="57"/>
      <c r="AD54" s="59"/>
      <c r="AE54" s="59"/>
      <c r="AF54" s="57"/>
      <c r="AG54" s="57"/>
      <c r="AH54" s="59"/>
      <c r="AI54" s="59"/>
      <c r="AJ54" s="57"/>
      <c r="AK54" s="57"/>
      <c r="AL54" s="59"/>
      <c r="AM54" s="59"/>
      <c r="AN54" s="59"/>
      <c r="AO54" s="60"/>
      <c r="AP54" s="57"/>
      <c r="AQ54" s="57"/>
      <c r="AR54" s="76" t="e">
        <f t="shared" si="0"/>
        <v>#VALUE!</v>
      </c>
    </row>
    <row r="55" spans="1:44" x14ac:dyDescent="0.3">
      <c r="A55" s="56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8"/>
      <c r="R55" s="57"/>
      <c r="S55" s="59"/>
      <c r="T55" s="57"/>
      <c r="U55" s="57"/>
      <c r="V55" s="59"/>
      <c r="W55" s="59"/>
      <c r="X55" s="57"/>
      <c r="Y55" s="57"/>
      <c r="Z55" s="59"/>
      <c r="AA55" s="59"/>
      <c r="AB55" s="57"/>
      <c r="AC55" s="57"/>
      <c r="AD55" s="59"/>
      <c r="AE55" s="59"/>
      <c r="AF55" s="57"/>
      <c r="AG55" s="57"/>
      <c r="AH55" s="59"/>
      <c r="AI55" s="59"/>
      <c r="AJ55" s="57"/>
      <c r="AK55" s="57"/>
      <c r="AL55" s="59"/>
      <c r="AM55" s="59"/>
      <c r="AN55" s="59"/>
      <c r="AO55" s="60"/>
      <c r="AP55" s="57"/>
      <c r="AQ55" s="57"/>
      <c r="AR55" s="76" t="e">
        <f t="shared" si="0"/>
        <v>#VALUE!</v>
      </c>
    </row>
    <row r="56" spans="1:44" x14ac:dyDescent="0.3">
      <c r="A56" s="56"/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8"/>
      <c r="R56" s="57"/>
      <c r="S56" s="59"/>
      <c r="T56" s="57"/>
      <c r="U56" s="57"/>
      <c r="V56" s="59"/>
      <c r="W56" s="59"/>
      <c r="X56" s="57"/>
      <c r="Y56" s="57"/>
      <c r="Z56" s="59"/>
      <c r="AA56" s="59"/>
      <c r="AB56" s="57"/>
      <c r="AC56" s="57"/>
      <c r="AD56" s="59"/>
      <c r="AE56" s="59"/>
      <c r="AF56" s="57"/>
      <c r="AG56" s="57"/>
      <c r="AH56" s="59"/>
      <c r="AI56" s="59"/>
      <c r="AJ56" s="57"/>
      <c r="AK56" s="57"/>
      <c r="AL56" s="59"/>
      <c r="AM56" s="59"/>
      <c r="AN56" s="59"/>
      <c r="AO56" s="60"/>
      <c r="AP56" s="57"/>
      <c r="AQ56" s="57"/>
      <c r="AR56" s="76" t="e">
        <f t="shared" si="0"/>
        <v>#VALUE!</v>
      </c>
    </row>
    <row r="57" spans="1:44" x14ac:dyDescent="0.3">
      <c r="A57" s="56"/>
      <c r="B57" s="57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8"/>
      <c r="R57" s="57"/>
      <c r="S57" s="59"/>
      <c r="T57" s="57"/>
      <c r="U57" s="57"/>
      <c r="V57" s="59"/>
      <c r="W57" s="59"/>
      <c r="X57" s="57"/>
      <c r="Y57" s="57"/>
      <c r="Z57" s="59"/>
      <c r="AA57" s="59"/>
      <c r="AB57" s="57"/>
      <c r="AC57" s="57"/>
      <c r="AD57" s="59"/>
      <c r="AE57" s="59"/>
      <c r="AF57" s="57"/>
      <c r="AG57" s="57"/>
      <c r="AH57" s="59"/>
      <c r="AI57" s="59"/>
      <c r="AJ57" s="57"/>
      <c r="AK57" s="57"/>
      <c r="AL57" s="59"/>
      <c r="AM57" s="59"/>
      <c r="AN57" s="59"/>
      <c r="AO57" s="60"/>
      <c r="AP57" s="57"/>
      <c r="AQ57" s="57"/>
      <c r="AR57" s="76" t="e">
        <f t="shared" si="0"/>
        <v>#VALUE!</v>
      </c>
    </row>
    <row r="58" spans="1:44" x14ac:dyDescent="0.3">
      <c r="A58" s="56"/>
      <c r="B58" s="57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8"/>
      <c r="R58" s="57"/>
      <c r="S58" s="59"/>
      <c r="T58" s="57"/>
      <c r="U58" s="57"/>
      <c r="V58" s="59"/>
      <c r="W58" s="59"/>
      <c r="X58" s="57"/>
      <c r="Y58" s="57"/>
      <c r="Z58" s="59"/>
      <c r="AA58" s="59"/>
      <c r="AB58" s="57"/>
      <c r="AC58" s="57"/>
      <c r="AD58" s="59"/>
      <c r="AE58" s="59"/>
      <c r="AF58" s="57"/>
      <c r="AG58" s="57"/>
      <c r="AH58" s="59"/>
      <c r="AI58" s="59"/>
      <c r="AJ58" s="57"/>
      <c r="AK58" s="57"/>
      <c r="AL58" s="59"/>
      <c r="AM58" s="59"/>
      <c r="AN58" s="59"/>
      <c r="AO58" s="60"/>
      <c r="AP58" s="57"/>
      <c r="AQ58" s="57"/>
      <c r="AR58" s="76" t="e">
        <f t="shared" si="0"/>
        <v>#VALUE!</v>
      </c>
    </row>
    <row r="59" spans="1:44" x14ac:dyDescent="0.3">
      <c r="A59" s="56"/>
      <c r="B59" s="57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8"/>
      <c r="R59" s="57"/>
      <c r="S59" s="59"/>
      <c r="T59" s="57"/>
      <c r="U59" s="57"/>
      <c r="V59" s="59"/>
      <c r="W59" s="59"/>
      <c r="X59" s="57"/>
      <c r="Y59" s="57"/>
      <c r="Z59" s="59"/>
      <c r="AA59" s="59"/>
      <c r="AB59" s="57"/>
      <c r="AC59" s="57"/>
      <c r="AD59" s="59"/>
      <c r="AE59" s="59"/>
      <c r="AF59" s="57"/>
      <c r="AG59" s="57"/>
      <c r="AH59" s="59"/>
      <c r="AI59" s="59"/>
      <c r="AJ59" s="57"/>
      <c r="AK59" s="57"/>
      <c r="AL59" s="59"/>
      <c r="AM59" s="59"/>
      <c r="AN59" s="59"/>
      <c r="AO59" s="60"/>
      <c r="AP59" s="57"/>
      <c r="AQ59" s="57"/>
      <c r="AR59" s="76" t="e">
        <f t="shared" si="0"/>
        <v>#VALUE!</v>
      </c>
    </row>
    <row r="60" spans="1:44" x14ac:dyDescent="0.3">
      <c r="A60" s="56"/>
      <c r="B60" s="57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8"/>
      <c r="R60" s="57"/>
      <c r="S60" s="59"/>
      <c r="T60" s="57"/>
      <c r="U60" s="57"/>
      <c r="V60" s="59"/>
      <c r="W60" s="59"/>
      <c r="X60" s="57"/>
      <c r="Y60" s="57"/>
      <c r="Z60" s="59"/>
      <c r="AA60" s="59"/>
      <c r="AB60" s="57"/>
      <c r="AC60" s="57"/>
      <c r="AD60" s="59"/>
      <c r="AE60" s="59"/>
      <c r="AF60" s="57"/>
      <c r="AG60" s="57"/>
      <c r="AH60" s="59"/>
      <c r="AI60" s="59"/>
      <c r="AJ60" s="57"/>
      <c r="AK60" s="57"/>
      <c r="AL60" s="59"/>
      <c r="AM60" s="59"/>
      <c r="AN60" s="59"/>
      <c r="AO60" s="60"/>
      <c r="AP60" s="57"/>
      <c r="AQ60" s="57"/>
      <c r="AR60" s="76" t="e">
        <f t="shared" si="0"/>
        <v>#VALUE!</v>
      </c>
    </row>
    <row r="61" spans="1:44" x14ac:dyDescent="0.3">
      <c r="A61" s="56"/>
      <c r="B61" s="57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8"/>
      <c r="R61" s="57"/>
      <c r="S61" s="59"/>
      <c r="T61" s="57"/>
      <c r="U61" s="57"/>
      <c r="V61" s="59"/>
      <c r="W61" s="59"/>
      <c r="X61" s="57"/>
      <c r="Y61" s="57"/>
      <c r="Z61" s="59"/>
      <c r="AA61" s="59"/>
      <c r="AB61" s="57"/>
      <c r="AC61" s="57"/>
      <c r="AD61" s="59"/>
      <c r="AE61" s="59"/>
      <c r="AF61" s="57"/>
      <c r="AG61" s="57"/>
      <c r="AH61" s="59"/>
      <c r="AI61" s="59"/>
      <c r="AJ61" s="57"/>
      <c r="AK61" s="57"/>
      <c r="AL61" s="59"/>
      <c r="AM61" s="59"/>
      <c r="AN61" s="59"/>
      <c r="AO61" s="60"/>
      <c r="AP61" s="57"/>
      <c r="AQ61" s="57"/>
      <c r="AR61" s="76" t="e">
        <f t="shared" si="0"/>
        <v>#VALUE!</v>
      </c>
    </row>
    <row r="62" spans="1:44" x14ac:dyDescent="0.3">
      <c r="A62" s="56"/>
      <c r="B62" s="57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8"/>
      <c r="R62" s="57"/>
      <c r="S62" s="59"/>
      <c r="T62" s="57"/>
      <c r="U62" s="57"/>
      <c r="V62" s="59"/>
      <c r="W62" s="59"/>
      <c r="X62" s="57"/>
      <c r="Y62" s="57"/>
      <c r="Z62" s="59"/>
      <c r="AA62" s="59"/>
      <c r="AB62" s="57"/>
      <c r="AC62" s="57"/>
      <c r="AD62" s="59"/>
      <c r="AE62" s="59"/>
      <c r="AF62" s="57"/>
      <c r="AG62" s="57"/>
      <c r="AH62" s="59"/>
      <c r="AI62" s="59"/>
      <c r="AJ62" s="57"/>
      <c r="AK62" s="57"/>
      <c r="AL62" s="59"/>
      <c r="AM62" s="59"/>
      <c r="AN62" s="59"/>
      <c r="AO62" s="60"/>
      <c r="AP62" s="57"/>
      <c r="AQ62" s="57"/>
      <c r="AR62" s="76" t="e">
        <f t="shared" si="0"/>
        <v>#VALUE!</v>
      </c>
    </row>
    <row r="63" spans="1:44" x14ac:dyDescent="0.3">
      <c r="A63" s="56"/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8"/>
      <c r="R63" s="57"/>
      <c r="S63" s="59"/>
      <c r="T63" s="57"/>
      <c r="U63" s="57"/>
      <c r="V63" s="59"/>
      <c r="W63" s="59"/>
      <c r="X63" s="57"/>
      <c r="Y63" s="57"/>
      <c r="Z63" s="59"/>
      <c r="AA63" s="59"/>
      <c r="AB63" s="57"/>
      <c r="AC63" s="57"/>
      <c r="AD63" s="59"/>
      <c r="AE63" s="59"/>
      <c r="AF63" s="57"/>
      <c r="AG63" s="57"/>
      <c r="AH63" s="59"/>
      <c r="AI63" s="59"/>
      <c r="AJ63" s="57"/>
      <c r="AK63" s="57"/>
      <c r="AL63" s="59"/>
      <c r="AM63" s="59"/>
      <c r="AN63" s="59"/>
      <c r="AO63" s="60"/>
      <c r="AP63" s="57"/>
      <c r="AQ63" s="57"/>
      <c r="AR63" s="76" t="e">
        <f t="shared" si="0"/>
        <v>#VALUE!</v>
      </c>
    </row>
    <row r="64" spans="1:44" x14ac:dyDescent="0.3">
      <c r="A64" s="56"/>
      <c r="B64" s="57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8"/>
      <c r="R64" s="57"/>
      <c r="S64" s="59"/>
      <c r="T64" s="57"/>
      <c r="U64" s="57"/>
      <c r="V64" s="59"/>
      <c r="W64" s="59"/>
      <c r="X64" s="57"/>
      <c r="Y64" s="57"/>
      <c r="Z64" s="59"/>
      <c r="AA64" s="59"/>
      <c r="AB64" s="57"/>
      <c r="AC64" s="57"/>
      <c r="AD64" s="59"/>
      <c r="AE64" s="59"/>
      <c r="AF64" s="57"/>
      <c r="AG64" s="57"/>
      <c r="AH64" s="59"/>
      <c r="AI64" s="59"/>
      <c r="AJ64" s="57"/>
      <c r="AK64" s="57"/>
      <c r="AL64" s="59"/>
      <c r="AM64" s="59"/>
      <c r="AN64" s="59"/>
      <c r="AO64" s="60"/>
      <c r="AP64" s="57"/>
      <c r="AQ64" s="57"/>
      <c r="AR64" s="76" t="e">
        <f t="shared" si="0"/>
        <v>#VALUE!</v>
      </c>
    </row>
    <row r="65" spans="1:44" x14ac:dyDescent="0.3">
      <c r="A65" s="56"/>
      <c r="B65" s="57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8"/>
      <c r="R65" s="57"/>
      <c r="S65" s="59"/>
      <c r="T65" s="57"/>
      <c r="U65" s="57"/>
      <c r="V65" s="59"/>
      <c r="W65" s="59"/>
      <c r="X65" s="57"/>
      <c r="Y65" s="57"/>
      <c r="Z65" s="59"/>
      <c r="AA65" s="59"/>
      <c r="AB65" s="57"/>
      <c r="AC65" s="57"/>
      <c r="AD65" s="59"/>
      <c r="AE65" s="59"/>
      <c r="AF65" s="57"/>
      <c r="AG65" s="57"/>
      <c r="AH65" s="59"/>
      <c r="AI65" s="59"/>
      <c r="AJ65" s="57"/>
      <c r="AK65" s="57"/>
      <c r="AL65" s="59"/>
      <c r="AM65" s="59"/>
      <c r="AN65" s="59"/>
      <c r="AO65" s="60"/>
      <c r="AP65" s="57"/>
      <c r="AQ65" s="57"/>
      <c r="AR65" s="76" t="e">
        <f t="shared" si="0"/>
        <v>#VALUE!</v>
      </c>
    </row>
    <row r="66" spans="1:44" x14ac:dyDescent="0.3">
      <c r="A66" s="56"/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8"/>
      <c r="R66" s="57"/>
      <c r="S66" s="59"/>
      <c r="T66" s="57"/>
      <c r="U66" s="57"/>
      <c r="V66" s="59"/>
      <c r="W66" s="59"/>
      <c r="X66" s="57"/>
      <c r="Y66" s="57"/>
      <c r="Z66" s="59"/>
      <c r="AA66" s="59"/>
      <c r="AB66" s="57"/>
      <c r="AC66" s="57"/>
      <c r="AD66" s="59"/>
      <c r="AE66" s="59"/>
      <c r="AF66" s="57"/>
      <c r="AG66" s="57"/>
      <c r="AH66" s="59"/>
      <c r="AI66" s="59"/>
      <c r="AJ66" s="57"/>
      <c r="AK66" s="57"/>
      <c r="AL66" s="59"/>
      <c r="AM66" s="59"/>
      <c r="AN66" s="59"/>
      <c r="AO66" s="60"/>
      <c r="AP66" s="57"/>
      <c r="AQ66" s="57"/>
      <c r="AR66" s="76" t="e">
        <f t="shared" si="0"/>
        <v>#VALUE!</v>
      </c>
    </row>
    <row r="67" spans="1:44" x14ac:dyDescent="0.3">
      <c r="A67" s="56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8"/>
      <c r="R67" s="57"/>
      <c r="S67" s="59"/>
      <c r="T67" s="57"/>
      <c r="U67" s="57"/>
      <c r="V67" s="59"/>
      <c r="W67" s="59"/>
      <c r="X67" s="57"/>
      <c r="Y67" s="57"/>
      <c r="Z67" s="59"/>
      <c r="AA67" s="59"/>
      <c r="AB67" s="57"/>
      <c r="AC67" s="57"/>
      <c r="AD67" s="59"/>
      <c r="AE67" s="59"/>
      <c r="AF67" s="57"/>
      <c r="AG67" s="57"/>
      <c r="AH67" s="59"/>
      <c r="AI67" s="59"/>
      <c r="AJ67" s="57"/>
      <c r="AK67" s="57"/>
      <c r="AL67" s="59"/>
      <c r="AM67" s="59"/>
      <c r="AN67" s="59"/>
      <c r="AO67" s="60"/>
      <c r="AP67" s="57"/>
      <c r="AQ67" s="57"/>
      <c r="AR67" s="76" t="e">
        <f t="shared" ref="AR67:AR100" si="2">43305+TIMEVALUE(SUBSTITUTE(AP67,";",":"))</f>
        <v>#VALUE!</v>
      </c>
    </row>
    <row r="68" spans="1:44" x14ac:dyDescent="0.3">
      <c r="A68" s="56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8"/>
      <c r="R68" s="57"/>
      <c r="S68" s="59"/>
      <c r="T68" s="57"/>
      <c r="U68" s="57"/>
      <c r="V68" s="59"/>
      <c r="W68" s="59"/>
      <c r="X68" s="57"/>
      <c r="Y68" s="57"/>
      <c r="Z68" s="59"/>
      <c r="AA68" s="59"/>
      <c r="AB68" s="57"/>
      <c r="AC68" s="57"/>
      <c r="AD68" s="59"/>
      <c r="AE68" s="59"/>
      <c r="AF68" s="57"/>
      <c r="AG68" s="57"/>
      <c r="AH68" s="59"/>
      <c r="AI68" s="59"/>
      <c r="AJ68" s="57"/>
      <c r="AK68" s="57"/>
      <c r="AL68" s="59"/>
      <c r="AM68" s="59"/>
      <c r="AN68" s="59"/>
      <c r="AO68" s="60"/>
      <c r="AP68" s="57"/>
      <c r="AQ68" s="57"/>
      <c r="AR68" s="76" t="e">
        <f t="shared" si="2"/>
        <v>#VALUE!</v>
      </c>
    </row>
    <row r="69" spans="1:44" x14ac:dyDescent="0.3">
      <c r="A69" s="56"/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8"/>
      <c r="R69" s="57"/>
      <c r="S69" s="59"/>
      <c r="T69" s="57"/>
      <c r="U69" s="57"/>
      <c r="V69" s="59"/>
      <c r="W69" s="59"/>
      <c r="X69" s="57"/>
      <c r="Y69" s="57"/>
      <c r="Z69" s="59"/>
      <c r="AA69" s="59"/>
      <c r="AB69" s="57"/>
      <c r="AC69" s="57"/>
      <c r="AD69" s="59"/>
      <c r="AE69" s="59"/>
      <c r="AF69" s="57"/>
      <c r="AG69" s="57"/>
      <c r="AH69" s="59"/>
      <c r="AI69" s="59"/>
      <c r="AJ69" s="57"/>
      <c r="AK69" s="57"/>
      <c r="AL69" s="59"/>
      <c r="AM69" s="59"/>
      <c r="AN69" s="59"/>
      <c r="AO69" s="60"/>
      <c r="AP69" s="57"/>
      <c r="AQ69" s="57"/>
      <c r="AR69" s="76" t="e">
        <f t="shared" si="2"/>
        <v>#VALUE!</v>
      </c>
    </row>
    <row r="70" spans="1:44" x14ac:dyDescent="0.3">
      <c r="A70" s="56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8"/>
      <c r="R70" s="57"/>
      <c r="S70" s="59"/>
      <c r="T70" s="57"/>
      <c r="U70" s="57"/>
      <c r="V70" s="59"/>
      <c r="W70" s="59"/>
      <c r="X70" s="57"/>
      <c r="Y70" s="57"/>
      <c r="Z70" s="59"/>
      <c r="AA70" s="59"/>
      <c r="AB70" s="57"/>
      <c r="AC70" s="57"/>
      <c r="AD70" s="59"/>
      <c r="AE70" s="59"/>
      <c r="AF70" s="57"/>
      <c r="AG70" s="57"/>
      <c r="AH70" s="59"/>
      <c r="AI70" s="59"/>
      <c r="AJ70" s="57"/>
      <c r="AK70" s="57"/>
      <c r="AL70" s="59"/>
      <c r="AM70" s="59"/>
      <c r="AN70" s="59"/>
      <c r="AO70" s="60"/>
      <c r="AP70" s="57"/>
      <c r="AQ70" s="57"/>
      <c r="AR70" s="76" t="e">
        <f t="shared" si="2"/>
        <v>#VALUE!</v>
      </c>
    </row>
    <row r="71" spans="1:44" x14ac:dyDescent="0.3">
      <c r="A71" s="56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8"/>
      <c r="R71" s="57"/>
      <c r="S71" s="59"/>
      <c r="T71" s="57"/>
      <c r="U71" s="57"/>
      <c r="V71" s="59"/>
      <c r="W71" s="59"/>
      <c r="X71" s="57"/>
      <c r="Y71" s="57"/>
      <c r="Z71" s="59"/>
      <c r="AA71" s="59"/>
      <c r="AB71" s="57"/>
      <c r="AC71" s="57"/>
      <c r="AD71" s="59"/>
      <c r="AE71" s="59"/>
      <c r="AF71" s="57"/>
      <c r="AG71" s="57"/>
      <c r="AH71" s="59"/>
      <c r="AI71" s="59"/>
      <c r="AJ71" s="57"/>
      <c r="AK71" s="57"/>
      <c r="AL71" s="59"/>
      <c r="AM71" s="59"/>
      <c r="AN71" s="59"/>
      <c r="AO71" s="60"/>
      <c r="AP71" s="57"/>
      <c r="AQ71" s="57"/>
      <c r="AR71" s="76" t="e">
        <f t="shared" si="2"/>
        <v>#VALUE!</v>
      </c>
    </row>
    <row r="72" spans="1:44" x14ac:dyDescent="0.3">
      <c r="A72" s="56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8"/>
      <c r="R72" s="57"/>
      <c r="S72" s="59"/>
      <c r="T72" s="57"/>
      <c r="U72" s="57"/>
      <c r="V72" s="59"/>
      <c r="W72" s="59"/>
      <c r="X72" s="57"/>
      <c r="Y72" s="57"/>
      <c r="Z72" s="59"/>
      <c r="AA72" s="59"/>
      <c r="AB72" s="57"/>
      <c r="AC72" s="57"/>
      <c r="AD72" s="59"/>
      <c r="AE72" s="59"/>
      <c r="AF72" s="57"/>
      <c r="AG72" s="57"/>
      <c r="AH72" s="59"/>
      <c r="AI72" s="59"/>
      <c r="AJ72" s="57"/>
      <c r="AK72" s="57"/>
      <c r="AL72" s="59"/>
      <c r="AM72" s="59"/>
      <c r="AN72" s="59"/>
      <c r="AO72" s="60"/>
      <c r="AP72" s="57"/>
      <c r="AQ72" s="57"/>
      <c r="AR72" s="76" t="e">
        <f t="shared" si="2"/>
        <v>#VALUE!</v>
      </c>
    </row>
    <row r="73" spans="1:44" x14ac:dyDescent="0.3">
      <c r="A73" s="56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8"/>
      <c r="R73" s="57"/>
      <c r="S73" s="59"/>
      <c r="T73" s="57"/>
      <c r="U73" s="57"/>
      <c r="V73" s="59"/>
      <c r="W73" s="59"/>
      <c r="X73" s="57"/>
      <c r="Y73" s="57"/>
      <c r="Z73" s="59"/>
      <c r="AA73" s="59"/>
      <c r="AB73" s="57"/>
      <c r="AC73" s="57"/>
      <c r="AD73" s="59"/>
      <c r="AE73" s="59"/>
      <c r="AF73" s="57"/>
      <c r="AG73" s="57"/>
      <c r="AH73" s="59"/>
      <c r="AI73" s="59"/>
      <c r="AJ73" s="57"/>
      <c r="AK73" s="57"/>
      <c r="AL73" s="59"/>
      <c r="AM73" s="59"/>
      <c r="AN73" s="59"/>
      <c r="AO73" s="60"/>
      <c r="AP73" s="57"/>
      <c r="AQ73" s="57"/>
      <c r="AR73" s="76" t="e">
        <f t="shared" si="2"/>
        <v>#VALUE!</v>
      </c>
    </row>
    <row r="74" spans="1:44" x14ac:dyDescent="0.3">
      <c r="A74" s="56"/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8"/>
      <c r="R74" s="57"/>
      <c r="S74" s="59"/>
      <c r="T74" s="57"/>
      <c r="U74" s="57"/>
      <c r="V74" s="59"/>
      <c r="W74" s="59"/>
      <c r="X74" s="57"/>
      <c r="Y74" s="57"/>
      <c r="Z74" s="59"/>
      <c r="AA74" s="59"/>
      <c r="AB74" s="57"/>
      <c r="AC74" s="57"/>
      <c r="AD74" s="59"/>
      <c r="AE74" s="59"/>
      <c r="AF74" s="57"/>
      <c r="AG74" s="57"/>
      <c r="AH74" s="59"/>
      <c r="AI74" s="59"/>
      <c r="AJ74" s="57"/>
      <c r="AK74" s="57"/>
      <c r="AL74" s="59"/>
      <c r="AM74" s="59"/>
      <c r="AN74" s="59"/>
      <c r="AO74" s="60"/>
      <c r="AP74" s="57"/>
      <c r="AQ74" s="57"/>
      <c r="AR74" s="76" t="e">
        <f t="shared" si="2"/>
        <v>#VALUE!</v>
      </c>
    </row>
    <row r="75" spans="1:44" x14ac:dyDescent="0.3">
      <c r="A75" s="56"/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8"/>
      <c r="R75" s="57"/>
      <c r="S75" s="59"/>
      <c r="T75" s="57"/>
      <c r="U75" s="57"/>
      <c r="V75" s="59"/>
      <c r="W75" s="59"/>
      <c r="X75" s="57"/>
      <c r="Y75" s="57"/>
      <c r="Z75" s="59"/>
      <c r="AA75" s="59"/>
      <c r="AB75" s="57"/>
      <c r="AC75" s="57"/>
      <c r="AD75" s="59"/>
      <c r="AE75" s="59"/>
      <c r="AF75" s="57"/>
      <c r="AG75" s="57"/>
      <c r="AH75" s="59"/>
      <c r="AI75" s="59"/>
      <c r="AJ75" s="57"/>
      <c r="AK75" s="57"/>
      <c r="AL75" s="59"/>
      <c r="AM75" s="59"/>
      <c r="AN75" s="59"/>
      <c r="AO75" s="60"/>
      <c r="AP75" s="57"/>
      <c r="AQ75" s="57"/>
      <c r="AR75" s="76" t="e">
        <f t="shared" si="2"/>
        <v>#VALUE!</v>
      </c>
    </row>
    <row r="76" spans="1:44" x14ac:dyDescent="0.3">
      <c r="A76" s="56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8"/>
      <c r="R76" s="57"/>
      <c r="S76" s="59"/>
      <c r="T76" s="57"/>
      <c r="U76" s="57"/>
      <c r="V76" s="59"/>
      <c r="W76" s="59"/>
      <c r="X76" s="57"/>
      <c r="Y76" s="57"/>
      <c r="Z76" s="59"/>
      <c r="AA76" s="59"/>
      <c r="AB76" s="57"/>
      <c r="AC76" s="57"/>
      <c r="AD76" s="59"/>
      <c r="AE76" s="59"/>
      <c r="AF76" s="57"/>
      <c r="AG76" s="57"/>
      <c r="AH76" s="59"/>
      <c r="AI76" s="59"/>
      <c r="AJ76" s="57"/>
      <c r="AK76" s="57"/>
      <c r="AL76" s="59"/>
      <c r="AM76" s="59"/>
      <c r="AN76" s="59"/>
      <c r="AO76" s="60"/>
      <c r="AP76" s="57"/>
      <c r="AQ76" s="57"/>
      <c r="AR76" s="76" t="e">
        <f t="shared" si="2"/>
        <v>#VALUE!</v>
      </c>
    </row>
    <row r="77" spans="1:44" x14ac:dyDescent="0.3">
      <c r="A77" s="56"/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  <c r="Q77" s="58"/>
      <c r="R77" s="57"/>
      <c r="S77" s="59"/>
      <c r="T77" s="57"/>
      <c r="U77" s="57"/>
      <c r="V77" s="59"/>
      <c r="W77" s="59"/>
      <c r="X77" s="57"/>
      <c r="Y77" s="57"/>
      <c r="Z77" s="59"/>
      <c r="AA77" s="59"/>
      <c r="AB77" s="57"/>
      <c r="AC77" s="57"/>
      <c r="AD77" s="59"/>
      <c r="AE77" s="59"/>
      <c r="AF77" s="57"/>
      <c r="AG77" s="57"/>
      <c r="AH77" s="59"/>
      <c r="AI77" s="59"/>
      <c r="AJ77" s="57"/>
      <c r="AK77" s="57"/>
      <c r="AL77" s="59"/>
      <c r="AM77" s="59"/>
      <c r="AN77" s="59"/>
      <c r="AO77" s="60"/>
      <c r="AP77" s="57"/>
      <c r="AQ77" s="57"/>
      <c r="AR77" s="76" t="e">
        <f t="shared" si="2"/>
        <v>#VALUE!</v>
      </c>
    </row>
    <row r="78" spans="1:44" x14ac:dyDescent="0.3">
      <c r="A78" s="56"/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  <c r="Q78" s="58"/>
      <c r="R78" s="57"/>
      <c r="S78" s="59"/>
      <c r="T78" s="57"/>
      <c r="U78" s="57"/>
      <c r="V78" s="59"/>
      <c r="W78" s="59"/>
      <c r="X78" s="57"/>
      <c r="Y78" s="57"/>
      <c r="Z78" s="59"/>
      <c r="AA78" s="59"/>
      <c r="AB78" s="57"/>
      <c r="AC78" s="57"/>
      <c r="AD78" s="59"/>
      <c r="AE78" s="59"/>
      <c r="AF78" s="57"/>
      <c r="AG78" s="57"/>
      <c r="AH78" s="59"/>
      <c r="AI78" s="59"/>
      <c r="AJ78" s="57"/>
      <c r="AK78" s="57"/>
      <c r="AL78" s="59"/>
      <c r="AM78" s="59"/>
      <c r="AN78" s="59"/>
      <c r="AO78" s="60"/>
      <c r="AP78" s="57"/>
      <c r="AQ78" s="57"/>
      <c r="AR78" s="76" t="e">
        <f t="shared" si="2"/>
        <v>#VALUE!</v>
      </c>
    </row>
    <row r="79" spans="1:44" x14ac:dyDescent="0.3">
      <c r="A79" s="56"/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  <c r="Q79" s="58"/>
      <c r="R79" s="57"/>
      <c r="S79" s="59"/>
      <c r="T79" s="57"/>
      <c r="U79" s="57"/>
      <c r="V79" s="59"/>
      <c r="W79" s="59"/>
      <c r="X79" s="57"/>
      <c r="Y79" s="57"/>
      <c r="Z79" s="59"/>
      <c r="AA79" s="59"/>
      <c r="AB79" s="57"/>
      <c r="AC79" s="57"/>
      <c r="AD79" s="59"/>
      <c r="AE79" s="59"/>
      <c r="AF79" s="57"/>
      <c r="AG79" s="57"/>
      <c r="AH79" s="59"/>
      <c r="AI79" s="59"/>
      <c r="AJ79" s="57"/>
      <c r="AK79" s="57"/>
      <c r="AL79" s="59"/>
      <c r="AM79" s="59"/>
      <c r="AN79" s="59"/>
      <c r="AO79" s="60"/>
      <c r="AP79" s="57"/>
      <c r="AQ79" s="57"/>
      <c r="AR79" s="76" t="e">
        <f t="shared" si="2"/>
        <v>#VALUE!</v>
      </c>
    </row>
    <row r="80" spans="1:44" x14ac:dyDescent="0.3">
      <c r="A80" s="56"/>
      <c r="B80" s="57"/>
      <c r="C80" s="57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7"/>
      <c r="P80" s="57"/>
      <c r="Q80" s="58"/>
      <c r="R80" s="57"/>
      <c r="S80" s="59"/>
      <c r="T80" s="57"/>
      <c r="U80" s="57"/>
      <c r="V80" s="59"/>
      <c r="W80" s="59"/>
      <c r="X80" s="57"/>
      <c r="Y80" s="57"/>
      <c r="Z80" s="59"/>
      <c r="AA80" s="59"/>
      <c r="AB80" s="57"/>
      <c r="AC80" s="57"/>
      <c r="AD80" s="59"/>
      <c r="AE80" s="59"/>
      <c r="AF80" s="57"/>
      <c r="AG80" s="57"/>
      <c r="AH80" s="59"/>
      <c r="AI80" s="59"/>
      <c r="AJ80" s="57"/>
      <c r="AK80" s="57"/>
      <c r="AL80" s="59"/>
      <c r="AM80" s="59"/>
      <c r="AN80" s="59"/>
      <c r="AO80" s="60"/>
      <c r="AP80" s="57"/>
      <c r="AQ80" s="57"/>
      <c r="AR80" s="76" t="e">
        <f t="shared" si="2"/>
        <v>#VALUE!</v>
      </c>
    </row>
    <row r="81" spans="1:44" x14ac:dyDescent="0.3">
      <c r="A81" s="56"/>
      <c r="B81" s="57"/>
      <c r="C81" s="57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/>
      <c r="Q81" s="58"/>
      <c r="R81" s="57"/>
      <c r="S81" s="59"/>
      <c r="T81" s="57"/>
      <c r="U81" s="57"/>
      <c r="V81" s="59"/>
      <c r="W81" s="59"/>
      <c r="X81" s="57"/>
      <c r="Y81" s="57"/>
      <c r="Z81" s="59"/>
      <c r="AA81" s="59"/>
      <c r="AB81" s="57"/>
      <c r="AC81" s="57"/>
      <c r="AD81" s="59"/>
      <c r="AE81" s="59"/>
      <c r="AF81" s="57"/>
      <c r="AG81" s="57"/>
      <c r="AH81" s="59"/>
      <c r="AI81" s="59"/>
      <c r="AJ81" s="57"/>
      <c r="AK81" s="57"/>
      <c r="AL81" s="59"/>
      <c r="AM81" s="59"/>
      <c r="AN81" s="59"/>
      <c r="AO81" s="60"/>
      <c r="AP81" s="57"/>
      <c r="AQ81" s="57"/>
      <c r="AR81" s="76" t="e">
        <f t="shared" si="2"/>
        <v>#VALUE!</v>
      </c>
    </row>
    <row r="82" spans="1:44" x14ac:dyDescent="0.3">
      <c r="A82" s="56"/>
      <c r="B82" s="57"/>
      <c r="C82" s="57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/>
      <c r="Q82" s="58"/>
      <c r="R82" s="57"/>
      <c r="S82" s="59"/>
      <c r="T82" s="57"/>
      <c r="U82" s="57"/>
      <c r="V82" s="59"/>
      <c r="W82" s="59"/>
      <c r="X82" s="57"/>
      <c r="Y82" s="57"/>
      <c r="Z82" s="59"/>
      <c r="AA82" s="59"/>
      <c r="AB82" s="57"/>
      <c r="AC82" s="57"/>
      <c r="AD82" s="59"/>
      <c r="AE82" s="59"/>
      <c r="AF82" s="57"/>
      <c r="AG82" s="57"/>
      <c r="AH82" s="59"/>
      <c r="AI82" s="59"/>
      <c r="AJ82" s="57"/>
      <c r="AK82" s="57"/>
      <c r="AL82" s="59"/>
      <c r="AM82" s="59"/>
      <c r="AN82" s="59"/>
      <c r="AO82" s="60"/>
      <c r="AP82" s="57"/>
      <c r="AQ82" s="57"/>
      <c r="AR82" s="76" t="e">
        <f t="shared" si="2"/>
        <v>#VALUE!</v>
      </c>
    </row>
    <row r="83" spans="1:44" x14ac:dyDescent="0.3">
      <c r="A83" s="56"/>
      <c r="B83" s="57"/>
      <c r="C83" s="57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/>
      <c r="Q83" s="58"/>
      <c r="R83" s="57"/>
      <c r="S83" s="59"/>
      <c r="T83" s="57"/>
      <c r="U83" s="57"/>
      <c r="V83" s="59"/>
      <c r="W83" s="59"/>
      <c r="X83" s="57"/>
      <c r="Y83" s="57"/>
      <c r="Z83" s="59"/>
      <c r="AA83" s="59"/>
      <c r="AB83" s="57"/>
      <c r="AC83" s="57"/>
      <c r="AD83" s="59"/>
      <c r="AE83" s="59"/>
      <c r="AF83" s="57"/>
      <c r="AG83" s="57"/>
      <c r="AH83" s="59"/>
      <c r="AI83" s="59"/>
      <c r="AJ83" s="57"/>
      <c r="AK83" s="57"/>
      <c r="AL83" s="59"/>
      <c r="AM83" s="59"/>
      <c r="AN83" s="59"/>
      <c r="AO83" s="60"/>
      <c r="AP83" s="57"/>
      <c r="AQ83" s="57"/>
      <c r="AR83" s="76" t="e">
        <f t="shared" si="2"/>
        <v>#VALUE!</v>
      </c>
    </row>
    <row r="84" spans="1:44" x14ac:dyDescent="0.3">
      <c r="A84" s="56"/>
      <c r="B84" s="57"/>
      <c r="C84" s="57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/>
      <c r="Q84" s="58"/>
      <c r="R84" s="57"/>
      <c r="S84" s="59"/>
      <c r="T84" s="57"/>
      <c r="U84" s="57"/>
      <c r="V84" s="59"/>
      <c r="W84" s="59"/>
      <c r="X84" s="57"/>
      <c r="Y84" s="57"/>
      <c r="Z84" s="59"/>
      <c r="AA84" s="59"/>
      <c r="AB84" s="57"/>
      <c r="AC84" s="57"/>
      <c r="AD84" s="59"/>
      <c r="AE84" s="59"/>
      <c r="AF84" s="57"/>
      <c r="AG84" s="57"/>
      <c r="AH84" s="59"/>
      <c r="AI84" s="59"/>
      <c r="AJ84" s="57"/>
      <c r="AK84" s="57"/>
      <c r="AL84" s="59"/>
      <c r="AM84" s="59"/>
      <c r="AN84" s="59"/>
      <c r="AO84" s="60"/>
      <c r="AP84" s="57"/>
      <c r="AQ84" s="57"/>
      <c r="AR84" s="76" t="e">
        <f t="shared" si="2"/>
        <v>#VALUE!</v>
      </c>
    </row>
    <row r="85" spans="1:44" x14ac:dyDescent="0.3">
      <c r="A85" s="56"/>
      <c r="B85" s="57"/>
      <c r="C85" s="57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/>
      <c r="Q85" s="58"/>
      <c r="R85" s="57"/>
      <c r="S85" s="59"/>
      <c r="T85" s="57"/>
      <c r="U85" s="57"/>
      <c r="V85" s="59"/>
      <c r="W85" s="59"/>
      <c r="X85" s="57"/>
      <c r="Y85" s="57"/>
      <c r="Z85" s="59"/>
      <c r="AA85" s="59"/>
      <c r="AB85" s="57"/>
      <c r="AC85" s="57"/>
      <c r="AD85" s="59"/>
      <c r="AE85" s="59"/>
      <c r="AF85" s="57"/>
      <c r="AG85" s="57"/>
      <c r="AH85" s="59"/>
      <c r="AI85" s="59"/>
      <c r="AJ85" s="57"/>
      <c r="AK85" s="57"/>
      <c r="AL85" s="59"/>
      <c r="AM85" s="59"/>
      <c r="AN85" s="59"/>
      <c r="AO85" s="60"/>
      <c r="AP85" s="57"/>
      <c r="AQ85" s="57"/>
      <c r="AR85" s="76" t="e">
        <f t="shared" si="2"/>
        <v>#VALUE!</v>
      </c>
    </row>
    <row r="86" spans="1:44" x14ac:dyDescent="0.3">
      <c r="A86" s="56"/>
      <c r="B86" s="57"/>
      <c r="C86" s="57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/>
      <c r="Q86" s="58"/>
      <c r="R86" s="57"/>
      <c r="S86" s="59"/>
      <c r="T86" s="57"/>
      <c r="U86" s="57"/>
      <c r="V86" s="59"/>
      <c r="W86" s="59"/>
      <c r="X86" s="57"/>
      <c r="Y86" s="57"/>
      <c r="Z86" s="59"/>
      <c r="AA86" s="59"/>
      <c r="AB86" s="57"/>
      <c r="AC86" s="57"/>
      <c r="AD86" s="59"/>
      <c r="AE86" s="59"/>
      <c r="AF86" s="57"/>
      <c r="AG86" s="57"/>
      <c r="AH86" s="59"/>
      <c r="AI86" s="59"/>
      <c r="AJ86" s="57"/>
      <c r="AK86" s="57"/>
      <c r="AL86" s="59"/>
      <c r="AM86" s="59"/>
      <c r="AN86" s="59"/>
      <c r="AO86" s="60"/>
      <c r="AP86" s="57"/>
      <c r="AQ86" s="57"/>
      <c r="AR86" s="76" t="e">
        <f t="shared" si="2"/>
        <v>#VALUE!</v>
      </c>
    </row>
    <row r="87" spans="1:44" x14ac:dyDescent="0.3">
      <c r="A87" s="56"/>
      <c r="B87" s="57"/>
      <c r="C87" s="57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/>
      <c r="Q87" s="58"/>
      <c r="R87" s="57"/>
      <c r="S87" s="59"/>
      <c r="T87" s="57"/>
      <c r="U87" s="57"/>
      <c r="V87" s="59"/>
      <c r="W87" s="59"/>
      <c r="X87" s="57"/>
      <c r="Y87" s="57"/>
      <c r="Z87" s="59"/>
      <c r="AA87" s="59"/>
      <c r="AB87" s="57"/>
      <c r="AC87" s="57"/>
      <c r="AD87" s="59"/>
      <c r="AE87" s="59"/>
      <c r="AF87" s="57"/>
      <c r="AG87" s="57"/>
      <c r="AH87" s="59"/>
      <c r="AI87" s="59"/>
      <c r="AJ87" s="57"/>
      <c r="AK87" s="57"/>
      <c r="AL87" s="59"/>
      <c r="AM87" s="59"/>
      <c r="AN87" s="59"/>
      <c r="AO87" s="60"/>
      <c r="AP87" s="57"/>
      <c r="AQ87" s="57"/>
      <c r="AR87" s="76" t="e">
        <f t="shared" si="2"/>
        <v>#VALUE!</v>
      </c>
    </row>
    <row r="88" spans="1:44" x14ac:dyDescent="0.3">
      <c r="A88" s="56"/>
      <c r="B88" s="57"/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8"/>
      <c r="R88" s="57"/>
      <c r="S88" s="59"/>
      <c r="T88" s="57"/>
      <c r="U88" s="57"/>
      <c r="V88" s="59"/>
      <c r="W88" s="59"/>
      <c r="X88" s="57"/>
      <c r="Y88" s="57"/>
      <c r="Z88" s="59"/>
      <c r="AA88" s="59"/>
      <c r="AB88" s="57"/>
      <c r="AC88" s="57"/>
      <c r="AD88" s="59"/>
      <c r="AE88" s="59"/>
      <c r="AF88" s="57"/>
      <c r="AG88" s="57"/>
      <c r="AH88" s="59"/>
      <c r="AI88" s="59"/>
      <c r="AJ88" s="57"/>
      <c r="AK88" s="57"/>
      <c r="AL88" s="59"/>
      <c r="AM88" s="59"/>
      <c r="AN88" s="59"/>
      <c r="AO88" s="60"/>
      <c r="AP88" s="57"/>
      <c r="AQ88" s="57"/>
      <c r="AR88" s="76" t="e">
        <f t="shared" si="2"/>
        <v>#VALUE!</v>
      </c>
    </row>
    <row r="89" spans="1:44" x14ac:dyDescent="0.3">
      <c r="A89" s="56"/>
      <c r="B89" s="57"/>
      <c r="C89" s="57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  <c r="Q89" s="58"/>
      <c r="R89" s="57"/>
      <c r="S89" s="59"/>
      <c r="T89" s="57"/>
      <c r="U89" s="57"/>
      <c r="V89" s="59"/>
      <c r="W89" s="59"/>
      <c r="X89" s="57"/>
      <c r="Y89" s="57"/>
      <c r="Z89" s="59"/>
      <c r="AA89" s="59"/>
      <c r="AB89" s="57"/>
      <c r="AC89" s="57"/>
      <c r="AD89" s="59"/>
      <c r="AE89" s="59"/>
      <c r="AF89" s="57"/>
      <c r="AG89" s="57"/>
      <c r="AH89" s="59"/>
      <c r="AI89" s="59"/>
      <c r="AJ89" s="57"/>
      <c r="AK89" s="57"/>
      <c r="AL89" s="59"/>
      <c r="AM89" s="59"/>
      <c r="AN89" s="59"/>
      <c r="AO89" s="60"/>
      <c r="AP89" s="57"/>
      <c r="AQ89" s="57"/>
      <c r="AR89" s="76" t="e">
        <f t="shared" si="2"/>
        <v>#VALUE!</v>
      </c>
    </row>
    <row r="90" spans="1:44" x14ac:dyDescent="0.3">
      <c r="A90" s="56"/>
      <c r="B90" s="57"/>
      <c r="C90" s="57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/>
      <c r="Q90" s="58"/>
      <c r="R90" s="57"/>
      <c r="S90" s="59"/>
      <c r="T90" s="57"/>
      <c r="U90" s="57"/>
      <c r="V90" s="59"/>
      <c r="W90" s="59"/>
      <c r="X90" s="57"/>
      <c r="Y90" s="57"/>
      <c r="Z90" s="59"/>
      <c r="AA90" s="59"/>
      <c r="AB90" s="57"/>
      <c r="AC90" s="57"/>
      <c r="AD90" s="59"/>
      <c r="AE90" s="59"/>
      <c r="AF90" s="57"/>
      <c r="AG90" s="57"/>
      <c r="AH90" s="59"/>
      <c r="AI90" s="59"/>
      <c r="AJ90" s="57"/>
      <c r="AK90" s="57"/>
      <c r="AL90" s="59"/>
      <c r="AM90" s="59"/>
      <c r="AN90" s="59"/>
      <c r="AO90" s="60"/>
      <c r="AP90" s="57"/>
      <c r="AQ90" s="57"/>
      <c r="AR90" s="76" t="e">
        <f t="shared" si="2"/>
        <v>#VALUE!</v>
      </c>
    </row>
    <row r="91" spans="1:44" x14ac:dyDescent="0.3">
      <c r="A91" s="56"/>
      <c r="B91" s="57"/>
      <c r="C91" s="57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/>
      <c r="Q91" s="58"/>
      <c r="R91" s="57"/>
      <c r="S91" s="59"/>
      <c r="T91" s="57"/>
      <c r="U91" s="57"/>
      <c r="V91" s="59"/>
      <c r="W91" s="59"/>
      <c r="X91" s="57"/>
      <c r="Y91" s="57"/>
      <c r="Z91" s="59"/>
      <c r="AA91" s="59"/>
      <c r="AB91" s="57"/>
      <c r="AC91" s="57"/>
      <c r="AD91" s="59"/>
      <c r="AE91" s="59"/>
      <c r="AF91" s="57"/>
      <c r="AG91" s="57"/>
      <c r="AH91" s="59"/>
      <c r="AI91" s="59"/>
      <c r="AJ91" s="57"/>
      <c r="AK91" s="57"/>
      <c r="AL91" s="59"/>
      <c r="AM91" s="59"/>
      <c r="AN91" s="59"/>
      <c r="AO91" s="60"/>
      <c r="AP91" s="57"/>
      <c r="AQ91" s="57"/>
      <c r="AR91" s="76" t="e">
        <f t="shared" si="2"/>
        <v>#VALUE!</v>
      </c>
    </row>
    <row r="92" spans="1:44" x14ac:dyDescent="0.3">
      <c r="A92" s="56"/>
      <c r="B92" s="57"/>
      <c r="C92" s="57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/>
      <c r="Q92" s="58"/>
      <c r="R92" s="57"/>
      <c r="S92" s="59"/>
      <c r="T92" s="57"/>
      <c r="U92" s="57"/>
      <c r="V92" s="59"/>
      <c r="W92" s="59"/>
      <c r="X92" s="57"/>
      <c r="Y92" s="57"/>
      <c r="Z92" s="59"/>
      <c r="AA92" s="59"/>
      <c r="AB92" s="57"/>
      <c r="AC92" s="57"/>
      <c r="AD92" s="59"/>
      <c r="AE92" s="59"/>
      <c r="AF92" s="57"/>
      <c r="AG92" s="57"/>
      <c r="AH92" s="59"/>
      <c r="AI92" s="59"/>
      <c r="AJ92" s="57"/>
      <c r="AK92" s="57"/>
      <c r="AL92" s="59"/>
      <c r="AM92" s="59"/>
      <c r="AN92" s="59"/>
      <c r="AO92" s="60"/>
      <c r="AP92" s="57"/>
      <c r="AQ92" s="57"/>
      <c r="AR92" s="76" t="e">
        <f t="shared" si="2"/>
        <v>#VALUE!</v>
      </c>
    </row>
    <row r="93" spans="1:44" x14ac:dyDescent="0.3">
      <c r="A93" s="56"/>
      <c r="B93" s="57"/>
      <c r="C93" s="57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/>
      <c r="Q93" s="58"/>
      <c r="R93" s="57"/>
      <c r="S93" s="59"/>
      <c r="T93" s="57"/>
      <c r="U93" s="57"/>
      <c r="V93" s="59"/>
      <c r="W93" s="59"/>
      <c r="X93" s="57"/>
      <c r="Y93" s="57"/>
      <c r="Z93" s="59"/>
      <c r="AA93" s="59"/>
      <c r="AB93" s="57"/>
      <c r="AC93" s="57"/>
      <c r="AD93" s="59"/>
      <c r="AE93" s="59"/>
      <c r="AF93" s="57"/>
      <c r="AG93" s="57"/>
      <c r="AH93" s="59"/>
      <c r="AI93" s="59"/>
      <c r="AJ93" s="57"/>
      <c r="AK93" s="57"/>
      <c r="AL93" s="59"/>
      <c r="AM93" s="59"/>
      <c r="AN93" s="59"/>
      <c r="AO93" s="60"/>
      <c r="AP93" s="57"/>
      <c r="AQ93" s="57"/>
      <c r="AR93" s="76" t="e">
        <f t="shared" si="2"/>
        <v>#VALUE!</v>
      </c>
    </row>
    <row r="94" spans="1:44" x14ac:dyDescent="0.3">
      <c r="A94" s="56"/>
      <c r="B94" s="57"/>
      <c r="C94" s="57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/>
      <c r="Q94" s="58"/>
      <c r="R94" s="57"/>
      <c r="S94" s="59"/>
      <c r="T94" s="57"/>
      <c r="U94" s="57"/>
      <c r="V94" s="59"/>
      <c r="W94" s="59"/>
      <c r="X94" s="57"/>
      <c r="Y94" s="57"/>
      <c r="Z94" s="59"/>
      <c r="AA94" s="59"/>
      <c r="AB94" s="57"/>
      <c r="AC94" s="57"/>
      <c r="AD94" s="59"/>
      <c r="AE94" s="59"/>
      <c r="AF94" s="57"/>
      <c r="AG94" s="57"/>
      <c r="AH94" s="59"/>
      <c r="AI94" s="59"/>
      <c r="AJ94" s="57"/>
      <c r="AK94" s="57"/>
      <c r="AL94" s="59"/>
      <c r="AM94" s="59"/>
      <c r="AN94" s="59"/>
      <c r="AO94" s="60"/>
      <c r="AP94" s="57"/>
      <c r="AQ94" s="57"/>
      <c r="AR94" s="76" t="e">
        <f t="shared" si="2"/>
        <v>#VALUE!</v>
      </c>
    </row>
    <row r="95" spans="1:44" x14ac:dyDescent="0.3">
      <c r="A95" s="56"/>
      <c r="B95" s="57"/>
      <c r="C95" s="57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/>
      <c r="Q95" s="58"/>
      <c r="R95" s="57"/>
      <c r="S95" s="59"/>
      <c r="T95" s="57"/>
      <c r="U95" s="57"/>
      <c r="V95" s="59"/>
      <c r="W95" s="59"/>
      <c r="X95" s="57"/>
      <c r="Y95" s="57"/>
      <c r="Z95" s="59"/>
      <c r="AA95" s="59"/>
      <c r="AB95" s="57"/>
      <c r="AC95" s="57"/>
      <c r="AD95" s="59"/>
      <c r="AE95" s="59"/>
      <c r="AF95" s="57"/>
      <c r="AG95" s="57"/>
      <c r="AH95" s="59"/>
      <c r="AI95" s="59"/>
      <c r="AJ95" s="57"/>
      <c r="AK95" s="57"/>
      <c r="AL95" s="59"/>
      <c r="AM95" s="59"/>
      <c r="AN95" s="59"/>
      <c r="AO95" s="60"/>
      <c r="AP95" s="57"/>
      <c r="AQ95" s="57"/>
      <c r="AR95" s="76" t="e">
        <f t="shared" si="2"/>
        <v>#VALUE!</v>
      </c>
    </row>
    <row r="96" spans="1:44" x14ac:dyDescent="0.3">
      <c r="A96" s="56"/>
      <c r="B96" s="57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/>
      <c r="Q96" s="58"/>
      <c r="R96" s="57"/>
      <c r="S96" s="59"/>
      <c r="T96" s="57"/>
      <c r="U96" s="57"/>
      <c r="V96" s="59"/>
      <c r="W96" s="59"/>
      <c r="X96" s="57"/>
      <c r="Y96" s="57"/>
      <c r="Z96" s="59"/>
      <c r="AA96" s="59"/>
      <c r="AB96" s="57"/>
      <c r="AC96" s="57"/>
      <c r="AD96" s="59"/>
      <c r="AE96" s="59"/>
      <c r="AF96" s="57"/>
      <c r="AG96" s="57"/>
      <c r="AH96" s="59"/>
      <c r="AI96" s="59"/>
      <c r="AJ96" s="57"/>
      <c r="AK96" s="57"/>
      <c r="AL96" s="59"/>
      <c r="AM96" s="59"/>
      <c r="AN96" s="59"/>
      <c r="AO96" s="60"/>
      <c r="AP96" s="57"/>
      <c r="AQ96" s="57"/>
      <c r="AR96" s="76" t="e">
        <f t="shared" si="2"/>
        <v>#VALUE!</v>
      </c>
    </row>
    <row r="97" spans="1:44" x14ac:dyDescent="0.3">
      <c r="A97" s="56"/>
      <c r="B97" s="57"/>
      <c r="C97" s="57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/>
      <c r="P97" s="57"/>
      <c r="Q97" s="58"/>
      <c r="R97" s="57"/>
      <c r="S97" s="59"/>
      <c r="T97" s="57"/>
      <c r="U97" s="57"/>
      <c r="V97" s="59"/>
      <c r="W97" s="59"/>
      <c r="X97" s="57"/>
      <c r="Y97" s="57"/>
      <c r="Z97" s="59"/>
      <c r="AA97" s="59"/>
      <c r="AB97" s="57"/>
      <c r="AC97" s="57"/>
      <c r="AD97" s="59"/>
      <c r="AE97" s="59"/>
      <c r="AF97" s="57"/>
      <c r="AG97" s="57"/>
      <c r="AH97" s="59"/>
      <c r="AI97" s="59"/>
      <c r="AJ97" s="57"/>
      <c r="AK97" s="57"/>
      <c r="AL97" s="59"/>
      <c r="AM97" s="59"/>
      <c r="AN97" s="59"/>
      <c r="AO97" s="60"/>
      <c r="AP97" s="57"/>
      <c r="AQ97" s="57"/>
      <c r="AR97" s="76" t="e">
        <f t="shared" si="2"/>
        <v>#VALUE!</v>
      </c>
    </row>
    <row r="98" spans="1:44" x14ac:dyDescent="0.3">
      <c r="A98" s="56"/>
      <c r="B98" s="57"/>
      <c r="C98" s="57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/>
      <c r="Q98" s="58"/>
      <c r="R98" s="57"/>
      <c r="S98" s="59"/>
      <c r="T98" s="57"/>
      <c r="U98" s="57"/>
      <c r="V98" s="59"/>
      <c r="W98" s="59"/>
      <c r="X98" s="57"/>
      <c r="Y98" s="57"/>
      <c r="Z98" s="59"/>
      <c r="AA98" s="59"/>
      <c r="AB98" s="57"/>
      <c r="AC98" s="57"/>
      <c r="AD98" s="59"/>
      <c r="AE98" s="59"/>
      <c r="AF98" s="57"/>
      <c r="AG98" s="57"/>
      <c r="AH98" s="59"/>
      <c r="AI98" s="59"/>
      <c r="AJ98" s="57"/>
      <c r="AK98" s="57"/>
      <c r="AL98" s="59"/>
      <c r="AM98" s="59"/>
      <c r="AN98" s="59"/>
      <c r="AO98" s="60"/>
      <c r="AP98" s="57"/>
      <c r="AQ98" s="57"/>
      <c r="AR98" s="76" t="e">
        <f t="shared" si="2"/>
        <v>#VALUE!</v>
      </c>
    </row>
    <row r="99" spans="1:44" x14ac:dyDescent="0.3">
      <c r="A99" s="56"/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/>
      <c r="Q99" s="58"/>
      <c r="R99" s="57"/>
      <c r="S99" s="59"/>
      <c r="T99" s="57"/>
      <c r="U99" s="57"/>
      <c r="V99" s="59"/>
      <c r="W99" s="59"/>
      <c r="X99" s="57"/>
      <c r="Y99" s="57"/>
      <c r="Z99" s="59"/>
      <c r="AA99" s="59"/>
      <c r="AB99" s="57"/>
      <c r="AC99" s="57"/>
      <c r="AD99" s="59"/>
      <c r="AE99" s="59"/>
      <c r="AF99" s="57"/>
      <c r="AG99" s="57"/>
      <c r="AH99" s="59"/>
      <c r="AI99" s="59"/>
      <c r="AJ99" s="57"/>
      <c r="AK99" s="57"/>
      <c r="AL99" s="59"/>
      <c r="AM99" s="59"/>
      <c r="AN99" s="59"/>
      <c r="AO99" s="60"/>
      <c r="AP99" s="57"/>
      <c r="AQ99" s="57"/>
      <c r="AR99" s="76" t="e">
        <f t="shared" si="2"/>
        <v>#VALUE!</v>
      </c>
    </row>
    <row r="100" spans="1:44" x14ac:dyDescent="0.3">
      <c r="A100" s="56"/>
      <c r="B100" s="57"/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/>
      <c r="Q100" s="58"/>
      <c r="R100" s="57"/>
      <c r="S100" s="59"/>
      <c r="T100" s="57"/>
      <c r="U100" s="57"/>
      <c r="V100" s="59"/>
      <c r="W100" s="59"/>
      <c r="X100" s="57"/>
      <c r="Y100" s="57"/>
      <c r="Z100" s="59"/>
      <c r="AA100" s="59"/>
      <c r="AB100" s="57"/>
      <c r="AC100" s="57"/>
      <c r="AD100" s="59"/>
      <c r="AE100" s="59"/>
      <c r="AF100" s="57"/>
      <c r="AG100" s="57"/>
      <c r="AH100" s="59"/>
      <c r="AI100" s="59"/>
      <c r="AJ100" s="57"/>
      <c r="AK100" s="57"/>
      <c r="AL100" s="59"/>
      <c r="AM100" s="59"/>
      <c r="AN100" s="59"/>
      <c r="AO100" s="60"/>
      <c r="AP100" s="57"/>
      <c r="AQ100" s="57"/>
      <c r="AR100" s="76" t="e">
        <f t="shared" si="2"/>
        <v>#VALUE!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updateGraphData">
                <anchor moveWithCells="1" sizeWithCells="1">
                  <from>
                    <xdr:col>0</xdr:col>
                    <xdr:colOff>0</xdr:colOff>
                    <xdr:row>0</xdr:row>
                    <xdr:rowOff>106680</xdr:rowOff>
                  </from>
                  <to>
                    <xdr:col>1</xdr:col>
                    <xdr:colOff>60960</xdr:colOff>
                    <xdr:row>0</xdr:row>
                    <xdr:rowOff>396240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toExcel">
                <anchor moveWithCells="1" sizeWithCells="1">
                  <from>
                    <xdr:col>1</xdr:col>
                    <xdr:colOff>99060</xdr:colOff>
                    <xdr:row>0</xdr:row>
                    <xdr:rowOff>114300</xdr:rowOff>
                  </from>
                  <to>
                    <xdr:col>2</xdr:col>
                    <xdr:colOff>571500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tartTimer">
                <anchor moveWithCells="1" sizeWithCells="1">
                  <from>
                    <xdr:col>0</xdr:col>
                    <xdr:colOff>7620</xdr:colOff>
                    <xdr:row>0</xdr:row>
                    <xdr:rowOff>434340</xdr:rowOff>
                  </from>
                  <to>
                    <xdr:col>0</xdr:col>
                    <xdr:colOff>784860</xdr:colOff>
                    <xdr:row>0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Stop_Timer">
                <anchor moveWithCells="1" sizeWithCells="1">
                  <from>
                    <xdr:col>1</xdr:col>
                    <xdr:colOff>7620</xdr:colOff>
                    <xdr:row>0</xdr:row>
                    <xdr:rowOff>449580</xdr:rowOff>
                  </from>
                  <to>
                    <xdr:col>2</xdr:col>
                    <xdr:colOff>236220</xdr:colOff>
                    <xdr:row>0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8" name="Spinner 13">
              <controlPr defaultSize="0" autoPict="0">
                <anchor moveWithCells="1" sizeWithCells="1">
                  <from>
                    <xdr:col>2</xdr:col>
                    <xdr:colOff>373380</xdr:colOff>
                    <xdr:row>0</xdr:row>
                    <xdr:rowOff>457200</xdr:rowOff>
                  </from>
                  <to>
                    <xdr:col>3</xdr:col>
                    <xdr:colOff>7620</xdr:colOff>
                    <xdr:row>0</xdr:row>
                    <xdr:rowOff>1097280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 tint="0.39997558519241921"/>
  </sheetPr>
  <dimension ref="A1:B9"/>
  <sheetViews>
    <sheetView zoomScale="70" zoomScaleNormal="70" workbookViewId="0">
      <selection activeCell="J24" sqref="J24"/>
    </sheetView>
  </sheetViews>
  <sheetFormatPr defaultRowHeight="14.4" x14ac:dyDescent="0.3"/>
  <cols>
    <col min="1" max="1" width="17.88671875" bestFit="1" customWidth="1"/>
    <col min="2" max="2" width="14.6640625" bestFit="1" customWidth="1"/>
    <col min="32" max="32" width="14.44140625" customWidth="1"/>
  </cols>
  <sheetData>
    <row r="1" spans="1:2" x14ac:dyDescent="0.3">
      <c r="A1" s="83" t="s">
        <v>4816</v>
      </c>
      <c r="B1" s="84"/>
    </row>
    <row r="2" spans="1:2" x14ac:dyDescent="0.3">
      <c r="A2" s="81" t="s">
        <v>4817</v>
      </c>
      <c r="B2" s="82">
        <v>43302.375</v>
      </c>
    </row>
    <row r="3" spans="1:2" x14ac:dyDescent="0.3">
      <c r="A3" s="81" t="s">
        <v>4818</v>
      </c>
      <c r="B3" s="50">
        <v>43302.645833333299</v>
      </c>
    </row>
    <row r="4" spans="1:2" x14ac:dyDescent="0.3">
      <c r="A4" s="83" t="s">
        <v>4819</v>
      </c>
      <c r="B4" s="84"/>
    </row>
    <row r="5" spans="1:2" x14ac:dyDescent="0.3">
      <c r="A5" s="81" t="s">
        <v>4820</v>
      </c>
      <c r="B5" s="50">
        <v>1.0416666666666701E-2</v>
      </c>
    </row>
    <row r="6" spans="1:2" x14ac:dyDescent="0.3">
      <c r="A6" s="81" t="s">
        <v>4821</v>
      </c>
      <c r="B6" s="50">
        <f>B5/5</f>
        <v>2.0833333333333402E-3</v>
      </c>
    </row>
    <row r="7" spans="1:2" x14ac:dyDescent="0.3">
      <c r="A7" s="83" t="s">
        <v>4832</v>
      </c>
      <c r="B7" s="84"/>
    </row>
    <row r="8" spans="1:2" x14ac:dyDescent="0.3">
      <c r="A8" s="81" t="s">
        <v>4831</v>
      </c>
      <c r="B8" s="50">
        <v>4</v>
      </c>
    </row>
    <row r="9" spans="1:2" x14ac:dyDescent="0.3">
      <c r="A9" s="81"/>
      <c r="B9" s="50"/>
    </row>
  </sheetData>
  <mergeCells count="3">
    <mergeCell ref="A1:B1"/>
    <mergeCell ref="A4:B4"/>
    <mergeCell ref="A7:B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4"/>
  <sheetViews>
    <sheetView workbookViewId="0">
      <selection activeCell="B6" sqref="B6"/>
    </sheetView>
  </sheetViews>
  <sheetFormatPr defaultRowHeight="14.4" x14ac:dyDescent="0.3"/>
  <cols>
    <col min="1" max="1" width="18.109375" bestFit="1" customWidth="1"/>
    <col min="2" max="2" width="20.33203125" bestFit="1" customWidth="1"/>
    <col min="3" max="3" width="9.6640625" bestFit="1" customWidth="1"/>
    <col min="4" max="4" width="7.21875" customWidth="1"/>
    <col min="5" max="5" width="6.6640625" customWidth="1"/>
    <col min="6" max="6" width="4.109375" customWidth="1"/>
    <col min="7" max="7" width="5.77734375" customWidth="1"/>
    <col min="8" max="8" width="6.77734375" customWidth="1"/>
    <col min="9" max="9" width="7.5546875" customWidth="1"/>
    <col min="10" max="10" width="12.5546875" bestFit="1" customWidth="1"/>
  </cols>
  <sheetData>
    <row r="1" spans="1:11" x14ac:dyDescent="0.3">
      <c r="A1" s="74">
        <v>43302</v>
      </c>
      <c r="B1" s="65">
        <f>A1</f>
        <v>43302</v>
      </c>
      <c r="C1" t="s">
        <v>4812</v>
      </c>
      <c r="D1" t="s">
        <v>4811</v>
      </c>
    </row>
    <row r="2" spans="1:11" x14ac:dyDescent="0.3">
      <c r="A2" s="74">
        <f>B2</f>
        <v>1</v>
      </c>
      <c r="B2" s="65">
        <v>1</v>
      </c>
    </row>
    <row r="3" spans="1:11" x14ac:dyDescent="0.3">
      <c r="A3" s="74">
        <v>1.0034722222222223</v>
      </c>
      <c r="B3" s="75">
        <f>A3</f>
        <v>1.0034722222222223</v>
      </c>
      <c r="F3" t="s">
        <v>4810</v>
      </c>
      <c r="G3" t="s">
        <v>4809</v>
      </c>
      <c r="H3" t="s">
        <v>4808</v>
      </c>
      <c r="I3" t="s">
        <v>4807</v>
      </c>
    </row>
    <row r="4" spans="1:11" x14ac:dyDescent="0.3">
      <c r="A4" s="74">
        <v>1.000011574074074</v>
      </c>
      <c r="B4" s="73">
        <f>A4</f>
        <v>1.000011574074074</v>
      </c>
      <c r="F4">
        <v>1</v>
      </c>
      <c r="G4">
        <v>24</v>
      </c>
      <c r="H4">
        <f>G4*60</f>
        <v>1440</v>
      </c>
      <c r="I4">
        <f>H4*60</f>
        <v>86400</v>
      </c>
    </row>
    <row r="5" spans="1:11" x14ac:dyDescent="0.3">
      <c r="A5" s="69">
        <v>43301.375</v>
      </c>
      <c r="B5" s="68">
        <f>A5</f>
        <v>43301.375</v>
      </c>
      <c r="C5" s="72"/>
      <c r="H5">
        <v>5</v>
      </c>
      <c r="I5" s="71"/>
      <c r="J5" s="70">
        <f>F5/F4+G5/G4+H5/H4+I5/I4</f>
        <v>3.472222222222222E-3</v>
      </c>
      <c r="K5" t="s">
        <v>4813</v>
      </c>
    </row>
    <row r="6" spans="1:11" x14ac:dyDescent="0.3">
      <c r="A6" s="69">
        <v>43301.666666666664</v>
      </c>
      <c r="B6" s="68">
        <f>A6</f>
        <v>43301.666666666664</v>
      </c>
      <c r="C6" s="67">
        <f>B6-B5</f>
        <v>0.29166666666424135</v>
      </c>
      <c r="D6" s="66" t="s">
        <v>4806</v>
      </c>
      <c r="E6" s="65">
        <f>C6/J5</f>
        <v>83.999999999301508</v>
      </c>
      <c r="K6" t="s">
        <v>4814</v>
      </c>
    </row>
    <row r="13" spans="1:11" x14ac:dyDescent="0.3">
      <c r="E13" t="s">
        <v>4804</v>
      </c>
      <c r="F13" t="s">
        <v>4805</v>
      </c>
    </row>
    <row r="14" spans="1:11" x14ac:dyDescent="0.3">
      <c r="E14" s="54">
        <v>0.14722222222222223</v>
      </c>
      <c r="F14">
        <v>3</v>
      </c>
    </row>
    <row r="15" spans="1:11" x14ac:dyDescent="0.3">
      <c r="E15" s="54">
        <f t="shared" ref="E15:E24" si="0">E14+H15</f>
        <v>0.15069444444444444</v>
      </c>
      <c r="F15">
        <v>4</v>
      </c>
      <c r="H15" s="55">
        <v>3.472222222222222E-3</v>
      </c>
    </row>
    <row r="16" spans="1:11" x14ac:dyDescent="0.3">
      <c r="E16" s="54">
        <f t="shared" si="0"/>
        <v>0.15416666666666665</v>
      </c>
      <c r="F16">
        <v>5</v>
      </c>
      <c r="H16" s="55">
        <v>3.472222222222222E-3</v>
      </c>
    </row>
    <row r="17" spans="5:8" x14ac:dyDescent="0.3">
      <c r="E17" s="54">
        <f t="shared" si="0"/>
        <v>0.15763888888888886</v>
      </c>
      <c r="F17">
        <v>23</v>
      </c>
      <c r="H17" s="55">
        <v>3.472222222222222E-3</v>
      </c>
    </row>
    <row r="18" spans="5:8" x14ac:dyDescent="0.3">
      <c r="E18" s="54">
        <f t="shared" si="0"/>
        <v>0.16111111111111107</v>
      </c>
      <c r="F18">
        <v>34</v>
      </c>
      <c r="H18" s="55">
        <v>3.472222222222222E-3</v>
      </c>
    </row>
    <row r="19" spans="5:8" x14ac:dyDescent="0.3">
      <c r="E19" s="54">
        <f t="shared" si="0"/>
        <v>0.16458333333333328</v>
      </c>
      <c r="F19">
        <v>66</v>
      </c>
      <c r="H19" s="55">
        <v>3.472222222222222E-3</v>
      </c>
    </row>
    <row r="20" spans="5:8" x14ac:dyDescent="0.3">
      <c r="E20" s="54">
        <f t="shared" si="0"/>
        <v>0.16805555555555549</v>
      </c>
      <c r="F20">
        <v>34</v>
      </c>
      <c r="H20" s="55">
        <v>3.472222222222222E-3</v>
      </c>
    </row>
    <row r="21" spans="5:8" x14ac:dyDescent="0.3">
      <c r="E21" s="54">
        <f t="shared" si="0"/>
        <v>0.1715277777777777</v>
      </c>
      <c r="F21">
        <v>4</v>
      </c>
      <c r="H21" s="55">
        <v>3.472222222222222E-3</v>
      </c>
    </row>
    <row r="22" spans="5:8" x14ac:dyDescent="0.3">
      <c r="E22" s="54">
        <f t="shared" si="0"/>
        <v>0.17499999999999991</v>
      </c>
      <c r="F22">
        <v>23</v>
      </c>
      <c r="H22" s="55">
        <v>3.472222222222222E-3</v>
      </c>
    </row>
    <row r="23" spans="5:8" x14ac:dyDescent="0.3">
      <c r="E23" s="54">
        <f t="shared" si="0"/>
        <v>0.17847222222222212</v>
      </c>
      <c r="F23">
        <v>12</v>
      </c>
      <c r="H23" s="55">
        <v>3.472222222222222E-3</v>
      </c>
    </row>
    <row r="24" spans="5:8" x14ac:dyDescent="0.3">
      <c r="E24" s="54">
        <f t="shared" si="0"/>
        <v>0.18194444444444433</v>
      </c>
      <c r="F24">
        <v>66</v>
      </c>
      <c r="H24" s="55">
        <v>3.472222222222222E-3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Portfolio</vt:lpstr>
      <vt:lpstr>nse</vt:lpstr>
      <vt:lpstr>Stocks</vt:lpstr>
      <vt:lpstr>Sheet1</vt:lpstr>
      <vt:lpstr>Export Data</vt:lpstr>
      <vt:lpstr>Basic data</vt:lpstr>
      <vt:lpstr>Rough Calculation</vt:lpstr>
      <vt:lpstr>TotalBuySellGraph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Paripurnachari</dc:creator>
  <cp:lastModifiedBy>Gupta, Vikram</cp:lastModifiedBy>
  <dcterms:created xsi:type="dcterms:W3CDTF">2014-12-12T09:19:51Z</dcterms:created>
  <dcterms:modified xsi:type="dcterms:W3CDTF">2018-07-24T07:26:47Z</dcterms:modified>
</cp:coreProperties>
</file>