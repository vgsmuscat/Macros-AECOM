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Zone 8" sheetId="6" r:id="rId1"/>
    <sheet name="EH and F1" sheetId="4" r:id="rId2"/>
    <sheet name="EH and F2" sheetId="1" r:id="rId3"/>
    <sheet name=" CC &amp; CCCP" sheetId="2" r:id="rId4"/>
    <sheet name="Summary" sheetId="7" r:id="rId5"/>
    <sheet name="List of Holidays - DMICDC" sheetId="8" state="hidden" r:id="rId6"/>
    <sheet name="Curve Sheet" sheetId="9" state="hidden" r:id="rId7"/>
  </sheets>
  <functionGroups builtInGroupCount="18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_123Graph_D" localSheetId="5" hidden="1">'[1]ARC308-1'!#REF!</definedName>
    <definedName name="__123Graph_D" hidden="1">'[1]ARC308-1'!#REF!</definedName>
    <definedName name="_ab1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1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Fill" localSheetId="5" hidden="1">[2]BHANDUP!#REF!</definedName>
    <definedName name="_Fill" hidden="1">[2]BHANDUP!#REF!</definedName>
    <definedName name="_Fill1" localSheetId="5" hidden="1">'[3] '!#REF!</definedName>
    <definedName name="_Fill1" hidden="1">'[3] '!#REF!</definedName>
    <definedName name="_xlnm._FilterDatabase" localSheetId="5" hidden="1">#REF!</definedName>
    <definedName name="_xlnm._FilterDatabase" hidden="1">#REF!</definedName>
    <definedName name="_Key1" localSheetId="5" hidden="1">#REF!</definedName>
    <definedName name="_Key1" hidden="1">#REF!</definedName>
    <definedName name="_Key2" localSheetId="5" hidden="1">#REF!</definedName>
    <definedName name="_Key2" hidden="1">#REF!</definedName>
    <definedName name="_MatInverse_In" localSheetId="5" hidden="1">#REF!</definedName>
    <definedName name="_MatInverse_In" hidden="1">#REF!</definedName>
    <definedName name="_old3" localSheetId="5" hidden="1">{#N/A,#N/A,FALSE,"Summary";#N/A,#N/A,FALSE,"3TJ";#N/A,#N/A,FALSE,"3TN";#N/A,#N/A,FALSE,"3TP";#N/A,#N/A,FALSE,"3SJ";#N/A,#N/A,FALSE,"3CJ";#N/A,#N/A,FALSE,"3CN";#N/A,#N/A,FALSE,"3CP";#N/A,#N/A,FALSE,"3A"}</definedName>
    <definedName name="_old3" hidden="1">{#N/A,#N/A,FALSE,"Summary";#N/A,#N/A,FALSE,"3TJ";#N/A,#N/A,FALSE,"3TN";#N/A,#N/A,FALSE,"3TP";#N/A,#N/A,FALSE,"3SJ";#N/A,#N/A,FALSE,"3CJ";#N/A,#N/A,FALSE,"3CN";#N/A,#N/A,FALSE,"3CP";#N/A,#N/A,FALSE,"3A"}</definedName>
    <definedName name="_old5" localSheetId="5" hidden="1">{#N/A,#N/A,FALSE,"Summary";#N/A,#N/A,FALSE,"3TJ";#N/A,#N/A,FALSE,"3TN";#N/A,#N/A,FALSE,"3TP";#N/A,#N/A,FALSE,"3SJ";#N/A,#N/A,FALSE,"3CJ";#N/A,#N/A,FALSE,"3CN";#N/A,#N/A,FALSE,"3CP";#N/A,#N/A,FALSE,"3A"}</definedName>
    <definedName name="_old5" hidden="1">{#N/A,#N/A,FALSE,"Summary";#N/A,#N/A,FALSE,"3TJ";#N/A,#N/A,FALSE,"3TN";#N/A,#N/A,FALSE,"3TP";#N/A,#N/A,FALSE,"3SJ";#N/A,#N/A,FALSE,"3CJ";#N/A,#N/A,FALSE,"3CN";#N/A,#N/A,FALSE,"3CP";#N/A,#N/A,FALSE,"3A"}</definedName>
    <definedName name="_old7" localSheetId="5" hidden="1">{#N/A,#N/A,FALSE,"Summary";#N/A,#N/A,FALSE,"3TJ";#N/A,#N/A,FALSE,"3TN";#N/A,#N/A,FALSE,"3TP";#N/A,#N/A,FALSE,"3SJ";#N/A,#N/A,FALSE,"3CJ";#N/A,#N/A,FALSE,"3CN";#N/A,#N/A,FALSE,"3CP";#N/A,#N/A,FALSE,"3A"}</definedName>
    <definedName name="_old7" hidden="1">{#N/A,#N/A,FALSE,"Summary";#N/A,#N/A,FALSE,"3TJ";#N/A,#N/A,FALSE,"3TN";#N/A,#N/A,FALSE,"3TP";#N/A,#N/A,FALSE,"3SJ";#N/A,#N/A,FALSE,"3CJ";#N/A,#N/A,FALSE,"3CN";#N/A,#N/A,FALSE,"3CP";#N/A,#N/A,FALSE,"3A"}</definedName>
    <definedName name="_Order1" hidden="1">255</definedName>
    <definedName name="_Order2" hidden="1">255</definedName>
    <definedName name="_Parse_In" localSheetId="5" hidden="1">'[4]Process Piping'!#REF!</definedName>
    <definedName name="_Parse_In" hidden="1">'[4]Process Piping'!#REF!</definedName>
    <definedName name="_Parse_Out" localSheetId="5" hidden="1">#REF!</definedName>
    <definedName name="_Parse_Out" hidden="1">#REF!</definedName>
    <definedName name="_Regression_Out" localSheetId="5" hidden="1">#REF!</definedName>
    <definedName name="_Regression_Out" hidden="1">#REF!</definedName>
    <definedName name="_Regression_X" localSheetId="5" hidden="1">#REF!</definedName>
    <definedName name="_Regression_X" hidden="1">#REF!</definedName>
    <definedName name="_Regression_Y" localSheetId="5" hidden="1">#REF!</definedName>
    <definedName name="_Regression_Y" hidden="1">#REF!</definedName>
    <definedName name="_Sort" localSheetId="5" hidden="1">#REF!</definedName>
    <definedName name="_Sort" hidden="1">#REF!</definedName>
    <definedName name="AAA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AAA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ab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b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bc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ab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ActualMonthly">'[5]PM-Actual &amp; Estimated -Monthly'!$B$2:$AQ$3133</definedName>
    <definedName name="as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SDA" hidden="1">'[6]#REF'!$F$6:$F$63</definedName>
    <definedName name="b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b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ccc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cccccccccc" localSheetId="5" hidden="1">{"'자리배치도'!$AG$1:$CI$28"}</definedName>
    <definedName name="ccccccccccc" hidden="1">{"'자리배치도'!$AG$1:$CI$28"}</definedName>
    <definedName name="Column_for_Actual_PMS">'[5]Basic Data'!$B$16</definedName>
    <definedName name="Column_for_Planned_PMS">'[5]Basic Data'!$B$6</definedName>
    <definedName name="Column_for_Planned_PMS_Cumulative">'[5]Basic Data'!$B$7</definedName>
    <definedName name="Curves">'Curve Sheet'!$A$1:$X$14</definedName>
    <definedName name="d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d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dasd" localSheetId="5" hidden="1">{"'Bill No. 7'!$A$1:$G$32"}</definedName>
    <definedName name="dasd" hidden="1">{"'Bill No. 7'!$A$1:$G$32"}</definedName>
    <definedName name="DD" localSheetId="5" hidden="1">{#N/A,#N/A,FALSE,"속도"}</definedName>
    <definedName name="DD" hidden="1">{#N/A,#N/A,FALSE,"속도"}</definedName>
    <definedName name="DDD" localSheetId="5" hidden="1">{#N/A,#N/A,FALSE,"골재소요량";#N/A,#N/A,FALSE,"골재소요량"}</definedName>
    <definedName name="DDD" hidden="1">{#N/A,#N/A,FALSE,"골재소요량";#N/A,#N/A,FALSE,"골재소요량"}</definedName>
    <definedName name="ddddd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ddd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fffff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fff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hkl" localSheetId="5" hidden="1">{"'Bill No. 7'!$A$1:$G$32"}</definedName>
    <definedName name="dghkl" hidden="1">{"'Bill No. 7'!$A$1:$G$32"}</definedName>
    <definedName name="dvbgf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vbg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eieee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eieee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eqp" localSheetId="5" hidden="1">{"Cost Summary",#N/A,FALSE,"B";"Cost Detail 1",#N/A,FALSE,"C";"Cost Detail 2",#N/A,FALSE,"C"}</definedName>
    <definedName name="eqp" hidden="1">{"Cost Summary",#N/A,FALSE,"B";"Cost Detail 1",#N/A,FALSE,"C";"Cost Detail 2",#N/A,FALSE,"C"}</definedName>
    <definedName name="er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r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" localSheetId="5" hidden="1">#REF!</definedName>
    <definedName name="fdf" hidden="1">#REF!</definedName>
    <definedName name="fdff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d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dfg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d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fdg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d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hfg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dgfd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ss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fgfgfg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g" localSheetId="5" hidden="1">{#N/A,#N/A,FALSE,"속도"}</definedName>
    <definedName name="gg" hidden="1">{#N/A,#N/A,FALSE,"속도"}</definedName>
    <definedName name="gggg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g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hggg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hgg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HTML_CodePage" hidden="1">1252</definedName>
    <definedName name="HTML_Control" localSheetId="5" hidden="1">{"'Typical Costs Estimates'!$C$158:$H$161"}</definedName>
    <definedName name="HTML_Control" hidden="1">{"'Typical Costs Estimates'!$C$158:$H$161"}</definedName>
    <definedName name="HTML_Description" hidden="1">""</definedName>
    <definedName name="HTML_Email" hidden="1">""</definedName>
    <definedName name="HTML_Header" hidden="1">"Typical Costs Estimates"</definedName>
    <definedName name="HTML_LastUpdate" hidden="1">"8/18/99"</definedName>
    <definedName name="HTML_LineAfter" hidden="1">TRUE</definedName>
    <definedName name="HTML_LineBefore" hidden="1">TRUE</definedName>
    <definedName name="HTML_Name" hidden="1">"Ajit.S.R"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"Ecr cost"</definedName>
    <definedName name="IGLE" localSheetId="5" hidden="1">'[7]mat''l for bm'!#REF!</definedName>
    <definedName name="IGLE" hidden="1">'[7]mat''l for bm'!#REF!</definedName>
    <definedName name="jh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j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asdfjhd" localSheetId="5" hidden="1">{"'Typical Costs Estimates'!$C$158:$H$161"}</definedName>
    <definedName name="kasdfjhd" hidden="1">{"'Typical Costs Estimates'!$C$158:$H$161"}</definedName>
    <definedName name="kjhkj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jhk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k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kk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ListofHolidays">'List of Holidays - DMICDC'!$C$1:$H$14</definedName>
    <definedName name="LKL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K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l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OH">'List of Holidays - DMICDC'!$C$2:$H$14</definedName>
    <definedName name="LOP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LOP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LTPlanning">[8]Planning!$B$1:$F$668</definedName>
    <definedName name="mat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at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hjj" localSheetId="5" hidden="1">{"'Bill No. 7'!$A$1:$G$32"}</definedName>
    <definedName name="mhjj" hidden="1">{"'Bill No. 7'!$A$1:$G$32"}</definedName>
    <definedName name="MMM" hidden="1">[6]Sheet2!$F$6:$F$769</definedName>
    <definedName name="nnn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nn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nnnnn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nnnnn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oq" localSheetId="5" hidden="1">{#N/A,#N/A,FALSE,"이정표"}</definedName>
    <definedName name="oq" hidden="1">{#N/A,#N/A,FALSE,"이정표"}</definedName>
    <definedName name="PlannedMonthly">'[5]PM-Planned-Monthly'!$B$2:$AR$3224</definedName>
    <definedName name="_xlnm.Print_Area" localSheetId="3">' CC &amp; CCCP'!$B$1:$L$81</definedName>
    <definedName name="_xlnm.Print_Area" localSheetId="1">'EH and F1'!$B$7:$L$58</definedName>
    <definedName name="_xlnm.Print_Area" localSheetId="2">'EH and F2'!$E$7:$N$47</definedName>
    <definedName name="_xlnm.Print_Area" localSheetId="5">'List of Holidays - DMICDC'!$A$1:$H$14</definedName>
    <definedName name="_xlnm.Print_Area" localSheetId="4">Summary!$D$3:$K$14</definedName>
    <definedName name="_xlnm.Print_Area" localSheetId="0">'Zone 8'!$E$18:$L$35</definedName>
    <definedName name="qap" localSheetId="5" hidden="1">{"'Typical Costs Estimates'!$C$158:$H$161"}</definedName>
    <definedName name="qap" hidden="1">{"'Typical Costs Estimates'!$C$158:$H$161"}</definedName>
    <definedName name="qk" localSheetId="5" hidden="1">{"'자리배치도'!$AG$1:$CI$28"}</definedName>
    <definedName name="qk" hidden="1">{"'자리배치도'!$AG$1:$CI$28"}</definedName>
    <definedName name="rrrtrer" localSheetId="5" hidden="1">{#N/A,#N/A,FALSE,"표지목차"}</definedName>
    <definedName name="rrrtrer" hidden="1">{#N/A,#N/A,FALSE,"표지목차"}</definedName>
    <definedName name="S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S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scarce" localSheetId="5" hidden="1">{#N/A,#N/A,FALSE,"Summary";#N/A,#N/A,FALSE,"3TJ";#N/A,#N/A,FALSE,"3TN";#N/A,#N/A,FALSE,"3TP";#N/A,#N/A,FALSE,"3SJ";#N/A,#N/A,FALSE,"3CJ";#N/A,#N/A,FALSE,"3CN";#N/A,#N/A,FALSE,"3CP";#N/A,#N/A,FALSE,"3A"}</definedName>
    <definedName name="scarce" hidden="1">{#N/A,#N/A,FALSE,"Summary";#N/A,#N/A,FALSE,"3TJ";#N/A,#N/A,FALSE,"3TN";#N/A,#N/A,FALSE,"3TP";#N/A,#N/A,FALSE,"3SJ";#N/A,#N/A,FALSE,"3CJ";#N/A,#N/A,FALSE,"3CN";#N/A,#N/A,FALSE,"3CP";#N/A,#N/A,FALSE,"3A"}</definedName>
    <definedName name="sd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ds" localSheetId="5" hidden="1">'[1]ARC308-1'!#REF!</definedName>
    <definedName name="sds" hidden="1">'[1]ARC308-1'!#REF!</definedName>
    <definedName name="Services2" localSheetId="5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ervices2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ffff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fff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hipping" localSheetId="5" hidden="1">{"Total Indirect Manpower",#N/A,FALSE,"J";"Total Direct Manpower",#N/A,FALSE,"J";"Direct Structural Manpower",#N/A,FALSE,"J";"Direct Mechanical Manpower",#N/A,FALSE,"J";"Direct Piping Manpower",#N/A,FALSE,"J";"Direct Tanks Manpower",#N/A,FALSE,"J";"Direct ElecInstrSS Manpower",#N/A,FALSE,"J"}</definedName>
    <definedName name="Shipping" hidden="1">{"Total Indirect Manpower",#N/A,FALSE,"J";"Total Direct Manpower",#N/A,FALSE,"J";"Direct Structural Manpower",#N/A,FALSE,"J";"Direct Mechanical Manpower",#N/A,FALSE,"J";"Direct Piping Manpower",#N/A,FALSE,"J";"Direct Tanks Manpower",#N/A,FALSE,"J";"Direct ElecInstrSS Manpower",#N/A,FALSE,"J"}</definedName>
    <definedName name="siet" localSheetId="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e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sshhh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hh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s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te" localSheetId="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j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u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Variation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ariatio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fwf" localSheetId="5" hidden="1">{"'자리배치도'!$AG$1:$CI$28"}</definedName>
    <definedName name="wefwf" hidden="1">{"'자리배치도'!$AG$1:$CI$28"}</definedName>
    <definedName name="weq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eq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2번." localSheetId="5" hidden="1">{#N/A,#N/A,FALSE,"2~8번"}</definedName>
    <definedName name="wrn.2번." hidden="1">{#N/A,#N/A,FALSE,"2~8번"}</definedName>
    <definedName name="wrn.all." localSheetId="5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wrn.all.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wrn.all._.lines." localSheetId="5" hidden="1">{#N/A,#N/A,FALSE,"Summary";#N/A,#N/A,FALSE,"3TJ";#N/A,#N/A,FALSE,"3TN";#N/A,#N/A,FALSE,"3TP";#N/A,#N/A,FALSE,"3SJ";#N/A,#N/A,FALSE,"3CJ";#N/A,#N/A,FALSE,"3CN";#N/A,#N/A,FALSE,"3CP";#N/A,#N/A,FALSE,"3A"}</definedName>
    <definedName name="wrn.all._.lines." hidden="1">{#N/A,#N/A,FALSE,"Summary";#N/A,#N/A,FALSE,"3TJ";#N/A,#N/A,FALSE,"3TN";#N/A,#N/A,FALSE,"3TP";#N/A,#N/A,FALSE,"3SJ";#N/A,#N/A,FALSE,"3CJ";#N/A,#N/A,FALSE,"3CN";#N/A,#N/A,FALSE,"3CP";#N/A,#N/A,FALSE,"3A"}</definedName>
    <definedName name="wrn.Barbara._.Modular._.Indirects." localSheetId="5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arbara._.Modular._.Indirects.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udget." localSheetId="5" hidden="1">{"form-D1",#N/A,FALSE,"FORM-D1";"form-D1_amt",#N/A,FALSE,"FORM-D1"}</definedName>
    <definedName name="wrn.budget." hidden="1">{"form-D1",#N/A,FALSE,"FORM-D1";"form-D1_amt",#N/A,FALSE,"FORM-D1"}</definedName>
    <definedName name="wrn.CHIEF._.REVIEW." localSheetId="5" hidden="1">{#N/A,#N/A,FALSE,"Q&amp;AE";#N/A,#N/A,FALSE,"Params";#N/A,#N/A,FALSE,"ReconE";#N/A,#N/A,FALSE,"CostCompE";#N/A,#N/A,FALSE,"SummaryE";#N/A,#N/A,FALSE,"Detail";#N/A,#N/A,FALSE,"PayItem"}</definedName>
    <definedName name="wrn.CHIEF._.REVIEW." hidden="1">{#N/A,#N/A,FALSE,"Q&amp;AE";#N/A,#N/A,FALSE,"Params";#N/A,#N/A,FALSE,"ReconE";#N/A,#N/A,FALSE,"CostCompE";#N/A,#N/A,FALSE,"SummaryE";#N/A,#N/A,FALSE,"Detail";#N/A,#N/A,FALSE,"PayItem"}</definedName>
    <definedName name="wrn.CIRCUITS." localSheetId="5" hidden="1">{"DBANK",#N/A,FALSE,"PriceE";"CKTS",#N/A,FALSE,"PriceE"}</definedName>
    <definedName name="wrn.CIRCUITS." hidden="1">{"DBANK",#N/A,FALSE,"PriceE";"CKTS",#N/A,FALSE,"PriceE"}</definedName>
    <definedName name="wrn.Complete._.Cost._.Sheet." localSheetId="5" hidden="1">{"Cost Summary",#N/A,FALSE,"B";"Cost Detail 1",#N/A,FALSE,"C";"Cost Detail 2",#N/A,FALSE,"C";"SalWage Indirect",#N/A,FALSE,"D";"SalWage Direct",#N/A,FALSE,"D";"Sal Calc",#N/A,FALSE,"D";"Mob Demob",#N/A,FALSE,"E";"Equipment Fuel",#N/A,FALSE,"F";"Equipment Hire",#N/A,FALSE,"F";"Equipment MobDemob",#N/A,FALSE,"F";"Site Est 1",#N/A,FALSE,"G";"Site Est 2",#N/A,FALSE,"G";"Finance",#N/A,FALSE,"H";"Equipment TOTAL",#N/A,FALSE,"I";"Total Indirect Manpower",#N/A,FALSE,"J";"Total Direct Manpower",#N/A,FALSE,"J";"Consumables",#N/A,FALSE,"L";"Bought Out",#N/A,FALSE,"M";"Subcontract",#N/A,FALSE,"N"}</definedName>
    <definedName name="wrn.Complete._.Cost._.Sheet." hidden="1">{"Cost Summary",#N/A,FALSE,"B";"Cost Detail 1",#N/A,FALSE,"C";"Cost Detail 2",#N/A,FALSE,"C";"SalWage Indirect",#N/A,FALSE,"D";"SalWage Direct",#N/A,FALSE,"D";"Sal Calc",#N/A,FALSE,"D";"Mob Demob",#N/A,FALSE,"E";"Equipment Fuel",#N/A,FALSE,"F";"Equipment Hire",#N/A,FALSE,"F";"Equipment MobDemob",#N/A,FALSE,"F";"Site Est 1",#N/A,FALSE,"G";"Site Est 2",#N/A,FALSE,"G";"Finance",#N/A,FALSE,"H";"Equipment TOTAL",#N/A,FALSE,"I";"Total Indirect Manpower",#N/A,FALSE,"J";"Total Direct Manpower",#N/A,FALSE,"J";"Consumables",#N/A,FALSE,"L";"Bought Out",#N/A,FALSE,"M";"Subcontract",#N/A,FALSE,"N"}</definedName>
    <definedName name="wrn.Cost._.Summary." localSheetId="5" hidden="1">{"Cost Summary",#N/A,FALSE,"B";"Cost Detail 1",#N/A,FALSE,"C";"Cost Detail 2",#N/A,FALSE,"C"}</definedName>
    <definedName name="wrn.Cost._.Summary." hidden="1">{"Cost Summary",#N/A,FALSE,"B";"Cost Detail 1",#N/A,FALSE,"C";"Cost Detail 2",#N/A,FALSE,"C"}</definedName>
    <definedName name="wrn.COST_SHEETS." localSheetId="5" hidden="1">{#N/A,#N/A,FALSE,"WBS 1.06";#N/A,#N/A,FALSE,"WBS 1.14";#N/A,#N/A,FALSE,"WBS 1.17";#N/A,#N/A,FALSE,"WBS 1.18"}</definedName>
    <definedName name="wrn.COST_SHEETS." hidden="1">{#N/A,#N/A,FALSE,"WBS 1.06";#N/A,#N/A,FALSE,"WBS 1.14";#N/A,#N/A,FALSE,"WBS 1.17";#N/A,#N/A,FALSE,"WBS 1.18"}</definedName>
    <definedName name="wrn.FINAL._.ESTIMATE." localSheetId="5" hidden="1">{#N/A,#N/A,FALSE,"ProjInfo";#N/A,#N/A,FALSE,"Params";#N/A,#N/A,FALSE,"Q&amp;AE";#N/A,#N/A,FALSE,"CostCompE";#N/A,#N/A,FALSE,"SummaryE";#N/A,#N/A,FALSE,"PayItem";#N/A,#N/A,FALSE,"Detail";#N/A,#N/A,FALSE,"ReconE"}</definedName>
    <definedName name="wrn.FINAL._.ESTIMATE." hidden="1">{#N/A,#N/A,FALSE,"ProjInfo";#N/A,#N/A,FALSE,"Params";#N/A,#N/A,FALSE,"Q&amp;AE";#N/A,#N/A,FALSE,"CostCompE";#N/A,#N/A,FALSE,"SummaryE";#N/A,#N/A,FALSE,"PayItem";#N/A,#N/A,FALSE,"Detail";#N/A,#N/A,FALSE,"ReconE"}</definedName>
    <definedName name="wrn.Fuel._.oil._.option." localSheetId="5" hidden="1">{"FUEL OIL",#N/A,FALSE,"Option"}</definedName>
    <definedName name="wrn.Fuel._.oil._.option." hidden="1">{"FUEL OIL",#N/A,FALSE,"Option"}</definedName>
    <definedName name="wrn.Full._.Report.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Manpower._.Details." localSheetId="5" hidden="1">{"Total Indirect Manpower",#N/A,FALSE,"J";"Total Direct Manpower",#N/A,FALSE,"J";"Direct Structural Manpower",#N/A,FALSE,"J";"Direct Mechanical Manpower",#N/A,FALSE,"J";"Direct Piping Manpower",#N/A,FALSE,"J";"Direct Tanks Manpower",#N/A,FALSE,"J";"Direct ElecInstrSS Manpower",#N/A,FALSE,"J"}</definedName>
    <definedName name="wrn.Manpower._.Details." hidden="1">{"Total Indirect Manpower",#N/A,FALSE,"J";"Total Direct Manpower",#N/A,FALSE,"J";"Direct Structural Manpower",#N/A,FALSE,"J";"Direct Mechanical Manpower",#N/A,FALSE,"J";"Direct Piping Manpower",#N/A,FALSE,"J";"Direct Tanks Manpower",#N/A,FALSE,"J";"Direct ElecInstrSS Manpower",#N/A,FALSE,"J"}</definedName>
    <definedName name="wrn.PrintallD.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D.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G.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PrintallG.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Redundant._.Equipment._.Option." localSheetId="5" hidden="1">{"pumps",#N/A,FALSE,"Option"}</definedName>
    <definedName name="wrn.Redundant._.Equipment._.Option." hidden="1">{"pumps",#N/A,FALSE,"Option"}</definedName>
    <definedName name="wrn.STG._.BLDG._.ENCLOSURE." localSheetId="5" hidden="1">{"turbine",#N/A,FALSE,"Option"}</definedName>
    <definedName name="wrn.STG._.BLDG._.ENCLOSURE." hidden="1">{"turbine",#N/A,FALSE,"Option"}</definedName>
    <definedName name="wrn.struckgi." localSheetId="5" hidden="1">{#N/A,#N/A,TRUE,"arnitower";#N/A,#N/A,TRUE,"arnigarage "}</definedName>
    <definedName name="wrn.struckgi." hidden="1">{#N/A,#N/A,TRUE,"arnitower";#N/A,#N/A,TRUE,"arnigarage "}</definedName>
    <definedName name="wrn.WHOUSE._.CT." localSheetId="5" hidden="1">{"WESTINGHOUSE",#N/A,FALSE,"Option"}</definedName>
    <definedName name="wrn.WHOUSE._.CT." hidden="1">{"WESTINGHOUSE",#N/A,FALSE,"Option"}</definedName>
    <definedName name="wrn.골재소요량." localSheetId="5" hidden="1">{#N/A,#N/A,FALSE,"골재소요량";#N/A,#N/A,FALSE,"골재소요량"}</definedName>
    <definedName name="wrn.골재소요량." hidden="1">{#N/A,#N/A,FALSE,"골재소요량";#N/A,#N/A,FALSE,"골재소요량"}</definedName>
    <definedName name="wrn.구조2." localSheetId="5" hidden="1">{#N/A,#N/A,FALSE,"구조2"}</definedName>
    <definedName name="wrn.구조2." hidden="1">{#N/A,#N/A,FALSE,"구조2"}</definedName>
    <definedName name="wrn.단가표지." localSheetId="5" hidden="1">{#N/A,#N/A,FALSE,"단가표지"}</definedName>
    <definedName name="wrn.단가표지." hidden="1">{#N/A,#N/A,FALSE,"단가표지"}</definedName>
    <definedName name="wrn.배수1." localSheetId="5" hidden="1">{#N/A,#N/A,FALSE,"배수1"}</definedName>
    <definedName name="wrn.배수1." hidden="1">{#N/A,#N/A,FALSE,"배수1"}</definedName>
    <definedName name="wrn.배수2." localSheetId="5" hidden="1">{#N/A,#N/A,FALSE,"배수2"}</definedName>
    <definedName name="wrn.배수2." hidden="1">{#N/A,#N/A,FALSE,"배수2"}</definedName>
    <definedName name="wrn.부대1." localSheetId="5" hidden="1">{#N/A,#N/A,FALSE,"부대1"}</definedName>
    <definedName name="wrn.부대1." hidden="1">{#N/A,#N/A,FALSE,"부대1"}</definedName>
    <definedName name="wrn.부대2." localSheetId="5" hidden="1">{#N/A,#N/A,FALSE,"부대2"}</definedName>
    <definedName name="wrn.부대2." hidden="1">{#N/A,#N/A,FALSE,"부대2"}</definedName>
    <definedName name="wrn.부산주경기장." localSheetId="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속도." localSheetId="5" hidden="1">{#N/A,#N/A,FALSE,"속도"}</definedName>
    <definedName name="wrn.속도." hidden="1">{#N/A,#N/A,FALSE,"속도"}</definedName>
    <definedName name="wrn.운반시간." localSheetId="5" hidden="1">{#N/A,#N/A,FALSE,"운반시간"}</definedName>
    <definedName name="wrn.운반시간." hidden="1">{#N/A,#N/A,FALSE,"운반시간"}</definedName>
    <definedName name="wrn.이정표." localSheetId="5" hidden="1">{#N/A,#N/A,FALSE,"이정표"}</definedName>
    <definedName name="wrn.이정표." hidden="1">{#N/A,#N/A,FALSE,"이정표"}</definedName>
    <definedName name="wrn.조골재." localSheetId="5" hidden="1">{#N/A,#N/A,FALSE,"조골재"}</definedName>
    <definedName name="wrn.조골재." hidden="1">{#N/A,#N/A,FALSE,"조골재"}</definedName>
    <definedName name="wrn.토공1." localSheetId="5" hidden="1">{#N/A,#N/A,FALSE,"구조1"}</definedName>
    <definedName name="wrn.토공1." hidden="1">{#N/A,#N/A,FALSE,"구조1"}</definedName>
    <definedName name="wrn.토공2." localSheetId="5" hidden="1">{#N/A,#N/A,FALSE,"토공2"}</definedName>
    <definedName name="wrn.토공2." hidden="1">{#N/A,#N/A,FALSE,"토공2"}</definedName>
    <definedName name="wrn.포장1." localSheetId="5" hidden="1">{#N/A,#N/A,FALSE,"포장1";#N/A,#N/A,FALSE,"포장1"}</definedName>
    <definedName name="wrn.포장1." hidden="1">{#N/A,#N/A,FALSE,"포장1";#N/A,#N/A,FALSE,"포장1"}</definedName>
    <definedName name="wrn.포장2." localSheetId="5" hidden="1">{#N/A,#N/A,FALSE,"포장2"}</definedName>
    <definedName name="wrn.포장2." hidden="1">{#N/A,#N/A,FALSE,"포장2"}</definedName>
    <definedName name="wrn.표지목차." localSheetId="5" hidden="1">{#N/A,#N/A,FALSE,"표지목차"}</definedName>
    <definedName name="wrn.표지목차." hidden="1">{#N/A,#N/A,FALSE,"표지목차"}</definedName>
    <definedName name="wrn.혼합골재." localSheetId="5" hidden="1">{#N/A,#N/A,FALSE,"혼합골재"}</definedName>
    <definedName name="wrn.혼합골재." hidden="1">{#N/A,#N/A,FALSE,"혼합골재"}</definedName>
    <definedName name="wrnfulla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fulla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FULLA1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FULLA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xc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x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x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XX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XX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yyyy" localSheetId="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yyyy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Z_53D527A9_92C8_40A9_A016_2F5F206CDA8C_.wvu.PrintArea" localSheetId="5" hidden="1">'List of Holidays - DMICDC'!$A$1:$H$14</definedName>
    <definedName name="zse" localSheetId="5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s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xgsdfg" localSheetId="5" hidden="1">{"'Bill No. 7'!$A$1:$G$32"}</definedName>
    <definedName name="zxgsdfg" hidden="1">{"'Bill No. 7'!$A$1:$G$32"}</definedName>
    <definedName name="zz" localSheetId="5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zz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기기기" localSheetId="5" hidden="1">'[6]#REF'!#REF!</definedName>
    <definedName name="기기기" hidden="1">'[6]#REF'!#REF!</definedName>
    <definedName name="내역서" hidden="1">'[9]6공구(당초)'!$J$6:$J$1706</definedName>
    <definedName name="노원문화" localSheetId="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돈" localSheetId="5" hidden="1">{#N/A,#N/A,FALSE,"조골재"}</definedName>
    <definedName name="돈" hidden="1">{#N/A,#N/A,FALSE,"조골재"}</definedName>
    <definedName name="ㄹㅇㄴㄹ" localSheetId="5" hidden="1">{#N/A,#N/A,FALSE,"속도"}</definedName>
    <definedName name="ㄹㅇㄴㄹ" hidden="1">{#N/A,#N/A,FALSE,"속도"}</definedName>
    <definedName name="ㅁ" localSheetId="5" hidden="1">{#N/A,#N/A,FALSE,"표지목차"}</definedName>
    <definedName name="ㅁ" hidden="1">{#N/A,#N/A,FALSE,"표지목차"}</definedName>
    <definedName name="ㅁㄴㅁㄹ" localSheetId="5" hidden="1">{#N/A,#N/A,FALSE,"조골재"}</definedName>
    <definedName name="ㅁㄴㅁㄹ" hidden="1">{#N/A,#N/A,FALSE,"조골재"}</definedName>
    <definedName name="ㅁㄴㅌㄴ" localSheetId="5" hidden="1">{"'자리배치도'!$AG$1:$CI$28"}</definedName>
    <definedName name="ㅁㄴㅌㄴ" hidden="1">{"'자리배치도'!$AG$1:$CI$28"}</definedName>
    <definedName name="ㅁㅁㅁ" localSheetId="5" hidden="1">#REF!</definedName>
    <definedName name="ㅁㅁㅁ" hidden="1">#REF!</definedName>
    <definedName name="빔제작단가개정표준도적용" localSheetId="5" hidden="1">{"'자리배치도'!$AG$1:$CI$28"}</definedName>
    <definedName name="빔제작단가개정표준도적용" hidden="1">{"'자리배치도'!$AG$1:$CI$28"}</definedName>
    <definedName name="ㅅ" localSheetId="5" hidden="1">{#N/A,#N/A,FALSE,"골재소요량";#N/A,#N/A,FALSE,"골재소요량"}</definedName>
    <definedName name="ㅅ" hidden="1">{#N/A,#N/A,FALSE,"골재소요량";#N/A,#N/A,FALSE,"골재소요량"}</definedName>
    <definedName name="ㅇㅇㅁ" localSheetId="5" hidden="1">{#N/A,#N/A,FALSE,"골재소요량";#N/A,#N/A,FALSE,"골재소요량"}</definedName>
    <definedName name="ㅇㅇㅁ" hidden="1">{#N/A,#N/A,FALSE,"골재소요량";#N/A,#N/A,FALSE,"골재소요량"}</definedName>
    <definedName name="예산" localSheetId="5" hidden="1">{#N/A,#N/A,FALSE,"2~8번"}</definedName>
    <definedName name="예산" hidden="1">{#N/A,#N/A,FALSE,"2~8번"}</definedName>
    <definedName name="ㅋ" localSheetId="5" hidden="1">{#N/A,#N/A,FALSE,"구조2"}</definedName>
    <definedName name="ㅋ" hidden="1">{#N/A,#N/A,FALSE,"구조2"}</definedName>
    <definedName name="ㅌ" localSheetId="5" hidden="1">{#N/A,#N/A,FALSE,"단가표지"}</definedName>
    <definedName name="ㅌ" hidden="1">{#N/A,#N/A,FALSE,"단가표지"}</definedName>
    <definedName name="ㅍ" localSheetId="5" hidden="1">{#N/A,#N/A,FALSE,"배수1"}</definedName>
    <definedName name="ㅍ" hidden="1">{#N/A,#N/A,FALSE,"배수1"}</definedName>
    <definedName name="하도사" localSheetId="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5" hidden="1">{#N/A,#N/A,FALSE,"이정표"}</definedName>
    <definedName name="ㅓ" hidden="1">{#N/A,#N/A,FALSE,"이정표"}</definedName>
    <definedName name="ㅔ" localSheetId="5" hidden="1">{"'자리배치도'!$AG$1:$CI$28"}</definedName>
    <definedName name="ㅔ" hidden="1">{"'자리배치도'!$AG$1:$CI$28"}</definedName>
    <definedName name="ㅕㅛㅛㅕㅛㅅ" localSheetId="5" hidden="1">{"'자리배치도'!$AG$1:$CI$28"}</definedName>
    <definedName name="ㅕㅛㅛㅕㅛㅅ" hidden="1">{"'자리배치도'!$AG$1:$CI$28"}</definedName>
    <definedName name="ㅘㅗ허ㅎ" localSheetId="5" hidden="1">#REF!</definedName>
    <definedName name="ㅘㅗ허ㅎ" hidden="1">#REF!</definedName>
    <definedName name="ㅛ" localSheetId="5" hidden="1">{#N/A,#N/A,FALSE,"2~8번"}</definedName>
    <definedName name="ㅛ" hidden="1">{#N/A,#N/A,FALSE,"2~8번"}</definedName>
    <definedName name="ㅛㅓ" localSheetId="5" hidden="1">{"'자리배치도'!$AG$1:$CI$28"}</definedName>
    <definedName name="ㅛㅓ" hidden="1">{"'자리배치도'!$AG$1:$CI$28"}</definedName>
    <definedName name="ㅣㅣㅏㅏㅓ" localSheetId="5" hidden="1">{#N/A,#N/A,FALSE,"2~8번"}</definedName>
    <definedName name="ㅣㅣㅏㅏㅓ" hidden="1">{#N/A,#N/A,FALSE,"2~8번"}</definedName>
  </definedNames>
  <calcPr calcId="152511"/>
</workbook>
</file>

<file path=xl/calcChain.xml><?xml version="1.0" encoding="utf-8"?>
<calcChain xmlns="http://schemas.openxmlformats.org/spreadsheetml/2006/main">
  <c r="D66" i="2" l="1"/>
  <c r="D65" i="2"/>
  <c r="D63" i="2"/>
  <c r="D61" i="2"/>
  <c r="D59" i="2"/>
  <c r="D58" i="2"/>
  <c r="D55" i="2"/>
  <c r="D53" i="2"/>
  <c r="D50" i="2"/>
  <c r="D47" i="2"/>
  <c r="D46" i="2"/>
  <c r="D45" i="2"/>
  <c r="D44" i="2"/>
  <c r="D42" i="2"/>
  <c r="D41" i="2"/>
  <c r="D40" i="2"/>
  <c r="O7" i="2"/>
  <c r="P7" i="2" s="1"/>
  <c r="Q7" i="2" s="1"/>
  <c r="R7" i="2" s="1"/>
  <c r="S7" i="2" s="1"/>
  <c r="T7" i="2" s="1"/>
  <c r="U7" i="2" s="1"/>
  <c r="V7" i="2" s="1"/>
  <c r="W7" i="2" s="1"/>
  <c r="X7" i="2" s="1"/>
  <c r="Y7" i="2" s="1"/>
  <c r="Z7" i="2" s="1"/>
  <c r="AA7" i="2" s="1"/>
  <c r="AB7" i="2" s="1"/>
  <c r="AC7" i="2" s="1"/>
  <c r="AD7" i="2" s="1"/>
  <c r="AE7" i="2" s="1"/>
  <c r="AF7" i="2" s="1"/>
  <c r="AG7" i="2" s="1"/>
  <c r="AH7" i="2" s="1"/>
  <c r="AI7" i="2" s="1"/>
  <c r="AJ7" i="2" s="1"/>
  <c r="AK7" i="2" s="1"/>
  <c r="AL7" i="2" s="1"/>
  <c r="AM7" i="2" s="1"/>
  <c r="AN7" i="2" s="1"/>
  <c r="AO7" i="2" s="1"/>
  <c r="AP7" i="2" s="1"/>
  <c r="AQ7" i="2" s="1"/>
  <c r="AR7" i="2" s="1"/>
  <c r="AS7" i="2" s="1"/>
  <c r="D8" i="2"/>
  <c r="D9" i="2"/>
  <c r="X6" i="9"/>
  <c r="X5" i="9"/>
  <c r="X4" i="9"/>
  <c r="A4" i="9"/>
  <c r="A5" i="9" s="1"/>
  <c r="X3" i="9"/>
  <c r="A3" i="9"/>
  <c r="X2" i="9"/>
  <c r="E1" i="9"/>
  <c r="F1" i="9" s="1"/>
  <c r="G1" i="9" s="1"/>
  <c r="H1" i="9" s="1"/>
  <c r="I1" i="9" s="1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N8" i="2" a="1"/>
  <c r="Q8" i="2" l="1"/>
  <c r="U8" i="2"/>
  <c r="Y8" i="2"/>
  <c r="AC8" i="2"/>
  <c r="AG8" i="2"/>
  <c r="AK8" i="2"/>
  <c r="AO8" i="2"/>
  <c r="N8" i="2"/>
  <c r="R8" i="2"/>
  <c r="V8" i="2"/>
  <c r="Z8" i="2"/>
  <c r="AD8" i="2"/>
  <c r="AH8" i="2"/>
  <c r="AL8" i="2"/>
  <c r="AP8" i="2"/>
  <c r="O8" i="2"/>
  <c r="S8" i="2"/>
  <c r="W8" i="2"/>
  <c r="AA8" i="2"/>
  <c r="AE8" i="2"/>
  <c r="AI8" i="2"/>
  <c r="AM8" i="2"/>
  <c r="AQ8" i="2"/>
  <c r="P8" i="2"/>
  <c r="T8" i="2"/>
  <c r="X8" i="2"/>
  <c r="AB8" i="2"/>
  <c r="AF8" i="2"/>
  <c r="AJ8" i="2"/>
  <c r="AN8" i="2"/>
  <c r="AR8" i="2"/>
  <c r="D34" i="2"/>
  <c r="D33" i="2"/>
  <c r="D32" i="2"/>
  <c r="D31" i="2"/>
  <c r="D30" i="2"/>
  <c r="D29" i="2"/>
  <c r="D28" i="2"/>
  <c r="D27" i="2"/>
  <c r="D26" i="2"/>
  <c r="D25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C15" i="2" l="1"/>
  <c r="C24" i="2"/>
  <c r="D24" i="2" s="1"/>
  <c r="C23" i="2"/>
  <c r="D23" i="2" s="1"/>
  <c r="E26" i="2"/>
  <c r="E25" i="2"/>
  <c r="E24" i="2"/>
  <c r="E23" i="2"/>
  <c r="E22" i="2"/>
  <c r="E20" i="2"/>
  <c r="E19" i="2"/>
  <c r="E18" i="2"/>
  <c r="E14" i="2"/>
  <c r="E13" i="2"/>
  <c r="E12" i="2"/>
  <c r="E11" i="2"/>
  <c r="F80" i="2" l="1"/>
  <c r="G5" i="7" s="1"/>
  <c r="H80" i="2"/>
  <c r="H5" i="7" s="1"/>
  <c r="I80" i="2"/>
  <c r="I5" i="7" s="1"/>
  <c r="J80" i="2"/>
  <c r="J5" i="7" s="1"/>
  <c r="K80" i="2"/>
  <c r="K5" i="7" s="1"/>
  <c r="E80" i="2"/>
  <c r="F5" i="7" l="1"/>
  <c r="L80" i="2"/>
  <c r="F58" i="4"/>
  <c r="K58" i="4"/>
  <c r="J58" i="4"/>
  <c r="I58" i="4"/>
  <c r="H58" i="4"/>
  <c r="G58" i="4"/>
  <c r="L58" i="4" s="1"/>
  <c r="J29" i="6"/>
  <c r="H12" i="7" l="1"/>
  <c r="I12" i="7"/>
  <c r="J12" i="7"/>
  <c r="K12" i="7"/>
  <c r="G12" i="7"/>
  <c r="K11" i="7"/>
  <c r="H11" i="7"/>
  <c r="I11" i="7"/>
  <c r="J11" i="7"/>
  <c r="G11" i="7"/>
  <c r="H10" i="7"/>
  <c r="I10" i="7"/>
  <c r="J10" i="7"/>
  <c r="K10" i="7"/>
  <c r="G10" i="7"/>
  <c r="H9" i="7"/>
  <c r="I9" i="7"/>
  <c r="J9" i="7"/>
  <c r="K9" i="7"/>
  <c r="G9" i="7"/>
  <c r="F9" i="7" s="1"/>
  <c r="H8" i="7"/>
  <c r="I8" i="7"/>
  <c r="J8" i="7"/>
  <c r="K8" i="7"/>
  <c r="G8" i="7"/>
  <c r="F8" i="7" s="1"/>
  <c r="H7" i="7"/>
  <c r="I7" i="7"/>
  <c r="J7" i="7"/>
  <c r="K7" i="7"/>
  <c r="G7" i="7"/>
  <c r="F10" i="7" l="1"/>
  <c r="F11" i="7"/>
  <c r="F7" i="7"/>
  <c r="F12" i="7"/>
  <c r="L29" i="6" l="1"/>
  <c r="K29" i="6"/>
  <c r="G29" i="6"/>
  <c r="H29" i="6"/>
  <c r="I29" i="6"/>
  <c r="F28" i="6"/>
  <c r="F27" i="6"/>
  <c r="F29" i="6" s="1"/>
  <c r="F22" i="6"/>
  <c r="F23" i="6" s="1"/>
  <c r="L23" i="6"/>
  <c r="G23" i="6"/>
  <c r="H23" i="6"/>
  <c r="I23" i="6"/>
  <c r="J23" i="6"/>
  <c r="K23" i="6"/>
  <c r="F34" i="6"/>
  <c r="F33" i="6"/>
  <c r="F35" i="6" s="1"/>
  <c r="L35" i="6"/>
  <c r="G35" i="6"/>
  <c r="H35" i="6"/>
  <c r="I35" i="6"/>
  <c r="J35" i="6"/>
  <c r="K35" i="6"/>
  <c r="F16" i="6"/>
  <c r="F10" i="4"/>
  <c r="F11" i="4"/>
  <c r="F13" i="4"/>
  <c r="F14" i="4"/>
  <c r="F15" i="4"/>
  <c r="F16" i="4"/>
  <c r="F17" i="4"/>
  <c r="F18" i="4"/>
  <c r="F19" i="4"/>
  <c r="F20" i="4"/>
  <c r="F21" i="4"/>
  <c r="F22" i="4"/>
  <c r="F9" i="4"/>
  <c r="H23" i="4"/>
  <c r="H6" i="7" s="1"/>
  <c r="J23" i="4"/>
  <c r="J6" i="7" s="1"/>
  <c r="K23" i="4"/>
  <c r="K6" i="7" s="1"/>
  <c r="G23" i="4"/>
  <c r="G6" i="7" s="1"/>
  <c r="I12" i="4"/>
  <c r="F12" i="4" s="1"/>
  <c r="H24" i="1"/>
  <c r="I24" i="1"/>
  <c r="J24" i="1"/>
  <c r="K24" i="1"/>
  <c r="L24" i="1"/>
  <c r="M24" i="1"/>
  <c r="F23" i="4" l="1"/>
  <c r="I23" i="4"/>
  <c r="I6" i="7" s="1"/>
  <c r="N24" i="1"/>
  <c r="F6" i="7" l="1"/>
  <c r="L23" i="4"/>
  <c r="H35" i="2" l="1"/>
  <c r="H4" i="7" s="1"/>
  <c r="H13" i="7" s="1"/>
  <c r="I35" i="2"/>
  <c r="I4" i="7" s="1"/>
  <c r="I13" i="7" s="1"/>
  <c r="F35" i="2"/>
  <c r="G4" i="7" s="1"/>
  <c r="K33" i="2"/>
  <c r="K32" i="2"/>
  <c r="J21" i="2"/>
  <c r="J35" i="2" s="1"/>
  <c r="J4" i="7" s="1"/>
  <c r="J13" i="7" s="1"/>
  <c r="E31" i="2"/>
  <c r="E30" i="2"/>
  <c r="E21" i="2"/>
  <c r="H46" i="1"/>
  <c r="H47" i="1" s="1"/>
  <c r="J46" i="1"/>
  <c r="K46" i="1"/>
  <c r="L46" i="1"/>
  <c r="M46" i="1"/>
  <c r="I46" i="1"/>
  <c r="K35" i="2" l="1"/>
  <c r="K4" i="7" s="1"/>
  <c r="K13" i="7" s="1"/>
  <c r="E35" i="2"/>
  <c r="G13" i="7"/>
  <c r="N46" i="1"/>
  <c r="L35" i="2" l="1"/>
  <c r="F4" i="7"/>
  <c r="F13" i="7" s="1"/>
</calcChain>
</file>

<file path=xl/comments1.xml><?xml version="1.0" encoding="utf-8"?>
<comments xmlns="http://schemas.openxmlformats.org/spreadsheetml/2006/main">
  <authors>
    <author>Author</author>
  </authors>
  <commentList>
    <comment ref="B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Footing Casting date not known</t>
        </r>
      </text>
    </comment>
    <comment ref="B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Stitch Slab &amp; Footing to be provided separate Dates</t>
        </r>
      </text>
    </comment>
    <comment ref="B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Duplicate of 3C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Duplicate of 3C Columns</t>
        </r>
      </text>
    </comment>
  </commentList>
</comments>
</file>

<file path=xl/sharedStrings.xml><?xml version="1.0" encoding="utf-8"?>
<sst xmlns="http://schemas.openxmlformats.org/spreadsheetml/2006/main" count="350" uniqueCount="214">
  <si>
    <t>Week 1</t>
  </si>
  <si>
    <t>Week 2</t>
  </si>
  <si>
    <t>Week 3</t>
  </si>
  <si>
    <t>Week 4</t>
  </si>
  <si>
    <t>F57</t>
  </si>
  <si>
    <t>CF69</t>
  </si>
  <si>
    <t>CF65</t>
  </si>
  <si>
    <t>CF63</t>
  </si>
  <si>
    <t>CF67</t>
  </si>
  <si>
    <t>F57B</t>
  </si>
  <si>
    <t>CF61</t>
  </si>
  <si>
    <t>CF64</t>
  </si>
  <si>
    <t>CF70</t>
  </si>
  <si>
    <t>Retaining wall</t>
  </si>
  <si>
    <t>Week 5</t>
  </si>
  <si>
    <t>Stitch slab</t>
  </si>
  <si>
    <t>F51</t>
  </si>
  <si>
    <t>CF55</t>
  </si>
  <si>
    <t>F55-1, F54-2, F51-1, F53-2</t>
  </si>
  <si>
    <t>CF54</t>
  </si>
  <si>
    <t>F54-5, F51-1</t>
  </si>
  <si>
    <t>F55-5, F54-2</t>
  </si>
  <si>
    <t>F51 to 55</t>
  </si>
  <si>
    <t>CF58 &amp; 59</t>
  </si>
  <si>
    <t>Stitchslab</t>
  </si>
  <si>
    <t>CF56</t>
  </si>
  <si>
    <t>CF57</t>
  </si>
  <si>
    <t>Footings</t>
  </si>
  <si>
    <t>CF51</t>
  </si>
  <si>
    <t>CF52</t>
  </si>
  <si>
    <t>Columns</t>
  </si>
  <si>
    <t>Total</t>
  </si>
  <si>
    <t>CF5</t>
  </si>
  <si>
    <t>CF6</t>
  </si>
  <si>
    <t>CF3</t>
  </si>
  <si>
    <t>Corewall - C</t>
  </si>
  <si>
    <t>CF4</t>
  </si>
  <si>
    <t>V50-V59/MH2-H4  (Retaining wall Excluding Ramp)</t>
  </si>
  <si>
    <t>Corewall - D</t>
  </si>
  <si>
    <t>Corewall - A &amp; Column</t>
  </si>
  <si>
    <t>Corewall - F</t>
  </si>
  <si>
    <t>H8-10 /V50-V51 (4 nos footings)</t>
  </si>
  <si>
    <t>V53-V58/H14-H16 (11 Nos Footing+Stitch slab)</t>
  </si>
  <si>
    <t>V51-V52/H15-H21 (12 Nos Footing+Stitch slab)</t>
  </si>
  <si>
    <t>Stitch Slab at B1 level (H26- H22/V54-V57)</t>
  </si>
  <si>
    <t>Corewall - E</t>
  </si>
  <si>
    <t xml:space="preserve">Total </t>
  </si>
  <si>
    <t>Exhibition Hall 1</t>
  </si>
  <si>
    <t>Foyer 01</t>
  </si>
  <si>
    <t>Quantity</t>
  </si>
  <si>
    <t>Element</t>
  </si>
  <si>
    <t>Convention Centre</t>
  </si>
  <si>
    <t xml:space="preserve">Exhibition Hall </t>
  </si>
  <si>
    <t>CF 15</t>
  </si>
  <si>
    <t>CF 12</t>
  </si>
  <si>
    <t>CF 13</t>
  </si>
  <si>
    <t>F10A</t>
  </si>
  <si>
    <t>F 10B</t>
  </si>
  <si>
    <t>Column</t>
  </si>
  <si>
    <t>Foyer 1</t>
  </si>
  <si>
    <t>H26-H27</t>
  </si>
  <si>
    <t>CWF5</t>
  </si>
  <si>
    <t>H7 - H9</t>
  </si>
  <si>
    <t>Stitch Slab (Pour 7)</t>
  </si>
  <si>
    <t>H18-H25</t>
  </si>
  <si>
    <t>Stitch Slab (Pour 14)</t>
  </si>
  <si>
    <t>H9-H20 (P2 &amp; P4/2)</t>
  </si>
  <si>
    <t>F3</t>
  </si>
  <si>
    <t>F4</t>
  </si>
  <si>
    <t>H11-13</t>
  </si>
  <si>
    <t>CWF 2</t>
  </si>
  <si>
    <t>H7-H9</t>
  </si>
  <si>
    <t>F5</t>
  </si>
  <si>
    <t>F1</t>
  </si>
  <si>
    <t>H15-24</t>
  </si>
  <si>
    <t>H20-H23</t>
  </si>
  <si>
    <t>CWF4</t>
  </si>
  <si>
    <t>H15-H24</t>
  </si>
  <si>
    <t>Stitch Slab (Pour 12)</t>
  </si>
  <si>
    <t>Footings F4</t>
  </si>
  <si>
    <t>H24-H30</t>
  </si>
  <si>
    <t>Stitch Slab(Pour 6)</t>
  </si>
  <si>
    <t>Footings F3</t>
  </si>
  <si>
    <t>Footings F5</t>
  </si>
  <si>
    <t>Footings F7</t>
  </si>
  <si>
    <t>Stitch Slab(Pour 9)</t>
  </si>
  <si>
    <t>Stitch Slab(Pour 10)</t>
  </si>
  <si>
    <t>Footings F1</t>
  </si>
  <si>
    <t>DG</t>
  </si>
  <si>
    <t>F 17</t>
  </si>
  <si>
    <t>F 12</t>
  </si>
  <si>
    <t>F 13</t>
  </si>
  <si>
    <t>Wall</t>
  </si>
  <si>
    <t>F 14</t>
  </si>
  <si>
    <t>F 11</t>
  </si>
  <si>
    <t>F 16</t>
  </si>
  <si>
    <t>CFW 14</t>
  </si>
  <si>
    <t>Provided all holds get cleared till 7th August 18</t>
  </si>
  <si>
    <t>21 Footings (A20a-A31) &amp; (B20a-B31)</t>
  </si>
  <si>
    <t>27 footings (A32-A45) &amp; (B32-B45)</t>
  </si>
  <si>
    <t>28 footings (C20a -C39) &amp; (D30-D 38)</t>
  </si>
  <si>
    <t>17 footings (C40 -C46) &amp; (D39-D47)</t>
  </si>
  <si>
    <t>18 Columns</t>
  </si>
  <si>
    <t>16 Columns</t>
  </si>
  <si>
    <t>ESS 1 &amp; 2</t>
  </si>
  <si>
    <t>All Columns (upto Stitch Slab)</t>
  </si>
  <si>
    <t xml:space="preserve">Plinth Beam </t>
  </si>
  <si>
    <t>Service Gallery</t>
  </si>
  <si>
    <t>Retaining Wall</t>
  </si>
  <si>
    <t xml:space="preserve">Base Slab </t>
  </si>
  <si>
    <t>Stitch Slab</t>
  </si>
  <si>
    <t>Convention Centre Car Park</t>
  </si>
  <si>
    <t>Exhibition Hall 2</t>
  </si>
  <si>
    <t>Foyer 2</t>
  </si>
  <si>
    <t>DG Building</t>
  </si>
  <si>
    <t>Building</t>
  </si>
  <si>
    <t>Incharge</t>
  </si>
  <si>
    <t>Sudipta Basu</t>
  </si>
  <si>
    <t>Jayant Verma</t>
  </si>
  <si>
    <t>T N Dhal</t>
  </si>
  <si>
    <t>Mahantesh Rewadi</t>
  </si>
  <si>
    <t>Mukesh Shukla</t>
  </si>
  <si>
    <t>Atul Saxena</t>
  </si>
  <si>
    <t>Sumit Goswami</t>
  </si>
  <si>
    <t>Prateep Jaint</t>
  </si>
  <si>
    <t>Zone Head - Abhishek Nath</t>
  </si>
  <si>
    <t>Zone Incharge - Sudipta Basu</t>
  </si>
  <si>
    <t>Zone Head-Sanjay Goel</t>
  </si>
  <si>
    <t>Zone Incharge-T N Dhal</t>
  </si>
  <si>
    <t>Zone Incharge-Mahantesh Rewadi</t>
  </si>
  <si>
    <t>Zone Head - Dinesh Singh</t>
  </si>
  <si>
    <t>Zone Incharge - Mukesh Shukla</t>
  </si>
  <si>
    <t>Zone Incharge -E. Madhu Soodan</t>
  </si>
  <si>
    <t>E. Madhu Soodan</t>
  </si>
  <si>
    <t>Zone Head - P.G. Hegde</t>
  </si>
  <si>
    <t>Zone Incharge-Sumit Goswami</t>
  </si>
  <si>
    <t>Zone Incharge-Prateep Jaint</t>
  </si>
  <si>
    <t>Zone Incharge-Atul Saxena</t>
  </si>
  <si>
    <t>Core Wall 1 &amp;5</t>
  </si>
  <si>
    <t>Core Wall 2</t>
  </si>
  <si>
    <t>Slab B3</t>
  </si>
  <si>
    <t>Zone Incharge - Jayant Verma</t>
  </si>
  <si>
    <t>1A (H27-H25/V62-V70)  Footing (14 nos)</t>
  </si>
  <si>
    <t>`1C (H23-H20/V62-V70) Foundation</t>
  </si>
  <si>
    <t>2A(H15'-H11"/V62'-V65')  Footing (12nos)+Retaining wall Footing</t>
  </si>
  <si>
    <t>Retaining Wall Footing(32 Rmt)</t>
  </si>
  <si>
    <t>2B(H15'-H11"/V65'-V68')  Foundation</t>
  </si>
  <si>
    <t>2C(H19'-H15'/V62'-V65') Foundation</t>
  </si>
  <si>
    <t>3A (H10-H3/V62-V65) Footing (12 nos)</t>
  </si>
  <si>
    <t>1A (H27-H25/V62-V70) Column</t>
  </si>
  <si>
    <t>1B (H25-H23/V62-V70)  Foundation</t>
  </si>
  <si>
    <t>1A (H27-H25/V62-V70) Retaining Wall Footing(92 Rmt)</t>
  </si>
  <si>
    <t>1B (H25-H23/V62-V70) Column</t>
  </si>
  <si>
    <t>1C (H23-H20/V62-V70) Column</t>
  </si>
  <si>
    <t>2A(H15'-H11"/V62'-V65') Retaining Wall (32 RMT)</t>
  </si>
  <si>
    <t>2B(H15'-H11"/V65'-V68') Column</t>
  </si>
  <si>
    <t>2C(H19'-H15'/V62'-V65') Column</t>
  </si>
  <si>
    <t>Retaining Wall Footing(40 Rmt)</t>
  </si>
  <si>
    <t>2D(H19'-H15'/V65'-V68') Foundation</t>
  </si>
  <si>
    <t>2E(H19'-H11'/V68'-V70') Foundation</t>
  </si>
  <si>
    <t>3A (H10-H3/V62-V65) Retaining Wall Footing(69.4 Rmt)</t>
  </si>
  <si>
    <t>3B (H10-H3/V65-V67) Foundation</t>
  </si>
  <si>
    <t>Retaining Wall Footing(12 Rmt)</t>
  </si>
  <si>
    <t>3C (H10-H3/V67-V70) Foundation</t>
  </si>
  <si>
    <t>2C(H19'-H15'/V62'-V65') Retaining Wall (40 RMT)</t>
  </si>
  <si>
    <t>2E(H19'-H11'/V68'-V70') Column</t>
  </si>
  <si>
    <t>Retaining Wall Footing(80 Rmt)</t>
  </si>
  <si>
    <t>3C (H10-H3/V67-V70) Column</t>
  </si>
  <si>
    <t>3D (H10-H3/V67-V70) Foundation</t>
  </si>
  <si>
    <t>Retaining Wall Footing(60 Rmt)</t>
  </si>
  <si>
    <t>1A (H27-H25/V62-V70) Retaining Wall (92 RMT)</t>
  </si>
  <si>
    <t>1B (H25-H23/V62-V70) Retaining Wall (16 RMT)</t>
  </si>
  <si>
    <t>1C (H23-H20/V62-V70) Retaining Wall Footing(48 Rmt)</t>
  </si>
  <si>
    <t>Retaining Wall (24 RMT)</t>
  </si>
  <si>
    <t>3A (H10-H3/V62-V65) Retaining Wall (69.4 RMT)</t>
  </si>
  <si>
    <t>H21/V56-V58 (3 nos footing)</t>
  </si>
  <si>
    <t>H22/V55 (1 nos footing)</t>
  </si>
  <si>
    <t>H20/V55 (1 nos footing)</t>
  </si>
  <si>
    <t>V54-V58/H17"-H18"(3 Nos Footing)</t>
  </si>
  <si>
    <t>V54-V58/H17"-H18"(4 Nos Footing)</t>
  </si>
  <si>
    <t>H20/V54-V58 (Column-5 nos)</t>
  </si>
  <si>
    <t>H21/V54-V58 (Column-7 nos)</t>
  </si>
  <si>
    <t>H22/V54-V58 (Column-7 nos)</t>
  </si>
  <si>
    <t>H26/V53-V56 (Column-4 nos)</t>
  </si>
  <si>
    <t>H23-H26/V57-V59 (Column-5 nos)</t>
  </si>
  <si>
    <t>H21/V54-V55 (4 nos footing)</t>
  </si>
  <si>
    <t>H26/V53-V56 (Footing-4 nos)</t>
  </si>
  <si>
    <t>Start Day</t>
  </si>
  <si>
    <t>Finish Day</t>
  </si>
  <si>
    <t>Sr. No.</t>
  </si>
  <si>
    <t>Item Description</t>
  </si>
  <si>
    <t>Republic Day</t>
  </si>
  <si>
    <t>Holi</t>
  </si>
  <si>
    <t>Good Friday</t>
  </si>
  <si>
    <t>Idu'l Fitr</t>
  </si>
  <si>
    <t>Independence Day</t>
  </si>
  <si>
    <t>Mahatma Gandhi Birthday</t>
  </si>
  <si>
    <t>Dussehra</t>
  </si>
  <si>
    <t>Diwali</t>
  </si>
  <si>
    <t>Guru Nanak's Birthday</t>
  </si>
  <si>
    <t>Christmas Day</t>
  </si>
  <si>
    <t>Note:</t>
  </si>
  <si>
    <t>This data above is Linked with formula of PlannedWtg as NamedRange</t>
  </si>
  <si>
    <t>Curve Row No</t>
  </si>
  <si>
    <t>Duration</t>
  </si>
  <si>
    <t>Linear</t>
  </si>
  <si>
    <t>Triangular Increase</t>
  </si>
  <si>
    <t>Triangular Decrease</t>
  </si>
  <si>
    <t>Back Loaded</t>
  </si>
  <si>
    <t>Bell Shaped</t>
  </si>
  <si>
    <t>SD</t>
  </si>
  <si>
    <t>FD</t>
  </si>
  <si>
    <t>EXHIBITION HALL 1</t>
  </si>
  <si>
    <t>FOYER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</si>
</sst>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[$-409]dd/mmm/yy\,\ ddd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1" fillId="4" borderId="2" xfId="0" applyFont="1" applyFill="1" applyBorder="1"/>
    <xf numFmtId="0" fontId="1" fillId="4" borderId="1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2" borderId="1" xfId="0" applyFont="1" applyFill="1" applyBorder="1"/>
    <xf numFmtId="0" fontId="3" fillId="3" borderId="1" xfId="0" applyFont="1" applyFill="1" applyBorder="1"/>
    <xf numFmtId="0" fontId="0" fillId="0" borderId="0" xfId="0" applyFill="1" applyBorder="1"/>
    <xf numFmtId="0" fontId="1" fillId="6" borderId="3" xfId="0" applyFont="1" applyFill="1" applyBorder="1"/>
    <xf numFmtId="0" fontId="1" fillId="6" borderId="3" xfId="0" applyFont="1" applyFill="1" applyBorder="1" applyAlignment="1">
      <alignment horizontal="center"/>
    </xf>
    <xf numFmtId="1" fontId="2" fillId="3" borderId="1" xfId="0" applyNumberFormat="1" applyFont="1" applyFill="1" applyBorder="1"/>
    <xf numFmtId="0" fontId="3" fillId="3" borderId="2" xfId="0" applyFont="1" applyFill="1" applyBorder="1"/>
    <xf numFmtId="1" fontId="1" fillId="3" borderId="1" xfId="0" applyNumberFormat="1" applyFont="1" applyFill="1" applyBorder="1"/>
    <xf numFmtId="1" fontId="0" fillId="0" borderId="1" xfId="0" applyNumberFormat="1" applyBorder="1"/>
    <xf numFmtId="1" fontId="3" fillId="3" borderId="1" xfId="0" applyNumberFormat="1" applyFont="1" applyFill="1" applyBorder="1"/>
    <xf numFmtId="2" fontId="3" fillId="3" borderId="1" xfId="0" applyNumberFormat="1" applyFont="1" applyFill="1" applyBorder="1"/>
    <xf numFmtId="2" fontId="1" fillId="4" borderId="1" xfId="0" applyNumberFormat="1" applyFont="1" applyFill="1" applyBorder="1"/>
    <xf numFmtId="14" fontId="0" fillId="0" borderId="1" xfId="0" applyNumberFormat="1" applyBorder="1"/>
    <xf numFmtId="164" fontId="0" fillId="0" borderId="1" xfId="1" applyNumberFormat="1" applyFont="1" applyBorder="1"/>
    <xf numFmtId="0" fontId="0" fillId="0" borderId="1" xfId="0" applyBorder="1" applyAlignment="1">
      <alignment horizontal="left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164" fontId="0" fillId="5" borderId="1" xfId="1" applyNumberFormat="1" applyFont="1" applyFill="1" applyBorder="1"/>
    <xf numFmtId="0" fontId="1" fillId="0" borderId="1" xfId="0" applyFont="1" applyBorder="1"/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/>
    <xf numFmtId="165" fontId="0" fillId="0" borderId="1" xfId="0" applyNumberFormat="1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7" borderId="1" xfId="0" applyFill="1" applyBorder="1"/>
    <xf numFmtId="14" fontId="0" fillId="0" borderId="0" xfId="0" applyNumberFormat="1"/>
    <xf numFmtId="0" fontId="8" fillId="0" borderId="1" xfId="0" applyFont="1" applyBorder="1"/>
    <xf numFmtId="0" fontId="8" fillId="5" borderId="1" xfId="0" applyFont="1" applyFill="1" applyBorder="1"/>
    <xf numFmtId="0" fontId="9" fillId="0" borderId="1" xfId="0" applyFont="1" applyBorder="1"/>
    <xf numFmtId="0" fontId="0" fillId="5" borderId="0" xfId="0" applyFill="1" applyAlignment="1">
      <alignment horizontal="center" wrapText="1"/>
    </xf>
    <xf numFmtId="0" fontId="1" fillId="2" borderId="5" xfId="0" applyFont="1" applyFill="1" applyBorder="1" applyAlignment="1">
      <alignment horizontal="right"/>
    </xf>
    <xf numFmtId="0" fontId="11" fillId="2" borderId="5" xfId="0" applyFont="1" applyFill="1" applyBorder="1"/>
    <xf numFmtId="0" fontId="11" fillId="2" borderId="1" xfId="0" applyFont="1" applyFill="1" applyBorder="1"/>
    <xf numFmtId="0" fontId="10" fillId="2" borderId="4" xfId="0" applyFont="1" applyFill="1" applyBorder="1"/>
    <xf numFmtId="0" fontId="11" fillId="2" borderId="4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10" Type="http://schemas.openxmlformats.org/officeDocument/2006/relationships/externalLink" Target="externalLinks/externalLink3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turn\epcgeneral\Hameed\Dalal\Archirodon\Shoiba_alloca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KGT\YR98-99\BHANDUP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_com002\pyro\Edgar\TECHNIP%20GAS%20COMPRESSION\Package%201\Aboveground%20piping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GS\Projects\ECC%20Dwarka\Planning\MPR\MPR%2014,%20Nov%2017\Progress%20Measurements,%20November%2017,%20Modified%20for%20Formula%20&amp;%20Actual%20P6%20Percentage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mol\IPC-2001\IPC-3(Nov)\R.A-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ag-1\mel\National%20Bookstore\frombreak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GS\Projects\ECC%20Dwarka\Work%20Order\EPC\EPC%20Bids\L&amp;T%20Weightage%20Calculations%20,%20R1%20(For%20Macro)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45236;&#50669;&#47784;&#51020;\1&#52264;&#45236;&#5066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C308-1"/>
      <sheetName val="ARC-last"/>
      <sheetName val="ARC308-3"/>
      <sheetName val="Sheet1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HANDUPSEP"/>
      <sheetName val="BHANDUP"/>
      <sheetName val="일위대가"/>
      <sheetName val="WTP"/>
      <sheetName val="structurewise"/>
      <sheetName val="balance Work"/>
      <sheetName val="balance_Work"/>
      <sheetName val="PROCTOR"/>
      <sheetName val="Evaluate"/>
      <sheetName val="SAP架設-2005.12.31"/>
      <sheetName val="LOCAL RATES"/>
      <sheetName val="SAP架設-2005_12_31"/>
      <sheetName val="BOQ"/>
      <sheetName val="S-Curve (2)"/>
      <sheetName val="Final Basic rate"/>
      <sheetName val="Labour"/>
      <sheetName val="Steel-Circular"/>
      <sheetName val="Coalmine"/>
      <sheetName val="월별"/>
      <sheetName val="Materials Cost"/>
      <sheetName val="REL"/>
      <sheetName val="Back"/>
      <sheetName val="공사비집계"/>
      <sheetName val="Material "/>
      <sheetName val="21-Rate Analysis-1"/>
      <sheetName val="SOR"/>
      <sheetName val="Analysis"/>
      <sheetName val="Process"/>
      <sheetName val="final abstract"/>
      <sheetName val="GC-15"/>
      <sheetName val="C &amp; G RHS"/>
      <sheetName val="data"/>
      <sheetName val="ICICI"/>
      <sheetName val="HDFC"/>
      <sheetName val="90101"/>
      <sheetName val="A"/>
      <sheetName val="Materials Cost(PCC)"/>
      <sheetName val="Bank Guarantee"/>
      <sheetName val="SAP架設-2005_12_311"/>
      <sheetName val="C_&amp;_G_RHS"/>
      <sheetName val="Materials_Cost(PCC)"/>
      <sheetName val="LOCAL_RATES"/>
      <sheetName val="S-Curve_(2)"/>
      <sheetName val="final_abstract"/>
      <sheetName val="Material_"/>
      <sheetName val="Chiet tinh dz35"/>
      <sheetName val=""/>
      <sheetName val="Man"/>
      <sheetName val="COLUMN"/>
      <sheetName val="STEEL-SLAB (0)"/>
      <sheetName val="concrete-1flr"/>
      <sheetName val="SHUTTER-1flr beam (1)"/>
      <sheetName val="SHUTTER-1flr slab(1)"/>
      <sheetName val="STEEL-SLAB (1flr)"/>
      <sheetName val="slab-reinft(1flr)-REF."/>
      <sheetName val="BEAM-REINFT.(1flr)"/>
      <sheetName val="beam-reinft-(1flr)ADDT."/>
      <sheetName val="concrete-Ist-IInd floor"/>
      <sheetName val="shuttering-1st-IInd floor"/>
      <sheetName val="STEEL-SLAB (2flr)"/>
      <sheetName val="slab-reinft(2flr)-REF. (2)"/>
      <sheetName val="BEAM-REINFT.(2flr) (2)"/>
      <sheetName val="beam-reinft-(2flr)ADDT. (2)"/>
      <sheetName val="slab-reinft(MEZZ)"/>
      <sheetName val="STEEL-SLAB (3flr) "/>
      <sheetName val="Slab-reinft(3flr)ADD."/>
      <sheetName val="slab-reinft(3flr)-ADD. (1)"/>
      <sheetName val="STEEL-SLAB (4th-flr) "/>
      <sheetName val="slab-reinft(4thflr)-ADD. (2)"/>
      <sheetName val="slab reinft.-(4th flr)"/>
      <sheetName val="ALL-Indices-final"/>
      <sheetName val="Indices (3rd)"/>
      <sheetName val="Indices"/>
      <sheetName val="SHUTTER-1flr beam(old)"/>
      <sheetName val="col-reinft1"/>
      <sheetName val="RECAPITULATION"/>
      <sheetName val="03_CTS,MEPZ-CANTEEN"/>
      <sheetName val="Flooring"/>
      <sheetName val="Skirting"/>
      <sheetName val="Dado"/>
      <sheetName val="03_CTS,MEPZ-CANTEEN (2)"/>
      <sheetName val="#REF"/>
      <sheetName val="beam-reinft-machine rm"/>
      <sheetName val="office"/>
      <sheetName val="Lab"/>
      <sheetName val="Material&amp;equipment"/>
      <sheetName val="Original"/>
      <sheetName val="Closing"/>
      <sheetName val="Risk Te. Co."/>
      <sheetName val="Informa."/>
      <sheetName val="pile Fabrication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connecting Piping"/>
      <sheetName val="AG PIPING REV.1"/>
      <sheetName val="Process Piping"/>
      <sheetName val="ITB COST"/>
      <sheetName val="PL"/>
      <sheetName val="Direct Labour Deployment"/>
      <sheetName val="Interconnecting_Piping1"/>
      <sheetName val="AG_PIPING_REV_11"/>
      <sheetName val="Process_Piping1"/>
      <sheetName val="ITB_COST1"/>
      <sheetName val="Interconnecting_Piping"/>
      <sheetName val="AG_PIPING_REV_1"/>
      <sheetName val="Process_Piping"/>
      <sheetName val="ITB_COST"/>
      <sheetName val="PRICES"/>
      <sheetName val="EEI_Letters"/>
      <sheetName val="A"/>
      <sheetName val="Summary"/>
      <sheetName val="LEGEND"/>
      <sheetName val="LOOKUP-II"/>
      <sheetName val="Summary_Sheets"/>
      <sheetName val="LOOKUP"/>
      <sheetName val="LABTOTAL"/>
      <sheetName val="Code03"/>
      <sheetName val="5-Digit"/>
      <sheetName val="Code_02"/>
      <sheetName val="Code_03"/>
      <sheetName val="Code_04"/>
      <sheetName val="Code_05"/>
      <sheetName val="Code_06"/>
      <sheetName val="look"/>
      <sheetName val="Labour"/>
      <sheetName val="LOOKUP-I"/>
      <sheetName val="PipWT"/>
      <sheetName val="Final(1)summary"/>
      <sheetName val="Macro"/>
      <sheetName val="Job_Data"/>
      <sheetName val="Taux"/>
      <sheetName val="activity"/>
      <sheetName val="공정계획(내부계획25%,내부w_f)"/>
      <sheetName val="Unit_Name"/>
      <sheetName val="X17-TOTAL"/>
      <sheetName val="97"/>
      <sheetName val="Curves"/>
      <sheetName val="Note"/>
      <sheetName val="Heads"/>
      <sheetName val="Dbase"/>
      <sheetName val="Tables"/>
      <sheetName val="Page_2"/>
      <sheetName val="Codes,___"/>
      <sheetName val="INNER_TANK"/>
      <sheetName val="IPE"/>
      <sheetName val="Quantity"/>
      <sheetName val="A1_Thru_A11-_LUMP_SUM_CONSTR"/>
      <sheetName val="KP_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M-Planned-Monthly"/>
      <sheetName val="Sheet1"/>
      <sheetName val="P6 Updated Budget Cost -Import"/>
      <sheetName val="PM-Actual &amp; Estimated -Monthly"/>
      <sheetName val="Planned Vs Actual Month Wise"/>
      <sheetName val="Planned Vs Actual for Month"/>
      <sheetName val="Progress Curves - Overall"/>
      <sheetName val="Data - Overall"/>
      <sheetName val="Progress Curves - Programme Mgm"/>
      <sheetName val="Data - Programme Mgmt"/>
      <sheetName val="Progress Curves - Sp Scope Y1"/>
      <sheetName val="Data - Specific Scope, Year 1"/>
      <sheetName val="Progress Curves - Task 1"/>
      <sheetName val="Data - Task 1"/>
      <sheetName val="Progress Curves - Task 2"/>
      <sheetName val="Data - Task 2"/>
      <sheetName val="Progress Curves - Task 3"/>
      <sheetName val="Data - Task 3"/>
      <sheetName val="Progress Curves - GPM over 3 Ye"/>
      <sheetName val="Data - GPM over 3 Years"/>
      <sheetName val="Progress Curves - GPM Y1"/>
      <sheetName val="Data - GPM for Y1"/>
      <sheetName val="Progress Curves - GPM Y2"/>
      <sheetName val="Data - GPM for Y2"/>
      <sheetName val="Progress Curves - GPM Y3"/>
      <sheetName val="Data - GPM for Y3"/>
      <sheetName val="Basic Data"/>
      <sheetName val="WBS"/>
      <sheetName val="List of Holidays - DMICDC"/>
    </sheetNames>
    <sheetDataSet>
      <sheetData sheetId="0">
        <row r="2">
          <cell r="B2" t="str">
            <v>ACTIVITY ID</v>
          </cell>
          <cell r="C2" t="str">
            <v>ACTIVITY NAME</v>
          </cell>
          <cell r="D2" t="str">
            <v>BUDGETED TOTAL COST</v>
          </cell>
          <cell r="E2" t="str">
            <v>CRITICALITY</v>
          </cell>
          <cell r="F2" t="str">
            <v>Total WEIGHTAGE</v>
          </cell>
          <cell r="G2" t="str">
            <v>CUMULATIVE PLANNED WEIGHTAGE</v>
          </cell>
          <cell r="H2" t="str">
            <v>PLANNED</v>
          </cell>
        </row>
        <row r="3">
          <cell r="H3" t="str">
            <v>Wtg.</v>
          </cell>
        </row>
        <row r="4">
          <cell r="H4">
            <v>42644</v>
          </cell>
          <cell r="I4">
            <v>42675</v>
          </cell>
          <cell r="J4">
            <v>42705</v>
          </cell>
          <cell r="K4">
            <v>42736</v>
          </cell>
          <cell r="L4">
            <v>42767</v>
          </cell>
          <cell r="M4">
            <v>42795</v>
          </cell>
          <cell r="N4">
            <v>42826</v>
          </cell>
          <cell r="O4">
            <v>42856</v>
          </cell>
          <cell r="P4">
            <v>42887</v>
          </cell>
          <cell r="Q4">
            <v>42917</v>
          </cell>
          <cell r="R4">
            <v>42948</v>
          </cell>
          <cell r="S4">
            <v>42979</v>
          </cell>
          <cell r="T4">
            <v>43009</v>
          </cell>
          <cell r="U4">
            <v>43040</v>
          </cell>
          <cell r="V4">
            <v>43070</v>
          </cell>
          <cell r="W4">
            <v>43101</v>
          </cell>
          <cell r="X4">
            <v>43132</v>
          </cell>
          <cell r="Y4">
            <v>43160</v>
          </cell>
          <cell r="Z4">
            <v>43191</v>
          </cell>
          <cell r="AA4">
            <v>43221</v>
          </cell>
          <cell r="AB4">
            <v>43252</v>
          </cell>
          <cell r="AC4">
            <v>43282</v>
          </cell>
          <cell r="AD4">
            <v>43313</v>
          </cell>
          <cell r="AE4">
            <v>43344</v>
          </cell>
          <cell r="AF4">
            <v>43374</v>
          </cell>
          <cell r="AG4">
            <v>43405</v>
          </cell>
          <cell r="AH4">
            <v>43435</v>
          </cell>
          <cell r="AI4">
            <v>43466</v>
          </cell>
          <cell r="AJ4">
            <v>43497</v>
          </cell>
          <cell r="AK4">
            <v>43525</v>
          </cell>
          <cell r="AL4">
            <v>43556</v>
          </cell>
          <cell r="AM4">
            <v>43586</v>
          </cell>
          <cell r="AN4">
            <v>43617</v>
          </cell>
          <cell r="AO4">
            <v>43647</v>
          </cell>
          <cell r="AP4">
            <v>43678</v>
          </cell>
          <cell r="AQ4">
            <v>43709</v>
          </cell>
          <cell r="AR4">
            <v>43739</v>
          </cell>
        </row>
        <row r="5">
          <cell r="B5" t="str">
            <v>Baseline Exhibition Cum Convention Center, Dwarka, New Delhi (DMICP) - B1</v>
          </cell>
          <cell r="D5">
            <v>51663513240</v>
          </cell>
          <cell r="F5">
            <v>99.999999999999986</v>
          </cell>
          <cell r="G5">
            <v>7.5152764823633502</v>
          </cell>
          <cell r="H5">
            <v>5.3984198919078963E-2</v>
          </cell>
          <cell r="I5">
            <v>3.7648444455289344E-2</v>
          </cell>
          <cell r="J5">
            <v>6.3546699110337349E-2</v>
          </cell>
          <cell r="K5">
            <v>9.3879949202082036E-2</v>
          </cell>
          <cell r="L5">
            <v>0.13645102420854463</v>
          </cell>
          <cell r="M5">
            <v>0.20279629441598213</v>
          </cell>
          <cell r="N5">
            <v>0.18414449187017937</v>
          </cell>
          <cell r="O5">
            <v>0.16295246630254984</v>
          </cell>
          <cell r="P5">
            <v>0.11313947227564994</v>
          </cell>
          <cell r="Q5">
            <v>6.7120715021095484E-2</v>
          </cell>
          <cell r="R5">
            <v>0.80056722521375168</v>
          </cell>
          <cell r="S5">
            <v>1.5574673175989684</v>
          </cell>
          <cell r="T5">
            <v>1.8409838153728013</v>
          </cell>
          <cell r="U5">
            <v>2.2005943683970397</v>
          </cell>
          <cell r="V5">
            <v>2.4787199684242891</v>
          </cell>
          <cell r="W5">
            <v>2.9984278776683126</v>
          </cell>
          <cell r="X5">
            <v>3.0273432283064325</v>
          </cell>
          <cell r="Y5">
            <v>4.3274272912731284</v>
          </cell>
          <cell r="Z5">
            <v>4.7036668150625642</v>
          </cell>
          <cell r="AA5">
            <v>6.4146124692047684</v>
          </cell>
          <cell r="AB5">
            <v>7.1750160056389207</v>
          </cell>
          <cell r="AC5">
            <v>7.8100211794051679</v>
          </cell>
          <cell r="AD5">
            <v>7.7880217610007723</v>
          </cell>
          <cell r="AE5">
            <v>7.7257988886470601</v>
          </cell>
          <cell r="AF5">
            <v>6.6111725595907815</v>
          </cell>
          <cell r="AG5">
            <v>5.8685553580016077</v>
          </cell>
          <cell r="AH5">
            <v>5.0627156773962012</v>
          </cell>
          <cell r="AI5">
            <v>4.9273479301856984</v>
          </cell>
          <cell r="AJ5">
            <v>3.8674596805768253</v>
          </cell>
          <cell r="AK5">
            <v>3.2084946220015067</v>
          </cell>
          <cell r="AL5">
            <v>3.0503201913074101</v>
          </cell>
          <cell r="AM5">
            <v>2.6522965742991245</v>
          </cell>
          <cell r="AN5">
            <v>1.7889452893308126</v>
          </cell>
          <cell r="AO5">
            <v>0.63709399195942074</v>
          </cell>
          <cell r="AP5">
            <v>0.16426743870150168</v>
          </cell>
          <cell r="AQ5">
            <v>0.1171292069635281</v>
          </cell>
          <cell r="AR5">
            <v>1.1132485656622703E-2</v>
          </cell>
        </row>
        <row r="6">
          <cell r="B6" t="str">
            <v xml:space="preserve">  PROGRAM MILESTONES</v>
          </cell>
          <cell r="D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</row>
        <row r="7">
          <cell r="B7" t="str">
            <v xml:space="preserve">    CMS-1000</v>
          </cell>
          <cell r="C7" t="str">
            <v>Project Effective Date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</row>
        <row r="8">
          <cell r="B8" t="str">
            <v xml:space="preserve">    DELIVERABLES FOR FIRST YEAR</v>
          </cell>
          <cell r="D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</row>
        <row r="9">
          <cell r="B9" t="str">
            <v xml:space="preserve">      DELIVERABLES FOR D+1 MONTH</v>
          </cell>
          <cell r="D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</row>
        <row r="10">
          <cell r="B10" t="str">
            <v xml:space="preserve">        CMS-1010</v>
          </cell>
          <cell r="C10" t="str">
            <v>Completion of Stakeholders Workshop for reviewing the Master Plan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</row>
        <row r="11">
          <cell r="B11" t="str">
            <v xml:space="preserve">        CMS-1020</v>
          </cell>
          <cell r="C11" t="str">
            <v>Submission of Budgets for Project Implementation Plan (PIP)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</row>
        <row r="12">
          <cell r="B12" t="str">
            <v xml:space="preserve">        CMS-1030</v>
          </cell>
          <cell r="C12" t="str">
            <v>Submission of Program Cash Flow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</row>
        <row r="13">
          <cell r="B13" t="str">
            <v xml:space="preserve">        CMS-1040</v>
          </cell>
          <cell r="C13" t="str">
            <v>Submission of Program Schedule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</row>
        <row r="14">
          <cell r="B14" t="str">
            <v xml:space="preserve">        CMS-1050</v>
          </cell>
          <cell r="C14" t="str">
            <v>Submission of Procurement Program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</row>
        <row r="15">
          <cell r="B15" t="str">
            <v xml:space="preserve">        CMS-1060</v>
          </cell>
          <cell r="C15" t="str">
            <v>Submission of Technical Assistance Documentation for D+1 Month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</row>
        <row r="16">
          <cell r="B16" t="str">
            <v xml:space="preserve">        CMS-1070</v>
          </cell>
          <cell r="C16" t="str">
            <v>100% Mobilization of Core Team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</row>
        <row r="17">
          <cell r="B17" t="str">
            <v xml:space="preserve">        CMS-1080</v>
          </cell>
          <cell r="C17" t="str">
            <v>Completion of Set up of Project Management Office (PMO)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</row>
        <row r="18">
          <cell r="B18" t="str">
            <v xml:space="preserve">      DELIVERABLES FOR D+2 MONTH</v>
          </cell>
          <cell r="D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</row>
        <row r="19">
          <cell r="B19" t="str">
            <v xml:space="preserve">        CMS-1090</v>
          </cell>
          <cell r="C19" t="str">
            <v>Submission of Validation Study Report for Draft Master Plan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</row>
        <row r="20">
          <cell r="B20" t="str">
            <v xml:space="preserve">        CMS-1100</v>
          </cell>
          <cell r="C20" t="str">
            <v>Submission of Technical Assistance Documentation for D+2 Month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</row>
        <row r="21">
          <cell r="B21" t="str">
            <v xml:space="preserve">      DELIVERABLES FOR D+3 MONTH</v>
          </cell>
          <cell r="D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</row>
        <row r="22">
          <cell r="B22" t="str">
            <v xml:space="preserve">        CMS-1110</v>
          </cell>
          <cell r="C22" t="str">
            <v>On boarding of PPP Specialist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</row>
        <row r="23">
          <cell r="B23" t="str">
            <v xml:space="preserve">        CMS-1120</v>
          </cell>
          <cell r="C23" t="str">
            <v>Submission for floating of the RFQ cum RFP for selection of Preliminary Engineering and Architecture Consultants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</row>
        <row r="24">
          <cell r="B24" t="str">
            <v xml:space="preserve">        CMS-1130</v>
          </cell>
          <cell r="C24" t="str">
            <v>Submission of Technical Assistance Documentation for D+3 Month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</row>
        <row r="25">
          <cell r="B25" t="str">
            <v xml:space="preserve">      DELIVERABLES FOR D+4 MONTH</v>
          </cell>
          <cell r="D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</row>
        <row r="26">
          <cell r="B26" t="str">
            <v xml:space="preserve">        CMS-1150</v>
          </cell>
          <cell r="C26" t="str">
            <v>Completion of Program Management Information System (PMIS) Implementation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</row>
        <row r="27">
          <cell r="B27" t="str">
            <v xml:space="preserve">        CMS-1160</v>
          </cell>
          <cell r="C27" t="str">
            <v>Submission of Technical Assistance Documentation for D+4 Month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</row>
        <row r="28">
          <cell r="B28" t="str">
            <v xml:space="preserve">        SUBMISSION FOR STATUTORY APPROVALS AS PART OF VALIDATION SERVICES</v>
          </cell>
          <cell r="D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</row>
        <row r="29">
          <cell r="B29" t="str">
            <v xml:space="preserve">          CMS-1170</v>
          </cell>
          <cell r="C29" t="str">
            <v>Completion of Submission for Master Plan Approval by DDA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</row>
        <row r="30">
          <cell r="B30" t="str">
            <v xml:space="preserve">          CMS-1180</v>
          </cell>
          <cell r="C30" t="str">
            <v>Completion of Submission for Water Requirement approval by DJB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</row>
        <row r="31">
          <cell r="B31" t="str">
            <v xml:space="preserve">          CMS-1190</v>
          </cell>
          <cell r="C31" t="str">
            <v>Completion of Submission for Power sourcing approval by Delhi Transco/relevant agency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</row>
        <row r="32">
          <cell r="B32" t="str">
            <v xml:space="preserve">          CMS-1200</v>
          </cell>
          <cell r="C32" t="str">
            <v>Completion of Submission for Building Height Approval by AAI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</row>
        <row r="33">
          <cell r="B33" t="str">
            <v xml:space="preserve">          CMS-1210</v>
          </cell>
          <cell r="C33" t="str">
            <v>Completion of Submission for Urban Design Approval by DUAC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</row>
        <row r="34">
          <cell r="B34" t="str">
            <v xml:space="preserve">          CMS-1220</v>
          </cell>
          <cell r="C34" t="str">
            <v>Completion of Submission for Metro Alignment Approval by DMRC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</row>
        <row r="35">
          <cell r="B35" t="str">
            <v xml:space="preserve">          CMS-1230</v>
          </cell>
          <cell r="C35" t="str">
            <v>Completion of Submission for Connectivity Approval by DDA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</row>
        <row r="36">
          <cell r="B36" t="str">
            <v xml:space="preserve">          CMS-1240</v>
          </cell>
          <cell r="C36" t="str">
            <v>Completion of Submission for Unified Traffic &amp; Transportation Infrastructure Planning &amp; Engg Cent. (UTTIPEC)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</row>
        <row r="37">
          <cell r="B37" t="str">
            <v xml:space="preserve">      DELIVERABLES FOR D+5 MONTH</v>
          </cell>
          <cell r="D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</row>
        <row r="38">
          <cell r="B38" t="str">
            <v xml:space="preserve">        CMS-1140</v>
          </cell>
          <cell r="C38" t="str">
            <v>Submission for floating of RFQ cum RFP for Selection of Transaction Advisor Consultant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</row>
        <row r="39">
          <cell r="B39" t="str">
            <v xml:space="preserve">        CMS-1250</v>
          </cell>
          <cell r="C39" t="str">
            <v>Submission of Final Updated Master Plan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</row>
        <row r="40">
          <cell r="B40" t="str">
            <v xml:space="preserve">        CMS-1260</v>
          </cell>
          <cell r="C40" t="str">
            <v>Submission of Technical Assistance Documentation for D+5 Month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</row>
        <row r="41">
          <cell r="B41" t="str">
            <v xml:space="preserve">      DELIVERABLES FOR D+6 MONTH</v>
          </cell>
          <cell r="D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</row>
        <row r="42">
          <cell r="B42" t="str">
            <v xml:space="preserve">        CMS-1270</v>
          </cell>
          <cell r="C42" t="str">
            <v>Submission of Transaction Advisory &amp; Bid Model for PPP Component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</row>
        <row r="43">
          <cell r="B43" t="str">
            <v xml:space="preserve">        CMS-1280</v>
          </cell>
          <cell r="C43" t="str">
            <v>Submission of Project Structuring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</row>
        <row r="44">
          <cell r="B44" t="str">
            <v xml:space="preserve">        CMS-1380</v>
          </cell>
          <cell r="C44" t="str">
            <v>Submission of Quality Assurance Plan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</row>
        <row r="45">
          <cell r="B45" t="str">
            <v xml:space="preserve">        CMS-1390</v>
          </cell>
          <cell r="C45" t="str">
            <v>Submission of Financial Feasibility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</row>
        <row r="46">
          <cell r="B46" t="str">
            <v xml:space="preserve">        CMS-1400</v>
          </cell>
          <cell r="C46" t="str">
            <v>Submission of Execution Philosophy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</row>
        <row r="47">
          <cell r="B47" t="str">
            <v xml:space="preserve">        CMS-1410</v>
          </cell>
          <cell r="C47" t="str">
            <v>Submission of Standard Operating Procedures (SOP)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</row>
        <row r="48">
          <cell r="B48" t="str">
            <v xml:space="preserve">        CMS-1420</v>
          </cell>
          <cell r="C48" t="str">
            <v>Submission of Technical Assistance Documentation for D+6 Month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</row>
        <row r="49">
          <cell r="B49" t="str">
            <v xml:space="preserve">        SUBMISSION OF DRAFT PRELIMINARY COSTING</v>
          </cell>
          <cell r="D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</row>
        <row r="50">
          <cell r="B50" t="str">
            <v xml:space="preserve">          CMS-1290</v>
          </cell>
          <cell r="C50" t="str">
            <v>Submission of Draft Preliminary Costing for ECC Complex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</row>
        <row r="51">
          <cell r="B51" t="str">
            <v xml:space="preserve">          CMS-1300</v>
          </cell>
          <cell r="C51" t="str">
            <v>Submission of Draft Preliminary Costing for Secondary Trunk Infrastructure &amp; MEP Works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</row>
        <row r="52">
          <cell r="B52" t="str">
            <v xml:space="preserve">          CMS-1320</v>
          </cell>
          <cell r="C52" t="str">
            <v>Submission of Draft Preliminary Costing for Retails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</row>
        <row r="53">
          <cell r="B53" t="str">
            <v xml:space="preserve">          CMS-1330</v>
          </cell>
          <cell r="C53" t="str">
            <v>Submission of Draft Preliminary Costing for Hotels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</row>
        <row r="54">
          <cell r="B54" t="str">
            <v xml:space="preserve">          CMS-1340</v>
          </cell>
          <cell r="C54" t="str">
            <v>Submission of Draft Preliminary Costing for Residential Buildings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</row>
        <row r="55">
          <cell r="B55" t="str">
            <v xml:space="preserve">          CMS-1350</v>
          </cell>
          <cell r="C55" t="str">
            <v>Submission of Draft Preliminary Costing for Convention Center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</row>
        <row r="56">
          <cell r="B56" t="str">
            <v xml:space="preserve">          CMS-1360</v>
          </cell>
          <cell r="C56" t="str">
            <v>Submission of Draft Preliminary Costing for Arena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</row>
        <row r="57">
          <cell r="B57" t="str">
            <v xml:space="preserve">          CMS-1370</v>
          </cell>
          <cell r="C57" t="str">
            <v>Submission of Draft Preliminary Costing for Public Realm &amp; Landscape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</row>
        <row r="58">
          <cell r="B58" t="str">
            <v xml:space="preserve">      DELIVERABLES FOR D+7 MONTH</v>
          </cell>
          <cell r="D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</row>
        <row r="59">
          <cell r="B59" t="str">
            <v xml:space="preserve">        CMS-1430</v>
          </cell>
          <cell r="C59" t="str">
            <v>Submission of approval note of PPPAC for PPP components of the Project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</row>
        <row r="60">
          <cell r="B60" t="str">
            <v xml:space="preserve">        CMS-1440</v>
          </cell>
          <cell r="C60" t="str">
            <v>Submission of Technical Assistance Documentation for D+7 Month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</row>
        <row r="61">
          <cell r="B61" t="str">
            <v xml:space="preserve">      DELIVERABLES FOR D+8 MONTH</v>
          </cell>
          <cell r="D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</row>
        <row r="62">
          <cell r="B62" t="str">
            <v xml:space="preserve">        CMS-1450</v>
          </cell>
          <cell r="C62" t="str">
            <v>Submission of Technical Assistance Documentation for D+8 Month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</row>
        <row r="63">
          <cell r="B63" t="str">
            <v xml:space="preserve">        CMS-1460</v>
          </cell>
          <cell r="C63" t="str">
            <v>Completion of Marketing and Business Development Plan for various stakeholders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</row>
        <row r="64">
          <cell r="B64" t="str">
            <v xml:space="preserve">        CMS-1470</v>
          </cell>
          <cell r="C64" t="str">
            <v>Submission of Financing and Investment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</row>
        <row r="65">
          <cell r="B65" t="str">
            <v xml:space="preserve">        CMS-1510</v>
          </cell>
          <cell r="C65" t="str">
            <v>Submission of Land Monetization Strategy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</row>
        <row r="66">
          <cell r="B66" t="str">
            <v xml:space="preserve">      DELIVERABLES FOR D+9 MONTH</v>
          </cell>
          <cell r="D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</row>
        <row r="67">
          <cell r="B67" t="str">
            <v xml:space="preserve">        CMS-1480</v>
          </cell>
          <cell r="C67" t="str">
            <v>Submission of Technical Assistance Documentation for D+9 Month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</row>
        <row r="68">
          <cell r="B68" t="str">
            <v xml:space="preserve">        SUBMISSION FOR FLOATING OF RFQ CUM RFP FOR SELECTION OF CONCESSIONAIRE FOR PHASE I DEVELOPMENT</v>
          </cell>
          <cell r="D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</row>
        <row r="69">
          <cell r="B69" t="str">
            <v xml:space="preserve">          CMS-1490</v>
          </cell>
          <cell r="C69" t="str">
            <v>Submission for Floating of RFQ Cum RFP for ECC Complex Concessionaire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</row>
        <row r="70">
          <cell r="B70" t="str">
            <v xml:space="preserve">          CMS-1500</v>
          </cell>
          <cell r="C70" t="str">
            <v>Submission  for Floating of RFQ Cum RFP for Secondary Trunk Infrastructure &amp; MEP Works  EPC Contractor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</row>
        <row r="71">
          <cell r="B71" t="str">
            <v xml:space="preserve">          CMS-1520</v>
          </cell>
          <cell r="C71" t="str">
            <v>Submission  for Floating of RFQ Cum RFP for Retails Concessionaire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</row>
        <row r="72">
          <cell r="B72" t="str">
            <v xml:space="preserve">          CMS-1530</v>
          </cell>
          <cell r="C72" t="str">
            <v>Submission  for Floating of RFQ Cum RFP for Hotels Concessionaire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</row>
        <row r="73">
          <cell r="B73" t="str">
            <v xml:space="preserve">          CMS-1540</v>
          </cell>
          <cell r="C73" t="str">
            <v>Submission  for Floating of RFQ Cum RFP for Residential Buildings (Serviced Apartment) Concessionaire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</row>
        <row r="74">
          <cell r="B74" t="str">
            <v xml:space="preserve">          CMS-1560</v>
          </cell>
          <cell r="C74" t="str">
            <v>Submission  for Floating of RFQ Cum RFP for Public Realm &amp; Landscape  EPC Contractor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</row>
        <row r="75">
          <cell r="B75" t="str">
            <v xml:space="preserve">          CMS-1570</v>
          </cell>
          <cell r="C75" t="str">
            <v>Submission for Floating of RFQ Cum RFP for Convention Center  EPC Contractor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</row>
        <row r="76">
          <cell r="B76" t="str">
            <v xml:space="preserve">          CMS-1580</v>
          </cell>
          <cell r="C76" t="str">
            <v>Submission  for Floating of RFQ Cum RFP for Primary Trunk Infrastructure &amp; MEP Works EPC Contractor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</row>
        <row r="77">
          <cell r="B77" t="str">
            <v xml:space="preserve">      DELIVERABLES FOR D+10 MONTH</v>
          </cell>
          <cell r="D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</row>
        <row r="78">
          <cell r="B78" t="str">
            <v xml:space="preserve">        CMS-1590</v>
          </cell>
          <cell r="C78" t="str">
            <v>Submission of Final Plan for Next Year indicating timely implementation of Identified Projects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</row>
        <row r="79">
          <cell r="B79" t="str">
            <v xml:space="preserve">        CMS-1600</v>
          </cell>
          <cell r="C79" t="str">
            <v>Submission of Technical Assistance Documentation for D+10 Month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</row>
        <row r="80">
          <cell r="B80" t="str">
            <v xml:space="preserve">      DELIVERABLES FOR D+11 MONTH</v>
          </cell>
          <cell r="D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</row>
        <row r="81">
          <cell r="B81" t="str">
            <v xml:space="preserve">        CMS-1650</v>
          </cell>
          <cell r="C81" t="str">
            <v>Submission of Project Model - 3D/4D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</row>
        <row r="82">
          <cell r="B82" t="str">
            <v xml:space="preserve">        CMS-1660</v>
          </cell>
          <cell r="C82" t="str">
            <v>Submission of Technical Assistance Documentation for D+11 Month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</row>
        <row r="83">
          <cell r="B83" t="str">
            <v xml:space="preserve">        MS1-1010</v>
          </cell>
          <cell r="C83" t="str">
            <v>Award of Work Order for Year 2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</row>
        <row r="84">
          <cell r="B84" t="str">
            <v xml:space="preserve">        CONSENT / APPROVALS OF CONSTRUCTION PROCEDURE MANUALS</v>
          </cell>
          <cell r="D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</row>
        <row r="85">
          <cell r="B85" t="str">
            <v xml:space="preserve">          CMS-1610</v>
          </cell>
          <cell r="C85" t="str">
            <v>Submission / Consent / Approval for Environmental Health Manuals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</row>
        <row r="86">
          <cell r="B86" t="str">
            <v xml:space="preserve">          CMS-1620</v>
          </cell>
          <cell r="C86" t="str">
            <v>Submission / Consent / Approval for Quality Manuals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</row>
        <row r="87">
          <cell r="B87" t="str">
            <v xml:space="preserve">          CMS-1630</v>
          </cell>
          <cell r="C87" t="str">
            <v>Submission / Consent / Approval for Health &amp; Safety Manuals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</row>
        <row r="88">
          <cell r="B88" t="str">
            <v xml:space="preserve">          CMS-1640</v>
          </cell>
          <cell r="C88" t="str">
            <v>Submission / Consent / Approval for Fire Safety Manuals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</row>
        <row r="89">
          <cell r="B89" t="str">
            <v xml:space="preserve">      DELIVERABLES FOR D+12 MONTH</v>
          </cell>
          <cell r="D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</row>
        <row r="90">
          <cell r="B90" t="str">
            <v xml:space="preserve">        CMS-1670</v>
          </cell>
          <cell r="C90" t="str">
            <v>Submission of Risk Management Plan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</row>
        <row r="91">
          <cell r="B91" t="str">
            <v xml:space="preserve">        CMS-1680</v>
          </cell>
          <cell r="C91" t="str">
            <v>Submission of Technical Assistance Documentation for D+12 Month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</row>
        <row r="92">
          <cell r="B92" t="str">
            <v xml:space="preserve">    MILESTONES FOR SECOND YEAR</v>
          </cell>
          <cell r="D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</row>
        <row r="93">
          <cell r="B93" t="str">
            <v xml:space="preserve">      MS2-1000</v>
          </cell>
          <cell r="C93" t="str">
            <v>Start of Work Order for Year 2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</row>
        <row r="94">
          <cell r="B94" t="str">
            <v xml:space="preserve">      MS2-1010</v>
          </cell>
          <cell r="C94" t="str">
            <v>Award of Work Order for Year 3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</row>
        <row r="95">
          <cell r="B95" t="str">
            <v xml:space="preserve">    MILESTONES FOR THIRD YEAR</v>
          </cell>
          <cell r="D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</row>
        <row r="96">
          <cell r="B96" t="str">
            <v xml:space="preserve">      MS3-1000</v>
          </cell>
          <cell r="C96" t="str">
            <v>Start of Work Order for Year 3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</row>
        <row r="97">
          <cell r="B97" t="str">
            <v xml:space="preserve">  PROGRAM MANAGEMENT</v>
          </cell>
          <cell r="D97">
            <v>627222554</v>
          </cell>
          <cell r="F97">
            <v>0.7627293130712256</v>
          </cell>
          <cell r="G97">
            <v>0.32586141396207591</v>
          </cell>
          <cell r="H97">
            <v>4.733742334963803E-2</v>
          </cell>
          <cell r="I97">
            <v>2.0251232368357942E-2</v>
          </cell>
          <cell r="J97">
            <v>1.9620183354614844E-2</v>
          </cell>
          <cell r="K97">
            <v>1.8280104228041973E-2</v>
          </cell>
          <cell r="L97">
            <v>2.6865928679571608E-2</v>
          </cell>
          <cell r="M97">
            <v>2.9980135366090295E-2</v>
          </cell>
          <cell r="N97">
            <v>2.4621883959169401E-2</v>
          </cell>
          <cell r="O97">
            <v>2.6491278904293432E-2</v>
          </cell>
          <cell r="P97">
            <v>3.1470833217437259E-2</v>
          </cell>
          <cell r="Q97">
            <v>1.9726317260449915E-2</v>
          </cell>
          <cell r="R97">
            <v>2.188071088320408E-2</v>
          </cell>
          <cell r="S97">
            <v>1.2626032516298661E-2</v>
          </cell>
          <cell r="T97">
            <v>1.2896940149542091E-2</v>
          </cell>
          <cell r="U97">
            <v>1.3812409725366376E-2</v>
          </cell>
          <cell r="V97">
            <v>1.4096180329770296E-2</v>
          </cell>
          <cell r="W97">
            <v>1.5125388377730777E-2</v>
          </cell>
          <cell r="X97">
            <v>1.3919026929197928E-2</v>
          </cell>
          <cell r="Y97">
            <v>1.3198459425362064E-2</v>
          </cell>
          <cell r="Z97">
            <v>1.2943725410993557E-2</v>
          </cell>
          <cell r="AA97">
            <v>1.3977827323313279E-2</v>
          </cell>
          <cell r="AB97">
            <v>1.2943725449081903E-2</v>
          </cell>
          <cell r="AC97">
            <v>1.3461011552113928E-2</v>
          </cell>
          <cell r="AD97">
            <v>1.3332704887303743E-2</v>
          </cell>
          <cell r="AE97">
            <v>1.2563860779398183E-2</v>
          </cell>
          <cell r="AF97">
            <v>1.9493131119661139E-2</v>
          </cell>
          <cell r="AG97">
            <v>1.8528333086176563E-2</v>
          </cell>
          <cell r="AH97">
            <v>1.8528333086176563E-2</v>
          </cell>
          <cell r="AI97">
            <v>1.8528333086176563E-2</v>
          </cell>
          <cell r="AJ97">
            <v>2.0844374721948632E-2</v>
          </cell>
          <cell r="AK97">
            <v>1.8528333086176563E-2</v>
          </cell>
          <cell r="AL97">
            <v>1.8528333086176563E-2</v>
          </cell>
          <cell r="AM97">
            <v>2.0844374721948632E-2</v>
          </cell>
          <cell r="AN97">
            <v>1.8528333086176563E-2</v>
          </cell>
          <cell r="AO97">
            <v>2.0844374721948632E-2</v>
          </cell>
          <cell r="AP97">
            <v>1.8528333086176563E-2</v>
          </cell>
          <cell r="AQ97">
            <v>2.0844374721948632E-2</v>
          </cell>
          <cell r="AR97">
            <v>0</v>
          </cell>
        </row>
        <row r="98">
          <cell r="B98" t="str">
            <v xml:space="preserve">    SPECIFIC SCOPE OF WORK FOR YEAR 1</v>
          </cell>
          <cell r="D98">
            <v>71295750</v>
          </cell>
          <cell r="F98">
            <v>0.11937108459581713</v>
          </cell>
          <cell r="G98">
            <v>0.11937108459581712</v>
          </cell>
          <cell r="H98">
            <v>4.0285148136952414E-2</v>
          </cell>
          <cell r="I98">
            <v>9.2700434429359036E-3</v>
          </cell>
          <cell r="J98">
            <v>6.9177467660621189E-3</v>
          </cell>
          <cell r="K98">
            <v>5.7877356713950615E-3</v>
          </cell>
          <cell r="L98">
            <v>7.277542560137319E-3</v>
          </cell>
          <cell r="M98">
            <v>1.020695738642215E-2</v>
          </cell>
          <cell r="N98">
            <v>6.753123582568606E-3</v>
          </cell>
          <cell r="O98">
            <v>7.9242709041629431E-3</v>
          </cell>
          <cell r="P98">
            <v>1.6474702038887873E-2</v>
          </cell>
          <cell r="Q98">
            <v>4.8131146710066151E-3</v>
          </cell>
          <cell r="R98">
            <v>3.3556575523935655E-3</v>
          </cell>
          <cell r="S98">
            <v>3.0504188289255527E-4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</row>
        <row r="99">
          <cell r="B99" t="str">
            <v xml:space="preserve">      TASK 1 - SETTING UP THE PMO &amp; DRAFT PIP PREPARATION</v>
          </cell>
          <cell r="D99">
            <v>11878960</v>
          </cell>
          <cell r="F99">
            <v>4.0545733978767859E-2</v>
          </cell>
          <cell r="G99">
            <v>4.0545733978767859E-2</v>
          </cell>
          <cell r="H99">
            <v>3.9770619534964607E-2</v>
          </cell>
          <cell r="I99">
            <v>7.7330949630431841E-4</v>
          </cell>
          <cell r="J99">
            <v>1.8049474989359375E-6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</row>
        <row r="100">
          <cell r="B100" t="str">
            <v xml:space="preserve">        T01-1000</v>
          </cell>
          <cell r="C100" t="str">
            <v>Set up of Project Management Office (PMO)</v>
          </cell>
          <cell r="D100">
            <v>5689655</v>
          </cell>
          <cell r="E100">
            <v>3</v>
          </cell>
          <cell r="F100">
            <v>1.9648332708019807E-2</v>
          </cell>
          <cell r="G100">
            <v>1.9648332708019807E-2</v>
          </cell>
          <cell r="H100">
            <v>1.9648332708019807E-2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</row>
        <row r="101">
          <cell r="B101" t="str">
            <v xml:space="preserve">        T01-1010</v>
          </cell>
          <cell r="C101" t="str">
            <v>Mobilization of PMO Core Team</v>
          </cell>
          <cell r="D101">
            <v>5689655</v>
          </cell>
          <cell r="E101">
            <v>3</v>
          </cell>
          <cell r="F101">
            <v>1.9648332708019807E-2</v>
          </cell>
          <cell r="G101">
            <v>1.9648332708019807E-2</v>
          </cell>
          <cell r="H101">
            <v>1.9648332708019807E-2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</row>
        <row r="102">
          <cell r="B102" t="str">
            <v xml:space="preserve">        T01-1020</v>
          </cell>
          <cell r="C102" t="str">
            <v>Stakeholder Workshop for reviewing the Master Plan</v>
          </cell>
          <cell r="D102">
            <v>3736</v>
          </cell>
          <cell r="E102">
            <v>3</v>
          </cell>
          <cell r="F102">
            <v>1.2901691051067594E-5</v>
          </cell>
          <cell r="G102">
            <v>1.2901691051067594E-5</v>
          </cell>
          <cell r="H102">
            <v>1.2901691051067594E-5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</row>
        <row r="103">
          <cell r="B103" t="str">
            <v xml:space="preserve">        DRAFT PROGRAMME IMPLEMENTATION PLAN (PIP)</v>
          </cell>
          <cell r="D103">
            <v>340580</v>
          </cell>
          <cell r="F103">
            <v>9.1167575859200836E-4</v>
          </cell>
          <cell r="G103">
            <v>9.1167575859200825E-4</v>
          </cell>
          <cell r="H103">
            <v>4.2860251078527431E-4</v>
          </cell>
          <cell r="I103">
            <v>4.8126830030779797E-4</v>
          </cell>
          <cell r="J103">
            <v>1.8049474989359375E-6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</row>
        <row r="104">
          <cell r="B104" t="str">
            <v xml:space="preserve">          T01-1030</v>
          </cell>
          <cell r="C104" t="str">
            <v>Program Schedule Development</v>
          </cell>
          <cell r="D104">
            <v>34018</v>
          </cell>
          <cell r="E104">
            <v>3</v>
          </cell>
          <cell r="F104">
            <v>1.1747238342723937E-4</v>
          </cell>
          <cell r="G104">
            <v>1.1747238342723938E-4</v>
          </cell>
          <cell r="H104">
            <v>7.6063342369061778E-5</v>
          </cell>
          <cell r="I104">
            <v>4.1409041058177606E-5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</row>
        <row r="105">
          <cell r="B105" t="str">
            <v xml:space="preserve">          T01-1040</v>
          </cell>
          <cell r="C105" t="str">
            <v>Program Budget Formulation</v>
          </cell>
          <cell r="D105">
            <v>132728</v>
          </cell>
          <cell r="E105">
            <v>3</v>
          </cell>
          <cell r="F105">
            <v>4.5835536665580828E-4</v>
          </cell>
          <cell r="G105">
            <v>4.5835536665580828E-4</v>
          </cell>
          <cell r="H105">
            <v>2.9155887903092474E-4</v>
          </cell>
          <cell r="I105">
            <v>1.6679648762488351E-4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</row>
        <row r="106">
          <cell r="B106" t="str">
            <v xml:space="preserve">          T01-1050</v>
          </cell>
          <cell r="C106" t="str">
            <v>Preparation of General Procurement and Contracts Strategy (EPC versus PPP vs DB)</v>
          </cell>
          <cell r="D106">
            <v>25814</v>
          </cell>
          <cell r="E106">
            <v>3</v>
          </cell>
          <cell r="F106">
            <v>8.9144607278441888E-5</v>
          </cell>
          <cell r="G106">
            <v>8.9144607278441901E-5</v>
          </cell>
          <cell r="H106">
            <v>5.6703899105602228E-5</v>
          </cell>
          <cell r="I106">
            <v>3.2440708172839666E-5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</row>
        <row r="107">
          <cell r="B107" t="str">
            <v xml:space="preserve">          T01-1060</v>
          </cell>
          <cell r="C107" t="str">
            <v>Preparing Procedure for handling Payment Requests</v>
          </cell>
          <cell r="D107">
            <v>7555</v>
          </cell>
          <cell r="E107">
            <v>1</v>
          </cell>
          <cell r="F107">
            <v>8.6966698689164596E-6</v>
          </cell>
          <cell r="G107">
            <v>8.6966698689164596E-6</v>
          </cell>
          <cell r="H107">
            <v>1.3042127017183783E-6</v>
          </cell>
          <cell r="I107">
            <v>7.3924571671980805E-6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</row>
        <row r="108">
          <cell r="B108" t="str">
            <v xml:space="preserve">          T01-1110</v>
          </cell>
          <cell r="C108" t="str">
            <v>Preparation of Document Control System</v>
          </cell>
          <cell r="D108">
            <v>17933</v>
          </cell>
          <cell r="E108">
            <v>2</v>
          </cell>
          <cell r="F108">
            <v>4.1285871809206846E-5</v>
          </cell>
          <cell r="G108">
            <v>4.1285871809206846E-5</v>
          </cell>
          <cell r="H108">
            <v>2.9721775779672133E-6</v>
          </cell>
          <cell r="I108">
            <v>3.8313694231239631E-5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</row>
        <row r="109">
          <cell r="B109" t="str">
            <v xml:space="preserve">          T01-1120</v>
          </cell>
          <cell r="C109" t="str">
            <v>Team Chartering</v>
          </cell>
          <cell r="D109">
            <v>9567</v>
          </cell>
          <cell r="E109">
            <v>1</v>
          </cell>
          <cell r="F109">
            <v>1.1012712195357216E-5</v>
          </cell>
          <cell r="G109">
            <v>1.1012712195357216E-5</v>
          </cell>
          <cell r="H109">
            <v>0</v>
          </cell>
          <cell r="I109">
            <v>1.1012712195357216E-5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</row>
        <row r="110">
          <cell r="B110" t="str">
            <v xml:space="preserve">          T01-1130</v>
          </cell>
          <cell r="C110" t="str">
            <v>Governance Setting (Organization Structure)</v>
          </cell>
          <cell r="D110">
            <v>9567</v>
          </cell>
          <cell r="E110">
            <v>1</v>
          </cell>
          <cell r="F110">
            <v>1.1012712195357216E-5</v>
          </cell>
          <cell r="G110">
            <v>1.1012712195357216E-5</v>
          </cell>
          <cell r="H110">
            <v>0</v>
          </cell>
          <cell r="I110">
            <v>1.1012712195357216E-5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</row>
        <row r="111">
          <cell r="B111" t="str">
            <v xml:space="preserve">          T01-1140</v>
          </cell>
          <cell r="C111" t="str">
            <v>Scope Definition</v>
          </cell>
          <cell r="D111">
            <v>7083</v>
          </cell>
          <cell r="E111">
            <v>1</v>
          </cell>
          <cell r="F111">
            <v>8.1533438360734976E-6</v>
          </cell>
          <cell r="G111">
            <v>8.1533438360734976E-6</v>
          </cell>
          <cell r="H111">
            <v>0</v>
          </cell>
          <cell r="I111">
            <v>8.1533438360734976E-6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</row>
        <row r="112">
          <cell r="B112" t="str">
            <v xml:space="preserve">          T01-1150</v>
          </cell>
          <cell r="C112" t="str">
            <v>Preparation of Program Policies (Internal Communication and Reporting)</v>
          </cell>
          <cell r="D112">
            <v>31355</v>
          </cell>
          <cell r="E112">
            <v>2</v>
          </cell>
          <cell r="F112">
            <v>7.2186388812673873E-5</v>
          </cell>
          <cell r="G112">
            <v>7.2186388812673873E-5</v>
          </cell>
          <cell r="H112">
            <v>0</v>
          </cell>
          <cell r="I112">
            <v>7.2186388812673873E-5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</row>
        <row r="113">
          <cell r="B113" t="str">
            <v xml:space="preserve">          T01-1160</v>
          </cell>
          <cell r="C113" t="str">
            <v>Preparation of Program Management Tool sets to be employed for monitoring</v>
          </cell>
          <cell r="D113">
            <v>17009</v>
          </cell>
          <cell r="E113">
            <v>2</v>
          </cell>
          <cell r="F113">
            <v>3.9158612256889488E-5</v>
          </cell>
          <cell r="G113">
            <v>3.9158612256889488E-5</v>
          </cell>
          <cell r="H113">
            <v>0</v>
          </cell>
          <cell r="I113">
            <v>3.9158612256889488E-5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</row>
        <row r="114">
          <cell r="B114" t="str">
            <v xml:space="preserve">          T01-1170</v>
          </cell>
          <cell r="C114" t="str">
            <v>Preparation of Stakeholder Management Procedure</v>
          </cell>
          <cell r="D114">
            <v>7555</v>
          </cell>
          <cell r="E114">
            <v>1</v>
          </cell>
          <cell r="F114">
            <v>8.6966698689164596E-6</v>
          </cell>
          <cell r="G114">
            <v>8.6966698689164596E-6</v>
          </cell>
          <cell r="H114">
            <v>0</v>
          </cell>
          <cell r="I114">
            <v>8.6966698689164596E-6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</row>
        <row r="115">
          <cell r="B115" t="str">
            <v xml:space="preserve">          T01-1180</v>
          </cell>
          <cell r="C115" t="str">
            <v>Conducting Chartering Workshop</v>
          </cell>
          <cell r="D115">
            <v>850</v>
          </cell>
          <cell r="E115">
            <v>1</v>
          </cell>
          <cell r="F115">
            <v>9.7844730490787415E-7</v>
          </cell>
          <cell r="G115">
            <v>9.7844730490787415E-7</v>
          </cell>
          <cell r="H115">
            <v>0</v>
          </cell>
          <cell r="I115">
            <v>9.7844730490787415E-7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</row>
        <row r="116">
          <cell r="B116" t="str">
            <v xml:space="preserve">          T01-1190</v>
          </cell>
          <cell r="C116" t="str">
            <v>Project Baseline Establishment</v>
          </cell>
          <cell r="D116">
            <v>5740</v>
          </cell>
          <cell r="E116">
            <v>1</v>
          </cell>
          <cell r="F116">
            <v>6.6073970943190573E-6</v>
          </cell>
          <cell r="G116">
            <v>6.6073970943190573E-6</v>
          </cell>
          <cell r="H116">
            <v>0</v>
          </cell>
          <cell r="I116">
            <v>6.6073970943190573E-6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</row>
        <row r="117">
          <cell r="B117" t="str">
            <v xml:space="preserve">          T01-1200</v>
          </cell>
          <cell r="C117" t="str">
            <v>Program Cash Flow Development</v>
          </cell>
          <cell r="D117">
            <v>32238</v>
          </cell>
          <cell r="E117">
            <v>1</v>
          </cell>
          <cell r="F117">
            <v>3.7109628488964762E-5</v>
          </cell>
          <cell r="G117">
            <v>3.7109628488964762E-5</v>
          </cell>
          <cell r="H117">
            <v>0</v>
          </cell>
          <cell r="I117">
            <v>3.7109628488964762E-5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</row>
        <row r="118">
          <cell r="B118" t="str">
            <v xml:space="preserve">          T01-1210</v>
          </cell>
          <cell r="C118" t="str">
            <v>Submission of Draft PIP</v>
          </cell>
          <cell r="D118">
            <v>0</v>
          </cell>
          <cell r="E118">
            <v>3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</row>
        <row r="119">
          <cell r="B119" t="str">
            <v xml:space="preserve">          T01-1220</v>
          </cell>
          <cell r="C119" t="str">
            <v>Conducting Workshop for PIP</v>
          </cell>
          <cell r="D119">
            <v>1568</v>
          </cell>
          <cell r="E119">
            <v>1</v>
          </cell>
          <cell r="F119">
            <v>1.8049474989359375E-6</v>
          </cell>
          <cell r="G119">
            <v>1.8049474989359375E-6</v>
          </cell>
          <cell r="H119">
            <v>0</v>
          </cell>
          <cell r="I119">
            <v>0</v>
          </cell>
          <cell r="J119">
            <v>1.8049474989359375E-6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</row>
        <row r="120">
          <cell r="B120" t="str">
            <v xml:space="preserve">        PROGRAM ASSURANCE FUNCTION</v>
          </cell>
          <cell r="D120">
            <v>155334</v>
          </cell>
          <cell r="F120">
            <v>3.244911130851711E-4</v>
          </cell>
          <cell r="G120">
            <v>3.2449111308517105E-4</v>
          </cell>
          <cell r="H120">
            <v>3.2449917088650559E-5</v>
          </cell>
          <cell r="I120">
            <v>2.9204119599652049E-4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</row>
        <row r="121">
          <cell r="B121" t="str">
            <v xml:space="preserve">          T01-1070</v>
          </cell>
          <cell r="C121" t="str">
            <v>Preparation of Health and Safety Plan for Draft PIP</v>
          </cell>
          <cell r="D121">
            <v>31638</v>
          </cell>
          <cell r="E121">
            <v>1</v>
          </cell>
          <cell r="F121">
            <v>3.6420110917623807E-5</v>
          </cell>
          <cell r="G121">
            <v>3.64201109176238E-5</v>
          </cell>
          <cell r="H121">
            <v>3.6421262032100169E-6</v>
          </cell>
          <cell r="I121">
            <v>3.2777984714413785E-5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</row>
        <row r="122">
          <cell r="B122" t="str">
            <v xml:space="preserve">          T01-1080</v>
          </cell>
          <cell r="C122" t="str">
            <v>Preparation of Environmental Management Plan for Draft PIP</v>
          </cell>
          <cell r="D122">
            <v>60420</v>
          </cell>
          <cell r="E122">
            <v>1</v>
          </cell>
          <cell r="F122">
            <v>6.9550336661804428E-5</v>
          </cell>
          <cell r="G122">
            <v>6.9550336661804428E-5</v>
          </cell>
          <cell r="H122">
            <v>6.9550336661804428E-6</v>
          </cell>
          <cell r="I122">
            <v>6.2595302995623986E-5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</row>
        <row r="123">
          <cell r="B123" t="str">
            <v xml:space="preserve">          T01-1090</v>
          </cell>
          <cell r="C123" t="str">
            <v>Development of a Program Wide Strategic Health &amp; Safety Plan as Well as Project specific Plans</v>
          </cell>
          <cell r="D123">
            <v>31638</v>
          </cell>
          <cell r="E123">
            <v>3</v>
          </cell>
          <cell r="F123">
            <v>1.0926033275287142E-4</v>
          </cell>
          <cell r="G123">
            <v>1.0926033275287142E-4</v>
          </cell>
          <cell r="H123">
            <v>1.092637860963005E-5</v>
          </cell>
          <cell r="I123">
            <v>9.8333954143241367E-5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</row>
        <row r="124">
          <cell r="B124" t="str">
            <v xml:space="preserve">          T01-1100</v>
          </cell>
          <cell r="C124" t="str">
            <v>Development of Plans for the Communication of HSE requirement and Assessment of Performance against these</v>
          </cell>
          <cell r="D124">
            <v>31638</v>
          </cell>
          <cell r="E124">
            <v>3</v>
          </cell>
          <cell r="F124">
            <v>1.0926033275287142E-4</v>
          </cell>
          <cell r="G124">
            <v>1.0926033275287142E-4</v>
          </cell>
          <cell r="H124">
            <v>1.092637860963005E-5</v>
          </cell>
          <cell r="I124">
            <v>9.8333954143241367E-5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</row>
        <row r="125">
          <cell r="B125" t="str">
            <v xml:space="preserve">      TASK 2 - VALIDATION STUDY &amp; PMIS IMPLEMENTATION</v>
          </cell>
          <cell r="D125">
            <v>6028984</v>
          </cell>
          <cell r="F125">
            <v>1.7746988580604344E-2</v>
          </cell>
          <cell r="G125">
            <v>1.7746988580604344E-2</v>
          </cell>
          <cell r="H125">
            <v>5.1452860198780747E-4</v>
          </cell>
          <cell r="I125">
            <v>8.3809525503701215E-3</v>
          </cell>
          <cell r="J125">
            <v>4.3411174466914384E-3</v>
          </cell>
          <cell r="K125">
            <v>4.3896162018095307E-3</v>
          </cell>
          <cell r="L125">
            <v>1.2077377974544619E-4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</row>
        <row r="126">
          <cell r="B126" t="str">
            <v xml:space="preserve">        EXISTING CONDITION ASSESSMENT</v>
          </cell>
          <cell r="D126">
            <v>362870</v>
          </cell>
          <cell r="F126">
            <v>5.2091843844609409E-4</v>
          </cell>
          <cell r="G126">
            <v>5.2091843844609409E-4</v>
          </cell>
          <cell r="H126">
            <v>1.0772819938483331E-4</v>
          </cell>
          <cell r="I126">
            <v>4.1319023906126077E-4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</row>
        <row r="127">
          <cell r="B127" t="str">
            <v xml:space="preserve">          T02-1000</v>
          </cell>
          <cell r="C127" t="str">
            <v>Assessment of existing conditions based on Regional &amp; Local Context</v>
          </cell>
          <cell r="D127">
            <v>22416</v>
          </cell>
          <cell r="E127">
            <v>1</v>
          </cell>
          <cell r="F127">
            <v>2.5803382102135187E-5</v>
          </cell>
          <cell r="G127">
            <v>2.5803382102135187E-5</v>
          </cell>
          <cell r="H127">
            <v>7.5685776820814973E-6</v>
          </cell>
          <cell r="I127">
            <v>1.8234804420053689E-5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</row>
        <row r="128">
          <cell r="B128" t="str">
            <v xml:space="preserve">          T02-1010</v>
          </cell>
          <cell r="C128" t="str">
            <v>Access and mobility analysis including regional Connectivity, access, traffic and circulation</v>
          </cell>
          <cell r="D128">
            <v>8365</v>
          </cell>
          <cell r="E128">
            <v>1</v>
          </cell>
          <cell r="F128">
            <v>9.6290725947698447E-6</v>
          </cell>
          <cell r="G128">
            <v>9.6290725947698447E-6</v>
          </cell>
          <cell r="H128">
            <v>2.824834924992851E-6</v>
          </cell>
          <cell r="I128">
            <v>6.8042376697769937E-6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</row>
        <row r="129">
          <cell r="B129" t="str">
            <v xml:space="preserve">          T02-1020</v>
          </cell>
          <cell r="C129" t="str">
            <v>Study of existing traffic condition, traffic bottlenecks, access road, to the site</v>
          </cell>
          <cell r="D129">
            <v>18261</v>
          </cell>
          <cell r="E129">
            <v>1</v>
          </cell>
          <cell r="F129">
            <v>2.1020501452850227E-5</v>
          </cell>
          <cell r="G129">
            <v>2.1020501452850223E-5</v>
          </cell>
          <cell r="H129">
            <v>6.1665202498723315E-6</v>
          </cell>
          <cell r="I129">
            <v>1.4853981202977893E-5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</row>
        <row r="130">
          <cell r="B130" t="str">
            <v xml:space="preserve">          T02-1030</v>
          </cell>
          <cell r="C130" t="str">
            <v>Review policies and schemes of the state and city across department having impact on Project</v>
          </cell>
          <cell r="D130">
            <v>22416</v>
          </cell>
          <cell r="E130">
            <v>2</v>
          </cell>
          <cell r="F130">
            <v>5.1606764204270374E-5</v>
          </cell>
          <cell r="G130">
            <v>5.1606764204270374E-5</v>
          </cell>
          <cell r="H130">
            <v>1.5137155364162995E-5</v>
          </cell>
          <cell r="I130">
            <v>3.6469608840107378E-5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</row>
        <row r="131">
          <cell r="B131" t="str">
            <v xml:space="preserve">          T02-1040</v>
          </cell>
          <cell r="C131" t="str">
            <v>Existing surrounding site infrastructure (power, water, sewer, storm water, etc.) based on secondary data</v>
          </cell>
          <cell r="D131">
            <v>22416</v>
          </cell>
          <cell r="E131">
            <v>2</v>
          </cell>
          <cell r="F131">
            <v>5.1606764204270374E-5</v>
          </cell>
          <cell r="G131">
            <v>5.1606764204270374E-5</v>
          </cell>
          <cell r="H131">
            <v>1.5137155364162995E-5</v>
          </cell>
          <cell r="I131">
            <v>3.6469608840107378E-5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</row>
        <row r="132">
          <cell r="B132" t="str">
            <v xml:space="preserve">          T02-1050</v>
          </cell>
          <cell r="C132" t="str">
            <v>Existing site features such as topography, Site slope and Drainage pattern</v>
          </cell>
          <cell r="D132">
            <v>22416</v>
          </cell>
          <cell r="E132">
            <v>2</v>
          </cell>
          <cell r="F132">
            <v>5.1606764204270374E-5</v>
          </cell>
          <cell r="G132">
            <v>5.1606764204270374E-5</v>
          </cell>
          <cell r="H132">
            <v>1.5137155364162995E-5</v>
          </cell>
          <cell r="I132">
            <v>3.6469608840107378E-5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</row>
        <row r="133">
          <cell r="B133" t="str">
            <v xml:space="preserve">          T02-1060</v>
          </cell>
          <cell r="C133" t="str">
            <v>Review of statutory compliance from planning authority which may influence the concept developments</v>
          </cell>
          <cell r="D133">
            <v>22416</v>
          </cell>
          <cell r="E133">
            <v>2</v>
          </cell>
          <cell r="F133">
            <v>5.1606764204270374E-5</v>
          </cell>
          <cell r="G133">
            <v>5.1606764204270374E-5</v>
          </cell>
          <cell r="H133">
            <v>1.5137155364162995E-5</v>
          </cell>
          <cell r="I133">
            <v>3.6469608840107378E-5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</row>
        <row r="134">
          <cell r="B134" t="str">
            <v xml:space="preserve">          T02-1120</v>
          </cell>
          <cell r="C134" t="str">
            <v>Review of available Baseline Data &amp; Maps</v>
          </cell>
          <cell r="D134">
            <v>89666</v>
          </cell>
          <cell r="E134">
            <v>1</v>
          </cell>
          <cell r="F134">
            <v>1.0321583063749347E-4</v>
          </cell>
          <cell r="G134">
            <v>1.0321583063749347E-4</v>
          </cell>
          <cell r="H134">
            <v>7.7412448535358276E-6</v>
          </cell>
          <cell r="I134">
            <v>9.5474585783957651E-5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</row>
        <row r="135">
          <cell r="B135" t="str">
            <v xml:space="preserve">          T02-1130</v>
          </cell>
          <cell r="C135" t="str">
            <v>Review the collected data and carry out the GAP analysis for onward activities</v>
          </cell>
          <cell r="D135">
            <v>89666</v>
          </cell>
          <cell r="E135">
            <v>1</v>
          </cell>
          <cell r="F135">
            <v>1.0321583063749347E-4</v>
          </cell>
          <cell r="G135">
            <v>1.0321583063749347E-4</v>
          </cell>
          <cell r="H135">
            <v>7.7412448535358276E-6</v>
          </cell>
          <cell r="I135">
            <v>9.5474585783957651E-5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</row>
        <row r="136">
          <cell r="B136" t="str">
            <v xml:space="preserve">          SWOT ANALYSIS</v>
          </cell>
          <cell r="D136">
            <v>44832</v>
          </cell>
          <cell r="F136">
            <v>5.1606764204270374E-5</v>
          </cell>
          <cell r="G136">
            <v>5.1606764204270374E-5</v>
          </cell>
          <cell r="H136">
            <v>1.5137155364162995E-5</v>
          </cell>
          <cell r="I136">
            <v>3.6469608840107378E-5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</row>
        <row r="137">
          <cell r="B137" t="str">
            <v xml:space="preserve">            T02-1070</v>
          </cell>
          <cell r="C137" t="str">
            <v>Determine industry specific standards and amenities/ facilities, infrastructure requirements, clustering needs etc.</v>
          </cell>
          <cell r="D137">
            <v>22416</v>
          </cell>
          <cell r="E137">
            <v>1</v>
          </cell>
          <cell r="F137">
            <v>2.5803382102135187E-5</v>
          </cell>
          <cell r="G137">
            <v>2.5803382102135187E-5</v>
          </cell>
          <cell r="H137">
            <v>7.5685776820814973E-6</v>
          </cell>
          <cell r="I137">
            <v>1.8234804420053689E-5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</row>
        <row r="138">
          <cell r="B138" t="str">
            <v xml:space="preserve">            T02-1080</v>
          </cell>
          <cell r="C138" t="str">
            <v>Conduct a SWOT analysis based on site location, physical attributes and real estate market factors</v>
          </cell>
          <cell r="D138">
            <v>22416</v>
          </cell>
          <cell r="E138">
            <v>1</v>
          </cell>
          <cell r="F138">
            <v>2.5803382102135187E-5</v>
          </cell>
          <cell r="G138">
            <v>2.5803382102135187E-5</v>
          </cell>
          <cell r="H138">
            <v>7.5685776820814973E-6</v>
          </cell>
          <cell r="I138">
            <v>1.8234804420053689E-5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</row>
        <row r="139">
          <cell r="B139" t="str">
            <v xml:space="preserve">        VALIDATION STUDIES</v>
          </cell>
          <cell r="D139">
            <v>2134775</v>
          </cell>
          <cell r="F139">
            <v>7.3721112188283788E-3</v>
          </cell>
          <cell r="G139">
            <v>7.3721112188283788E-3</v>
          </cell>
          <cell r="H139">
            <v>3.766319944064735E-4</v>
          </cell>
          <cell r="I139">
            <v>6.9954792244219053E-3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</row>
        <row r="140">
          <cell r="B140" t="str">
            <v xml:space="preserve">          TECHNICAL VALIDATION</v>
          </cell>
          <cell r="D140">
            <v>1015321</v>
          </cell>
          <cell r="F140">
            <v>3.5062521037636509E-3</v>
          </cell>
          <cell r="G140">
            <v>3.5062521037636509E-3</v>
          </cell>
          <cell r="H140">
            <v>8.6692733443790378E-5</v>
          </cell>
          <cell r="I140">
            <v>3.4195593703198607E-3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</row>
        <row r="141">
          <cell r="B141" t="str">
            <v xml:space="preserve">            T02-1090</v>
          </cell>
          <cell r="C141" t="str">
            <v>Preliminary Feasibility Assessment</v>
          </cell>
          <cell r="D141">
            <v>104600</v>
          </cell>
          <cell r="E141">
            <v>3</v>
          </cell>
          <cell r="F141">
            <v>3.6121972268245996E-4</v>
          </cell>
          <cell r="G141">
            <v>3.6121972268245996E-4</v>
          </cell>
          <cell r="H141">
            <v>4.3346366721895189E-5</v>
          </cell>
          <cell r="I141">
            <v>3.1787335596056477E-4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</row>
        <row r="142">
          <cell r="B142" t="str">
            <v xml:space="preserve">            T02-1100</v>
          </cell>
          <cell r="C142" t="str">
            <v>Identification of PPP Project Components</v>
          </cell>
          <cell r="D142">
            <v>48559</v>
          </cell>
          <cell r="E142">
            <v>3</v>
          </cell>
          <cell r="F142">
            <v>1.6769090357301693E-4</v>
          </cell>
          <cell r="G142">
            <v>1.6769090357301693E-4</v>
          </cell>
          <cell r="H142">
            <v>2.0122632161287708E-5</v>
          </cell>
          <cell r="I142">
            <v>1.4756827141172924E-4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</row>
        <row r="143">
          <cell r="B143" t="str">
            <v xml:space="preserve">            T02-1110</v>
          </cell>
          <cell r="C143" t="str">
            <v>Future Population Projection &amp; Demand Assesment</v>
          </cell>
          <cell r="D143">
            <v>56041</v>
          </cell>
          <cell r="E143">
            <v>3</v>
          </cell>
          <cell r="F143">
            <v>1.9352881910944297E-4</v>
          </cell>
          <cell r="G143">
            <v>1.93528819109443E-4</v>
          </cell>
          <cell r="H143">
            <v>2.3223734560607488E-5</v>
          </cell>
          <cell r="I143">
            <v>1.7030508454883551E-4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</row>
        <row r="144">
          <cell r="B144" t="str">
            <v xml:space="preserve">            T02-1290</v>
          </cell>
          <cell r="C144" t="str">
            <v>Conceptual Infrastructure Plans &amp; Feasibility for ECC Projects / Modules</v>
          </cell>
          <cell r="D144">
            <v>56041</v>
          </cell>
          <cell r="E144">
            <v>3</v>
          </cell>
          <cell r="F144">
            <v>1.9352881910944303E-4</v>
          </cell>
          <cell r="G144">
            <v>1.9352881910944303E-4</v>
          </cell>
          <cell r="H144">
            <v>0</v>
          </cell>
          <cell r="I144">
            <v>1.9352881910944303E-4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</row>
        <row r="145">
          <cell r="B145" t="str">
            <v xml:space="preserve">            T02-1300</v>
          </cell>
          <cell r="C145" t="str">
            <v>Diagnostic Analysis for Infrastructure</v>
          </cell>
          <cell r="D145">
            <v>750080</v>
          </cell>
          <cell r="E145">
            <v>3</v>
          </cell>
          <cell r="F145">
            <v>2.5902838392892879E-3</v>
          </cell>
          <cell r="G145">
            <v>2.5902838392892879E-3</v>
          </cell>
          <cell r="H145">
            <v>0</v>
          </cell>
          <cell r="I145">
            <v>2.5902838392892879E-3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</row>
        <row r="146">
          <cell r="B146" t="str">
            <v xml:space="preserve">          ECONOMIC VALIDATION</v>
          </cell>
          <cell r="D146">
            <v>1119454</v>
          </cell>
          <cell r="F146">
            <v>3.8658591150647278E-3</v>
          </cell>
          <cell r="G146">
            <v>3.8658591150647274E-3</v>
          </cell>
          <cell r="H146">
            <v>2.8993926096268312E-4</v>
          </cell>
          <cell r="I146">
            <v>3.5759198541020442E-3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</row>
        <row r="147">
          <cell r="B147" t="str">
            <v xml:space="preserve">            T02-1140</v>
          </cell>
          <cell r="C147" t="str">
            <v>Proposed Recommendation for preferred options based on Economic, Social and Financial Criteria</v>
          </cell>
          <cell r="D147">
            <v>167361</v>
          </cell>
          <cell r="E147">
            <v>3</v>
          </cell>
          <cell r="F147">
            <v>5.7795500963536499E-4</v>
          </cell>
          <cell r="G147">
            <v>5.7795500963536499E-4</v>
          </cell>
          <cell r="H147">
            <v>4.3346366721895189E-5</v>
          </cell>
          <cell r="I147">
            <v>5.3460864291346975E-4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</row>
        <row r="148">
          <cell r="B148" t="str">
            <v xml:space="preserve">            T02-1150</v>
          </cell>
          <cell r="C148" t="str">
            <v>Preparation of Capital Investment and annual O&amp;M Costs</v>
          </cell>
          <cell r="D148">
            <v>952093</v>
          </cell>
          <cell r="E148">
            <v>3</v>
          </cell>
          <cell r="F148">
            <v>3.2879041054293626E-3</v>
          </cell>
          <cell r="G148">
            <v>3.2879041054293626E-3</v>
          </cell>
          <cell r="H148">
            <v>2.4659289424078793E-4</v>
          </cell>
          <cell r="I148">
            <v>3.0413112111885745E-3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</row>
        <row r="149">
          <cell r="B149" t="str">
            <v xml:space="preserve">        REVISED MASTER PLAN (DRAFT)</v>
          </cell>
          <cell r="D149">
            <v>778074</v>
          </cell>
          <cell r="F149">
            <v>1.2890387106909717E-3</v>
          </cell>
          <cell r="G149">
            <v>1.2890387106909715E-3</v>
          </cell>
          <cell r="H149">
            <v>3.0168408196500672E-5</v>
          </cell>
          <cell r="I149">
            <v>9.7228308688695466E-4</v>
          </cell>
          <cell r="J149">
            <v>2.8504126886576194E-4</v>
          </cell>
          <cell r="K149">
            <v>1.5459467417544414E-6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</row>
        <row r="150">
          <cell r="B150" t="str">
            <v xml:space="preserve">          ASPECTS TO BE COVERED FOR REVISED MASTER PLAN (DRAFT)</v>
          </cell>
          <cell r="D150">
            <v>506502</v>
          </cell>
          <cell r="F150">
            <v>5.8304178450640956E-4</v>
          </cell>
          <cell r="G150">
            <v>5.8304178450640956E-4</v>
          </cell>
          <cell r="H150">
            <v>0</v>
          </cell>
          <cell r="I150">
            <v>5.7651266319648314E-4</v>
          </cell>
          <cell r="J150">
            <v>6.529121309926427E-6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</row>
        <row r="151">
          <cell r="B151" t="str">
            <v xml:space="preserve">            T02-1170</v>
          </cell>
          <cell r="C151" t="str">
            <v>Connectivity with external arteries</v>
          </cell>
          <cell r="D151">
            <v>33898</v>
          </cell>
          <cell r="E151">
            <v>1</v>
          </cell>
          <cell r="F151">
            <v>3.9020478519726023E-5</v>
          </cell>
          <cell r="G151">
            <v>3.9020478519726023E-5</v>
          </cell>
          <cell r="H151">
            <v>0</v>
          </cell>
          <cell r="I151">
            <v>3.9020478519726023E-5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</row>
        <row r="152">
          <cell r="B152" t="str">
            <v xml:space="preserve">            T02-1180</v>
          </cell>
          <cell r="C152" t="str">
            <v>Study of layout of the land and buildable area</v>
          </cell>
          <cell r="D152">
            <v>18680</v>
          </cell>
          <cell r="E152">
            <v>1</v>
          </cell>
          <cell r="F152">
            <v>2.1502818418445988E-5</v>
          </cell>
          <cell r="G152">
            <v>2.1502818418445988E-5</v>
          </cell>
          <cell r="H152">
            <v>0</v>
          </cell>
          <cell r="I152">
            <v>2.1502818418445988E-5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</row>
        <row r="153">
          <cell r="B153" t="str">
            <v xml:space="preserve">            T02-1190</v>
          </cell>
          <cell r="C153" t="str">
            <v>Road ROWs for internal circulation</v>
          </cell>
          <cell r="D153">
            <v>33898</v>
          </cell>
          <cell r="E153">
            <v>1</v>
          </cell>
          <cell r="F153">
            <v>3.9020478519726023E-5</v>
          </cell>
          <cell r="G153">
            <v>3.9020478519726023E-5</v>
          </cell>
          <cell r="H153">
            <v>0</v>
          </cell>
          <cell r="I153">
            <v>3.9020478519726023E-5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</row>
        <row r="154">
          <cell r="B154" t="str">
            <v xml:space="preserve">            T02-1200</v>
          </cell>
          <cell r="C154" t="str">
            <v>Zoning of the revised Master Plan Area</v>
          </cell>
          <cell r="D154">
            <v>28158</v>
          </cell>
          <cell r="E154">
            <v>1</v>
          </cell>
          <cell r="F154">
            <v>3.2413081425406968E-5</v>
          </cell>
          <cell r="G154">
            <v>3.2413081425406968E-5</v>
          </cell>
          <cell r="H154">
            <v>0</v>
          </cell>
          <cell r="I154">
            <v>3.2413081425406968E-5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</row>
        <row r="155">
          <cell r="B155" t="str">
            <v xml:space="preserve">            T02-1210</v>
          </cell>
          <cell r="C155" t="str">
            <v>FAR trends and Builtup Area Calculation</v>
          </cell>
          <cell r="D155">
            <v>18680</v>
          </cell>
          <cell r="E155">
            <v>1</v>
          </cell>
          <cell r="F155">
            <v>2.1502818418445988E-5</v>
          </cell>
          <cell r="G155">
            <v>2.1502818418445988E-5</v>
          </cell>
          <cell r="H155">
            <v>0</v>
          </cell>
          <cell r="I155">
            <v>2.1502818418445988E-5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</row>
        <row r="156">
          <cell r="B156" t="str">
            <v xml:space="preserve">            T02-1220</v>
          </cell>
          <cell r="C156" t="str">
            <v>Land Area Allocation for Utility Infrastructure</v>
          </cell>
          <cell r="D156">
            <v>61399</v>
          </cell>
          <cell r="E156">
            <v>1</v>
          </cell>
          <cell r="F156">
            <v>7.0677277734163034E-5</v>
          </cell>
          <cell r="G156">
            <v>7.0677277734163034E-5</v>
          </cell>
          <cell r="H156">
            <v>0</v>
          </cell>
          <cell r="I156">
            <v>7.0677277734163034E-5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</row>
        <row r="157">
          <cell r="B157" t="str">
            <v xml:space="preserve">            T02-1230</v>
          </cell>
          <cell r="C157" t="str">
            <v>Allocation of Building Envelopes informed by Height Restriction</v>
          </cell>
          <cell r="D157">
            <v>25222</v>
          </cell>
          <cell r="E157">
            <v>1</v>
          </cell>
          <cell r="F157">
            <v>2.9033409322807539E-5</v>
          </cell>
          <cell r="G157">
            <v>2.9033409322807539E-5</v>
          </cell>
          <cell r="H157">
            <v>0</v>
          </cell>
          <cell r="I157">
            <v>2.9033409322807539E-5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</row>
        <row r="158">
          <cell r="B158" t="str">
            <v xml:space="preserve">            T02-1240</v>
          </cell>
          <cell r="C158" t="str">
            <v>Identification of required surveys</v>
          </cell>
          <cell r="D158">
            <v>81172</v>
          </cell>
          <cell r="E158">
            <v>1</v>
          </cell>
          <cell r="F158">
            <v>9.3438264275272912E-5</v>
          </cell>
          <cell r="G158">
            <v>9.3438264275272912E-5</v>
          </cell>
          <cell r="H158">
            <v>0</v>
          </cell>
          <cell r="I158">
            <v>9.3438264275272912E-5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</row>
        <row r="159">
          <cell r="B159" t="str">
            <v xml:space="preserve">            T02-1310</v>
          </cell>
          <cell r="C159" t="str">
            <v>Conducting Surveys for Revised Master Plan (Draft)</v>
          </cell>
          <cell r="D159">
            <v>70896</v>
          </cell>
          <cell r="E159">
            <v>1</v>
          </cell>
          <cell r="F159">
            <v>8.1609411916174886E-5</v>
          </cell>
          <cell r="G159">
            <v>8.1609411916174886E-5</v>
          </cell>
          <cell r="H159">
            <v>0</v>
          </cell>
          <cell r="I159">
            <v>7.5080290606248463E-5</v>
          </cell>
          <cell r="J159">
            <v>6.529121309926427E-6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</row>
        <row r="160">
          <cell r="B160" t="str">
            <v xml:space="preserve">            AREA ALLOCATION</v>
          </cell>
          <cell r="D160">
            <v>134499</v>
          </cell>
          <cell r="F160">
            <v>1.548237459562402E-4</v>
          </cell>
          <cell r="G160">
            <v>1.548237459562402E-4</v>
          </cell>
          <cell r="H160">
            <v>0</v>
          </cell>
          <cell r="I160">
            <v>1.548237459562402E-4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</row>
        <row r="161">
          <cell r="B161" t="str">
            <v xml:space="preserve">              T02-1250</v>
          </cell>
          <cell r="C161" t="str">
            <v>Land Area allocation for the Exhibition Space</v>
          </cell>
          <cell r="D161">
            <v>44833</v>
          </cell>
          <cell r="E161">
            <v>1</v>
          </cell>
          <cell r="F161">
            <v>5.1607915318746737E-5</v>
          </cell>
          <cell r="G161">
            <v>5.1607915318746737E-5</v>
          </cell>
          <cell r="H161">
            <v>0</v>
          </cell>
          <cell r="I161">
            <v>5.1607915318746737E-5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</row>
        <row r="162">
          <cell r="B162" t="str">
            <v xml:space="preserve">              T02-1260</v>
          </cell>
          <cell r="C162" t="str">
            <v>Land Area allocation for the Convention Space</v>
          </cell>
          <cell r="D162">
            <v>44833</v>
          </cell>
          <cell r="E162">
            <v>1</v>
          </cell>
          <cell r="F162">
            <v>5.1607915318746737E-5</v>
          </cell>
          <cell r="G162">
            <v>5.1607915318746737E-5</v>
          </cell>
          <cell r="H162">
            <v>0</v>
          </cell>
          <cell r="I162">
            <v>5.1607915318746737E-5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</row>
        <row r="163">
          <cell r="B163" t="str">
            <v xml:space="preserve">              T02-1280</v>
          </cell>
          <cell r="C163" t="str">
            <v>Area allocation for Commercial Real Estate, Arena, Public Realm and Landscape, Amenities</v>
          </cell>
          <cell r="D163">
            <v>44833</v>
          </cell>
          <cell r="E163">
            <v>1</v>
          </cell>
          <cell r="F163">
            <v>5.1607915318746737E-5</v>
          </cell>
          <cell r="G163">
            <v>5.1607915318746737E-5</v>
          </cell>
          <cell r="H163">
            <v>0</v>
          </cell>
          <cell r="I163">
            <v>5.1607915318746737E-5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</row>
        <row r="164">
          <cell r="B164" t="str">
            <v xml:space="preserve">          PREPARATION OF DRAFT (REVISED) MASTER PLAN</v>
          </cell>
          <cell r="D164">
            <v>271572</v>
          </cell>
          <cell r="F164">
            <v>7.0599692618456217E-4</v>
          </cell>
          <cell r="G164">
            <v>7.0599692618456217E-4</v>
          </cell>
          <cell r="H164">
            <v>3.0168408196500672E-5</v>
          </cell>
          <cell r="I164">
            <v>3.9577042369047153E-4</v>
          </cell>
          <cell r="J164">
            <v>2.7851214755583552E-4</v>
          </cell>
          <cell r="K164">
            <v>1.5459467417544414E-6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</row>
        <row r="165">
          <cell r="B165" t="str">
            <v xml:space="preserve">            T02-1160</v>
          </cell>
          <cell r="C165" t="str">
            <v>Preparation of Design Basis report including all surveys</v>
          </cell>
          <cell r="D165">
            <v>121327</v>
          </cell>
          <cell r="E165">
            <v>3</v>
          </cell>
          <cell r="F165">
            <v>4.1898379822079176E-4</v>
          </cell>
          <cell r="G165">
            <v>4.1898379822079171E-4</v>
          </cell>
          <cell r="H165">
            <v>3.0168408196500672E-5</v>
          </cell>
          <cell r="I165">
            <v>3.8881539002429106E-4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</row>
        <row r="166">
          <cell r="B166" t="str">
            <v xml:space="preserve">            T02-1320</v>
          </cell>
          <cell r="C166" t="str">
            <v>Preparation of EIA report for Final Master plan</v>
          </cell>
          <cell r="D166">
            <v>100700</v>
          </cell>
          <cell r="E166">
            <v>1</v>
          </cell>
          <cell r="F166">
            <v>1.1591722776967405E-4</v>
          </cell>
          <cell r="G166">
            <v>1.1591722776967405E-4</v>
          </cell>
          <cell r="H166">
            <v>0</v>
          </cell>
          <cell r="I166">
            <v>6.9550336661804428E-6</v>
          </cell>
          <cell r="J166">
            <v>1.0741624736173917E-4</v>
          </cell>
          <cell r="K166">
            <v>1.5459467417544414E-6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</row>
        <row r="167">
          <cell r="B167" t="str">
            <v xml:space="preserve">            T02-1340</v>
          </cell>
          <cell r="C167" t="str">
            <v>Preparation of Final master Plan (Draft) based on Final Site Boundary of Transferred land &amp; Operator Worskhop</v>
          </cell>
          <cell r="D167">
            <v>49545</v>
          </cell>
          <cell r="E167">
            <v>3</v>
          </cell>
          <cell r="F167">
            <v>1.7109590019409634E-4</v>
          </cell>
          <cell r="G167">
            <v>1.7109590019409634E-4</v>
          </cell>
          <cell r="H167">
            <v>0</v>
          </cell>
          <cell r="I167">
            <v>0</v>
          </cell>
          <cell r="J167">
            <v>1.7109590019409634E-4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</row>
        <row r="168">
          <cell r="B168" t="str">
            <v xml:space="preserve">        PREPARATION FOR OBTAINING STATUTORY APPROVALS BASED ON DRAFT (REVISED) MASTER PLAN</v>
          </cell>
          <cell r="D168">
            <v>2530716</v>
          </cell>
          <cell r="F168">
            <v>8.1996658337167884E-3</v>
          </cell>
          <cell r="G168">
            <v>8.1996658337167884E-3</v>
          </cell>
          <cell r="H168">
            <v>0</v>
          </cell>
          <cell r="I168">
            <v>0</v>
          </cell>
          <cell r="J168">
            <v>4.0035980199628002E-3</v>
          </cell>
          <cell r="K168">
            <v>4.0784181586973898E-3</v>
          </cell>
          <cell r="L168">
            <v>1.1764965505659917E-4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</row>
        <row r="169">
          <cell r="B169" t="str">
            <v xml:space="preserve">          T02-1330</v>
          </cell>
          <cell r="C169" t="str">
            <v>Preparation for submission of Tree Cutting Approval from Forest Department</v>
          </cell>
          <cell r="D169">
            <v>133697</v>
          </cell>
          <cell r="E169">
            <v>1</v>
          </cell>
          <cell r="F169">
            <v>1.5390055214619774E-4</v>
          </cell>
          <cell r="G169">
            <v>1.5390055214619774E-4</v>
          </cell>
          <cell r="H169">
            <v>0</v>
          </cell>
          <cell r="I169">
            <v>0</v>
          </cell>
          <cell r="J169">
            <v>1.4543640740150645E-4</v>
          </cell>
          <cell r="K169">
            <v>8.4641447446912937E-6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</row>
        <row r="170">
          <cell r="B170" t="str">
            <v xml:space="preserve">          T02-1360</v>
          </cell>
          <cell r="C170" t="str">
            <v>Preparation for submission of Obtaining Urban Design Approvals from DUAC</v>
          </cell>
          <cell r="D170">
            <v>459358</v>
          </cell>
          <cell r="E170">
            <v>3</v>
          </cell>
          <cell r="F170">
            <v>1.5863209308983697E-3</v>
          </cell>
          <cell r="G170">
            <v>1.5863209308983692E-3</v>
          </cell>
          <cell r="H170">
            <v>0</v>
          </cell>
          <cell r="I170">
            <v>0</v>
          </cell>
          <cell r="J170">
            <v>8.1250609533892789E-4</v>
          </cell>
          <cell r="K170">
            <v>7.5060146102912128E-4</v>
          </cell>
          <cell r="L170">
            <v>2.3213374530320229E-5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</row>
        <row r="171">
          <cell r="B171" t="str">
            <v xml:space="preserve">          T02-1370</v>
          </cell>
          <cell r="C171" t="str">
            <v>Preparation for submission of Obtaining Building Heights Approvals from AAI</v>
          </cell>
          <cell r="D171">
            <v>279561</v>
          </cell>
          <cell r="E171">
            <v>3</v>
          </cell>
          <cell r="F171">
            <v>9.6542014237888324E-4</v>
          </cell>
          <cell r="G171">
            <v>9.6542014237888335E-4</v>
          </cell>
          <cell r="H171">
            <v>0</v>
          </cell>
          <cell r="I171">
            <v>0</v>
          </cell>
          <cell r="J171">
            <v>4.9448424561091247E-4</v>
          </cell>
          <cell r="K171">
            <v>4.5680826879957744E-4</v>
          </cell>
          <cell r="L171">
            <v>1.4127627968393342E-5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</row>
        <row r="172">
          <cell r="B172" t="str">
            <v xml:space="preserve">          T02-1380</v>
          </cell>
          <cell r="C172" t="str">
            <v>Preparation for submission of Obtaining Land Use / Master Plan Approval from DDA</v>
          </cell>
          <cell r="D172">
            <v>459358</v>
          </cell>
          <cell r="E172">
            <v>3</v>
          </cell>
          <cell r="F172">
            <v>1.5863209308983697E-3</v>
          </cell>
          <cell r="G172">
            <v>1.5863209308983692E-3</v>
          </cell>
          <cell r="H172">
            <v>0</v>
          </cell>
          <cell r="I172">
            <v>0</v>
          </cell>
          <cell r="J172">
            <v>8.1250609533892789E-4</v>
          </cell>
          <cell r="K172">
            <v>7.5060146102912128E-4</v>
          </cell>
          <cell r="L172">
            <v>2.3213374530320229E-5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</row>
        <row r="173">
          <cell r="B173" t="str">
            <v xml:space="preserve">          T02-1390</v>
          </cell>
          <cell r="C173" t="str">
            <v>Preparation for submission of Obtaining Water Requirement Approval from DJB</v>
          </cell>
          <cell r="D173">
            <v>190341</v>
          </cell>
          <cell r="E173">
            <v>3</v>
          </cell>
          <cell r="F173">
            <v>6.5731284163577535E-4</v>
          </cell>
          <cell r="G173">
            <v>6.5731284163577546E-4</v>
          </cell>
          <cell r="H173">
            <v>0</v>
          </cell>
          <cell r="I173">
            <v>0</v>
          </cell>
          <cell r="J173">
            <v>3.366733575885123E-4</v>
          </cell>
          <cell r="K173">
            <v>3.1102192259725692E-4</v>
          </cell>
          <cell r="L173">
            <v>9.6175614500062237E-6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</row>
        <row r="174">
          <cell r="B174" t="str">
            <v xml:space="preserve">          T02-1410</v>
          </cell>
          <cell r="C174" t="str">
            <v>Preparation for submission of Obtaining Metro Alignment Approvals from DMRC</v>
          </cell>
          <cell r="D174">
            <v>183543</v>
          </cell>
          <cell r="E174">
            <v>3</v>
          </cell>
          <cell r="F174">
            <v>6.3383701300484465E-4</v>
          </cell>
          <cell r="G174">
            <v>6.3383701300484454E-4</v>
          </cell>
          <cell r="H174">
            <v>0</v>
          </cell>
          <cell r="I174">
            <v>0</v>
          </cell>
          <cell r="J174">
            <v>3.2464881576843265E-4</v>
          </cell>
          <cell r="K174">
            <v>2.9991251678588524E-4</v>
          </cell>
          <cell r="L174">
            <v>9.2756804505266487E-6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</row>
        <row r="175">
          <cell r="B175" t="str">
            <v xml:space="preserve">          T02-1420</v>
          </cell>
          <cell r="C175" t="str">
            <v>Preparation for submission of Obtaining Power Sourcing approval from Delhi Transco / Utility Agency</v>
          </cell>
          <cell r="D175">
            <v>241999</v>
          </cell>
          <cell r="E175">
            <v>3</v>
          </cell>
          <cell r="F175">
            <v>8.3570565649553194E-4</v>
          </cell>
          <cell r="G175">
            <v>8.3570565649553183E-4</v>
          </cell>
          <cell r="H175">
            <v>0</v>
          </cell>
          <cell r="I175">
            <v>0</v>
          </cell>
          <cell r="J175">
            <v>4.2804537137871505E-4</v>
          </cell>
          <cell r="K175">
            <v>3.9543199603442103E-4</v>
          </cell>
          <cell r="L175">
            <v>1.2228289082395705E-5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</row>
        <row r="176">
          <cell r="B176" t="str">
            <v xml:space="preserve">          T02-1430</v>
          </cell>
          <cell r="C176" t="str">
            <v>Preparation for submission of Obtaining Connectivity approval from DDA</v>
          </cell>
          <cell r="D176">
            <v>183543</v>
          </cell>
          <cell r="E176">
            <v>3</v>
          </cell>
          <cell r="F176">
            <v>6.3383701300484465E-4</v>
          </cell>
          <cell r="G176">
            <v>6.3383701300484454E-4</v>
          </cell>
          <cell r="H176">
            <v>0</v>
          </cell>
          <cell r="I176">
            <v>0</v>
          </cell>
          <cell r="J176">
            <v>3.2464881576843265E-4</v>
          </cell>
          <cell r="K176">
            <v>2.9991251678588524E-4</v>
          </cell>
          <cell r="L176">
            <v>9.2756804505266487E-6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</row>
        <row r="177">
          <cell r="B177" t="str">
            <v xml:space="preserve">          T02-1440</v>
          </cell>
          <cell r="C177" t="str">
            <v>Preparation for Submission for Unified Traffic &amp; Transportation Infrastructure Planning &amp; Engg Cent. (UTTIPEC)</v>
          </cell>
          <cell r="D177">
            <v>183543</v>
          </cell>
          <cell r="E177">
            <v>3</v>
          </cell>
          <cell r="F177">
            <v>6.3383701300484465E-4</v>
          </cell>
          <cell r="G177">
            <v>6.3383701300484454E-4</v>
          </cell>
          <cell r="H177">
            <v>0</v>
          </cell>
          <cell r="I177">
            <v>0</v>
          </cell>
          <cell r="J177">
            <v>3.2464881576843265E-4</v>
          </cell>
          <cell r="K177">
            <v>2.9991251678588524E-4</v>
          </cell>
          <cell r="L177">
            <v>9.2756804505266487E-6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</row>
        <row r="178">
          <cell r="B178" t="str">
            <v xml:space="preserve">          T02-1480</v>
          </cell>
          <cell r="C178" t="str">
            <v>Preparation for submission of EIA Approval from State Pollution Control Board</v>
          </cell>
          <cell r="D178">
            <v>201513</v>
          </cell>
          <cell r="E178">
            <v>2</v>
          </cell>
          <cell r="F178">
            <v>4.6392906295035405E-4</v>
          </cell>
          <cell r="G178">
            <v>4.6392906295035405E-4</v>
          </cell>
          <cell r="H178">
            <v>0</v>
          </cell>
          <cell r="I178">
            <v>0</v>
          </cell>
          <cell r="J178">
            <v>0</v>
          </cell>
          <cell r="K178">
            <v>4.5650667680677054E-4</v>
          </cell>
          <cell r="L178">
            <v>7.4223861435834978E-6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</row>
        <row r="179">
          <cell r="B179" t="str">
            <v xml:space="preserve">          T02-1520</v>
          </cell>
          <cell r="C179" t="str">
            <v>Workshop for Statutory Approvals</v>
          </cell>
          <cell r="D179">
            <v>14260</v>
          </cell>
          <cell r="E179">
            <v>3</v>
          </cell>
          <cell r="F179">
            <v>4.9244677298775134E-5</v>
          </cell>
          <cell r="G179">
            <v>4.9244677298775134E-5</v>
          </cell>
          <cell r="H179">
            <v>0</v>
          </cell>
          <cell r="I179">
            <v>0</v>
          </cell>
          <cell r="J179">
            <v>0</v>
          </cell>
          <cell r="K179">
            <v>4.9244677298775134E-5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</row>
        <row r="180">
          <cell r="B180" t="str">
            <v xml:space="preserve">        IMPLEMENTATION OF PMIS</v>
          </cell>
          <cell r="D180">
            <v>222549</v>
          </cell>
          <cell r="F180">
            <v>3.6525437892210948E-4</v>
          </cell>
          <cell r="G180">
            <v>3.6525437892210953E-4</v>
          </cell>
          <cell r="H180">
            <v>0</v>
          </cell>
          <cell r="I180">
            <v>0</v>
          </cell>
          <cell r="J180">
            <v>5.2478157862876567E-5</v>
          </cell>
          <cell r="K180">
            <v>3.096520963703859E-4</v>
          </cell>
          <cell r="L180">
            <v>3.1241246888470245E-6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</row>
        <row r="181">
          <cell r="B181" t="str">
            <v xml:space="preserve">          T02-1350</v>
          </cell>
          <cell r="C181" t="str">
            <v>Logical Sequence and phasing of the Master Plan Projects</v>
          </cell>
          <cell r="D181">
            <v>33625</v>
          </cell>
          <cell r="E181">
            <v>1</v>
          </cell>
          <cell r="F181">
            <v>3.8706224267679146E-5</v>
          </cell>
          <cell r="G181">
            <v>3.8706224267679146E-5</v>
          </cell>
          <cell r="H181">
            <v>0</v>
          </cell>
          <cell r="I181">
            <v>0</v>
          </cell>
          <cell r="J181">
            <v>3.8706224267679146E-5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</row>
        <row r="182">
          <cell r="B182" t="str">
            <v xml:space="preserve">          T02-1460</v>
          </cell>
          <cell r="C182" t="str">
            <v>Creating Cost Breakdown Structure</v>
          </cell>
          <cell r="D182">
            <v>11297</v>
          </cell>
          <cell r="E182">
            <v>1</v>
          </cell>
          <cell r="F182">
            <v>1.3005291353940192E-5</v>
          </cell>
          <cell r="G182">
            <v>1.3005291353940192E-5</v>
          </cell>
          <cell r="H182">
            <v>0</v>
          </cell>
          <cell r="I182">
            <v>0</v>
          </cell>
          <cell r="J182">
            <v>8.6989720978691828E-6</v>
          </cell>
          <cell r="K182">
            <v>4.3063192560710095E-6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</row>
        <row r="183">
          <cell r="B183" t="str">
            <v xml:space="preserve">          T02-1470</v>
          </cell>
          <cell r="C183" t="str">
            <v>Preliminary Procurement Plan</v>
          </cell>
          <cell r="D183">
            <v>12592</v>
          </cell>
          <cell r="E183">
            <v>1</v>
          </cell>
          <cell r="F183">
            <v>1.4494833486352887E-5</v>
          </cell>
          <cell r="G183">
            <v>1.4494833486352887E-5</v>
          </cell>
          <cell r="H183">
            <v>0</v>
          </cell>
          <cell r="I183">
            <v>0</v>
          </cell>
          <cell r="J183">
            <v>5.0729614973282379E-6</v>
          </cell>
          <cell r="K183">
            <v>9.421871989024649E-6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</row>
        <row r="184">
          <cell r="B184" t="str">
            <v xml:space="preserve">          T02-1490</v>
          </cell>
          <cell r="C184" t="str">
            <v>Preparation of Advanced System that covers all aspect of Project Performance and monitoring</v>
          </cell>
          <cell r="D184">
            <v>31585</v>
          </cell>
          <cell r="E184">
            <v>2</v>
          </cell>
          <cell r="F184">
            <v>7.2715901471800498E-5</v>
          </cell>
          <cell r="G184">
            <v>7.2715901471800498E-5</v>
          </cell>
          <cell r="H184">
            <v>0</v>
          </cell>
          <cell r="I184">
            <v>0</v>
          </cell>
          <cell r="J184">
            <v>0</v>
          </cell>
          <cell r="K184">
            <v>7.2715901471800498E-5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</row>
        <row r="185">
          <cell r="B185" t="str">
            <v xml:space="preserve">          T02-1500</v>
          </cell>
          <cell r="C185" t="str">
            <v>Creating Baseline Program Budget</v>
          </cell>
          <cell r="D185">
            <v>71641</v>
          </cell>
          <cell r="E185">
            <v>1</v>
          </cell>
          <cell r="F185">
            <v>8.2466992201064723E-5</v>
          </cell>
          <cell r="G185">
            <v>8.2466992201064723E-5</v>
          </cell>
          <cell r="H185">
            <v>0</v>
          </cell>
          <cell r="I185">
            <v>0</v>
          </cell>
          <cell r="J185">
            <v>0</v>
          </cell>
          <cell r="K185">
            <v>8.2466992201064723E-5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</row>
        <row r="186">
          <cell r="B186" t="str">
            <v xml:space="preserve">          T02-1510</v>
          </cell>
          <cell r="C186" t="str">
            <v>Preparation of Web Based Management Dash Board providing Cost &amp; Schedule Information</v>
          </cell>
          <cell r="D186">
            <v>31585</v>
          </cell>
          <cell r="E186">
            <v>3</v>
          </cell>
          <cell r="F186">
            <v>1.0907385220770073E-4</v>
          </cell>
          <cell r="G186">
            <v>1.0907385220770073E-4</v>
          </cell>
          <cell r="H186">
            <v>0</v>
          </cell>
          <cell r="I186">
            <v>0</v>
          </cell>
          <cell r="J186">
            <v>0</v>
          </cell>
          <cell r="K186">
            <v>1.0907385220770073E-4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</row>
        <row r="187">
          <cell r="B187" t="str">
            <v xml:space="preserve">          T02-1530</v>
          </cell>
          <cell r="C187" t="str">
            <v>Establishing procedures for preparation of revised Budget &amp; Cash Flow</v>
          </cell>
          <cell r="D187">
            <v>28656</v>
          </cell>
          <cell r="E187">
            <v>1</v>
          </cell>
          <cell r="F187">
            <v>3.2986336434635344E-5</v>
          </cell>
          <cell r="G187">
            <v>3.2986336434635344E-5</v>
          </cell>
          <cell r="H187">
            <v>0</v>
          </cell>
          <cell r="I187">
            <v>0</v>
          </cell>
          <cell r="J187">
            <v>0</v>
          </cell>
          <cell r="K187">
            <v>3.166715924472426E-5</v>
          </cell>
          <cell r="L187">
            <v>1.319177189911087E-6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</row>
        <row r="188">
          <cell r="B188" t="str">
            <v xml:space="preserve">          T02-1540</v>
          </cell>
          <cell r="C188" t="str">
            <v>Conducting Workshop for PMIS</v>
          </cell>
          <cell r="D188">
            <v>1568</v>
          </cell>
          <cell r="E188">
            <v>1</v>
          </cell>
          <cell r="F188">
            <v>1.8049474989359375E-6</v>
          </cell>
          <cell r="G188">
            <v>1.8049474989359375E-6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1.8049474989359375E-6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</row>
        <row r="189">
          <cell r="B189" t="str">
            <v xml:space="preserve">      TASK 3 - TECHNICAL ASSISTANCE</v>
          </cell>
          <cell r="D189">
            <v>53387806</v>
          </cell>
          <cell r="F189">
            <v>6.1078362036444921E-2</v>
          </cell>
          <cell r="G189">
            <v>6.1078362036444921E-2</v>
          </cell>
          <cell r="H189">
            <v>0</v>
          </cell>
          <cell r="I189">
            <v>1.1578139626146331E-4</v>
          </cell>
          <cell r="J189">
            <v>2.5748243718717438E-3</v>
          </cell>
          <cell r="K189">
            <v>1.3981194695855306E-3</v>
          </cell>
          <cell r="L189">
            <v>7.1567687803918726E-3</v>
          </cell>
          <cell r="M189">
            <v>1.020695738642215E-2</v>
          </cell>
          <cell r="N189">
            <v>6.753123582568606E-3</v>
          </cell>
          <cell r="O189">
            <v>7.9242709041629431E-3</v>
          </cell>
          <cell r="P189">
            <v>1.6474702038887873E-2</v>
          </cell>
          <cell r="Q189">
            <v>4.8131146710066151E-3</v>
          </cell>
          <cell r="R189">
            <v>3.3556575523935655E-3</v>
          </cell>
          <cell r="S189">
            <v>3.0504188289255527E-4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</row>
        <row r="190">
          <cell r="B190" t="str">
            <v xml:space="preserve">        MISCELLANEOUS WORKS</v>
          </cell>
          <cell r="D190">
            <v>4830664</v>
          </cell>
          <cell r="F190">
            <v>1.3087250704657183E-2</v>
          </cell>
          <cell r="G190">
            <v>1.3087250704657181E-2</v>
          </cell>
          <cell r="H190">
            <v>0</v>
          </cell>
          <cell r="I190">
            <v>1.0497358244289857E-4</v>
          </cell>
          <cell r="J190">
            <v>1.2312769373815926E-3</v>
          </cell>
          <cell r="K190">
            <v>1.0064170844545231E-3</v>
          </cell>
          <cell r="L190">
            <v>1.0783939704324991E-3</v>
          </cell>
          <cell r="M190">
            <v>6.0169536437296375E-3</v>
          </cell>
          <cell r="N190">
            <v>2.8459590267485737E-3</v>
          </cell>
          <cell r="O190">
            <v>7.6898245698767283E-4</v>
          </cell>
          <cell r="P190">
            <v>3.4294002479782812E-5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</row>
        <row r="191">
          <cell r="B191" t="str">
            <v xml:space="preserve">          T03-1000</v>
          </cell>
          <cell r="C191" t="str">
            <v>Traffic re-routing plan in compliance with the EMP</v>
          </cell>
          <cell r="D191">
            <v>395117</v>
          </cell>
          <cell r="E191">
            <v>1</v>
          </cell>
          <cell r="F191">
            <v>4.5482489855680535E-4</v>
          </cell>
          <cell r="G191">
            <v>4.548248985568054E-4</v>
          </cell>
          <cell r="H191">
            <v>0</v>
          </cell>
          <cell r="I191">
            <v>8.1868412673356393E-5</v>
          </cell>
          <cell r="J191">
            <v>2.1888441768027329E-4</v>
          </cell>
          <cell r="K191">
            <v>1.1768649071984276E-4</v>
          </cell>
          <cell r="L191">
            <v>3.6385577483332941E-5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</row>
        <row r="192">
          <cell r="B192" t="str">
            <v xml:space="preserve">          T03-1200</v>
          </cell>
          <cell r="C192" t="str">
            <v>Providing Inputs (By In-house Design Team) for Preparation of Final Master Plan (Draft 2)  wrt  Trunk Services Engg.</v>
          </cell>
          <cell r="D192">
            <v>97062</v>
          </cell>
          <cell r="E192">
            <v>1</v>
          </cell>
          <cell r="F192">
            <v>1.1172947330466835E-4</v>
          </cell>
          <cell r="G192">
            <v>1.1172947330466835E-4</v>
          </cell>
          <cell r="H192">
            <v>0</v>
          </cell>
          <cell r="I192">
            <v>0</v>
          </cell>
          <cell r="J192">
            <v>9.5528688164346672E-5</v>
          </cell>
          <cell r="K192">
            <v>1.6200785140321675E-5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</row>
        <row r="193">
          <cell r="B193" t="str">
            <v xml:space="preserve">          T03-1210</v>
          </cell>
          <cell r="C193" t="str">
            <v>Coordination for Metro Connectivity &amp; Location</v>
          </cell>
          <cell r="D193">
            <v>246252</v>
          </cell>
          <cell r="E193">
            <v>1</v>
          </cell>
          <cell r="F193">
            <v>2.8346424203314573E-4</v>
          </cell>
          <cell r="G193">
            <v>2.8346424203314573E-4</v>
          </cell>
          <cell r="H193">
            <v>0</v>
          </cell>
          <cell r="I193">
            <v>0</v>
          </cell>
          <cell r="J193">
            <v>1.2732247000147079E-4</v>
          </cell>
          <cell r="K193">
            <v>1.4055107756382525E-4</v>
          </cell>
          <cell r="L193">
            <v>1.5590694467849707E-5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</row>
        <row r="194">
          <cell r="B194" t="str">
            <v xml:space="preserve">          T03-1250</v>
          </cell>
          <cell r="C194" t="str">
            <v>Assisting PMC/DMICDC in selection of Private Sector Developer Operator Partners</v>
          </cell>
          <cell r="D194">
            <v>154676</v>
          </cell>
          <cell r="E194">
            <v>3</v>
          </cell>
          <cell r="F194">
            <v>5.3414934823740141E-4</v>
          </cell>
          <cell r="G194">
            <v>5.341493482374013E-4</v>
          </cell>
          <cell r="H194">
            <v>0</v>
          </cell>
          <cell r="I194">
            <v>0</v>
          </cell>
          <cell r="J194">
            <v>0</v>
          </cell>
          <cell r="K194">
            <v>4.807399387631477E-5</v>
          </cell>
          <cell r="L194">
            <v>4.0862376793353192E-4</v>
          </cell>
          <cell r="M194">
            <v>7.7451586427554602E-5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</row>
        <row r="195">
          <cell r="B195" t="str">
            <v xml:space="preserve">          T03-1660</v>
          </cell>
          <cell r="C195" t="str">
            <v>Preparation of Standard Operating Procedures (SOP)</v>
          </cell>
          <cell r="D195">
            <v>249103</v>
          </cell>
          <cell r="E195">
            <v>3</v>
          </cell>
          <cell r="F195">
            <v>8.6023820821576303E-4</v>
          </cell>
          <cell r="G195">
            <v>8.6023820821576303E-4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8.6023820821576303E-4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</row>
        <row r="196">
          <cell r="B196" t="str">
            <v xml:space="preserve">          T03-1780</v>
          </cell>
          <cell r="C196" t="str">
            <v>Preparation of Execution Philosophy</v>
          </cell>
          <cell r="D196">
            <v>12110</v>
          </cell>
          <cell r="E196">
            <v>3</v>
          </cell>
          <cell r="F196">
            <v>4.1819988926238907E-5</v>
          </cell>
          <cell r="G196">
            <v>4.1819988926238907E-5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4.1819988926238907E-5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</row>
        <row r="197">
          <cell r="B197" t="str">
            <v xml:space="preserve">          T03-1790</v>
          </cell>
          <cell r="C197" t="str">
            <v>Preparation of Financial Feasibility</v>
          </cell>
          <cell r="D197">
            <v>31405</v>
          </cell>
          <cell r="E197">
            <v>3</v>
          </cell>
          <cell r="F197">
            <v>1.0845225039046514E-4</v>
          </cell>
          <cell r="G197">
            <v>1.0845225039046514E-4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1.0845225039046514E-4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</row>
        <row r="198">
          <cell r="B198" t="str">
            <v xml:space="preserve">          T03-1800</v>
          </cell>
          <cell r="C198" t="str">
            <v>Assessment for Utility Shifting and associated costs</v>
          </cell>
          <cell r="D198">
            <v>372394</v>
          </cell>
          <cell r="E198">
            <v>2</v>
          </cell>
          <cell r="F198">
            <v>8.5733855084980687E-4</v>
          </cell>
          <cell r="G198">
            <v>8.5733855084980666E-4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5.129734463302422E-4</v>
          </cell>
          <cell r="O198">
            <v>3.1007110203978171E-4</v>
          </cell>
          <cell r="P198">
            <v>3.4294002479782812E-5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</row>
        <row r="199">
          <cell r="B199" t="str">
            <v xml:space="preserve">          T03-2260</v>
          </cell>
          <cell r="C199" t="str">
            <v>Completion of Final Design</v>
          </cell>
          <cell r="D199">
            <v>0</v>
          </cell>
          <cell r="E199">
            <v>2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</row>
        <row r="200">
          <cell r="B200" t="str">
            <v xml:space="preserve">          TECHNICAL ASSISTANCE FOR ONBOARDING OF TAS CONSULTANT</v>
          </cell>
          <cell r="D200">
            <v>455569</v>
          </cell>
          <cell r="F200">
            <v>1.3740749904032768E-3</v>
          </cell>
          <cell r="G200">
            <v>1.3740749904032766E-3</v>
          </cell>
          <cell r="H200">
            <v>0</v>
          </cell>
          <cell r="I200">
            <v>2.3105169769542178E-5</v>
          </cell>
          <cell r="J200">
            <v>3.6999236610681628E-4</v>
          </cell>
          <cell r="K200">
            <v>4.2758607670264649E-4</v>
          </cell>
          <cell r="L200">
            <v>3.0051339854254632E-4</v>
          </cell>
          <cell r="M200">
            <v>2.5287797928172557E-4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</row>
        <row r="201">
          <cell r="B201" t="str">
            <v xml:space="preserve">            T03-1010</v>
          </cell>
          <cell r="C201" t="str">
            <v>PPP Feasibility Study</v>
          </cell>
          <cell r="D201">
            <v>16186</v>
          </cell>
          <cell r="E201">
            <v>1</v>
          </cell>
          <cell r="F201">
            <v>1.8633090028875013E-5</v>
          </cell>
          <cell r="G201">
            <v>1.8633090028875013E-5</v>
          </cell>
          <cell r="H201">
            <v>0</v>
          </cell>
          <cell r="I201">
            <v>1.1552584884771089E-5</v>
          </cell>
          <cell r="J201">
            <v>7.0805051441039236E-6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</row>
        <row r="202">
          <cell r="B202" t="str">
            <v xml:space="preserve">            T03-1020</v>
          </cell>
          <cell r="C202" t="str">
            <v>Detail Financial Modeling</v>
          </cell>
          <cell r="D202">
            <v>16186</v>
          </cell>
          <cell r="E202">
            <v>1</v>
          </cell>
          <cell r="F202">
            <v>1.8633090028875013E-5</v>
          </cell>
          <cell r="G202">
            <v>1.8633090028875013E-5</v>
          </cell>
          <cell r="H202">
            <v>0</v>
          </cell>
          <cell r="I202">
            <v>1.1552584884771089E-5</v>
          </cell>
          <cell r="J202">
            <v>7.0805051441039236E-6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</row>
        <row r="203">
          <cell r="B203" t="str">
            <v xml:space="preserve">            T03-1040</v>
          </cell>
          <cell r="C203" t="str">
            <v>Preparation of EOI for Transaction Advisor Consultant</v>
          </cell>
          <cell r="D203">
            <v>54137</v>
          </cell>
          <cell r="E203">
            <v>1</v>
          </cell>
          <cell r="F203">
            <v>6.2317884406820693E-5</v>
          </cell>
          <cell r="G203">
            <v>6.2317884406820693E-5</v>
          </cell>
          <cell r="H203">
            <v>0</v>
          </cell>
          <cell r="I203">
            <v>0</v>
          </cell>
          <cell r="J203">
            <v>6.2317884406820693E-5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</row>
        <row r="204">
          <cell r="B204" t="str">
            <v xml:space="preserve">            T03-1110</v>
          </cell>
          <cell r="C204" t="str">
            <v>Preparation of RFP for Transaction Advisor Consultant</v>
          </cell>
          <cell r="D204">
            <v>104406</v>
          </cell>
          <cell r="E204">
            <v>3</v>
          </cell>
          <cell r="F204">
            <v>3.6054977405721713E-4</v>
          </cell>
          <cell r="G204">
            <v>3.6054977405721713E-4</v>
          </cell>
          <cell r="H204">
            <v>0</v>
          </cell>
          <cell r="I204">
            <v>0</v>
          </cell>
          <cell r="J204">
            <v>1.374085350433564E-4</v>
          </cell>
          <cell r="K204">
            <v>2.2314123901386073E-4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</row>
        <row r="205">
          <cell r="B205" t="str">
            <v xml:space="preserve">            T03-1220</v>
          </cell>
          <cell r="C205" t="str">
            <v>Preparation of RFQ for Transaction Advisor Consultant</v>
          </cell>
          <cell r="D205">
            <v>104406</v>
          </cell>
          <cell r="E205">
            <v>3</v>
          </cell>
          <cell r="F205">
            <v>3.6054977405721713E-4</v>
          </cell>
          <cell r="G205">
            <v>3.6054977405721713E-4</v>
          </cell>
          <cell r="H205">
            <v>0</v>
          </cell>
          <cell r="I205">
            <v>0</v>
          </cell>
          <cell r="J205">
            <v>1.5610493636843134E-4</v>
          </cell>
          <cell r="K205">
            <v>2.0444483768878579E-4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</row>
        <row r="206">
          <cell r="B206" t="str">
            <v xml:space="preserve">            T03-1270</v>
          </cell>
          <cell r="C206" t="str">
            <v>Selection of Transaction Advisor Consultant</v>
          </cell>
          <cell r="D206">
            <v>69604</v>
          </cell>
          <cell r="E206">
            <v>3</v>
          </cell>
          <cell r="F206">
            <v>2.4036651603814475E-4</v>
          </cell>
          <cell r="G206">
            <v>2.4036651603814475E-4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2.4036651603814475E-4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</row>
        <row r="207">
          <cell r="B207" t="str">
            <v xml:space="preserve">            T03-1460</v>
          </cell>
          <cell r="C207" t="str">
            <v>PPP Project Structuring</v>
          </cell>
          <cell r="D207">
            <v>90644</v>
          </cell>
          <cell r="E207">
            <v>3</v>
          </cell>
          <cell r="F207">
            <v>3.1302486178612712E-4</v>
          </cell>
          <cell r="G207">
            <v>3.1302486178612712E-4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6.014688250440157E-5</v>
          </cell>
          <cell r="M207">
            <v>2.5287797928172557E-4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</row>
        <row r="208">
          <cell r="B208" t="str">
            <v xml:space="preserve">            T03-1590</v>
          </cell>
          <cell r="C208" t="str">
            <v>Floating of RFQ/RFP for Transaction Advisor Consultant (By Client)</v>
          </cell>
          <cell r="D208">
            <v>0</v>
          </cell>
          <cell r="E208">
            <v>3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</row>
        <row r="209">
          <cell r="B209" t="str">
            <v xml:space="preserve">          FINANCE &amp; INVESTMENT MANAGEMENT</v>
          </cell>
          <cell r="D209">
            <v>2244644</v>
          </cell>
          <cell r="F209">
            <v>7.7515093413215511E-3</v>
          </cell>
          <cell r="G209">
            <v>7.7515093413215493E-3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2.8349877546743655E-4</v>
          </cell>
          <cell r="M209">
            <v>4.6761136304878902E-3</v>
          </cell>
          <cell r="N209">
            <v>2.3329855804183315E-3</v>
          </cell>
          <cell r="O209">
            <v>4.5891135494789117E-4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</row>
        <row r="210">
          <cell r="B210" t="str">
            <v xml:space="preserve">            T03-1330</v>
          </cell>
          <cell r="C210" t="str">
            <v>Creation of System (Costing Structure) that is compatible with the existing DMICDC system</v>
          </cell>
          <cell r="D210">
            <v>18465</v>
          </cell>
          <cell r="E210">
            <v>3</v>
          </cell>
          <cell r="F210">
            <v>6.376598641808435E-5</v>
          </cell>
          <cell r="G210">
            <v>6.3765986418084337E-5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1.8703308011933105E-5</v>
          </cell>
          <cell r="M210">
            <v>4.5062678406151239E-5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</row>
        <row r="211">
          <cell r="B211" t="str">
            <v xml:space="preserve">            T03-1340</v>
          </cell>
          <cell r="C211" t="str">
            <v>Preparation of Comprehensive Financing Plan for all Components of the Project</v>
          </cell>
          <cell r="D211">
            <v>164875</v>
          </cell>
          <cell r="E211">
            <v>3</v>
          </cell>
          <cell r="F211">
            <v>5.6936654452722656E-4</v>
          </cell>
          <cell r="G211">
            <v>5.6936654452722656E-4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4.8802649339852041E-5</v>
          </cell>
          <cell r="M211">
            <v>4.4464904658576344E-4</v>
          </cell>
          <cell r="N211">
            <v>7.5914848601611051E-5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</row>
        <row r="212">
          <cell r="B212" t="str">
            <v xml:space="preserve">            T03-1480</v>
          </cell>
          <cell r="C212" t="str">
            <v>Development of Code of Accounting on the WBS for each Individual Projects</v>
          </cell>
          <cell r="D212">
            <v>67666</v>
          </cell>
          <cell r="E212">
            <v>3</v>
          </cell>
          <cell r="F212">
            <v>2.336704831291458E-4</v>
          </cell>
          <cell r="G212">
            <v>2.336704831291458E-4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1.4751301791686384E-4</v>
          </cell>
          <cell r="N212">
            <v>8.6157465212281955E-5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</row>
        <row r="213">
          <cell r="B213" t="str">
            <v xml:space="preserve">            T03-1490</v>
          </cell>
          <cell r="C213" t="str">
            <v>Assessing the governments role (Corresponding to clients legal obligation) in the proposed PPP Project</v>
          </cell>
          <cell r="D213">
            <v>150809</v>
          </cell>
          <cell r="E213">
            <v>3</v>
          </cell>
          <cell r="F213">
            <v>5.2079526919712336E-4</v>
          </cell>
          <cell r="G213">
            <v>5.2079526919712326E-4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3.2876865447933299E-4</v>
          </cell>
          <cell r="N213">
            <v>1.9202661471779032E-4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</row>
        <row r="214">
          <cell r="B214" t="str">
            <v xml:space="preserve">            T03-1500</v>
          </cell>
          <cell r="C214" t="str">
            <v>Exploring possible convergences with state &amp; central government schemes for any of the sub-components of the project</v>
          </cell>
          <cell r="D214">
            <v>126254</v>
          </cell>
          <cell r="E214">
            <v>3</v>
          </cell>
          <cell r="F214">
            <v>4.3599842129590148E-4</v>
          </cell>
          <cell r="G214">
            <v>4.3599842129590153E-4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2.7523837798506141E-4</v>
          </cell>
          <cell r="N214">
            <v>1.607600433108401E-4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</row>
        <row r="215">
          <cell r="B215" t="str">
            <v xml:space="preserve">            T03-1510</v>
          </cell>
          <cell r="C215" t="str">
            <v>Providing valuation of revenues based on different options and various assumptions</v>
          </cell>
          <cell r="D215">
            <v>126254</v>
          </cell>
          <cell r="E215">
            <v>3</v>
          </cell>
          <cell r="F215">
            <v>4.3599842129590148E-4</v>
          </cell>
          <cell r="G215">
            <v>4.3599842129590153E-4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2.7523837798506141E-4</v>
          </cell>
          <cell r="N215">
            <v>1.607600433108401E-4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</row>
        <row r="216">
          <cell r="B216" t="str">
            <v xml:space="preserve">            T03-1520</v>
          </cell>
          <cell r="C216" t="str">
            <v>Advising on financial (capital) structure for mobilizing debt, if required</v>
          </cell>
          <cell r="D216">
            <v>126254</v>
          </cell>
          <cell r="E216">
            <v>3</v>
          </cell>
          <cell r="F216">
            <v>4.3599842129590148E-4</v>
          </cell>
          <cell r="G216">
            <v>4.3599842129590153E-4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2.7523837798506141E-4</v>
          </cell>
          <cell r="N216">
            <v>1.607600433108401E-4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</row>
        <row r="217">
          <cell r="B217" t="str">
            <v xml:space="preserve">            T03-1530</v>
          </cell>
          <cell r="C217" t="str">
            <v>Assess the possibility of grant from multi-lateral and bi-lateral agencies, interested investor in the project</v>
          </cell>
          <cell r="D217">
            <v>126254</v>
          </cell>
          <cell r="E217">
            <v>3</v>
          </cell>
          <cell r="F217">
            <v>4.3599842129590148E-4</v>
          </cell>
          <cell r="G217">
            <v>4.3599842129590153E-4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2.7523837798506141E-4</v>
          </cell>
          <cell r="N217">
            <v>1.607600433108401E-4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</row>
        <row r="218">
          <cell r="B218" t="str">
            <v xml:space="preserve">            T03-1540</v>
          </cell>
          <cell r="C218" t="str">
            <v>Finding investment commitment to be required, their nature and Management</v>
          </cell>
          <cell r="D218">
            <v>126254</v>
          </cell>
          <cell r="E218">
            <v>3</v>
          </cell>
          <cell r="F218">
            <v>4.3599842129590148E-4</v>
          </cell>
          <cell r="G218">
            <v>4.3599842129590153E-4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2.7523837798506141E-4</v>
          </cell>
          <cell r="N218">
            <v>1.607600433108401E-4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</row>
        <row r="219">
          <cell r="B219" t="str">
            <v xml:space="preserve">            T03-2120</v>
          </cell>
          <cell r="C219" t="str">
            <v>Development &amp; Implementation of Financial Management of the Programme</v>
          </cell>
          <cell r="D219">
            <v>77695</v>
          </cell>
          <cell r="E219">
            <v>3</v>
          </cell>
          <cell r="F219">
            <v>2.6830751772288455E-4</v>
          </cell>
          <cell r="G219">
            <v>2.6830751772288455E-4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2.0122632161287708E-5</v>
          </cell>
          <cell r="O219">
            <v>2.4818488556159685E-4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</row>
        <row r="220">
          <cell r="B220" t="str">
            <v xml:space="preserve">            LAND MONETIZATION</v>
          </cell>
          <cell r="D220">
            <v>1133864</v>
          </cell>
          <cell r="F220">
            <v>3.9156114338475788E-3</v>
          </cell>
          <cell r="G220">
            <v>3.9156114338475779E-3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2.1599281811565142E-4</v>
          </cell>
          <cell r="M220">
            <v>2.3339283431744722E-3</v>
          </cell>
          <cell r="N220">
            <v>1.1549638031711602E-3</v>
          </cell>
          <cell r="O220">
            <v>2.1072646938629435E-4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</row>
        <row r="221">
          <cell r="B221" t="str">
            <v xml:space="preserve">              T03-1300</v>
          </cell>
          <cell r="C221" t="str">
            <v>Assess the FAR regime and maximize the same for eventual land monetization</v>
          </cell>
          <cell r="D221">
            <v>464461</v>
          </cell>
          <cell r="E221">
            <v>3</v>
          </cell>
          <cell r="F221">
            <v>1.6039433424169984E-3</v>
          </cell>
          <cell r="G221">
            <v>1.6039433424169984E-3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8.8833806369824085E-5</v>
          </cell>
          <cell r="M221">
            <v>9.5989824623577368E-4</v>
          </cell>
          <cell r="N221">
            <v>4.7501429535772206E-4</v>
          </cell>
          <cell r="O221">
            <v>8.0196994453678465E-5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</row>
        <row r="222">
          <cell r="B222" t="str">
            <v xml:space="preserve">              T03-1310</v>
          </cell>
          <cell r="C222" t="str">
            <v>Assess the possibility of developing the station area for possible real estate gains</v>
          </cell>
          <cell r="D222">
            <v>221616</v>
          </cell>
          <cell r="E222">
            <v>3</v>
          </cell>
          <cell r="F222">
            <v>7.6531270403703015E-4</v>
          </cell>
          <cell r="G222">
            <v>7.6531270403703015E-4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4.2386337248609116E-5</v>
          </cell>
          <cell r="M222">
            <v>4.5801003231289955E-4</v>
          </cell>
          <cell r="N222">
            <v>2.2664983593781272E-4</v>
          </cell>
          <cell r="O222">
            <v>3.8266498537708785E-5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</row>
        <row r="223">
          <cell r="B223" t="str">
            <v xml:space="preserve">              T03-1320</v>
          </cell>
          <cell r="C223" t="str">
            <v>Explore various user charges such as parking fee, retail spend etc.</v>
          </cell>
          <cell r="D223">
            <v>221616</v>
          </cell>
          <cell r="E223">
            <v>3</v>
          </cell>
          <cell r="F223">
            <v>7.6531270403703015E-4</v>
          </cell>
          <cell r="G223">
            <v>7.6531270403703015E-4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4.2386337248609116E-5</v>
          </cell>
          <cell r="M223">
            <v>4.5801003231289955E-4</v>
          </cell>
          <cell r="N223">
            <v>2.2664983593781272E-4</v>
          </cell>
          <cell r="O223">
            <v>3.8266498537708785E-5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</row>
        <row r="224">
          <cell r="B224" t="str">
            <v xml:space="preserve">              T03-1450</v>
          </cell>
          <cell r="C224" t="str">
            <v>Assessment of non-PPP project component, if any and forecast any possible revenue streams emanating</v>
          </cell>
          <cell r="D224">
            <v>221616</v>
          </cell>
          <cell r="E224">
            <v>3</v>
          </cell>
          <cell r="F224">
            <v>7.6531270403703015E-4</v>
          </cell>
          <cell r="G224">
            <v>7.6531270403703015E-4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4.2386337248609116E-5</v>
          </cell>
          <cell r="M224">
            <v>4.5801003231289955E-4</v>
          </cell>
          <cell r="N224">
            <v>2.2664983593781272E-4</v>
          </cell>
          <cell r="O224">
            <v>3.8266498537708785E-5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</row>
        <row r="225">
          <cell r="B225" t="str">
            <v xml:space="preserve">              T03-2240</v>
          </cell>
          <cell r="C225" t="str">
            <v>Workshop for Investment Strategy</v>
          </cell>
          <cell r="D225">
            <v>4555</v>
          </cell>
          <cell r="E225">
            <v>3</v>
          </cell>
          <cell r="F225">
            <v>1.5729979319489531E-5</v>
          </cell>
          <cell r="G225">
            <v>1.5729979319489531E-5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1.5729979319489531E-5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</row>
        <row r="226">
          <cell r="B226" t="str">
            <v xml:space="preserve">          PREPARATION FOR RFP/RFQ FOR ECC O&amp;M OPERATOR</v>
          </cell>
          <cell r="D226">
            <v>572332</v>
          </cell>
          <cell r="F226">
            <v>7.0964941241805947E-4</v>
          </cell>
          <cell r="G226">
            <v>7.0964941241805947E-4</v>
          </cell>
          <cell r="H226">
            <v>0</v>
          </cell>
          <cell r="I226">
            <v>0</v>
          </cell>
          <cell r="J226">
            <v>4.1954899542868561E-4</v>
          </cell>
          <cell r="K226">
            <v>2.5631866045157218E-4</v>
          </cell>
          <cell r="L226">
            <v>3.378175653780163E-5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</row>
        <row r="227">
          <cell r="B227" t="str">
            <v xml:space="preserve">            T03-1060</v>
          </cell>
          <cell r="C227" t="str">
            <v>Workshop with Probable O&amp;M Operators</v>
          </cell>
          <cell r="D227">
            <v>22078</v>
          </cell>
          <cell r="E227">
            <v>3</v>
          </cell>
          <cell r="F227">
            <v>7.6242916227374291E-5</v>
          </cell>
          <cell r="G227">
            <v>7.6242916227374291E-5</v>
          </cell>
          <cell r="H227">
            <v>0</v>
          </cell>
          <cell r="I227">
            <v>0</v>
          </cell>
          <cell r="J227">
            <v>7.6242916227374291E-5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</row>
        <row r="228">
          <cell r="B228" t="str">
            <v xml:space="preserve">            T03-1070</v>
          </cell>
          <cell r="C228" t="str">
            <v>Preparation of RFP / RFQ for ECC O&amp;M Operator</v>
          </cell>
          <cell r="D228">
            <v>330152</v>
          </cell>
          <cell r="E228">
            <v>1</v>
          </cell>
          <cell r="F228">
            <v>3.800438977144111E-4</v>
          </cell>
          <cell r="G228">
            <v>3.800438977144111E-4</v>
          </cell>
          <cell r="H228">
            <v>0</v>
          </cell>
          <cell r="I228">
            <v>0</v>
          </cell>
          <cell r="J228">
            <v>3.4330607920131134E-4</v>
          </cell>
          <cell r="K228">
            <v>3.6737818513099778E-5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</row>
        <row r="229">
          <cell r="B229" t="str">
            <v xml:space="preserve">            T03-1230</v>
          </cell>
          <cell r="C229" t="str">
            <v>Selection of ECC O&amp;M Operaotor</v>
          </cell>
          <cell r="D229">
            <v>220102</v>
          </cell>
          <cell r="E229">
            <v>1</v>
          </cell>
          <cell r="F229">
            <v>2.5336259847627405E-4</v>
          </cell>
          <cell r="G229">
            <v>2.5336259847627405E-4</v>
          </cell>
          <cell r="H229">
            <v>0</v>
          </cell>
          <cell r="I229">
            <v>0</v>
          </cell>
          <cell r="J229">
            <v>0</v>
          </cell>
          <cell r="K229">
            <v>2.195808419384724E-4</v>
          </cell>
          <cell r="L229">
            <v>3.378175653780163E-5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</row>
        <row r="230">
          <cell r="B230" t="str">
            <v xml:space="preserve">            T03-1700</v>
          </cell>
          <cell r="C230" t="str">
            <v>Floating of RFQ/RFP ECC O&amp;M Operaotor (By Client)</v>
          </cell>
          <cell r="D230">
            <v>0</v>
          </cell>
          <cell r="E230">
            <v>1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</row>
        <row r="231">
          <cell r="B231" t="str">
            <v xml:space="preserve">        TECH. ASST. FOR PRELIMINARY  ENGINEERING &amp; ARCH WORKS</v>
          </cell>
          <cell r="D231">
            <v>25269239</v>
          </cell>
          <cell r="F231">
            <v>2.9634175968020972E-3</v>
          </cell>
          <cell r="G231">
            <v>2.9634175968020968E-3</v>
          </cell>
          <cell r="H231">
            <v>0</v>
          </cell>
          <cell r="I231">
            <v>1.0807813818564743E-5</v>
          </cell>
          <cell r="J231">
            <v>1.3435474344901512E-3</v>
          </cell>
          <cell r="K231">
            <v>1.0447630098911009E-4</v>
          </cell>
          <cell r="L231">
            <v>5.1831576861503911E-4</v>
          </cell>
          <cell r="M231">
            <v>0</v>
          </cell>
          <cell r="N231">
            <v>0</v>
          </cell>
          <cell r="O231">
            <v>0</v>
          </cell>
          <cell r="P231">
            <v>5.792903024279452E-4</v>
          </cell>
          <cell r="Q231">
            <v>4.0697997646128669E-4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</row>
        <row r="232">
          <cell r="B232" t="str">
            <v xml:space="preserve">          PREPARATION OF RFQ/RFP FOR PREL. ENG. &amp; ARCH. CONSULTANT</v>
          </cell>
          <cell r="D232">
            <v>88766</v>
          </cell>
          <cell r="F232">
            <v>1.3769170920454154E-4</v>
          </cell>
          <cell r="G232">
            <v>1.3769170920454154E-4</v>
          </cell>
          <cell r="H232">
            <v>0</v>
          </cell>
          <cell r="I232">
            <v>1.0807813818564743E-5</v>
          </cell>
          <cell r="J232">
            <v>1.2688389538597679E-4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</row>
        <row r="233">
          <cell r="B233" t="str">
            <v xml:space="preserve">            T03-1030</v>
          </cell>
          <cell r="C233" t="str">
            <v>Preparation of TOR for Preliminary Engineering &amp; Arch. Consultant based on Inputs from Inhouse Trunk Service Design</v>
          </cell>
          <cell r="D233">
            <v>73026</v>
          </cell>
          <cell r="E233">
            <v>1</v>
          </cell>
          <cell r="F233">
            <v>8.4061285750826396E-5</v>
          </cell>
          <cell r="G233">
            <v>8.4061285750826396E-5</v>
          </cell>
          <cell r="H233">
            <v>0</v>
          </cell>
          <cell r="I233">
            <v>1.0807813818564743E-5</v>
          </cell>
          <cell r="J233">
            <v>7.3253471932261646E-5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</row>
        <row r="234">
          <cell r="B234" t="str">
            <v xml:space="preserve">            T03-1080</v>
          </cell>
          <cell r="C234" t="str">
            <v>Workshop for RFQ cum RFP for onboarding of Preliminary Engineering and Architectural Consultants</v>
          </cell>
          <cell r="D234">
            <v>630</v>
          </cell>
          <cell r="E234">
            <v>2</v>
          </cell>
          <cell r="F234">
            <v>1.4504042402163782E-6</v>
          </cell>
          <cell r="G234">
            <v>1.4504042402163782E-6</v>
          </cell>
          <cell r="H234">
            <v>0</v>
          </cell>
          <cell r="I234">
            <v>0</v>
          </cell>
          <cell r="J234">
            <v>1.4504042402163782E-6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</row>
        <row r="235">
          <cell r="B235" t="str">
            <v xml:space="preserve">            T03-1090</v>
          </cell>
          <cell r="C235" t="str">
            <v>Preparation of RFQ for Preliminary Engineering and Architectural Consultants</v>
          </cell>
          <cell r="D235">
            <v>7555</v>
          </cell>
          <cell r="E235">
            <v>3</v>
          </cell>
          <cell r="F235">
            <v>2.6090009606749376E-5</v>
          </cell>
          <cell r="G235">
            <v>2.6090009606749376E-5</v>
          </cell>
          <cell r="H235">
            <v>0</v>
          </cell>
          <cell r="I235">
            <v>0</v>
          </cell>
          <cell r="J235">
            <v>2.6090009606749376E-5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</row>
        <row r="236">
          <cell r="B236" t="str">
            <v xml:space="preserve">            T03-1100</v>
          </cell>
          <cell r="C236" t="str">
            <v>Preparation of RFP for Preliminary Engineering and Architectural Consultants</v>
          </cell>
          <cell r="D236">
            <v>7555</v>
          </cell>
          <cell r="E236">
            <v>3</v>
          </cell>
          <cell r="F236">
            <v>2.6090009606749376E-5</v>
          </cell>
          <cell r="G236">
            <v>2.6090009606749376E-5</v>
          </cell>
          <cell r="H236">
            <v>0</v>
          </cell>
          <cell r="I236">
            <v>0</v>
          </cell>
          <cell r="J236">
            <v>2.6090009606749376E-5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</row>
        <row r="237">
          <cell r="B237" t="str">
            <v xml:space="preserve">          TECHNICAL ASSISTANCE FOR ONBOARDING OF ARCH. &amp; ENGG. CONSULTANTS</v>
          </cell>
          <cell r="D237">
            <v>938892</v>
          </cell>
          <cell r="F237">
            <v>1.0807733240551399E-3</v>
          </cell>
          <cell r="G237">
            <v>1.0807733240551396E-3</v>
          </cell>
          <cell r="H237">
            <v>0</v>
          </cell>
          <cell r="I237">
            <v>0</v>
          </cell>
          <cell r="J237">
            <v>9.7629702306602966E-4</v>
          </cell>
          <cell r="K237">
            <v>1.0447630098911009E-4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</row>
        <row r="238">
          <cell r="B238" t="str">
            <v xml:space="preserve">            T03-1120</v>
          </cell>
          <cell r="C238" t="str">
            <v>Develop Program - Wide tender evaluation and Selection Criteria for Consultants</v>
          </cell>
          <cell r="D238">
            <v>39031</v>
          </cell>
          <cell r="E238">
            <v>1</v>
          </cell>
          <cell r="F238">
            <v>4.4929149126893224E-5</v>
          </cell>
          <cell r="G238">
            <v>4.4929149126893231E-5</v>
          </cell>
          <cell r="H238">
            <v>0</v>
          </cell>
          <cell r="I238">
            <v>0</v>
          </cell>
          <cell r="J238">
            <v>4.0585994207578628E-5</v>
          </cell>
          <cell r="K238">
            <v>4.3431549193145997E-6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</row>
        <row r="239">
          <cell r="B239" t="str">
            <v xml:space="preserve">            T03-1130</v>
          </cell>
          <cell r="C239" t="str">
            <v>Create, administer or assist as required in the tendering and contract negotiation / award for the Consultant contracts</v>
          </cell>
          <cell r="D239">
            <v>106280</v>
          </cell>
          <cell r="E239">
            <v>1</v>
          </cell>
          <cell r="F239">
            <v>1.2234044654777515E-4</v>
          </cell>
          <cell r="G239">
            <v>1.2234044654777515E-4</v>
          </cell>
          <cell r="H239">
            <v>0</v>
          </cell>
          <cell r="I239">
            <v>0</v>
          </cell>
          <cell r="J239">
            <v>1.1051389641762985E-4</v>
          </cell>
          <cell r="K239">
            <v>1.1826550130145296E-5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</row>
        <row r="240">
          <cell r="B240" t="str">
            <v xml:space="preserve">            T03-1140</v>
          </cell>
          <cell r="C240" t="str">
            <v>Create, review, monitor, evaluate and report on the Consultant procurement and Tendering Packages</v>
          </cell>
          <cell r="D240">
            <v>106280</v>
          </cell>
          <cell r="E240">
            <v>1</v>
          </cell>
          <cell r="F240">
            <v>1.2234044654777515E-4</v>
          </cell>
          <cell r="G240">
            <v>1.2234044654777515E-4</v>
          </cell>
          <cell r="H240">
            <v>0</v>
          </cell>
          <cell r="I240">
            <v>0</v>
          </cell>
          <cell r="J240">
            <v>1.1051389641762985E-4</v>
          </cell>
          <cell r="K240">
            <v>1.1826550130145296E-5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</row>
        <row r="241">
          <cell r="B241" t="str">
            <v xml:space="preserve">            T03-1150</v>
          </cell>
          <cell r="C241" t="str">
            <v>For each project, oversee the development of the activities undertaken by the PM</v>
          </cell>
          <cell r="D241">
            <v>11333</v>
          </cell>
          <cell r="E241">
            <v>1</v>
          </cell>
          <cell r="F241">
            <v>1.3046731475089233E-5</v>
          </cell>
          <cell r="G241">
            <v>1.3046731475089233E-5</v>
          </cell>
          <cell r="H241">
            <v>0</v>
          </cell>
          <cell r="I241">
            <v>0</v>
          </cell>
          <cell r="J241">
            <v>1.1785110008996256E-5</v>
          </cell>
          <cell r="K241">
            <v>1.2616214660929768E-6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</row>
        <row r="242">
          <cell r="B242" t="str">
            <v xml:space="preserve">            T03-1160</v>
          </cell>
          <cell r="C242" t="str">
            <v>Ensure record keeping of pre-tender and post-tender meetings with Consultant</v>
          </cell>
          <cell r="D242">
            <v>24245</v>
          </cell>
          <cell r="E242">
            <v>1</v>
          </cell>
          <cell r="F242">
            <v>2.7908770479401658E-5</v>
          </cell>
          <cell r="G242">
            <v>2.7908770479401662E-5</v>
          </cell>
          <cell r="H242">
            <v>0</v>
          </cell>
          <cell r="I242">
            <v>0</v>
          </cell>
          <cell r="J242">
            <v>2.5210558146808652E-5</v>
          </cell>
          <cell r="K242">
            <v>2.6982123325930083E-6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</row>
        <row r="243">
          <cell r="B243" t="str">
            <v xml:space="preserve">            T03-1170</v>
          </cell>
          <cell r="C243" t="str">
            <v>Review the submitted tender and undertake technical and commercial evaluations of Consultant Bid</v>
          </cell>
          <cell r="D243">
            <v>39031</v>
          </cell>
          <cell r="E243">
            <v>1</v>
          </cell>
          <cell r="F243">
            <v>4.4929149126893224E-5</v>
          </cell>
          <cell r="G243">
            <v>4.4929149126893231E-5</v>
          </cell>
          <cell r="H243">
            <v>0</v>
          </cell>
          <cell r="I243">
            <v>0</v>
          </cell>
          <cell r="J243">
            <v>4.0585994207578628E-5</v>
          </cell>
          <cell r="K243">
            <v>4.3431549193145997E-6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</row>
        <row r="244">
          <cell r="B244" t="str">
            <v xml:space="preserve">            T03-1180</v>
          </cell>
          <cell r="C244" t="str">
            <v>Keep DMICDC fully informed on any issues wrt Consultan selection, which may have a contractual,cost or time implication</v>
          </cell>
          <cell r="D244">
            <v>39031</v>
          </cell>
          <cell r="E244">
            <v>1</v>
          </cell>
          <cell r="F244">
            <v>4.4929149126893224E-5</v>
          </cell>
          <cell r="G244">
            <v>4.4929149126893231E-5</v>
          </cell>
          <cell r="H244">
            <v>0</v>
          </cell>
          <cell r="I244">
            <v>0</v>
          </cell>
          <cell r="J244">
            <v>4.0585994207578628E-5</v>
          </cell>
          <cell r="K244">
            <v>4.3431549193145997E-6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</row>
        <row r="245">
          <cell r="B245" t="str">
            <v xml:space="preserve">            T03-1190</v>
          </cell>
          <cell r="C245" t="str">
            <v>Perform tendering, evaluation and selection of the Consultant</v>
          </cell>
          <cell r="D245">
            <v>573661</v>
          </cell>
          <cell r="E245">
            <v>1</v>
          </cell>
          <cell r="F245">
            <v>6.6034948162441891E-4</v>
          </cell>
          <cell r="G245">
            <v>6.6034948162441891E-4</v>
          </cell>
          <cell r="H245">
            <v>0</v>
          </cell>
          <cell r="I245">
            <v>0</v>
          </cell>
          <cell r="J245">
            <v>5.9651557945222919E-4</v>
          </cell>
          <cell r="K245">
            <v>6.383390217218972E-5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</row>
        <row r="246">
          <cell r="B246" t="str">
            <v xml:space="preserve">          PREPARATION OF FINAL UPDATED MASTER PLAN</v>
          </cell>
          <cell r="D246">
            <v>24241581</v>
          </cell>
          <cell r="F246">
            <v>1.7449525635424158E-3</v>
          </cell>
          <cell r="G246">
            <v>1.7449525635424158E-3</v>
          </cell>
          <cell r="H246">
            <v>0</v>
          </cell>
          <cell r="I246">
            <v>0</v>
          </cell>
          <cell r="J246">
            <v>2.4036651603814475E-4</v>
          </cell>
          <cell r="K246">
            <v>0</v>
          </cell>
          <cell r="L246">
            <v>5.1831576861503911E-4</v>
          </cell>
          <cell r="M246">
            <v>0</v>
          </cell>
          <cell r="N246">
            <v>0</v>
          </cell>
          <cell r="O246">
            <v>0</v>
          </cell>
          <cell r="P246">
            <v>5.792903024279452E-4</v>
          </cell>
          <cell r="Q246">
            <v>4.0697997646128669E-4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</row>
        <row r="247">
          <cell r="B247" t="str">
            <v xml:space="preserve">            T03-1050</v>
          </cell>
          <cell r="C247" t="str">
            <v>Selection &amp; Appointment of PPP Specialist</v>
          </cell>
          <cell r="D247">
            <v>69604</v>
          </cell>
          <cell r="E247">
            <v>3</v>
          </cell>
          <cell r="F247">
            <v>2.4036651603814475E-4</v>
          </cell>
          <cell r="G247">
            <v>2.4036651603814475E-4</v>
          </cell>
          <cell r="H247">
            <v>0</v>
          </cell>
          <cell r="I247">
            <v>0</v>
          </cell>
          <cell r="J247">
            <v>2.4036651603814475E-4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</row>
        <row r="248">
          <cell r="B248" t="str">
            <v xml:space="preserve">            T03-1280</v>
          </cell>
          <cell r="C248" t="str">
            <v>Finalize Site Layout wrt approved zonal controls, Site Layout, Land use Mix, Transportation &amp; Connectivity, Trunk Infra.</v>
          </cell>
          <cell r="D248">
            <v>29889</v>
          </cell>
          <cell r="E248">
            <v>3</v>
          </cell>
          <cell r="F248">
            <v>1.0321698175196985E-4</v>
          </cell>
          <cell r="G248">
            <v>1.0321698175196985E-4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1.0321698175196985E-4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</row>
        <row r="249">
          <cell r="B249" t="str">
            <v xml:space="preserve">            T03-1290</v>
          </cell>
          <cell r="C249" t="str">
            <v>Preparation of Final Updated Master Plan</v>
          </cell>
          <cell r="D249">
            <v>120202</v>
          </cell>
          <cell r="E249">
            <v>3</v>
          </cell>
          <cell r="F249">
            <v>4.1509878686306931E-4</v>
          </cell>
          <cell r="G249">
            <v>4.1509878686306931E-4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4.1509878686306931E-4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</row>
        <row r="250">
          <cell r="B250" t="str">
            <v xml:space="preserve">            T03-2480</v>
          </cell>
          <cell r="C250" t="str">
            <v>Preparation of Final Plan for Next Year indicating timely implementation of Identified Projects</v>
          </cell>
          <cell r="D250">
            <v>274066</v>
          </cell>
          <cell r="E250">
            <v>3</v>
          </cell>
          <cell r="F250">
            <v>9.464474735794814E-4</v>
          </cell>
          <cell r="G250">
            <v>9.464474735794814E-4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5.6336118030404498E-4</v>
          </cell>
          <cell r="Q250">
            <v>3.8308629327543642E-4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</row>
        <row r="251">
          <cell r="B251" t="str">
            <v xml:space="preserve">            T03-2520</v>
          </cell>
          <cell r="C251" t="str">
            <v>Workshop - 1 on Final Plan for Next Year 1</v>
          </cell>
          <cell r="D251">
            <v>6919</v>
          </cell>
          <cell r="E251">
            <v>2</v>
          </cell>
          <cell r="F251">
            <v>1.5929122123900195E-5</v>
          </cell>
          <cell r="G251">
            <v>1.5929122123900195E-5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1.5929122123900195E-5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</row>
        <row r="252">
          <cell r="B252" t="str">
            <v xml:space="preserve">            T03-2550</v>
          </cell>
          <cell r="C252" t="str">
            <v>Workshop - 2 on Final Plan for Next Year 1</v>
          </cell>
          <cell r="D252">
            <v>23740901</v>
          </cell>
          <cell r="F252">
            <v>2.3893683185850292E-5</v>
          </cell>
          <cell r="G252">
            <v>2.3893683185850292E-5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2.3893683185850292E-5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</row>
        <row r="253">
          <cell r="B253" t="str">
            <v xml:space="preserve">        PRELIMINARY ENGINEERING AND ARCHITECTURAL CONSULTANTS - DETAILED PROJECT REPORT</v>
          </cell>
          <cell r="D253">
            <v>17690274</v>
          </cell>
          <cell r="F253">
            <v>2.7105279912641601E-2</v>
          </cell>
          <cell r="G253">
            <v>2.7105279912641601E-2</v>
          </cell>
          <cell r="H253">
            <v>0</v>
          </cell>
          <cell r="I253">
            <v>0</v>
          </cell>
          <cell r="J253">
            <v>0</v>
          </cell>
          <cell r="K253">
            <v>2.8722608414189741E-4</v>
          </cell>
          <cell r="L253">
            <v>5.5600590413443342E-3</v>
          </cell>
          <cell r="M253">
            <v>3.8903951201283878E-3</v>
          </cell>
          <cell r="N253">
            <v>3.6433498378983897E-3</v>
          </cell>
          <cell r="O253">
            <v>5.4134461949479854E-3</v>
          </cell>
          <cell r="P253">
            <v>2.9374380941850787E-3</v>
          </cell>
          <cell r="Q253">
            <v>2.7170353565104835E-3</v>
          </cell>
          <cell r="R253">
            <v>2.3633991759982975E-3</v>
          </cell>
          <cell r="S253">
            <v>2.9293100748674849E-4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</row>
        <row r="254">
          <cell r="B254" t="str">
            <v xml:space="preserve">          T03-1240</v>
          </cell>
          <cell r="C254" t="str">
            <v>Selection of Preliminary Engineering &amp; Architectural Consultants</v>
          </cell>
          <cell r="D254">
            <v>124760</v>
          </cell>
          <cell r="E254">
            <v>2</v>
          </cell>
          <cell r="F254">
            <v>2.8722608414189741E-4</v>
          </cell>
          <cell r="G254">
            <v>2.8722608414189741E-4</v>
          </cell>
          <cell r="H254">
            <v>0</v>
          </cell>
          <cell r="I254">
            <v>0</v>
          </cell>
          <cell r="J254">
            <v>0</v>
          </cell>
          <cell r="K254">
            <v>2.8722608414189741E-4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</row>
        <row r="255">
          <cell r="B255" t="str">
            <v xml:space="preserve">          T03-1380</v>
          </cell>
          <cell r="C255" t="str">
            <v>Floating of RFQ/RFP for Preliminary Engineering &amp; Architectural Consultants (By Client)</v>
          </cell>
          <cell r="D255">
            <v>0</v>
          </cell>
          <cell r="E255">
            <v>1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</row>
        <row r="256">
          <cell r="B256" t="str">
            <v xml:space="preserve">          PRELIMINARY DESIGN FOR EXHIBITION CENTER</v>
          </cell>
          <cell r="D256">
            <v>4223484</v>
          </cell>
          <cell r="F256">
            <v>6.0887405958190144E-3</v>
          </cell>
          <cell r="G256">
            <v>6.0887405958190144E-3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1.4155864806498508E-3</v>
          </cell>
          <cell r="M256">
            <v>8.7370854981815363E-4</v>
          </cell>
          <cell r="N256">
            <v>8.9286769916272618E-4</v>
          </cell>
          <cell r="O256">
            <v>1.3785228967399404E-3</v>
          </cell>
          <cell r="P256">
            <v>1.0896794967587542E-3</v>
          </cell>
          <cell r="Q256">
            <v>4.3837547268958947E-4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</row>
        <row r="257">
          <cell r="B257" t="str">
            <v xml:space="preserve">            T03-1260</v>
          </cell>
          <cell r="C257" t="str">
            <v>Preparation of Operating Specification for Exhibition Center</v>
          </cell>
          <cell r="D257">
            <v>440203</v>
          </cell>
          <cell r="E257">
            <v>1</v>
          </cell>
          <cell r="F257">
            <v>5.0672404583807168E-4</v>
          </cell>
          <cell r="G257">
            <v>5.0672404583807168E-4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4.8645522213828601E-4</v>
          </cell>
          <cell r="M257">
            <v>2.0268823699785706E-5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</row>
        <row r="258">
          <cell r="B258" t="str">
            <v xml:space="preserve">            T03-1350</v>
          </cell>
          <cell r="C258" t="str">
            <v>Preparation of Preliminary Design for Exhibition Center</v>
          </cell>
          <cell r="D258">
            <v>487546</v>
          </cell>
          <cell r="E258">
            <v>2</v>
          </cell>
          <cell r="F258">
            <v>1.1224402147560226E-3</v>
          </cell>
          <cell r="G258">
            <v>1.1224402147560226E-3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9.2913125851156473E-4</v>
          </cell>
          <cell r="M258">
            <v>1.933089562444578E-4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</row>
        <row r="259">
          <cell r="B259" t="str">
            <v xml:space="preserve">            T03-1560</v>
          </cell>
          <cell r="C259" t="str">
            <v>Draft Prelim. Costing for Exhibition Center</v>
          </cell>
          <cell r="D259">
            <v>12390</v>
          </cell>
          <cell r="E259">
            <v>3</v>
          </cell>
          <cell r="F259">
            <v>4.2786925086383161E-5</v>
          </cell>
          <cell r="G259">
            <v>4.2786925086383161E-5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4.2786925086383161E-5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</row>
        <row r="260">
          <cell r="B260" t="str">
            <v xml:space="preserve">            T03-1670</v>
          </cell>
          <cell r="C260" t="str">
            <v>Preparation of 30% Design for Exhibition Center</v>
          </cell>
          <cell r="D260">
            <v>487546</v>
          </cell>
          <cell r="E260">
            <v>1</v>
          </cell>
          <cell r="F260">
            <v>5.612212584924876E-4</v>
          </cell>
          <cell r="G260">
            <v>5.612212584924876E-4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5.612212584924876E-4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</row>
        <row r="261">
          <cell r="B261" t="str">
            <v xml:space="preserve">            T03-1810</v>
          </cell>
          <cell r="C261" t="str">
            <v>Preparation of 60% Design for Exhibition Center</v>
          </cell>
          <cell r="D261">
            <v>487546</v>
          </cell>
          <cell r="E261">
            <v>1</v>
          </cell>
          <cell r="F261">
            <v>5.612212584924876E-4</v>
          </cell>
          <cell r="G261">
            <v>5.6122125849248771E-4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5.6122586295039301E-5</v>
          </cell>
          <cell r="N261">
            <v>5.0509867219744836E-4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</row>
        <row r="262">
          <cell r="B262" t="str">
            <v xml:space="preserve">            T03-1920</v>
          </cell>
          <cell r="C262" t="str">
            <v>Detail Costing for Preparation of RFQ/RFP for Exhibition Center</v>
          </cell>
          <cell r="D262">
            <v>33039</v>
          </cell>
          <cell r="E262">
            <v>3</v>
          </cell>
          <cell r="F262">
            <v>1.1409501355359267E-4</v>
          </cell>
          <cell r="G262">
            <v>1.1409501355359268E-4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4.7918593422005875E-5</v>
          </cell>
          <cell r="O262">
            <v>6.0899711371942459E-5</v>
          </cell>
          <cell r="P262">
            <v>5.2767087596443481E-6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</row>
        <row r="263">
          <cell r="B263" t="str">
            <v xml:space="preserve">            T03-2020</v>
          </cell>
          <cell r="C263" t="str">
            <v>Preparation of 90% Design for Exhibition Center</v>
          </cell>
          <cell r="D263">
            <v>487546</v>
          </cell>
          <cell r="E263">
            <v>1</v>
          </cell>
          <cell r="F263">
            <v>5.612212584924876E-4</v>
          </cell>
          <cell r="G263">
            <v>5.612212584924876E-4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3.3985043354327197E-4</v>
          </cell>
          <cell r="O263">
            <v>2.2137082494921566E-4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</row>
        <row r="264">
          <cell r="B264" t="str">
            <v xml:space="preserve">            T03-2140</v>
          </cell>
          <cell r="C264" t="str">
            <v>Preparation of Final Design for Exhibition Center</v>
          </cell>
          <cell r="D264">
            <v>487546</v>
          </cell>
          <cell r="E264">
            <v>2</v>
          </cell>
          <cell r="F264">
            <v>1.1224425169849752E-3</v>
          </cell>
          <cell r="G264">
            <v>1.1224425169849752E-3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1.0962523604187823E-3</v>
          </cell>
          <cell r="P264">
            <v>2.6190156566192887E-5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</row>
        <row r="265">
          <cell r="B265" t="str">
            <v xml:space="preserve">            T03-2270</v>
          </cell>
          <cell r="C265" t="str">
            <v>Replying to Design RFI for Exhibition Center</v>
          </cell>
          <cell r="D265">
            <v>1300122</v>
          </cell>
          <cell r="E265">
            <v>1</v>
          </cell>
          <cell r="F265">
            <v>1.4965881041225063E-3</v>
          </cell>
          <cell r="G265">
            <v>1.4965881041225065E-3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1.058212631432917E-3</v>
          </cell>
          <cell r="Q265">
            <v>4.3837547268958947E-4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</row>
        <row r="266">
          <cell r="B266" t="str">
            <v xml:space="preserve">          DESIGN FOR PRIMARY TRUNK INFRASTRUCTURE</v>
          </cell>
          <cell r="D266">
            <v>2445106</v>
          </cell>
          <cell r="F266">
            <v>3.6127094727665806E-3</v>
          </cell>
          <cell r="G266">
            <v>3.6127094727665806E-3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5.9769547179050041E-4</v>
          </cell>
          <cell r="M266">
            <v>5.3019411889662074E-4</v>
          </cell>
          <cell r="N266">
            <v>5.9145988467204636E-4</v>
          </cell>
          <cell r="O266">
            <v>9.0850443820963034E-4</v>
          </cell>
          <cell r="P266">
            <v>7.0285553477856958E-4</v>
          </cell>
          <cell r="Q266">
            <v>2.8200002441921299E-4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</row>
        <row r="267">
          <cell r="B267" t="str">
            <v xml:space="preserve">            T03-1360</v>
          </cell>
          <cell r="C267" t="str">
            <v>Preparation of Preliminary Design for Primary Trunk Infrastructure  and MEP Design</v>
          </cell>
          <cell r="D267">
            <v>313630</v>
          </cell>
          <cell r="E267">
            <v>2</v>
          </cell>
          <cell r="F267">
            <v>7.220480664429568E-4</v>
          </cell>
          <cell r="G267">
            <v>7.220480664429567E-4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5.9769547179050041E-4</v>
          </cell>
          <cell r="M267">
            <v>1.2435259465245628E-4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</row>
        <row r="268">
          <cell r="B268" t="str">
            <v xml:space="preserve">            T03-1570</v>
          </cell>
          <cell r="C268" t="str">
            <v>Draft Prelim. Costing for Primary Trunk Infrastructure  and MEP Works</v>
          </cell>
          <cell r="D268">
            <v>7571</v>
          </cell>
          <cell r="E268">
            <v>1</v>
          </cell>
          <cell r="F268">
            <v>8.7150877005382535E-6</v>
          </cell>
          <cell r="G268">
            <v>8.7150877005382535E-6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8.7150877005382535E-6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</row>
        <row r="269">
          <cell r="B269" t="str">
            <v xml:space="preserve">            T03-1680</v>
          </cell>
          <cell r="C269" t="str">
            <v>Preparation of 30% Design for Primary Trunk Infrastructure  and MEP Works</v>
          </cell>
          <cell r="D269">
            <v>313630</v>
          </cell>
          <cell r="E269">
            <v>1</v>
          </cell>
          <cell r="F269">
            <v>3.610240332214784E-4</v>
          </cell>
          <cell r="G269">
            <v>3.610240332214784E-4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3.610240332214784E-4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</row>
        <row r="270">
          <cell r="B270" t="str">
            <v xml:space="preserve">            T03-1820</v>
          </cell>
          <cell r="C270" t="str">
            <v>Preparation of 60% Design for Primary Trunk Infrastructure  and MEP Works</v>
          </cell>
          <cell r="D270">
            <v>313630</v>
          </cell>
          <cell r="E270">
            <v>1</v>
          </cell>
          <cell r="F270">
            <v>3.6102403322147835E-4</v>
          </cell>
          <cell r="G270">
            <v>3.6102403322147835E-4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3.6102403322147836E-5</v>
          </cell>
          <cell r="N270">
            <v>3.2492162989933049E-4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</row>
        <row r="271">
          <cell r="B271" t="str">
            <v xml:space="preserve">            T03-1930</v>
          </cell>
          <cell r="C271" t="str">
            <v>Detail Costing  for Preparation of RFQ/RFP for Primary Trunk Infrastructure  and MEP Works</v>
          </cell>
          <cell r="D271">
            <v>33039</v>
          </cell>
          <cell r="E271">
            <v>3</v>
          </cell>
          <cell r="F271">
            <v>1.1409501355359267E-4</v>
          </cell>
          <cell r="G271">
            <v>1.1409501355359268E-4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4.7918593422005875E-5</v>
          </cell>
          <cell r="O271">
            <v>6.0899711371942459E-5</v>
          </cell>
          <cell r="P271">
            <v>5.2767087596443481E-6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</row>
        <row r="272">
          <cell r="B272" t="str">
            <v xml:space="preserve">            T03-2030</v>
          </cell>
          <cell r="C272" t="str">
            <v>Preparation of 90% Design for Primary Trunk Infrastructure  and MEP Works</v>
          </cell>
          <cell r="D272">
            <v>313630</v>
          </cell>
          <cell r="E272">
            <v>1</v>
          </cell>
          <cell r="F272">
            <v>3.610240332214784E-4</v>
          </cell>
          <cell r="G272">
            <v>3.6102403322147835E-4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2.1861966135070998E-4</v>
          </cell>
          <cell r="O272">
            <v>1.4240437187076836E-4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</row>
        <row r="273">
          <cell r="B273" t="str">
            <v xml:space="preserve">            T03-2150</v>
          </cell>
          <cell r="C273" t="str">
            <v>Preparation of Final Design for Primary Trunk Infrastructure  and MEP Works</v>
          </cell>
          <cell r="D273">
            <v>313630</v>
          </cell>
          <cell r="E273">
            <v>2</v>
          </cell>
          <cell r="F273">
            <v>7.220480664429567E-4</v>
          </cell>
          <cell r="G273">
            <v>7.220480664429567E-4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7.0520035496691948E-4</v>
          </cell>
          <cell r="P273">
            <v>1.6847711476037234E-5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</row>
        <row r="274">
          <cell r="B274" t="str">
            <v xml:space="preserve">            T03-2280</v>
          </cell>
          <cell r="C274" t="str">
            <v>Replying to Design RFI for Primary Trunk Infrastructure  and MEP Works</v>
          </cell>
          <cell r="D274">
            <v>836346</v>
          </cell>
          <cell r="E274">
            <v>1</v>
          </cell>
          <cell r="F274">
            <v>9.6273113896210103E-4</v>
          </cell>
          <cell r="G274">
            <v>9.6273113896210103E-4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6.8073111454288804E-4</v>
          </cell>
          <cell r="Q274">
            <v>2.8200002441921299E-4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</row>
        <row r="275">
          <cell r="B275" t="str">
            <v xml:space="preserve">          DESIGN FOR SECONDARY INFRASTRUCTURE &amp; MEP WORKS</v>
          </cell>
          <cell r="D275">
            <v>2554469</v>
          </cell>
          <cell r="F275">
            <v>3.7671211197402832E-3</v>
          </cell>
          <cell r="G275">
            <v>3.7671211197402832E-3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5.9769547179050041E-4</v>
          </cell>
          <cell r="M275">
            <v>5.6426595628246564E-4</v>
          </cell>
          <cell r="N275">
            <v>5.9145988467204636E-4</v>
          </cell>
          <cell r="O275">
            <v>9.0850443820963034E-4</v>
          </cell>
          <cell r="P275">
            <v>7.2451605588027721E-4</v>
          </cell>
          <cell r="Q275">
            <v>3.6062229426922797E-4</v>
          </cell>
          <cell r="R275">
            <v>2.0057018636135059E-5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</row>
        <row r="276">
          <cell r="B276" t="str">
            <v xml:space="preserve">            T03-1370</v>
          </cell>
          <cell r="C276" t="str">
            <v>Preparation of Preliminary Design for Secondary Trunk Infrastructure  and MEP Works</v>
          </cell>
          <cell r="D276">
            <v>313630</v>
          </cell>
          <cell r="E276">
            <v>2</v>
          </cell>
          <cell r="F276">
            <v>7.220480664429568E-4</v>
          </cell>
          <cell r="G276">
            <v>7.220480664429567E-4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5.9769547179050041E-4</v>
          </cell>
          <cell r="M276">
            <v>1.2435259465245628E-4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</row>
        <row r="277">
          <cell r="B277" t="str">
            <v xml:space="preserve">            T03-1580</v>
          </cell>
          <cell r="C277" t="str">
            <v>Draft Prelim. Costing for Secondary Trunk Infrastructure  and MEP Works</v>
          </cell>
          <cell r="D277">
            <v>12390</v>
          </cell>
          <cell r="E277">
            <v>3</v>
          </cell>
          <cell r="F277">
            <v>4.2786925086383161E-5</v>
          </cell>
          <cell r="G277">
            <v>4.2786925086383161E-5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4.2786925086383161E-5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</row>
        <row r="278">
          <cell r="B278" t="str">
            <v xml:space="preserve">            T03-1690</v>
          </cell>
          <cell r="C278" t="str">
            <v>Preparation of 30% Design for Secondary Trunk Infrastructure  and MEP Works</v>
          </cell>
          <cell r="D278">
            <v>313630</v>
          </cell>
          <cell r="E278">
            <v>1</v>
          </cell>
          <cell r="F278">
            <v>3.610240332214784E-4</v>
          </cell>
          <cell r="G278">
            <v>3.610240332214784E-4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3.610240332214784E-4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</row>
        <row r="279">
          <cell r="B279" t="str">
            <v xml:space="preserve">            T03-1830</v>
          </cell>
          <cell r="C279" t="str">
            <v>Preparation of 60% Design for Secondary Trunk Infrastructure  and MEP Works</v>
          </cell>
          <cell r="D279">
            <v>313630</v>
          </cell>
          <cell r="E279">
            <v>1</v>
          </cell>
          <cell r="F279">
            <v>3.6102403322147835E-4</v>
          </cell>
          <cell r="G279">
            <v>3.6102403322147835E-4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3.6102403322147836E-5</v>
          </cell>
          <cell r="N279">
            <v>3.2492162989933049E-4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</row>
        <row r="280">
          <cell r="B280" t="str">
            <v xml:space="preserve">            T03-1940</v>
          </cell>
          <cell r="C280" t="str">
            <v>Detail Costing  for Preparation of RFQ/RFP for Secondary Trunk Infrastructure  and MEP Works</v>
          </cell>
          <cell r="D280">
            <v>33039</v>
          </cell>
          <cell r="E280">
            <v>3</v>
          </cell>
          <cell r="F280">
            <v>1.1409501355359267E-4</v>
          </cell>
          <cell r="G280">
            <v>1.1409501355359268E-4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4.7918593422005875E-5</v>
          </cell>
          <cell r="O280">
            <v>6.0899711371942459E-5</v>
          </cell>
          <cell r="P280">
            <v>5.2767087596443481E-6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</row>
        <row r="281">
          <cell r="B281" t="str">
            <v xml:space="preserve">            T03-2040</v>
          </cell>
          <cell r="C281" t="str">
            <v>Preparation of 90% Design for Secondary Trunk Infrastructure  and MEP Works</v>
          </cell>
          <cell r="D281">
            <v>313630</v>
          </cell>
          <cell r="E281">
            <v>1</v>
          </cell>
          <cell r="F281">
            <v>3.610240332214784E-4</v>
          </cell>
          <cell r="G281">
            <v>3.6102403322147835E-4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2.1861966135070998E-4</v>
          </cell>
          <cell r="O281">
            <v>1.4240437187076836E-4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</row>
        <row r="282">
          <cell r="B282" t="str">
            <v xml:space="preserve">            T03-2160</v>
          </cell>
          <cell r="C282" t="str">
            <v>Preparation of Final Design for Secondary Trunk Infrastructure  and MEP Works</v>
          </cell>
          <cell r="D282">
            <v>313630</v>
          </cell>
          <cell r="E282">
            <v>2</v>
          </cell>
          <cell r="F282">
            <v>7.220480664429567E-4</v>
          </cell>
          <cell r="G282">
            <v>7.220480664429567E-4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7.0520035496691948E-4</v>
          </cell>
          <cell r="P282">
            <v>1.6847711476037234E-5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</row>
        <row r="283">
          <cell r="B283" t="str">
            <v xml:space="preserve">            T03-2300</v>
          </cell>
          <cell r="C283" t="str">
            <v>Replying to Design RFI for Secondary Trunk Infrastructure  and MEP Works</v>
          </cell>
          <cell r="D283">
            <v>940890</v>
          </cell>
          <cell r="E283">
            <v>1</v>
          </cell>
          <cell r="F283">
            <v>1.0830709485499588E-3</v>
          </cell>
          <cell r="G283">
            <v>1.0830709485499588E-3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7.0239163564459568E-4</v>
          </cell>
          <cell r="Q283">
            <v>3.6062229426922797E-4</v>
          </cell>
          <cell r="R283">
            <v>2.0057018636135059E-5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</row>
        <row r="284">
          <cell r="B284" t="str">
            <v xml:space="preserve">          DESIGN FOR RETAILS</v>
          </cell>
          <cell r="D284">
            <v>757219</v>
          </cell>
          <cell r="F284">
            <v>2.1783747906402185E-3</v>
          </cell>
          <cell r="G284">
            <v>2.1783747906402185E-3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7.2275945518934857E-4</v>
          </cell>
          <cell r="M284">
            <v>1.9315931136253071E-4</v>
          </cell>
          <cell r="N284">
            <v>0</v>
          </cell>
          <cell r="O284">
            <v>0</v>
          </cell>
          <cell r="P284">
            <v>0</v>
          </cell>
          <cell r="Q284">
            <v>4.9624199741631753E-4</v>
          </cell>
          <cell r="R284">
            <v>7.3999279001496715E-4</v>
          </cell>
          <cell r="S284">
            <v>2.6221236657054669E-5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</row>
        <row r="285">
          <cell r="B285" t="str">
            <v xml:space="preserve">            T03-1390</v>
          </cell>
          <cell r="C285" t="str">
            <v>Preparation of Preliminary Design for Retail Buildings</v>
          </cell>
          <cell r="D285">
            <v>379255</v>
          </cell>
          <cell r="E285">
            <v>2</v>
          </cell>
          <cell r="F285">
            <v>8.73131841465496E-4</v>
          </cell>
          <cell r="G285">
            <v>8.731318414654961E-4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7.2275945518934857E-4</v>
          </cell>
          <cell r="M285">
            <v>1.5037238627614756E-4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</row>
        <row r="286">
          <cell r="B286" t="str">
            <v xml:space="preserve">            T03-1600</v>
          </cell>
          <cell r="C286" t="str">
            <v>Draft Prelim. Costing for Retail Buildings</v>
          </cell>
          <cell r="D286">
            <v>12390</v>
          </cell>
          <cell r="E286">
            <v>3</v>
          </cell>
          <cell r="F286">
            <v>4.2786925086383161E-5</v>
          </cell>
          <cell r="G286">
            <v>4.2786925086383161E-5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4.2786925086383161E-5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</row>
        <row r="287">
          <cell r="B287" t="str">
            <v xml:space="preserve">            T03-2320</v>
          </cell>
          <cell r="C287" t="str">
            <v>Replying to Design RFI for Retail Buildings</v>
          </cell>
          <cell r="D287">
            <v>365574</v>
          </cell>
          <cell r="E287">
            <v>3</v>
          </cell>
          <cell r="F287">
            <v>1.2624560240883393E-3</v>
          </cell>
          <cell r="G287">
            <v>1.2624560240883395E-3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4.9624199741631753E-4</v>
          </cell>
          <cell r="R287">
            <v>7.3999279001496715E-4</v>
          </cell>
          <cell r="S287">
            <v>2.6221236657054669E-5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</row>
        <row r="288">
          <cell r="B288" t="str">
            <v xml:space="preserve">          DESIGN FOR HOTELS</v>
          </cell>
          <cell r="D288">
            <v>546690</v>
          </cell>
          <cell r="F288">
            <v>8.5205148205987503E-4</v>
          </cell>
          <cell r="G288">
            <v>8.5205148205987503E-4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3.215477133691129E-4</v>
          </cell>
          <cell r="M288">
            <v>1.0968509399464908E-4</v>
          </cell>
          <cell r="N288">
            <v>0</v>
          </cell>
          <cell r="O288">
            <v>0</v>
          </cell>
          <cell r="P288">
            <v>0</v>
          </cell>
          <cell r="Q288">
            <v>1.654139991387725E-4</v>
          </cell>
          <cell r="R288">
            <v>2.4666426333832235E-4</v>
          </cell>
          <cell r="S288">
            <v>8.7404122190182237E-6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</row>
        <row r="289">
          <cell r="B289" t="str">
            <v xml:space="preserve">            T03-1400</v>
          </cell>
          <cell r="C289" t="str">
            <v>Preparation of Preliminary Design for Hotel Buildings</v>
          </cell>
          <cell r="D289">
            <v>168726</v>
          </cell>
          <cell r="E289">
            <v>2</v>
          </cell>
          <cell r="F289">
            <v>3.8844588227737883E-4</v>
          </cell>
          <cell r="G289">
            <v>3.8844588227737883E-4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3.215477133691129E-4</v>
          </cell>
          <cell r="M289">
            <v>6.6898168908265909E-5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</row>
        <row r="290">
          <cell r="B290" t="str">
            <v xml:space="preserve">            T03-1610</v>
          </cell>
          <cell r="C290" t="str">
            <v>Draft Prelim. Costing for Hotel Buildings</v>
          </cell>
          <cell r="D290">
            <v>12390</v>
          </cell>
          <cell r="E290">
            <v>3</v>
          </cell>
          <cell r="F290">
            <v>4.2786925086383161E-5</v>
          </cell>
          <cell r="G290">
            <v>4.2786925086383161E-5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4.2786925086383161E-5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</row>
        <row r="291">
          <cell r="B291" t="str">
            <v xml:space="preserve">            T03-2330</v>
          </cell>
          <cell r="C291" t="str">
            <v>Replying to Design RFI for Hotel Buildings</v>
          </cell>
          <cell r="D291">
            <v>365574</v>
          </cell>
          <cell r="E291">
            <v>1</v>
          </cell>
          <cell r="F291">
            <v>4.2081867469611305E-4</v>
          </cell>
          <cell r="G291">
            <v>4.2081867469611305E-4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1.654139991387725E-4</v>
          </cell>
          <cell r="R291">
            <v>2.4666426333832235E-4</v>
          </cell>
          <cell r="S291">
            <v>8.7404122190182237E-6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</row>
        <row r="292">
          <cell r="B292" t="str">
            <v xml:space="preserve">          DESIGN FOR SERVICED APARTMENTS</v>
          </cell>
          <cell r="D292">
            <v>546690</v>
          </cell>
          <cell r="F292">
            <v>8.5205148205987503E-4</v>
          </cell>
          <cell r="G292">
            <v>8.5205148205987503E-4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3.215477133691129E-4</v>
          </cell>
          <cell r="M292">
            <v>1.0968509399464908E-4</v>
          </cell>
          <cell r="N292">
            <v>0</v>
          </cell>
          <cell r="O292">
            <v>0</v>
          </cell>
          <cell r="P292">
            <v>0</v>
          </cell>
          <cell r="Q292">
            <v>1.654139991387725E-4</v>
          </cell>
          <cell r="R292">
            <v>2.4666426333832235E-4</v>
          </cell>
          <cell r="S292">
            <v>8.7404122190182237E-6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</row>
        <row r="293">
          <cell r="B293" t="str">
            <v xml:space="preserve">            T03-1410</v>
          </cell>
          <cell r="C293" t="str">
            <v>Preparation of Preliminary Design for Serviced Apartments</v>
          </cell>
          <cell r="D293">
            <v>168726</v>
          </cell>
          <cell r="E293">
            <v>2</v>
          </cell>
          <cell r="F293">
            <v>3.8844588227737883E-4</v>
          </cell>
          <cell r="G293">
            <v>3.8844588227737883E-4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3.215477133691129E-4</v>
          </cell>
          <cell r="M293">
            <v>6.6898168908265909E-5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</row>
        <row r="294">
          <cell r="B294" t="str">
            <v xml:space="preserve">            T03-1620</v>
          </cell>
          <cell r="C294" t="str">
            <v>Draft Prelim. Costing for Serviced Apartments</v>
          </cell>
          <cell r="D294">
            <v>12390</v>
          </cell>
          <cell r="E294">
            <v>3</v>
          </cell>
          <cell r="F294">
            <v>4.2786925086383161E-5</v>
          </cell>
          <cell r="G294">
            <v>4.2786925086383161E-5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4.2786925086383161E-5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</row>
        <row r="295">
          <cell r="B295" t="str">
            <v xml:space="preserve">            T03-2340</v>
          </cell>
          <cell r="C295" t="str">
            <v>Replying to Design RFI for Serviced Apartments</v>
          </cell>
          <cell r="D295">
            <v>365574</v>
          </cell>
          <cell r="E295">
            <v>1</v>
          </cell>
          <cell r="F295">
            <v>4.2081867469611305E-4</v>
          </cell>
          <cell r="G295">
            <v>4.2081867469611305E-4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1.654139991387725E-4</v>
          </cell>
          <cell r="R295">
            <v>2.4666426333832235E-4</v>
          </cell>
          <cell r="S295">
            <v>8.7404122190182237E-6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</row>
        <row r="296">
          <cell r="B296" t="str">
            <v xml:space="preserve">          DESIGN FOR CONVENTION CENTER</v>
          </cell>
          <cell r="D296">
            <v>1160896</v>
          </cell>
          <cell r="F296">
            <v>1.8293614858651036E-3</v>
          </cell>
          <cell r="G296">
            <v>1.8293614858651036E-3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3.215477133691129E-4</v>
          </cell>
          <cell r="M296">
            <v>3.2333078969299799E-4</v>
          </cell>
          <cell r="N296">
            <v>3.4033275050886777E-4</v>
          </cell>
          <cell r="O296">
            <v>5.1689414223673189E-4</v>
          </cell>
          <cell r="P296">
            <v>1.4340584146520351E-5</v>
          </cell>
          <cell r="Q296">
            <v>1.5753692277702594E-4</v>
          </cell>
          <cell r="R296">
            <v>1.5537858313384681E-4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</row>
        <row r="297">
          <cell r="B297" t="str">
            <v xml:space="preserve">            T03-1420</v>
          </cell>
          <cell r="C297" t="str">
            <v>Preparation of Preliminary Design for Convention Building</v>
          </cell>
          <cell r="D297">
            <v>168726</v>
          </cell>
          <cell r="E297">
            <v>2</v>
          </cell>
          <cell r="F297">
            <v>3.8844588227737883E-4</v>
          </cell>
          <cell r="G297">
            <v>3.8844588227737883E-4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3.215477133691129E-4</v>
          </cell>
          <cell r="M297">
            <v>6.6898168908265909E-5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</row>
        <row r="298">
          <cell r="B298" t="str">
            <v xml:space="preserve">            T03-1630</v>
          </cell>
          <cell r="C298" t="str">
            <v>Draft Prelim. Costing for Convention Building</v>
          </cell>
          <cell r="D298">
            <v>12390</v>
          </cell>
          <cell r="E298">
            <v>3</v>
          </cell>
          <cell r="F298">
            <v>4.2786925086383161E-5</v>
          </cell>
          <cell r="G298">
            <v>4.2786925086383161E-5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4.2786925086383161E-5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</row>
        <row r="299">
          <cell r="B299" t="str">
            <v xml:space="preserve">            T03-1740</v>
          </cell>
          <cell r="C299" t="str">
            <v>Preparation of 30% Design for Convention Building</v>
          </cell>
          <cell r="D299">
            <v>168726</v>
          </cell>
          <cell r="E299">
            <v>1</v>
          </cell>
          <cell r="F299">
            <v>1.9422294113868941E-4</v>
          </cell>
          <cell r="G299">
            <v>1.9422294113868941E-4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1.9422294113868941E-4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</row>
        <row r="300">
          <cell r="B300" t="str">
            <v xml:space="preserve">            T03-1880</v>
          </cell>
          <cell r="C300" t="str">
            <v>Preparation of 60% Design for Convention Building</v>
          </cell>
          <cell r="D300">
            <v>168726</v>
          </cell>
          <cell r="E300">
            <v>1</v>
          </cell>
          <cell r="F300">
            <v>1.9422409225316578E-4</v>
          </cell>
          <cell r="G300">
            <v>1.9422409225316578E-4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1.9422754559659484E-5</v>
          </cell>
          <cell r="N300">
            <v>1.7480133769350628E-4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</row>
        <row r="301">
          <cell r="B301" t="str">
            <v xml:space="preserve">            T03-1990</v>
          </cell>
          <cell r="C301" t="str">
            <v>Detail Costing  for Preparation of RFQ/RFP for Convention Building</v>
          </cell>
          <cell r="D301">
            <v>33039</v>
          </cell>
          <cell r="E301">
            <v>3</v>
          </cell>
          <cell r="F301">
            <v>1.1409501355359267E-4</v>
          </cell>
          <cell r="G301">
            <v>1.1409501355359268E-4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4.7918593422005875E-5</v>
          </cell>
          <cell r="O301">
            <v>6.0899711371942459E-5</v>
          </cell>
          <cell r="P301">
            <v>5.2767087596443481E-6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</row>
        <row r="302">
          <cell r="B302" t="str">
            <v xml:space="preserve">            T03-2090</v>
          </cell>
          <cell r="C302" t="str">
            <v>Preparation of 90% Design for Convention Building</v>
          </cell>
          <cell r="D302">
            <v>168726</v>
          </cell>
          <cell r="E302">
            <v>1</v>
          </cell>
          <cell r="F302">
            <v>1.9422294113868941E-4</v>
          </cell>
          <cell r="G302">
            <v>1.9422294113868941E-4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1.1761281939335559E-4</v>
          </cell>
          <cell r="O302">
            <v>7.6610121745333826E-5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</row>
        <row r="303">
          <cell r="B303" t="str">
            <v xml:space="preserve">            T03-2210</v>
          </cell>
          <cell r="C303" t="str">
            <v>Preparation of Final Design for Convention Building</v>
          </cell>
          <cell r="D303">
            <v>168726</v>
          </cell>
          <cell r="E303">
            <v>2</v>
          </cell>
          <cell r="F303">
            <v>3.884481845063315E-4</v>
          </cell>
          <cell r="G303">
            <v>3.8844818450633155E-4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3.7938430911945554E-4</v>
          </cell>
          <cell r="P303">
            <v>9.0638753868760032E-6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</row>
        <row r="304">
          <cell r="B304" t="str">
            <v xml:space="preserve">            T03-2350</v>
          </cell>
          <cell r="C304" t="str">
            <v>Replying to Design RFI for Convention Building</v>
          </cell>
          <cell r="D304">
            <v>271837</v>
          </cell>
          <cell r="E304">
            <v>1</v>
          </cell>
          <cell r="F304">
            <v>3.1291550591087275E-4</v>
          </cell>
          <cell r="G304">
            <v>3.1291550591087275E-4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1.5753692277702594E-4</v>
          </cell>
          <cell r="R304">
            <v>1.5537858313384681E-4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</row>
        <row r="305">
          <cell r="B305" t="str">
            <v xml:space="preserve">          DESIGN FOR ARENA</v>
          </cell>
          <cell r="D305">
            <v>3991964</v>
          </cell>
          <cell r="F305">
            <v>5.8355241888812387E-3</v>
          </cell>
          <cell r="G305">
            <v>5.8355241888812387E-3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9.4013130844768198E-4</v>
          </cell>
          <cell r="M305">
            <v>8.630354163933232E-4</v>
          </cell>
          <cell r="N305">
            <v>9.0286973284783736E-4</v>
          </cell>
          <cell r="O305">
            <v>1.3941181956656956E-3</v>
          </cell>
          <cell r="P305">
            <v>3.1777666234455033E-5</v>
          </cell>
          <cell r="Q305">
            <v>4.9972066536388415E-4</v>
          </cell>
          <cell r="R305">
            <v>9.5464225753670389E-4</v>
          </cell>
          <cell r="S305">
            <v>2.4922894639165736E-4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</row>
        <row r="306">
          <cell r="B306" t="str">
            <v xml:space="preserve">            T03-1430</v>
          </cell>
          <cell r="C306" t="str">
            <v>Preparation of Preliminary Design for Arena</v>
          </cell>
          <cell r="D306">
            <v>493317</v>
          </cell>
          <cell r="E306">
            <v>2</v>
          </cell>
          <cell r="F306">
            <v>1.1357286802711479E-3</v>
          </cell>
          <cell r="G306">
            <v>1.1357286802711479E-3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9.4013130844768198E-4</v>
          </cell>
          <cell r="M306">
            <v>1.9559737182346589E-4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</row>
        <row r="307">
          <cell r="B307" t="str">
            <v xml:space="preserve">            T03-1640</v>
          </cell>
          <cell r="C307" t="str">
            <v>Draft Prelim. Costing for Arena</v>
          </cell>
          <cell r="D307">
            <v>12390</v>
          </cell>
          <cell r="E307">
            <v>3</v>
          </cell>
          <cell r="F307">
            <v>4.2786925086383161E-5</v>
          </cell>
          <cell r="G307">
            <v>4.2786925086383161E-5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4.2786925086383161E-5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</row>
        <row r="308">
          <cell r="B308" t="str">
            <v xml:space="preserve">            T03-1750</v>
          </cell>
          <cell r="C308" t="str">
            <v>Preparation of 30% Design for Arena</v>
          </cell>
          <cell r="D308">
            <v>493317</v>
          </cell>
          <cell r="E308">
            <v>1</v>
          </cell>
          <cell r="F308">
            <v>5.6786434013557385E-4</v>
          </cell>
          <cell r="G308">
            <v>5.6786434013557385E-4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5.6786434013557385E-4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</row>
        <row r="309">
          <cell r="B309" t="str">
            <v xml:space="preserve">            T03-1890</v>
          </cell>
          <cell r="C309" t="str">
            <v>Preparation of 60% Design for Arena</v>
          </cell>
          <cell r="D309">
            <v>493317</v>
          </cell>
          <cell r="E309">
            <v>1</v>
          </cell>
          <cell r="F309">
            <v>5.6786434013557385E-4</v>
          </cell>
          <cell r="G309">
            <v>5.6786434013557396E-4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5.6786779347900303E-5</v>
          </cell>
          <cell r="N309">
            <v>5.1107756078767365E-4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</row>
        <row r="310">
          <cell r="B310" t="str">
            <v xml:space="preserve">            T03-2000</v>
          </cell>
          <cell r="C310" t="str">
            <v>Detail Costing  for Preparation of RFQ/RFP for Arena</v>
          </cell>
          <cell r="D310">
            <v>33039</v>
          </cell>
          <cell r="E310">
            <v>3</v>
          </cell>
          <cell r="F310">
            <v>1.1409501355359267E-4</v>
          </cell>
          <cell r="G310">
            <v>1.1409501355359268E-4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4.7918593422005875E-5</v>
          </cell>
          <cell r="O310">
            <v>6.0899711371942459E-5</v>
          </cell>
          <cell r="P310">
            <v>5.2767087596443481E-6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</row>
        <row r="311">
          <cell r="B311" t="str">
            <v xml:space="preserve">            T03-2100</v>
          </cell>
          <cell r="C311" t="str">
            <v>Preparation of 90% Design for Arena</v>
          </cell>
          <cell r="D311">
            <v>493317</v>
          </cell>
          <cell r="E311">
            <v>1</v>
          </cell>
          <cell r="F311">
            <v>5.6786434013557385E-4</v>
          </cell>
          <cell r="G311">
            <v>5.6786434013557385E-4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3.4387357863815786E-4</v>
          </cell>
          <cell r="O311">
            <v>2.2399076149741602E-4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</row>
        <row r="312">
          <cell r="B312" t="str">
            <v xml:space="preserve">            T03-2220</v>
          </cell>
          <cell r="C312" t="str">
            <v>Preparation of Final Design for Arena</v>
          </cell>
          <cell r="D312">
            <v>493317</v>
          </cell>
          <cell r="E312">
            <v>2</v>
          </cell>
          <cell r="F312">
            <v>1.1357286802711477E-3</v>
          </cell>
          <cell r="G312">
            <v>1.1357286802711477E-3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1.1092277227963371E-3</v>
          </cell>
          <cell r="P312">
            <v>2.6500957474810686E-5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</row>
        <row r="313">
          <cell r="B313" t="str">
            <v xml:space="preserve">            T03-2360</v>
          </cell>
          <cell r="C313" t="str">
            <v>Replying to Design RFI for Arena</v>
          </cell>
          <cell r="D313">
            <v>1479950</v>
          </cell>
          <cell r="E313">
            <v>1</v>
          </cell>
          <cell r="F313">
            <v>1.7035918692922456E-3</v>
          </cell>
          <cell r="G313">
            <v>1.7035918692922454E-3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4.9972066536388415E-4</v>
          </cell>
          <cell r="R313">
            <v>9.5464225753670389E-4</v>
          </cell>
          <cell r="S313">
            <v>2.4922894639165736E-4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</row>
        <row r="314">
          <cell r="B314" t="str">
            <v xml:space="preserve">          DESIGN FOR PUBLIC REALM &amp; LANDSCAPES</v>
          </cell>
          <cell r="D314">
            <v>1338996</v>
          </cell>
          <cell r="F314">
            <v>1.802119210667516E-3</v>
          </cell>
          <cell r="G314">
            <v>1.8021192106675156E-3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3.215477133691129E-4</v>
          </cell>
          <cell r="M314">
            <v>3.2333078969299799E-4</v>
          </cell>
          <cell r="N314">
            <v>3.2435988603486579E-4</v>
          </cell>
          <cell r="O314">
            <v>3.0690208388635658E-4</v>
          </cell>
          <cell r="P314">
            <v>3.7426875638650191E-4</v>
          </cell>
          <cell r="Q314">
            <v>1.5170998129768046E-4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</row>
        <row r="315">
          <cell r="B315" t="str">
            <v xml:space="preserve">            T03-1440</v>
          </cell>
          <cell r="C315" t="str">
            <v>Preparation of Preliminary Design for Public Realm and Landscape</v>
          </cell>
          <cell r="D315">
            <v>168726</v>
          </cell>
          <cell r="E315">
            <v>2</v>
          </cell>
          <cell r="F315">
            <v>3.8844588227737883E-4</v>
          </cell>
          <cell r="G315">
            <v>3.8844588227737883E-4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3.215477133691129E-4</v>
          </cell>
          <cell r="M315">
            <v>6.6898168908265909E-5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</row>
        <row r="316">
          <cell r="B316" t="str">
            <v xml:space="preserve">            T03-1650</v>
          </cell>
          <cell r="C316" t="str">
            <v>Draft Prelim. Costing for Public Realm and Landscape</v>
          </cell>
          <cell r="D316">
            <v>12390</v>
          </cell>
          <cell r="E316">
            <v>3</v>
          </cell>
          <cell r="F316">
            <v>4.2786925086383161E-5</v>
          </cell>
          <cell r="G316">
            <v>4.2786925086383161E-5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4.2786925086383161E-5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</row>
        <row r="317">
          <cell r="B317" t="str">
            <v xml:space="preserve">            T03-1760</v>
          </cell>
          <cell r="C317" t="str">
            <v>Preparation of 30% Design for Public Realm and Landscape</v>
          </cell>
          <cell r="D317">
            <v>168726</v>
          </cell>
          <cell r="E317">
            <v>1</v>
          </cell>
          <cell r="F317">
            <v>1.9422294113868941E-4</v>
          </cell>
          <cell r="G317">
            <v>1.9422294113868941E-4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1.9422294113868941E-4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</row>
        <row r="318">
          <cell r="B318" t="str">
            <v xml:space="preserve">            T03-1900</v>
          </cell>
          <cell r="C318" t="str">
            <v>Preparation of 60% Design for Public Realm and Landscape</v>
          </cell>
          <cell r="D318">
            <v>168726</v>
          </cell>
          <cell r="E318">
            <v>1</v>
          </cell>
          <cell r="F318">
            <v>1.9422409225316578E-4</v>
          </cell>
          <cell r="G318">
            <v>1.9422409225316578E-4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1.9422754559659484E-5</v>
          </cell>
          <cell r="N318">
            <v>1.7480133769350628E-4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</row>
        <row r="319">
          <cell r="B319" t="str">
            <v xml:space="preserve">            T03-2010</v>
          </cell>
          <cell r="C319" t="str">
            <v>Detail Costing  for Preparation of RFQ/RFP for Public Realm and Landscape</v>
          </cell>
          <cell r="D319">
            <v>33039</v>
          </cell>
          <cell r="E319">
            <v>2</v>
          </cell>
          <cell r="F319">
            <v>7.6063342369061778E-5</v>
          </cell>
          <cell r="G319">
            <v>7.6063342369061778E-5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3.1945728948003914E-5</v>
          </cell>
          <cell r="O319">
            <v>4.0599807581294971E-5</v>
          </cell>
          <cell r="P319">
            <v>3.5178058397628986E-6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</row>
        <row r="320">
          <cell r="B320" t="str">
            <v xml:space="preserve">            T03-2110</v>
          </cell>
          <cell r="C320" t="str">
            <v>Preparation of 90% Design for Public Realm and Landscape</v>
          </cell>
          <cell r="D320">
            <v>168726</v>
          </cell>
          <cell r="E320">
            <v>1</v>
          </cell>
          <cell r="F320">
            <v>1.9422294113868941E-4</v>
          </cell>
          <cell r="G320">
            <v>1.9422294113868941E-4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1.1761281939335559E-4</v>
          </cell>
          <cell r="O320">
            <v>7.6610121745333826E-5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</row>
        <row r="321">
          <cell r="B321" t="str">
            <v xml:space="preserve">            T03-2230</v>
          </cell>
          <cell r="C321" t="str">
            <v>Preparation of Final Design for Public Realm and Landscape</v>
          </cell>
          <cell r="D321">
            <v>168726</v>
          </cell>
          <cell r="E321">
            <v>1</v>
          </cell>
          <cell r="F321">
            <v>1.9422409225316575E-4</v>
          </cell>
          <cell r="G321">
            <v>1.9422409225316578E-4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1.8969215455972777E-4</v>
          </cell>
          <cell r="P321">
            <v>4.5319376934380016E-6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</row>
        <row r="322">
          <cell r="B322" t="str">
            <v xml:space="preserve">            T03-2290</v>
          </cell>
          <cell r="C322" t="str">
            <v>Replying to Design RFI for Public Realm and Landscape</v>
          </cell>
          <cell r="D322">
            <v>449937</v>
          </cell>
          <cell r="E322">
            <v>1</v>
          </cell>
          <cell r="F322">
            <v>5.1792899415098145E-4</v>
          </cell>
          <cell r="G322">
            <v>5.1792899415098145E-4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3.6621901285330098E-4</v>
          </cell>
          <cell r="Q322">
            <v>1.5170998129768046E-4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</row>
        <row r="323">
          <cell r="B323" t="str">
            <v xml:space="preserve">        TECHNICAL ASSISTANCE FOR PPP PROJECTS</v>
          </cell>
          <cell r="D323">
            <v>3450167</v>
          </cell>
          <cell r="F323">
            <v>1.1498827838724976E-2</v>
          </cell>
          <cell r="G323">
            <v>1.1498827838724973E-2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2.9960862256412561E-4</v>
          </cell>
          <cell r="N323">
            <v>2.6381471792164289E-4</v>
          </cell>
          <cell r="O323">
            <v>1.741842252227285E-3</v>
          </cell>
          <cell r="P323">
            <v>6.9949957563418333E-3</v>
          </cell>
          <cell r="Q323">
            <v>1.2032392420808385E-3</v>
          </cell>
          <cell r="R323">
            <v>9.8321637218344278E-4</v>
          </cell>
          <cell r="S323">
            <v>1.2110875405806759E-5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</row>
        <row r="324">
          <cell r="B324" t="str">
            <v xml:space="preserve">          TAS CONSULTANT - PREPARATION OF PPP BID DOCUMENTS</v>
          </cell>
          <cell r="D324">
            <v>3450167</v>
          </cell>
          <cell r="F324">
            <v>1.1498827838724976E-2</v>
          </cell>
          <cell r="G324">
            <v>1.1498827838724973E-2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2.9960862256412561E-4</v>
          </cell>
          <cell r="N324">
            <v>2.6381471792164289E-4</v>
          </cell>
          <cell r="O324">
            <v>1.741842252227285E-3</v>
          </cell>
          <cell r="P324">
            <v>6.9949957563418333E-3</v>
          </cell>
          <cell r="Q324">
            <v>1.2032392420808385E-3</v>
          </cell>
          <cell r="R324">
            <v>9.8321637218344278E-4</v>
          </cell>
          <cell r="S324">
            <v>1.2110875405806759E-5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</row>
        <row r="325">
          <cell r="B325" t="str">
            <v xml:space="preserve">            T03-1470</v>
          </cell>
          <cell r="C325" t="str">
            <v>Preparation of Bid Model for PPP component of the Project</v>
          </cell>
          <cell r="D325">
            <v>80932</v>
          </cell>
          <cell r="E325">
            <v>3</v>
          </cell>
          <cell r="F325">
            <v>2.7948599040283792E-4</v>
          </cell>
          <cell r="G325">
            <v>2.7948599040283792E-4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2.7948599040283792E-4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</row>
        <row r="326">
          <cell r="B326" t="str">
            <v xml:space="preserve">            T03-1550</v>
          </cell>
          <cell r="C326" t="str">
            <v>Preparation of approval note for approval of Draft PPP Bid Document by PPAC</v>
          </cell>
          <cell r="D326">
            <v>80932</v>
          </cell>
          <cell r="E326">
            <v>3</v>
          </cell>
          <cell r="F326">
            <v>2.7948599040283792E-4</v>
          </cell>
          <cell r="G326">
            <v>2.7948599040283792E-4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2.0122632161287708E-5</v>
          </cell>
          <cell r="N326">
            <v>2.5936335824155022E-4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</row>
        <row r="327">
          <cell r="B327" t="str">
            <v xml:space="preserve">            T03-1770</v>
          </cell>
          <cell r="C327" t="str">
            <v>Conducting TAS Technical Workshop-1</v>
          </cell>
          <cell r="D327">
            <v>3867</v>
          </cell>
          <cell r="E327">
            <v>1</v>
          </cell>
          <cell r="F327">
            <v>4.4513596800926473E-6</v>
          </cell>
          <cell r="G327">
            <v>4.4513596800926473E-6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4.4513596800926473E-6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</row>
        <row r="328">
          <cell r="B328" t="str">
            <v xml:space="preserve">            T03-1910</v>
          </cell>
          <cell r="C328" t="str">
            <v>Conducting TAS Technical / PPAC Workshop - 2</v>
          </cell>
          <cell r="D328">
            <v>3867</v>
          </cell>
          <cell r="E328">
            <v>2</v>
          </cell>
          <cell r="F328">
            <v>8.9027193601852946E-6</v>
          </cell>
          <cell r="G328">
            <v>8.9027193601852946E-6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8.9027193601852946E-6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</row>
        <row r="329">
          <cell r="B329" t="str">
            <v xml:space="preserve">            T03-2130</v>
          </cell>
          <cell r="C329" t="str">
            <v>Preparation of EOI for Independent Engineer</v>
          </cell>
          <cell r="D329">
            <v>28180</v>
          </cell>
          <cell r="E329">
            <v>1</v>
          </cell>
          <cell r="F329">
            <v>3.2438405943886934E-5</v>
          </cell>
          <cell r="G329">
            <v>3.2438405943886934E-5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7.2174877667910252E-6</v>
          </cell>
          <cell r="P329">
            <v>2.5220918177095911E-5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</row>
        <row r="330">
          <cell r="B330" t="str">
            <v xml:space="preserve">            T03-2250</v>
          </cell>
          <cell r="C330" t="str">
            <v>Preparation of RFP including ToR of independent Engineer</v>
          </cell>
          <cell r="D330">
            <v>28180</v>
          </cell>
          <cell r="E330">
            <v>1</v>
          </cell>
          <cell r="F330">
            <v>3.2438405943886934E-5</v>
          </cell>
          <cell r="G330">
            <v>3.2438405943886934E-5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9.5151122616099858E-6</v>
          </cell>
          <cell r="Q330">
            <v>2.292329368227695E-5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</row>
        <row r="331">
          <cell r="B331" t="str">
            <v xml:space="preserve">            T03-2530</v>
          </cell>
          <cell r="C331" t="str">
            <v>Preparation of Draft Concession Agreement</v>
          </cell>
          <cell r="D331">
            <v>109325</v>
          </cell>
          <cell r="E331">
            <v>1</v>
          </cell>
          <cell r="F331">
            <v>1.2584443901382173E-4</v>
          </cell>
          <cell r="G331">
            <v>1.258444390138217E-4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5.2854572296647002E-5</v>
          </cell>
          <cell r="R331">
            <v>7.2989866717174703E-5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</row>
        <row r="332">
          <cell r="B332" t="str">
            <v xml:space="preserve">            PREPARATION OF RFQ CUM RFP FOR SELECTION OF CONCESSIONAIRE FOR PHASE I DEVELOPMENT</v>
          </cell>
          <cell r="D332">
            <v>2517145</v>
          </cell>
          <cell r="F332">
            <v>8.6820691328982815E-3</v>
          </cell>
          <cell r="G332">
            <v>8.6820691328982798E-3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1.7257220451003088E-3</v>
          </cell>
          <cell r="P332">
            <v>6.9563470877979719E-3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</row>
        <row r="333">
          <cell r="B333" t="str">
            <v xml:space="preserve">              T03-2430</v>
          </cell>
          <cell r="C333" t="str">
            <v>Preparation  of RFQ Cum RFP for Retails Concessionaire</v>
          </cell>
          <cell r="D333">
            <v>837530</v>
          </cell>
          <cell r="E333">
            <v>3</v>
          </cell>
          <cell r="F333">
            <v>2.8922752688194837E-3</v>
          </cell>
          <cell r="G333">
            <v>2.8922752688194837E-3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5.7524068170010292E-4</v>
          </cell>
          <cell r="P333">
            <v>2.3170345871193808E-3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</row>
        <row r="334">
          <cell r="B334" t="str">
            <v xml:space="preserve">              T03-2440</v>
          </cell>
          <cell r="C334" t="str">
            <v>Preparation  of RFQ Cum RFP for Hotels Concessionaire</v>
          </cell>
          <cell r="D334">
            <v>837530</v>
          </cell>
          <cell r="E334">
            <v>3</v>
          </cell>
          <cell r="F334">
            <v>2.8922752688194837E-3</v>
          </cell>
          <cell r="G334">
            <v>2.8922752688194837E-3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5.7524068170010292E-4</v>
          </cell>
          <cell r="P334">
            <v>2.3170345871193808E-3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</row>
        <row r="335">
          <cell r="B335" t="str">
            <v xml:space="preserve">              T03-2450</v>
          </cell>
          <cell r="C335" t="str">
            <v>Preparation  of RFQ Cum RFP for Services Apartments Concessionaire</v>
          </cell>
          <cell r="D335">
            <v>837530</v>
          </cell>
          <cell r="E335">
            <v>3</v>
          </cell>
          <cell r="F335">
            <v>2.8922752688194837E-3</v>
          </cell>
          <cell r="G335">
            <v>2.8922752688194837E-3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5.7524068170010292E-4</v>
          </cell>
          <cell r="P335">
            <v>2.3170345871193808E-3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</row>
        <row r="336">
          <cell r="B336" t="str">
            <v xml:space="preserve">              T03-2490</v>
          </cell>
          <cell r="C336" t="str">
            <v>Workshop for PPP Draft Bid Documents (Pre Bid)</v>
          </cell>
          <cell r="D336">
            <v>4555</v>
          </cell>
          <cell r="E336">
            <v>1</v>
          </cell>
          <cell r="F336">
            <v>5.2433264398298442E-6</v>
          </cell>
          <cell r="G336">
            <v>5.2433264398298442E-6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5.2433264398298442E-6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</row>
        <row r="337">
          <cell r="B337" t="str">
            <v xml:space="preserve">            BID PROCESS MANAGEMENT (FOR PPP COMPONENT)</v>
          </cell>
          <cell r="D337">
            <v>597739</v>
          </cell>
          <cell r="F337">
            <v>2.0537113950791445E-3</v>
          </cell>
          <cell r="G337">
            <v>2.0537113950791445E-3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3.912638105155135E-6</v>
          </cell>
          <cell r="Q337">
            <v>1.1274613761019145E-3</v>
          </cell>
          <cell r="R337">
            <v>9.10226505466268E-4</v>
          </cell>
          <cell r="S337">
            <v>1.2110875405806759E-5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</row>
        <row r="338">
          <cell r="B338" t="str">
            <v xml:space="preserve">              STAGE 1 - LAUNCHING RFQ</v>
          </cell>
          <cell r="D338">
            <v>363453</v>
          </cell>
          <cell r="F338">
            <v>1.244641376452158E-3</v>
          </cell>
          <cell r="G338">
            <v>1.244641376452158E-3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3.912638105155135E-6</v>
          </cell>
          <cell r="Q338">
            <v>1.1274613761019145E-3</v>
          </cell>
          <cell r="R338">
            <v>1.1326736224508825E-4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</row>
        <row r="339">
          <cell r="B339" t="str">
            <v xml:space="preserve">                T03-2510</v>
          </cell>
          <cell r="C339" t="str">
            <v>Launching of RFQ Process for PPP Components</v>
          </cell>
          <cell r="D339">
            <v>11333</v>
          </cell>
          <cell r="E339">
            <v>3</v>
          </cell>
          <cell r="F339">
            <v>3.9136741081838609E-5</v>
          </cell>
          <cell r="G339">
            <v>3.9136741081838609E-5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3.912638105155135E-6</v>
          </cell>
          <cell r="Q339">
            <v>3.5224102976683475E-5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</row>
        <row r="340">
          <cell r="B340" t="str">
            <v xml:space="preserve">                T03-2540</v>
          </cell>
          <cell r="C340" t="str">
            <v>Technical &amp; Financial Capacity Evaluation of Bidder</v>
          </cell>
          <cell r="D340">
            <v>343787</v>
          </cell>
          <cell r="E340">
            <v>3</v>
          </cell>
          <cell r="F340">
            <v>1.1872145774554001E-3</v>
          </cell>
          <cell r="G340">
            <v>1.1872145774554001E-3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1.092237273125231E-3</v>
          </cell>
          <cell r="R340">
            <v>9.4977304330169174E-5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</row>
        <row r="341">
          <cell r="B341" t="str">
            <v xml:space="preserve">                T03-2570</v>
          </cell>
          <cell r="C341" t="str">
            <v>Approval from Technical Committees &amp; Preparing draft evaluation reports</v>
          </cell>
          <cell r="D341">
            <v>3778</v>
          </cell>
          <cell r="E341">
            <v>3</v>
          </cell>
          <cell r="F341">
            <v>1.3046731475089233E-5</v>
          </cell>
          <cell r="G341">
            <v>1.3046731475089233E-5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1.3046731475089233E-5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</row>
        <row r="342">
          <cell r="B342" t="str">
            <v xml:space="preserve">                T03-2580</v>
          </cell>
          <cell r="C342" t="str">
            <v>Workshop for PPP Draft Bid Documents (Post Bid)</v>
          </cell>
          <cell r="D342">
            <v>4555</v>
          </cell>
          <cell r="E342">
            <v>1</v>
          </cell>
          <cell r="F342">
            <v>5.2433264398298442E-6</v>
          </cell>
          <cell r="G342">
            <v>5.2433264398298442E-6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5.2433264398298442E-6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</row>
        <row r="343">
          <cell r="B343" t="str">
            <v xml:space="preserve">              STAGE II - LAUNCHING RFP (BIDDING STAGE)</v>
          </cell>
          <cell r="D343">
            <v>234286</v>
          </cell>
          <cell r="F343">
            <v>8.0907001862698662E-4</v>
          </cell>
          <cell r="G343">
            <v>8.0907001862698651E-4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7.9695914322117979E-4</v>
          </cell>
          <cell r="S343">
            <v>1.2110875405806759E-5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</row>
        <row r="344">
          <cell r="B344" t="str">
            <v xml:space="preserve">                T03-2590</v>
          </cell>
          <cell r="C344" t="str">
            <v>Receipt of Bids &amp; Bid Evaluation for PPP Components</v>
          </cell>
          <cell r="D344">
            <v>167933</v>
          </cell>
          <cell r="E344">
            <v>3</v>
          </cell>
          <cell r="F344">
            <v>5.799303220768025E-4</v>
          </cell>
          <cell r="G344">
            <v>5.799303220768025E-4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5.799303220768025E-4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</row>
        <row r="345">
          <cell r="B345" t="str">
            <v xml:space="preserve">                T03-2600</v>
          </cell>
          <cell r="C345" t="str">
            <v>Preparing Bid Evaluation Report for PPP Components</v>
          </cell>
          <cell r="D345">
            <v>10842</v>
          </cell>
          <cell r="E345">
            <v>3</v>
          </cell>
          <cell r="F345">
            <v>3.7441149458157082E-5</v>
          </cell>
          <cell r="G345">
            <v>3.7441149458157082E-5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3.7441149458157082E-5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</row>
        <row r="346">
          <cell r="B346" t="str">
            <v xml:space="preserve">                T03-2610</v>
          </cell>
          <cell r="C346" t="str">
            <v>Negotiation &amp; Financial Closure for PPP Components</v>
          </cell>
          <cell r="D346">
            <v>49844</v>
          </cell>
          <cell r="E346">
            <v>3</v>
          </cell>
          <cell r="F346">
            <v>1.7212844987939325E-4</v>
          </cell>
          <cell r="G346">
            <v>1.7212844987939325E-4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1.7212844987939325E-4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</row>
        <row r="347">
          <cell r="B347" t="str">
            <v xml:space="preserve">                T03-2620</v>
          </cell>
          <cell r="C347" t="str">
            <v>Assisting DMICDC in Issuing Letter of Award for PPP Components</v>
          </cell>
          <cell r="D347">
            <v>5667</v>
          </cell>
          <cell r="E347">
            <v>3</v>
          </cell>
          <cell r="F347">
            <v>1.9570097212633848E-5</v>
          </cell>
          <cell r="G347">
            <v>1.9570097212633848E-5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7.4592218068270889E-6</v>
          </cell>
          <cell r="S347">
            <v>1.2110875405806759E-5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</row>
        <row r="348">
          <cell r="B348" t="str">
            <v xml:space="preserve">        TECHNICAL ASSISTANCE FOR EPC PROJECTS</v>
          </cell>
          <cell r="D348">
            <v>2147462</v>
          </cell>
          <cell r="F348">
            <v>6.4235859836190646E-3</v>
          </cell>
          <cell r="G348">
            <v>6.4235859836190646E-3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5.928683883453233E-3</v>
          </cell>
          <cell r="Q348">
            <v>4.8586009595400674E-4</v>
          </cell>
          <cell r="R348">
            <v>9.042004211825122E-6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</row>
        <row r="349">
          <cell r="B349" t="str">
            <v xml:space="preserve">          PREPARATION OF RFQ CUM RFP FOR SELECTION OF EPC CONTRACTOR FOR PHASE I DEVELOPMENT</v>
          </cell>
          <cell r="D349">
            <v>1716428</v>
          </cell>
          <cell r="F349">
            <v>5.9274153553002815E-3</v>
          </cell>
          <cell r="G349">
            <v>5.9274153553002815E-3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5.9274153553002815E-3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</row>
        <row r="350">
          <cell r="B350" t="str">
            <v xml:space="preserve">            T03-2390</v>
          </cell>
          <cell r="C350" t="str">
            <v>Preparation of RFQ Cum RFP for ECC Complex EPC Contractor</v>
          </cell>
          <cell r="D350">
            <v>593935</v>
          </cell>
          <cell r="E350">
            <v>3</v>
          </cell>
          <cell r="F350">
            <v>2.0510615295545589E-3</v>
          </cell>
          <cell r="G350">
            <v>2.0510615295545589E-3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2.0510615295545589E-3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</row>
        <row r="351">
          <cell r="B351" t="str">
            <v xml:space="preserve">            T03-2400</v>
          </cell>
          <cell r="C351" t="str">
            <v>Preparation  of RFQ Cum RFP for Primary Trunk Infrastructure &amp; MEP Works  EPC Contractor</v>
          </cell>
          <cell r="D351">
            <v>347112</v>
          </cell>
          <cell r="E351">
            <v>3</v>
          </cell>
          <cell r="F351">
            <v>1.1986969443571131E-3</v>
          </cell>
          <cell r="G351">
            <v>1.1986969443571131E-3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1.1986969443571131E-3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</row>
        <row r="352">
          <cell r="B352" t="str">
            <v xml:space="preserve">            T03-2410</v>
          </cell>
          <cell r="C352" t="str">
            <v>Preparation of RFQ Cum RFP for Convention Center EPC Contractor</v>
          </cell>
          <cell r="D352">
            <v>328252</v>
          </cell>
          <cell r="E352">
            <v>3</v>
          </cell>
          <cell r="F352">
            <v>1.1335668872845396E-3</v>
          </cell>
          <cell r="G352">
            <v>1.1335668872845396E-3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1.1335668872845396E-3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</row>
        <row r="353">
          <cell r="B353" t="str">
            <v xml:space="preserve">            T03-2470</v>
          </cell>
          <cell r="C353" t="str">
            <v>Preparation  of RFQ Cum RFP for Public Realm &amp; Landscape  EPC Contractor</v>
          </cell>
          <cell r="D353">
            <v>75223</v>
          </cell>
          <cell r="E353">
            <v>3</v>
          </cell>
          <cell r="F353">
            <v>2.5977085276618242E-4</v>
          </cell>
          <cell r="G353">
            <v>2.5977085276618242E-4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2.5977085276618242E-4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</row>
        <row r="354">
          <cell r="B354" t="str">
            <v xml:space="preserve">            T03-2500</v>
          </cell>
          <cell r="C354" t="str">
            <v>Preparation  of RFQ Cum RFP for Secondary Trunk Infrastructure &amp; MEP Works EPC Contractor</v>
          </cell>
          <cell r="D354">
            <v>371906</v>
          </cell>
          <cell r="E354">
            <v>3</v>
          </cell>
          <cell r="F354">
            <v>1.2843191413378866E-3</v>
          </cell>
          <cell r="G354">
            <v>1.2843191413378866E-3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1.2843191413378866E-3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</row>
        <row r="355">
          <cell r="B355" t="str">
            <v xml:space="preserve">          BID PROCESS MANAGEMENT (FOR EPC COMPONENT)</v>
          </cell>
          <cell r="D355">
            <v>431034</v>
          </cell>
          <cell r="F355">
            <v>4.9617062831878306E-4</v>
          </cell>
          <cell r="G355">
            <v>4.9617062831878295E-4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1.2685281529511499E-6</v>
          </cell>
          <cell r="Q355">
            <v>4.8586009595400674E-4</v>
          </cell>
          <cell r="R355">
            <v>9.042004211825122E-6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</row>
        <row r="356">
          <cell r="B356" t="str">
            <v xml:space="preserve">            STAGE 1 - LAUNCHING RFQ</v>
          </cell>
          <cell r="D356">
            <v>350083</v>
          </cell>
          <cell r="F356">
            <v>4.0298560922830985E-4</v>
          </cell>
          <cell r="G356">
            <v>4.029856092283098E-4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1.2685281529511499E-6</v>
          </cell>
          <cell r="Q356">
            <v>4.0171708107535867E-4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</row>
        <row r="357">
          <cell r="B357" t="str">
            <v xml:space="preserve">              T03-2630</v>
          </cell>
          <cell r="C357" t="str">
            <v>Launching of RFQ Process for EPC Components</v>
          </cell>
          <cell r="D357">
            <v>3148</v>
          </cell>
          <cell r="E357">
            <v>1</v>
          </cell>
          <cell r="F357">
            <v>3.6237083715882217E-6</v>
          </cell>
          <cell r="G357">
            <v>3.6237083715882217E-6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1.2685281529511499E-6</v>
          </cell>
          <cell r="Q357">
            <v>2.3551802186370716E-6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</row>
        <row r="358">
          <cell r="B358" t="str">
            <v xml:space="preserve">              T03-2640</v>
          </cell>
          <cell r="C358" t="str">
            <v>Technical &amp; Financial Capacity Evaluation of Bidder</v>
          </cell>
          <cell r="D358">
            <v>343787</v>
          </cell>
          <cell r="E358">
            <v>1</v>
          </cell>
          <cell r="F358">
            <v>3.9573819248513338E-4</v>
          </cell>
          <cell r="G358">
            <v>3.9573819248513338E-4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3.9573819248513338E-4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</row>
        <row r="359">
          <cell r="B359" t="str">
            <v xml:space="preserve">              T03-2660</v>
          </cell>
          <cell r="C359" t="str">
            <v>Approval from Technical Committees &amp; Preparing draft evaluation reports</v>
          </cell>
          <cell r="D359">
            <v>3148</v>
          </cell>
          <cell r="E359">
            <v>1</v>
          </cell>
          <cell r="F359">
            <v>3.6237083715882217E-6</v>
          </cell>
          <cell r="G359">
            <v>3.6237083715882217E-6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3.6237083715882217E-6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</row>
        <row r="360">
          <cell r="B360" t="str">
            <v xml:space="preserve">            STAGE II - LAUNCHING RFP (BIDDING STAGE)</v>
          </cell>
          <cell r="D360">
            <v>80951</v>
          </cell>
          <cell r="F360">
            <v>9.3185019090473217E-5</v>
          </cell>
          <cell r="G360">
            <v>9.3185019090473231E-5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8.4143014878648102E-5</v>
          </cell>
          <cell r="R360">
            <v>9.042004211825122E-6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</row>
        <row r="361">
          <cell r="B361" t="str">
            <v xml:space="preserve">              T03-2670</v>
          </cell>
          <cell r="C361" t="str">
            <v>Receipt of Bids &amp; Bid Evaluation for EPC Components</v>
          </cell>
          <cell r="D361">
            <v>65117</v>
          </cell>
          <cell r="E361">
            <v>1</v>
          </cell>
          <cell r="F361">
            <v>7.495712135727771E-5</v>
          </cell>
          <cell r="G361">
            <v>7.495712135727771E-5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7.495712135727771E-5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</row>
        <row r="362">
          <cell r="B362" t="str">
            <v xml:space="preserve">              T03-2680</v>
          </cell>
          <cell r="C362" t="str">
            <v>Preparing Bid Evaluation Report for EPC Components</v>
          </cell>
          <cell r="D362">
            <v>8673</v>
          </cell>
          <cell r="E362">
            <v>1</v>
          </cell>
          <cell r="F362">
            <v>9.9847669679657656E-6</v>
          </cell>
          <cell r="G362">
            <v>9.9847669679657656E-6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9.1858935213703958E-6</v>
          </cell>
          <cell r="R362">
            <v>7.9887344659537037E-7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</row>
        <row r="363">
          <cell r="B363" t="str">
            <v xml:space="preserve">              T03-2690</v>
          </cell>
          <cell r="C363" t="str">
            <v>Negotiation &amp; Financial Closure for EPC Components</v>
          </cell>
          <cell r="D363">
            <v>5272</v>
          </cell>
          <cell r="E363">
            <v>1</v>
          </cell>
          <cell r="F363">
            <v>6.068675519381545E-6</v>
          </cell>
          <cell r="G363">
            <v>6.068675519381545E-6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6.068675519381545E-6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</row>
        <row r="364">
          <cell r="B364" t="str">
            <v xml:space="preserve">              T03-2700</v>
          </cell>
          <cell r="C364" t="str">
            <v>Assisting DMICDC in Issuing Letter of Award for EPC Components</v>
          </cell>
          <cell r="D364">
            <v>1889</v>
          </cell>
          <cell r="E364">
            <v>1</v>
          </cell>
          <cell r="F364">
            <v>2.1744552458482055E-6</v>
          </cell>
          <cell r="G364">
            <v>2.1744552458482055E-6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2.1744552458482055E-6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</row>
        <row r="365">
          <cell r="B365" t="str">
            <v xml:space="preserve">    SPECIFIC SCOPE OF WORK FOR YEAR 2</v>
          </cell>
          <cell r="E365">
            <v>6.8737027034192516E-2</v>
          </cell>
          <cell r="F365">
            <v>6.8737027034192516E-2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1.3547086138244787E-2</v>
          </cell>
          <cell r="W365">
            <v>1.5119193749631372E-2</v>
          </cell>
          <cell r="X365">
            <v>2.2412985774784691E-2</v>
          </cell>
          <cell r="Y365">
            <v>4.8850204171725434E-3</v>
          </cell>
          <cell r="Z365">
            <v>1.7875746965516053E-3</v>
          </cell>
          <cell r="AA365">
            <v>1.316093621868672E-3</v>
          </cell>
          <cell r="AB365">
            <v>6.6530254810359863E-4</v>
          </cell>
          <cell r="AC365">
            <v>2.6945743697209534E-3</v>
          </cell>
          <cell r="AD365">
            <v>4.3159518717919574E-3</v>
          </cell>
          <cell r="AE365">
            <v>1.8633061770705493E-3</v>
          </cell>
          <cell r="AF365">
            <v>1.2993766925178168E-4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</row>
        <row r="366">
          <cell r="B366" t="str">
            <v>BID &amp; AWARD STAGE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</row>
        <row r="367">
          <cell r="B367" t="str">
            <v>BID PROCESS MANAGEMENT (FOR EPC COMPONENT)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</row>
        <row r="368">
          <cell r="B368" t="str">
            <v>DELIVERABLES BY PRELIMINARY ENGINEERING AND ARCHITECTURAL (PEAC)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</row>
        <row r="369">
          <cell r="B369" t="str">
            <v>ECC EPC PACKAGE, PHASE I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</row>
        <row r="370"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</row>
        <row r="371">
          <cell r="F371">
            <v>0</v>
          </cell>
          <cell r="G371">
            <v>0</v>
          </cell>
          <cell r="T371">
            <v>0</v>
          </cell>
        </row>
        <row r="372">
          <cell r="F372">
            <v>0</v>
          </cell>
          <cell r="G372">
            <v>0</v>
          </cell>
          <cell r="T372">
            <v>0</v>
          </cell>
        </row>
        <row r="373">
          <cell r="F373">
            <v>0</v>
          </cell>
          <cell r="G373">
            <v>0</v>
          </cell>
          <cell r="T373">
            <v>0</v>
          </cell>
        </row>
        <row r="374">
          <cell r="F374">
            <v>0</v>
          </cell>
          <cell r="G374">
            <v>0</v>
          </cell>
          <cell r="T374">
            <v>0</v>
          </cell>
        </row>
        <row r="375">
          <cell r="F375">
            <v>0</v>
          </cell>
          <cell r="G375">
            <v>0</v>
          </cell>
          <cell r="T375">
            <v>0</v>
          </cell>
        </row>
        <row r="376">
          <cell r="B376" t="str">
            <v>LAUNCHING RFQ CUM RFP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</row>
        <row r="377">
          <cell r="F377">
            <v>0</v>
          </cell>
          <cell r="G377">
            <v>0</v>
          </cell>
          <cell r="T377">
            <v>0</v>
          </cell>
        </row>
        <row r="378">
          <cell r="F378">
            <v>0</v>
          </cell>
          <cell r="G378">
            <v>0</v>
          </cell>
          <cell r="T378">
            <v>0</v>
          </cell>
        </row>
        <row r="379">
          <cell r="F379">
            <v>0</v>
          </cell>
          <cell r="G379">
            <v>0</v>
          </cell>
          <cell r="T379">
            <v>0</v>
          </cell>
        </row>
        <row r="380">
          <cell r="F380">
            <v>0</v>
          </cell>
          <cell r="G380">
            <v>0</v>
          </cell>
          <cell r="T380">
            <v>0</v>
          </cell>
        </row>
        <row r="381">
          <cell r="F381">
            <v>0</v>
          </cell>
          <cell r="G381">
            <v>0</v>
          </cell>
          <cell r="T381">
            <v>0</v>
          </cell>
        </row>
        <row r="382">
          <cell r="F382">
            <v>0</v>
          </cell>
          <cell r="G382">
            <v>0</v>
          </cell>
          <cell r="T382">
            <v>0</v>
          </cell>
        </row>
        <row r="383">
          <cell r="F383">
            <v>0</v>
          </cell>
          <cell r="G383">
            <v>0</v>
          </cell>
          <cell r="T383">
            <v>0</v>
          </cell>
        </row>
        <row r="384">
          <cell r="F384">
            <v>0</v>
          </cell>
          <cell r="G384">
            <v>0</v>
          </cell>
          <cell r="T384">
            <v>0</v>
          </cell>
        </row>
        <row r="385">
          <cell r="B385" t="str">
            <v>SELECTION OF EPC CONTRACTOR FOR PHASE I DEVELOPMENT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</row>
        <row r="386">
          <cell r="F386">
            <v>0</v>
          </cell>
          <cell r="G386">
            <v>0</v>
          </cell>
          <cell r="T386">
            <v>0</v>
          </cell>
        </row>
        <row r="387">
          <cell r="F387">
            <v>0</v>
          </cell>
          <cell r="G387">
            <v>0</v>
          </cell>
          <cell r="T387">
            <v>0</v>
          </cell>
        </row>
        <row r="388">
          <cell r="F388">
            <v>0</v>
          </cell>
          <cell r="G388">
            <v>0</v>
          </cell>
          <cell r="T388">
            <v>0</v>
          </cell>
        </row>
        <row r="389">
          <cell r="F389">
            <v>0</v>
          </cell>
          <cell r="G389">
            <v>0</v>
          </cell>
          <cell r="T389">
            <v>0</v>
          </cell>
        </row>
        <row r="390">
          <cell r="F390">
            <v>0</v>
          </cell>
          <cell r="G390">
            <v>0</v>
          </cell>
          <cell r="T390">
            <v>0</v>
          </cell>
        </row>
        <row r="391">
          <cell r="F391">
            <v>0</v>
          </cell>
          <cell r="G391">
            <v>0</v>
          </cell>
          <cell r="T391">
            <v>0</v>
          </cell>
        </row>
        <row r="392">
          <cell r="F392">
            <v>0</v>
          </cell>
          <cell r="G392">
            <v>0</v>
          </cell>
          <cell r="T392">
            <v>0</v>
          </cell>
        </row>
        <row r="393">
          <cell r="F393">
            <v>0</v>
          </cell>
          <cell r="G393">
            <v>0</v>
          </cell>
          <cell r="T393">
            <v>0</v>
          </cell>
        </row>
        <row r="394">
          <cell r="B394" t="str">
            <v>BID PROCESS MANAGEMENT (FOR PPP COMPONENT)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</row>
        <row r="395">
          <cell r="B395" t="str">
            <v>DELIVERABLES BY PRELIMINARY ENGINEERING AND ARCHITECTURAL (PEAC)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</row>
        <row r="396">
          <cell r="B396" t="str">
            <v>ECC PPP PACKAGE, PHASE I</v>
          </cell>
        </row>
        <row r="397">
          <cell r="F397">
            <v>0</v>
          </cell>
          <cell r="G397">
            <v>0</v>
          </cell>
          <cell r="T397">
            <v>0</v>
          </cell>
        </row>
        <row r="398">
          <cell r="F398">
            <v>0</v>
          </cell>
          <cell r="G398">
            <v>0</v>
          </cell>
          <cell r="T398">
            <v>0</v>
          </cell>
        </row>
        <row r="399">
          <cell r="F399">
            <v>0</v>
          </cell>
          <cell r="G399">
            <v>0</v>
          </cell>
          <cell r="T399">
            <v>0</v>
          </cell>
        </row>
        <row r="400">
          <cell r="F400">
            <v>0</v>
          </cell>
          <cell r="G400">
            <v>0</v>
          </cell>
          <cell r="T400">
            <v>0</v>
          </cell>
        </row>
        <row r="401">
          <cell r="B401" t="str">
            <v>DESIGN FOR RETAILS</v>
          </cell>
        </row>
        <row r="402">
          <cell r="B402" t="str">
            <v>DESIGN FOR HOTELS</v>
          </cell>
        </row>
        <row r="403">
          <cell r="B403" t="str">
            <v>DESIGN FOR SERVICED APARTMENTS</v>
          </cell>
        </row>
        <row r="404">
          <cell r="B404" t="str">
            <v>DESIGN FOR ARENA</v>
          </cell>
        </row>
        <row r="405">
          <cell r="B405" t="str">
            <v>DELIVERABLES BY TRANSCTION ADVISOR CONSULTANT (CPTAC)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</row>
        <row r="406">
          <cell r="F406">
            <v>0</v>
          </cell>
          <cell r="G406">
            <v>0</v>
          </cell>
          <cell r="T406">
            <v>0</v>
          </cell>
        </row>
        <row r="407">
          <cell r="F407">
            <v>0</v>
          </cell>
          <cell r="G407">
            <v>0</v>
          </cell>
          <cell r="T407">
            <v>0</v>
          </cell>
        </row>
        <row r="408">
          <cell r="F408">
            <v>0</v>
          </cell>
          <cell r="G408">
            <v>0</v>
          </cell>
          <cell r="T408">
            <v>0</v>
          </cell>
        </row>
        <row r="409">
          <cell r="F409">
            <v>0</v>
          </cell>
          <cell r="G409">
            <v>0</v>
          </cell>
          <cell r="T409">
            <v>0</v>
          </cell>
        </row>
        <row r="410">
          <cell r="F410">
            <v>0</v>
          </cell>
          <cell r="G410">
            <v>0</v>
          </cell>
          <cell r="T410">
            <v>0</v>
          </cell>
        </row>
        <row r="411">
          <cell r="F411">
            <v>0</v>
          </cell>
          <cell r="G411">
            <v>0</v>
          </cell>
          <cell r="T411">
            <v>0</v>
          </cell>
        </row>
        <row r="412">
          <cell r="F412">
            <v>0</v>
          </cell>
          <cell r="G412">
            <v>0</v>
          </cell>
          <cell r="T412">
            <v>0</v>
          </cell>
        </row>
        <row r="413">
          <cell r="F413">
            <v>0</v>
          </cell>
          <cell r="G413">
            <v>0</v>
          </cell>
          <cell r="T413">
            <v>0</v>
          </cell>
        </row>
        <row r="414">
          <cell r="F414">
            <v>0</v>
          </cell>
          <cell r="G414">
            <v>0</v>
          </cell>
          <cell r="T414">
            <v>0</v>
          </cell>
        </row>
        <row r="415">
          <cell r="F415">
            <v>0</v>
          </cell>
          <cell r="G415">
            <v>0</v>
          </cell>
          <cell r="T415">
            <v>0</v>
          </cell>
        </row>
        <row r="416">
          <cell r="F416">
            <v>0</v>
          </cell>
          <cell r="G416">
            <v>0</v>
          </cell>
          <cell r="T416">
            <v>0</v>
          </cell>
        </row>
        <row r="417">
          <cell r="B417" t="str">
            <v>RELATED (TAC) DELIVERABLES BY PMC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</row>
        <row r="418">
          <cell r="F418">
            <v>0</v>
          </cell>
          <cell r="G418">
            <v>0</v>
          </cell>
          <cell r="T418">
            <v>0</v>
          </cell>
        </row>
        <row r="419">
          <cell r="B419" t="str">
            <v>STAGE 1 - LAUNCHING RFQ FOR EPC CONTRACTOR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</row>
        <row r="420">
          <cell r="F420">
            <v>0</v>
          </cell>
          <cell r="G420">
            <v>0</v>
          </cell>
          <cell r="T420">
            <v>0</v>
          </cell>
        </row>
        <row r="421">
          <cell r="F421">
            <v>0</v>
          </cell>
          <cell r="G421">
            <v>0</v>
          </cell>
          <cell r="T421">
            <v>0</v>
          </cell>
        </row>
        <row r="422">
          <cell r="F422">
            <v>0</v>
          </cell>
          <cell r="G422">
            <v>0</v>
          </cell>
          <cell r="T422">
            <v>0</v>
          </cell>
        </row>
        <row r="423">
          <cell r="F423">
            <v>0</v>
          </cell>
          <cell r="G423">
            <v>0</v>
          </cell>
          <cell r="T423">
            <v>0</v>
          </cell>
        </row>
        <row r="424">
          <cell r="F424">
            <v>0</v>
          </cell>
          <cell r="G424">
            <v>0</v>
          </cell>
          <cell r="T424">
            <v>0</v>
          </cell>
        </row>
        <row r="425">
          <cell r="B425" t="str">
            <v>STAGE II - LAUNCHING RFP  FOR EPC CONTRACTOR (BIDDING STAGE)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</row>
        <row r="426">
          <cell r="F426">
            <v>0</v>
          </cell>
          <cell r="G426">
            <v>0</v>
          </cell>
          <cell r="T426">
            <v>0</v>
          </cell>
        </row>
        <row r="427">
          <cell r="F427">
            <v>0</v>
          </cell>
          <cell r="G427">
            <v>0</v>
          </cell>
          <cell r="T427">
            <v>0</v>
          </cell>
        </row>
        <row r="428">
          <cell r="F428">
            <v>0</v>
          </cell>
          <cell r="G428">
            <v>0</v>
          </cell>
          <cell r="T428">
            <v>0</v>
          </cell>
        </row>
        <row r="429">
          <cell r="F429">
            <v>0</v>
          </cell>
          <cell r="G429">
            <v>0</v>
          </cell>
          <cell r="T429">
            <v>0</v>
          </cell>
        </row>
        <row r="430">
          <cell r="B430" t="str">
            <v>SELECTION OF PPP CONCESSIONAIRE FOR PHASE I &amp; II DEVELOPMENT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</row>
        <row r="431">
          <cell r="F431">
            <v>0</v>
          </cell>
          <cell r="G431">
            <v>0</v>
          </cell>
          <cell r="T431">
            <v>0</v>
          </cell>
        </row>
        <row r="432">
          <cell r="F432">
            <v>0</v>
          </cell>
          <cell r="G432">
            <v>0</v>
          </cell>
          <cell r="T432">
            <v>0</v>
          </cell>
        </row>
        <row r="433">
          <cell r="F433">
            <v>0</v>
          </cell>
          <cell r="G433">
            <v>0</v>
          </cell>
          <cell r="T433">
            <v>0</v>
          </cell>
        </row>
        <row r="434">
          <cell r="F434">
            <v>0</v>
          </cell>
          <cell r="G434">
            <v>0</v>
          </cell>
          <cell r="T434">
            <v>0</v>
          </cell>
        </row>
        <row r="435">
          <cell r="B435" t="str">
            <v>BID PROCESS MANAGEMENT (FOR ECC OPERATOR )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</row>
        <row r="436">
          <cell r="F436">
            <v>0</v>
          </cell>
          <cell r="G436">
            <v>0</v>
          </cell>
          <cell r="T436">
            <v>0</v>
          </cell>
        </row>
        <row r="437">
          <cell r="B437" t="str">
            <v>PLANNING &amp; CONTROL STAGE (EPC PROJECT)</v>
          </cell>
          <cell r="E437">
            <v>3.8851363106282726E-2</v>
          </cell>
          <cell r="F437">
            <v>3.8851363106282726E-2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1.2280290995832022E-2</v>
          </cell>
          <cell r="W437">
            <v>9.3822872210044053E-3</v>
          </cell>
          <cell r="X437">
            <v>1.596270636932692E-2</v>
          </cell>
          <cell r="Y437">
            <v>1.226078520119376E-3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</row>
        <row r="438">
          <cell r="B438" t="str">
            <v>SUBMISSIONS DURING KICK OF MEETING (WITHIN 1 WEEK)</v>
          </cell>
          <cell r="E438">
            <v>1.4942831963954894E-2</v>
          </cell>
          <cell r="F438">
            <v>1.4942831963954894E-2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1.2280290995832022E-2</v>
          </cell>
          <cell r="W438">
            <v>1.4127768402284627E-3</v>
          </cell>
          <cell r="X438">
            <v>1.2497641278944095E-3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</row>
        <row r="439">
          <cell r="B439" t="str">
            <v>DELIVERABLES BY EPC CONTRACTOR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</row>
        <row r="440">
          <cell r="F440">
            <v>0</v>
          </cell>
          <cell r="G440">
            <v>0</v>
          </cell>
          <cell r="T440">
            <v>0</v>
          </cell>
        </row>
        <row r="441">
          <cell r="F441">
            <v>0</v>
          </cell>
          <cell r="G441">
            <v>0</v>
          </cell>
          <cell r="T441">
            <v>0</v>
          </cell>
        </row>
        <row r="442">
          <cell r="F442">
            <v>0</v>
          </cell>
          <cell r="G442">
            <v>0</v>
          </cell>
          <cell r="T442">
            <v>0</v>
          </cell>
        </row>
        <row r="443">
          <cell r="F443">
            <v>0</v>
          </cell>
          <cell r="G443">
            <v>0</v>
          </cell>
          <cell r="T443">
            <v>0</v>
          </cell>
        </row>
        <row r="444">
          <cell r="F444">
            <v>0</v>
          </cell>
          <cell r="G444">
            <v>0</v>
          </cell>
          <cell r="T444">
            <v>0</v>
          </cell>
        </row>
        <row r="445">
          <cell r="F445">
            <v>0</v>
          </cell>
          <cell r="G445">
            <v>0</v>
          </cell>
          <cell r="T445">
            <v>0</v>
          </cell>
        </row>
        <row r="446">
          <cell r="F446">
            <v>0</v>
          </cell>
          <cell r="G446">
            <v>0</v>
          </cell>
          <cell r="T446">
            <v>0</v>
          </cell>
        </row>
        <row r="447">
          <cell r="F447">
            <v>0</v>
          </cell>
          <cell r="G447">
            <v>0</v>
          </cell>
          <cell r="T447">
            <v>0</v>
          </cell>
        </row>
        <row r="448">
          <cell r="F448">
            <v>0</v>
          </cell>
          <cell r="G448">
            <v>0</v>
          </cell>
          <cell r="T448">
            <v>0</v>
          </cell>
        </row>
        <row r="449">
          <cell r="F449">
            <v>0</v>
          </cell>
          <cell r="G449">
            <v>0</v>
          </cell>
          <cell r="T449">
            <v>0</v>
          </cell>
        </row>
        <row r="450">
          <cell r="F450">
            <v>0</v>
          </cell>
          <cell r="G450">
            <v>0</v>
          </cell>
          <cell r="T450">
            <v>0</v>
          </cell>
        </row>
        <row r="451">
          <cell r="F451">
            <v>0</v>
          </cell>
          <cell r="G451">
            <v>0</v>
          </cell>
          <cell r="T451">
            <v>0</v>
          </cell>
        </row>
        <row r="452">
          <cell r="B452" t="str">
            <v>REVIEW &amp; VALIDATION OF EPC CONTRACTOR SUBMISSIONS</v>
          </cell>
          <cell r="E452">
            <v>1.4942831963954894E-2</v>
          </cell>
          <cell r="F452">
            <v>1.4942831963954894E-2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1.2280290995832022E-2</v>
          </cell>
          <cell r="W452">
            <v>1.4127768402284627E-3</v>
          </cell>
          <cell r="X452">
            <v>1.2497641278944095E-3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</row>
        <row r="453">
          <cell r="B453" t="str">
            <v>Y2S-4031</v>
          </cell>
          <cell r="C453" t="str">
            <v>Review of Overall Project Schedule (Baseline Programme)</v>
          </cell>
          <cell r="E453">
            <v>2.9885663927909788E-3</v>
          </cell>
          <cell r="F453">
            <v>2.9885663927909792E-3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3.260254246681068E-4</v>
          </cell>
          <cell r="W453">
            <v>1.4127768402284627E-3</v>
          </cell>
          <cell r="X453">
            <v>1.2497641278944095E-3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</row>
        <row r="454">
          <cell r="B454" t="str">
            <v>Y2S-4061</v>
          </cell>
          <cell r="C454" t="str">
            <v>Review of Organizational set up (Manpower Deployment Schedule)</v>
          </cell>
          <cell r="E454">
            <v>2.9885663927909788E-3</v>
          </cell>
          <cell r="F454">
            <v>2.9885663927909788E-3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2.9885663927909788E-3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</row>
        <row r="455">
          <cell r="B455" t="str">
            <v>Y2S-4081</v>
          </cell>
          <cell r="C455" t="str">
            <v>Review of Resource Deployment Schedules (Manpower Deployment Schedule)</v>
          </cell>
          <cell r="E455">
            <v>2.9885663927909788E-3</v>
          </cell>
          <cell r="F455">
            <v>2.9885663927909788E-3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2.9885663927909788E-3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</row>
        <row r="456">
          <cell r="B456" t="str">
            <v>Y2S-4091</v>
          </cell>
          <cell r="C456" t="str">
            <v>Review &amp; Validation of Cost Loading Schedules</v>
          </cell>
          <cell r="E456">
            <v>2.9885663927909788E-3</v>
          </cell>
          <cell r="F456">
            <v>2.9885663927909788E-3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2.9885663927909788E-3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</row>
        <row r="457">
          <cell r="B457" t="str">
            <v>Y2S-4101</v>
          </cell>
          <cell r="C457" t="str">
            <v>Review of 90 Days Front End schedule (3 Month Look Ahead)</v>
          </cell>
          <cell r="E457">
            <v>2.9885663927909788E-3</v>
          </cell>
          <cell r="F457">
            <v>2.9885663927909788E-3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2.9885663927909788E-3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</row>
        <row r="458">
          <cell r="F458">
            <v>0</v>
          </cell>
          <cell r="G458">
            <v>0</v>
          </cell>
          <cell r="T458">
            <v>0</v>
          </cell>
        </row>
        <row r="459">
          <cell r="F459">
            <v>0</v>
          </cell>
          <cell r="G459">
            <v>0</v>
          </cell>
          <cell r="T459">
            <v>0</v>
          </cell>
        </row>
        <row r="460">
          <cell r="F460">
            <v>0</v>
          </cell>
          <cell r="G460">
            <v>0</v>
          </cell>
          <cell r="T460">
            <v>0</v>
          </cell>
        </row>
        <row r="461">
          <cell r="F461">
            <v>0</v>
          </cell>
          <cell r="G461">
            <v>0</v>
          </cell>
          <cell r="T461">
            <v>0</v>
          </cell>
        </row>
        <row r="462">
          <cell r="F462">
            <v>0</v>
          </cell>
          <cell r="G462">
            <v>0</v>
          </cell>
          <cell r="T462">
            <v>0</v>
          </cell>
        </row>
        <row r="463">
          <cell r="F463">
            <v>0</v>
          </cell>
          <cell r="G463">
            <v>0</v>
          </cell>
          <cell r="T463">
            <v>0</v>
          </cell>
        </row>
        <row r="464">
          <cell r="F464">
            <v>0</v>
          </cell>
          <cell r="G464">
            <v>0</v>
          </cell>
          <cell r="T464">
            <v>0</v>
          </cell>
        </row>
        <row r="465">
          <cell r="B465" t="str">
            <v>SUBMISSION WITHIN 2ND WEEK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</row>
        <row r="466">
          <cell r="B466" t="str">
            <v>DELIVERABLES BY EPC CONTRACTOR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</row>
        <row r="467">
          <cell r="F467">
            <v>0</v>
          </cell>
          <cell r="G467">
            <v>0</v>
          </cell>
          <cell r="T467">
            <v>0</v>
          </cell>
        </row>
        <row r="468">
          <cell r="B468" t="str">
            <v>REVIEW &amp; VALIDATION OF EPC CONTRACTOR SUBMISSIONS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</row>
        <row r="469">
          <cell r="F469">
            <v>0</v>
          </cell>
          <cell r="G469">
            <v>0</v>
          </cell>
          <cell r="T469">
            <v>0</v>
          </cell>
        </row>
        <row r="470">
          <cell r="B470" t="str">
            <v>SUBMISSION WITHIN 4TH WEEK (BASELINE PROGRAMME)</v>
          </cell>
          <cell r="E470">
            <v>2.390853114232783E-2</v>
          </cell>
          <cell r="F470">
            <v>2.390853114232783E-2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7.9695103807759429E-3</v>
          </cell>
          <cell r="X470">
            <v>1.4712942241432509E-2</v>
          </cell>
          <cell r="Y470">
            <v>1.226078520119376E-3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</row>
        <row r="471">
          <cell r="B471" t="str">
            <v>DELIVERABLES BY EPC CONTRACTOR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</row>
        <row r="472">
          <cell r="F472">
            <v>0</v>
          </cell>
          <cell r="G472">
            <v>0</v>
          </cell>
          <cell r="T472">
            <v>0</v>
          </cell>
        </row>
        <row r="473">
          <cell r="F473">
            <v>0</v>
          </cell>
          <cell r="G473">
            <v>0</v>
          </cell>
          <cell r="T473">
            <v>0</v>
          </cell>
        </row>
        <row r="474">
          <cell r="F474">
            <v>0</v>
          </cell>
          <cell r="G474">
            <v>0</v>
          </cell>
          <cell r="T474">
            <v>0</v>
          </cell>
        </row>
        <row r="475">
          <cell r="F475">
            <v>0</v>
          </cell>
          <cell r="G475">
            <v>0</v>
          </cell>
          <cell r="T475">
            <v>0</v>
          </cell>
        </row>
        <row r="476">
          <cell r="F476">
            <v>0</v>
          </cell>
          <cell r="G476">
            <v>0</v>
          </cell>
          <cell r="T476">
            <v>0</v>
          </cell>
        </row>
        <row r="477">
          <cell r="F477">
            <v>0</v>
          </cell>
          <cell r="G477">
            <v>0</v>
          </cell>
          <cell r="T477">
            <v>0</v>
          </cell>
        </row>
        <row r="478">
          <cell r="F478">
            <v>0</v>
          </cell>
          <cell r="G478">
            <v>0</v>
          </cell>
          <cell r="T478">
            <v>0</v>
          </cell>
        </row>
        <row r="479">
          <cell r="F479">
            <v>0</v>
          </cell>
          <cell r="G479">
            <v>0</v>
          </cell>
          <cell r="T479">
            <v>0</v>
          </cell>
        </row>
        <row r="480">
          <cell r="B480" t="str">
            <v>REVIEW &amp; VALIDATION OF EPC CONTRACTOR SUBMISSIONS</v>
          </cell>
          <cell r="E480">
            <v>2.390853114232783E-2</v>
          </cell>
          <cell r="F480">
            <v>2.390853114232783E-2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7.9695103807759429E-3</v>
          </cell>
          <cell r="X480">
            <v>1.4712942241432509E-2</v>
          </cell>
          <cell r="Y480">
            <v>1.226078520119376E-3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</row>
        <row r="481">
          <cell r="B481" t="str">
            <v>Y2S-6001</v>
          </cell>
          <cell r="C481" t="str">
            <v>Review &amp; Validation of Construction Network (Unit wise) with contract level, unit level and discipline S curves.</v>
          </cell>
          <cell r="E481">
            <v>2.9885663927909788E-3</v>
          </cell>
          <cell r="F481">
            <v>2.9885663927909788E-3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9.9618879759699286E-4</v>
          </cell>
          <cell r="X481">
            <v>1.8391177801790639E-3</v>
          </cell>
          <cell r="Y481">
            <v>1.53259815014922E-4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</row>
        <row r="482">
          <cell r="B482" t="str">
            <v>Y2S-6011</v>
          </cell>
          <cell r="C482" t="str">
            <v>Review &amp; Validation of Overall Project Schedule ( Unit wise ), Detailed &amp; Summarized</v>
          </cell>
          <cell r="E482">
            <v>2.9885663927909788E-3</v>
          </cell>
          <cell r="F482">
            <v>2.9885663927909788E-3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9.9618879759699286E-4</v>
          </cell>
          <cell r="X482">
            <v>1.8391177801790639E-3</v>
          </cell>
          <cell r="Y482">
            <v>1.53259815014922E-4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</row>
        <row r="483">
          <cell r="B483" t="str">
            <v>Y2S-6021</v>
          </cell>
          <cell r="C483" t="str">
            <v>Review &amp; Validation of Planning Package</v>
          </cell>
          <cell r="E483">
            <v>2.9885663927909788E-3</v>
          </cell>
          <cell r="F483">
            <v>2.9885663927909788E-3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9.9618879759699286E-4</v>
          </cell>
          <cell r="X483">
            <v>1.8391177801790639E-3</v>
          </cell>
          <cell r="Y483">
            <v>1.53259815014922E-4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</row>
        <row r="484">
          <cell r="B484" t="str">
            <v>Y2S-6031</v>
          </cell>
          <cell r="C484" t="str">
            <v>Review &amp; Validation of Resource based bar chart with S curves - Residual Basic Engineering Schedules</v>
          </cell>
          <cell r="E484">
            <v>2.9885663927909788E-3</v>
          </cell>
          <cell r="F484">
            <v>2.9885663927909788E-3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9.9618879759699286E-4</v>
          </cell>
          <cell r="X484">
            <v>1.8391177801790639E-3</v>
          </cell>
          <cell r="Y484">
            <v>1.53259815014922E-4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</row>
        <row r="485">
          <cell r="B485" t="str">
            <v>Y2S-6041</v>
          </cell>
          <cell r="C485" t="str">
            <v>Review &amp; Validation of Resource based bar chart with S curves - Detailed Engineering Schedules</v>
          </cell>
          <cell r="E485">
            <v>2.9885663927909788E-3</v>
          </cell>
          <cell r="F485">
            <v>2.9885663927909788E-3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9.9618879759699286E-4</v>
          </cell>
          <cell r="X485">
            <v>1.8391177801790639E-3</v>
          </cell>
          <cell r="Y485">
            <v>1.53259815014922E-4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</row>
        <row r="486">
          <cell r="B486" t="str">
            <v>Y2S-6051</v>
          </cell>
          <cell r="C486" t="str">
            <v>Review &amp; Validation of Resource based bar chart with S curves - Ordering Schedules</v>
          </cell>
          <cell r="E486">
            <v>2.9885663927909788E-3</v>
          </cell>
          <cell r="F486">
            <v>2.9885663927909788E-3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9.9618879759699286E-4</v>
          </cell>
          <cell r="X486">
            <v>1.8391177801790639E-3</v>
          </cell>
          <cell r="Y486">
            <v>1.53259815014922E-4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</row>
        <row r="487">
          <cell r="B487" t="str">
            <v>Y2S-6061</v>
          </cell>
          <cell r="C487" t="str">
            <v>Review &amp; Validation of Resource based bar chart with S curves - Manufacturing &amp; Delivery Schedule</v>
          </cell>
          <cell r="E487">
            <v>2.9885663927909788E-3</v>
          </cell>
          <cell r="F487">
            <v>2.9885663927909788E-3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9.9618879759699286E-4</v>
          </cell>
          <cell r="X487">
            <v>1.8391177801790639E-3</v>
          </cell>
          <cell r="Y487">
            <v>1.53259815014922E-4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</row>
        <row r="488">
          <cell r="B488" t="str">
            <v>Y2S-6071</v>
          </cell>
          <cell r="C488" t="str">
            <v>Review &amp; Validation of Resource based bar chart with S curves - Sub-contracting Schedule</v>
          </cell>
          <cell r="E488">
            <v>2.9885663927909788E-3</v>
          </cell>
          <cell r="F488">
            <v>2.9885663927909788E-3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9.9618879759699286E-4</v>
          </cell>
          <cell r="X488">
            <v>1.8391177801790639E-3</v>
          </cell>
          <cell r="Y488">
            <v>1.53259815014922E-4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</row>
        <row r="489">
          <cell r="B489" t="str">
            <v>PROJECT DEVELOPMENT &amp; DESIGN STAGE (EPC PROJECT)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</row>
        <row r="490">
          <cell r="B490" t="str">
            <v>SUBMISSION OF DESING &amp; WORKING/GFC DRAWINGS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</row>
        <row r="491">
          <cell r="B491" t="str">
            <v>BUILDING WORKS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</row>
        <row r="492">
          <cell r="F492">
            <v>0</v>
          </cell>
          <cell r="G492">
            <v>0</v>
          </cell>
          <cell r="T492">
            <v>0</v>
          </cell>
        </row>
        <row r="493">
          <cell r="F493">
            <v>0</v>
          </cell>
          <cell r="G493">
            <v>0</v>
          </cell>
          <cell r="T493">
            <v>0</v>
          </cell>
        </row>
        <row r="494">
          <cell r="F494">
            <v>0</v>
          </cell>
          <cell r="G494">
            <v>0</v>
          </cell>
          <cell r="T494">
            <v>0</v>
          </cell>
        </row>
        <row r="495">
          <cell r="F495">
            <v>0</v>
          </cell>
          <cell r="G495">
            <v>0</v>
          </cell>
          <cell r="T495">
            <v>0</v>
          </cell>
        </row>
        <row r="496">
          <cell r="F496">
            <v>0</v>
          </cell>
          <cell r="G496">
            <v>0</v>
          </cell>
          <cell r="T496">
            <v>0</v>
          </cell>
        </row>
        <row r="497">
          <cell r="F497">
            <v>0</v>
          </cell>
          <cell r="G497">
            <v>0</v>
          </cell>
          <cell r="T497">
            <v>0</v>
          </cell>
        </row>
        <row r="498">
          <cell r="F498">
            <v>0</v>
          </cell>
          <cell r="G498">
            <v>0</v>
          </cell>
          <cell r="T498">
            <v>0</v>
          </cell>
        </row>
        <row r="499">
          <cell r="B499" t="str">
            <v>INFRASTRUCTURE FOR WHOLE COMPLEX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</row>
        <row r="500">
          <cell r="F500">
            <v>0</v>
          </cell>
          <cell r="G500">
            <v>0</v>
          </cell>
          <cell r="T500">
            <v>0</v>
          </cell>
        </row>
        <row r="501">
          <cell r="F501">
            <v>0</v>
          </cell>
          <cell r="G501">
            <v>0</v>
          </cell>
          <cell r="T501">
            <v>0</v>
          </cell>
        </row>
        <row r="502">
          <cell r="F502">
            <v>0</v>
          </cell>
          <cell r="G502">
            <v>0</v>
          </cell>
          <cell r="T502">
            <v>0</v>
          </cell>
        </row>
        <row r="503">
          <cell r="F503">
            <v>0</v>
          </cell>
          <cell r="G503">
            <v>0</v>
          </cell>
          <cell r="T503">
            <v>0</v>
          </cell>
        </row>
        <row r="504">
          <cell r="F504">
            <v>0</v>
          </cell>
          <cell r="G504">
            <v>0</v>
          </cell>
          <cell r="T504">
            <v>0</v>
          </cell>
        </row>
        <row r="505">
          <cell r="F505">
            <v>0</v>
          </cell>
          <cell r="G505">
            <v>0</v>
          </cell>
          <cell r="T505">
            <v>0</v>
          </cell>
        </row>
        <row r="506">
          <cell r="F506">
            <v>0</v>
          </cell>
          <cell r="G506">
            <v>0</v>
          </cell>
          <cell r="T506">
            <v>0</v>
          </cell>
        </row>
        <row r="507">
          <cell r="F507">
            <v>0</v>
          </cell>
          <cell r="G507">
            <v>0</v>
          </cell>
          <cell r="T507">
            <v>0</v>
          </cell>
        </row>
        <row r="508">
          <cell r="F508">
            <v>0</v>
          </cell>
          <cell r="G508">
            <v>0</v>
          </cell>
          <cell r="T508">
            <v>0</v>
          </cell>
        </row>
        <row r="509">
          <cell r="B509" t="str">
            <v>REVIEW OF DESING &amp; WORKING/GFC DRAWINGS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</row>
        <row r="510">
          <cell r="B510" t="str">
            <v>BUILDING WORKS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</row>
        <row r="511">
          <cell r="F511">
            <v>0</v>
          </cell>
          <cell r="G511">
            <v>0</v>
          </cell>
          <cell r="T511">
            <v>0</v>
          </cell>
        </row>
        <row r="512">
          <cell r="F512">
            <v>0</v>
          </cell>
          <cell r="G512">
            <v>0</v>
          </cell>
          <cell r="T512">
            <v>0</v>
          </cell>
        </row>
        <row r="513">
          <cell r="F513">
            <v>0</v>
          </cell>
          <cell r="G513">
            <v>0</v>
          </cell>
          <cell r="T513">
            <v>0</v>
          </cell>
        </row>
        <row r="514">
          <cell r="F514">
            <v>0</v>
          </cell>
          <cell r="G514">
            <v>0</v>
          </cell>
          <cell r="T514">
            <v>0</v>
          </cell>
        </row>
        <row r="515">
          <cell r="F515">
            <v>0</v>
          </cell>
          <cell r="G515">
            <v>0</v>
          </cell>
          <cell r="T515">
            <v>0</v>
          </cell>
        </row>
        <row r="516">
          <cell r="F516">
            <v>0</v>
          </cell>
          <cell r="G516">
            <v>0</v>
          </cell>
          <cell r="T516">
            <v>0</v>
          </cell>
        </row>
        <row r="517">
          <cell r="F517">
            <v>0</v>
          </cell>
          <cell r="G517">
            <v>0</v>
          </cell>
          <cell r="T517">
            <v>0</v>
          </cell>
        </row>
        <row r="518">
          <cell r="B518" t="str">
            <v>INFRASTRUCTURE FOR WHOLE COMPLEX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</row>
        <row r="519">
          <cell r="F519">
            <v>0</v>
          </cell>
          <cell r="G519">
            <v>0</v>
          </cell>
          <cell r="T519">
            <v>0</v>
          </cell>
        </row>
        <row r="520">
          <cell r="F520">
            <v>0</v>
          </cell>
          <cell r="G520">
            <v>0</v>
          </cell>
          <cell r="T520">
            <v>0</v>
          </cell>
        </row>
        <row r="521">
          <cell r="F521">
            <v>0</v>
          </cell>
          <cell r="G521">
            <v>0</v>
          </cell>
          <cell r="T521">
            <v>0</v>
          </cell>
        </row>
        <row r="522">
          <cell r="F522">
            <v>0</v>
          </cell>
          <cell r="G522">
            <v>0</v>
          </cell>
          <cell r="T522">
            <v>0</v>
          </cell>
        </row>
        <row r="523">
          <cell r="F523">
            <v>0</v>
          </cell>
          <cell r="G523">
            <v>0</v>
          </cell>
          <cell r="T523">
            <v>0</v>
          </cell>
        </row>
        <row r="524">
          <cell r="F524">
            <v>0</v>
          </cell>
          <cell r="G524">
            <v>0</v>
          </cell>
          <cell r="T524">
            <v>0</v>
          </cell>
        </row>
        <row r="525">
          <cell r="F525">
            <v>0</v>
          </cell>
          <cell r="G525">
            <v>0</v>
          </cell>
          <cell r="T525">
            <v>0</v>
          </cell>
        </row>
        <row r="526">
          <cell r="F526">
            <v>0</v>
          </cell>
          <cell r="G526">
            <v>0</v>
          </cell>
          <cell r="T526">
            <v>0</v>
          </cell>
        </row>
        <row r="527">
          <cell r="F527">
            <v>0</v>
          </cell>
          <cell r="G527">
            <v>0</v>
          </cell>
          <cell r="T527">
            <v>0</v>
          </cell>
        </row>
        <row r="528">
          <cell r="B528" t="str">
            <v>CONSTRUCTION STAGE</v>
          </cell>
          <cell r="E528">
            <v>2.9885663927909787E-2</v>
          </cell>
          <cell r="F528">
            <v>2.9885663927909787E-2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1.2667951424127652E-3</v>
          </cell>
          <cell r="W528">
            <v>5.7369065286269668E-3</v>
          </cell>
          <cell r="X528">
            <v>6.4502794054577721E-3</v>
          </cell>
          <cell r="Y528">
            <v>3.6589418970531672E-3</v>
          </cell>
          <cell r="Z528">
            <v>1.7875746965516053E-3</v>
          </cell>
          <cell r="AA528">
            <v>1.316093621868672E-3</v>
          </cell>
          <cell r="AB528">
            <v>6.6530254810359863E-4</v>
          </cell>
          <cell r="AC528">
            <v>2.6945743697209534E-3</v>
          </cell>
          <cell r="AD528">
            <v>4.3159518717919574E-3</v>
          </cell>
          <cell r="AE528">
            <v>1.8633061770705493E-3</v>
          </cell>
          <cell r="AF528">
            <v>1.2993766925178168E-4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</row>
        <row r="529">
          <cell r="B529" t="str">
            <v>DELIVERABLES BY EPC CONTRACTOR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</row>
        <row r="530">
          <cell r="F530">
            <v>0</v>
          </cell>
          <cell r="G530">
            <v>0</v>
          </cell>
          <cell r="T530">
            <v>0</v>
          </cell>
        </row>
        <row r="531">
          <cell r="F531">
            <v>0</v>
          </cell>
          <cell r="G531">
            <v>0</v>
          </cell>
          <cell r="T531">
            <v>0</v>
          </cell>
        </row>
        <row r="532">
          <cell r="F532">
            <v>0</v>
          </cell>
          <cell r="G532">
            <v>0</v>
          </cell>
          <cell r="T532">
            <v>0</v>
          </cell>
        </row>
        <row r="533">
          <cell r="F533">
            <v>0</v>
          </cell>
          <cell r="G533">
            <v>0</v>
          </cell>
          <cell r="T533">
            <v>0</v>
          </cell>
        </row>
        <row r="534">
          <cell r="F534">
            <v>0</v>
          </cell>
          <cell r="G534">
            <v>0</v>
          </cell>
          <cell r="T534">
            <v>0</v>
          </cell>
        </row>
        <row r="535">
          <cell r="F535">
            <v>0</v>
          </cell>
          <cell r="G535">
            <v>0</v>
          </cell>
          <cell r="T535">
            <v>0</v>
          </cell>
        </row>
        <row r="536">
          <cell r="F536">
            <v>0</v>
          </cell>
          <cell r="G536">
            <v>0</v>
          </cell>
          <cell r="T536">
            <v>0</v>
          </cell>
        </row>
        <row r="537">
          <cell r="F537">
            <v>0</v>
          </cell>
          <cell r="G537">
            <v>0</v>
          </cell>
          <cell r="T537">
            <v>0</v>
          </cell>
        </row>
        <row r="538">
          <cell r="F538">
            <v>0</v>
          </cell>
          <cell r="G538">
            <v>0</v>
          </cell>
          <cell r="T538">
            <v>0</v>
          </cell>
        </row>
        <row r="539">
          <cell r="F539">
            <v>0</v>
          </cell>
          <cell r="G539">
            <v>0</v>
          </cell>
          <cell r="T539">
            <v>0</v>
          </cell>
        </row>
        <row r="540">
          <cell r="B540" t="str">
            <v>REVIEW &amp; VALIDATION OF EPC CONTRACTOR SUBMISSIONS</v>
          </cell>
          <cell r="E540">
            <v>2.9885663927909787E-2</v>
          </cell>
          <cell r="F540">
            <v>2.9885663927909787E-2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1.2667951424127652E-3</v>
          </cell>
          <cell r="W540">
            <v>5.7369065286269668E-3</v>
          </cell>
          <cell r="X540">
            <v>6.4502794054577721E-3</v>
          </cell>
          <cell r="Y540">
            <v>3.6589418970531672E-3</v>
          </cell>
          <cell r="Z540">
            <v>1.7875746965516053E-3</v>
          </cell>
          <cell r="AA540">
            <v>1.316093621868672E-3</v>
          </cell>
          <cell r="AB540">
            <v>6.6530254810359863E-4</v>
          </cell>
          <cell r="AC540">
            <v>2.6945743697209534E-3</v>
          </cell>
          <cell r="AD540">
            <v>4.3159518717919574E-3</v>
          </cell>
          <cell r="AE540">
            <v>1.8633061770705493E-3</v>
          </cell>
          <cell r="AF540">
            <v>1.2993766925178168E-4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</row>
        <row r="541">
          <cell r="B541" t="str">
            <v>Y2S-2001</v>
          </cell>
          <cell r="C541" t="str">
            <v>Review &amp; Validation of Quality Assurance Plan submitted by EPC Contractor (D+5)</v>
          </cell>
          <cell r="E541">
            <v>2.9885663927909788E-3</v>
          </cell>
          <cell r="F541">
            <v>2.9885663927909792E-3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3.0916204063354956E-4</v>
          </cell>
          <cell r="W541">
            <v>1.3397021760787147E-3</v>
          </cell>
          <cell r="X541">
            <v>1.2366481625341983E-3</v>
          </cell>
          <cell r="Y541">
            <v>1.0305401354451651E-4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</row>
        <row r="542">
          <cell r="B542" t="str">
            <v>Y2S-2006</v>
          </cell>
          <cell r="C542" t="str">
            <v>Review &amp; Validation of SH&amp;E Plan submitted by EPC Contractor (D+5)</v>
          </cell>
          <cell r="E542">
            <v>2.9885663927909788E-3</v>
          </cell>
          <cell r="F542">
            <v>2.9885663927909792E-3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3.0916204063354956E-4</v>
          </cell>
          <cell r="W542">
            <v>1.3397021760787147E-3</v>
          </cell>
          <cell r="X542">
            <v>1.2366481625341983E-3</v>
          </cell>
          <cell r="Y542">
            <v>1.0305401354451651E-4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</row>
        <row r="543">
          <cell r="B543" t="str">
            <v>Y2S-2011</v>
          </cell>
          <cell r="C543" t="str">
            <v>Review &amp; Validation of Risk Management Plan submitted by EPC Contractor (D+5)</v>
          </cell>
          <cell r="E543">
            <v>2.9885663927909788E-3</v>
          </cell>
          <cell r="F543">
            <v>2.9885663927909792E-3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3.0916204063354956E-4</v>
          </cell>
          <cell r="W543">
            <v>1.3397021760787147E-3</v>
          </cell>
          <cell r="X543">
            <v>1.2366481625341983E-3</v>
          </cell>
          <cell r="Y543">
            <v>1.0305401354451651E-4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</row>
        <row r="544">
          <cell r="B544" t="str">
            <v>Y2S-2021</v>
          </cell>
          <cell r="C544" t="str">
            <v>Review &amp; submission of First Six-Monthly Environmental Compliance Report (D+6)</v>
          </cell>
          <cell r="E544">
            <v>2.9885663927909788E-3</v>
          </cell>
          <cell r="F544">
            <v>2.9885663927909788E-3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1.1546733790328782E-3</v>
          </cell>
          <cell r="Y544">
            <v>1.6980490868130562E-3</v>
          </cell>
          <cell r="Z544">
            <v>1.3584392694504448E-4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</row>
        <row r="545">
          <cell r="B545" t="str">
            <v>Y2S-2031</v>
          </cell>
          <cell r="C545" t="str">
            <v>Review &amp; submission of Quality documentation audit (D+7)</v>
          </cell>
          <cell r="E545">
            <v>2.9885663927909788E-3</v>
          </cell>
          <cell r="F545">
            <v>2.9885663927909792E-3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1.5592520310213804E-4</v>
          </cell>
          <cell r="W545">
            <v>6.756758801092648E-4</v>
          </cell>
          <cell r="X545">
            <v>6.2370081240855214E-4</v>
          </cell>
          <cell r="Y545">
            <v>6.4968834625890842E-4</v>
          </cell>
          <cell r="Z545">
            <v>6.4968834625890842E-4</v>
          </cell>
          <cell r="AA545">
            <v>2.3388780465320703E-4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</row>
        <row r="546">
          <cell r="B546" t="str">
            <v>Y2S-2041</v>
          </cell>
          <cell r="C546" t="str">
            <v>Review &amp; submission of SH&amp;E documentation audit. (D+8)</v>
          </cell>
          <cell r="E546">
            <v>2.9885663927909788E-3</v>
          </cell>
          <cell r="F546">
            <v>2.9885663927909788E-3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1.2627745321652025E-4</v>
          </cell>
          <cell r="W546">
            <v>5.4720229727158766E-4</v>
          </cell>
          <cell r="X546">
            <v>5.0510981286608098E-4</v>
          </cell>
          <cell r="Y546">
            <v>5.2615605506883432E-4</v>
          </cell>
          <cell r="Z546">
            <v>5.2615605506883432E-4</v>
          </cell>
          <cell r="AA546">
            <v>5.6824853947434111E-4</v>
          </cell>
          <cell r="AB546">
            <v>1.8941617982478034E-4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</row>
        <row r="547">
          <cell r="B547" t="str">
            <v>Y2S-2051</v>
          </cell>
          <cell r="C547" t="str">
            <v>Review &amp; submission of Risk Assessment Report along with Risk Register. (D+9)</v>
          </cell>
          <cell r="E547">
            <v>2.9885663927909788E-3</v>
          </cell>
          <cell r="F547">
            <v>2.9885663927909792E-3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5.7106364193458199E-5</v>
          </cell>
          <cell r="W547">
            <v>4.9492182300997099E-4</v>
          </cell>
          <cell r="X547">
            <v>4.5685091354766559E-4</v>
          </cell>
          <cell r="Y547">
            <v>4.7588636827881832E-4</v>
          </cell>
          <cell r="Z547">
            <v>4.7588636827881832E-4</v>
          </cell>
          <cell r="AA547">
            <v>5.1395727774112372E-4</v>
          </cell>
          <cell r="AB547">
            <v>4.7588636827881832E-4</v>
          </cell>
          <cell r="AC547">
            <v>3.8070909462305459E-5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</row>
        <row r="548">
          <cell r="B548" t="str">
            <v>Y2S-2061</v>
          </cell>
          <cell r="C548" t="str">
            <v>Review &amp; submission of Final Plan for next year. (D+10)</v>
          </cell>
          <cell r="E548">
            <v>2.9885663927909788E-3</v>
          </cell>
          <cell r="F548">
            <v>2.9885663927909788E-3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2.6565034602586478E-3</v>
          </cell>
          <cell r="AD548">
            <v>3.3206293253233097E-4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</row>
        <row r="549">
          <cell r="B549" t="str">
            <v>Y2S-2071</v>
          </cell>
          <cell r="C549" t="str">
            <v>Review &amp; submission of change management reports &amp; documentation - Detailed Summary. (D+11)</v>
          </cell>
          <cell r="E549">
            <v>2.9885663927909788E-3</v>
          </cell>
          <cell r="F549">
            <v>2.9885663927909788E-3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2.7494810813677006E-3</v>
          </cell>
          <cell r="AE549">
            <v>2.390853114232783E-4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</row>
        <row r="550">
          <cell r="B550" t="str">
            <v>Y2S-2081</v>
          </cell>
          <cell r="C550" t="str">
            <v>Review &amp; submission of second Six-Monthly Environmental Compliance Report. (D+12)</v>
          </cell>
          <cell r="E550">
            <v>2.9885663927909788E-3</v>
          </cell>
          <cell r="F550">
            <v>2.9885663927909788E-3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1.234407857891926E-3</v>
          </cell>
          <cell r="AE550">
            <v>1.6242208656472711E-3</v>
          </cell>
          <cell r="AF550">
            <v>1.2993766925178168E-4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</row>
        <row r="551">
          <cell r="F551">
            <v>0</v>
          </cell>
          <cell r="G551">
            <v>0</v>
          </cell>
          <cell r="T551">
            <v>0</v>
          </cell>
        </row>
        <row r="552">
          <cell r="B552" t="str">
            <v xml:space="preserve">    GENERAL PROGRAM MANAGEMENT SCOPE OF SERVICES (OVER 3 YEARS)</v>
          </cell>
          <cell r="D552">
            <v>555926804</v>
          </cell>
          <cell r="F552">
            <v>0.57462120144121598</v>
          </cell>
          <cell r="G552">
            <v>0.2064903293662588</v>
          </cell>
          <cell r="H552">
            <v>7.0522752126856167E-3</v>
          </cell>
          <cell r="I552">
            <v>1.0981188925422037E-2</v>
          </cell>
          <cell r="J552">
            <v>1.2702436588552725E-2</v>
          </cell>
          <cell r="K552">
            <v>1.2492368556646909E-2</v>
          </cell>
          <cell r="L552">
            <v>1.9588386119434288E-2</v>
          </cell>
          <cell r="M552">
            <v>1.9773177979668145E-2</v>
          </cell>
          <cell r="N552">
            <v>1.7868760376600797E-2</v>
          </cell>
          <cell r="O552">
            <v>1.8567008000130489E-2</v>
          </cell>
          <cell r="P552">
            <v>1.4996131178549385E-2</v>
          </cell>
          <cell r="Q552">
            <v>1.49132025894433E-2</v>
          </cell>
          <cell r="R552">
            <v>1.8525053330810514E-2</v>
          </cell>
          <cell r="S552">
            <v>1.2320990633406106E-2</v>
          </cell>
          <cell r="T552">
            <v>1.2896940149542091E-2</v>
          </cell>
          <cell r="U552">
            <v>1.3812409725366376E-2</v>
          </cell>
          <cell r="V552">
            <v>1.4096180329770296E-2</v>
          </cell>
          <cell r="W552">
            <v>1.5125388377730777E-2</v>
          </cell>
          <cell r="X552">
            <v>1.3919026929197928E-2</v>
          </cell>
          <cell r="Y552">
            <v>1.3198459425362064E-2</v>
          </cell>
          <cell r="Z552">
            <v>1.2943725410993557E-2</v>
          </cell>
          <cell r="AA552">
            <v>1.3977827323313279E-2</v>
          </cell>
          <cell r="AB552">
            <v>1.2943725449081903E-2</v>
          </cell>
          <cell r="AC552">
            <v>1.3461011552113928E-2</v>
          </cell>
          <cell r="AD552">
            <v>1.3332704887303743E-2</v>
          </cell>
          <cell r="AE552">
            <v>1.2563860779398183E-2</v>
          </cell>
          <cell r="AF552">
            <v>1.9493131119661139E-2</v>
          </cell>
          <cell r="AG552">
            <v>1.8528333086176563E-2</v>
          </cell>
          <cell r="AH552">
            <v>1.8528333086176563E-2</v>
          </cell>
          <cell r="AI552">
            <v>1.8528333086176563E-2</v>
          </cell>
          <cell r="AJ552">
            <v>2.0844374721948632E-2</v>
          </cell>
          <cell r="AK552">
            <v>1.8528333086176563E-2</v>
          </cell>
          <cell r="AL552">
            <v>1.8528333086176563E-2</v>
          </cell>
          <cell r="AM552">
            <v>2.0844374721948632E-2</v>
          </cell>
          <cell r="AN552">
            <v>1.8528333086176563E-2</v>
          </cell>
          <cell r="AO552">
            <v>2.0844374721948632E-2</v>
          </cell>
          <cell r="AP552">
            <v>1.8528333086176563E-2</v>
          </cell>
          <cell r="AQ552">
            <v>2.0844374721948632E-2</v>
          </cell>
          <cell r="AR552">
            <v>0</v>
          </cell>
        </row>
        <row r="553">
          <cell r="B553" t="str">
            <v xml:space="preserve">      GENERAL PRORAMME MANAGEMENT FOR YEAR 1</v>
          </cell>
          <cell r="D553">
            <v>153400993</v>
          </cell>
          <cell r="F553">
            <v>0.18014990247210858</v>
          </cell>
          <cell r="G553">
            <v>0.1801499024721086</v>
          </cell>
          <cell r="H553">
            <v>7.0522752126856167E-3</v>
          </cell>
          <cell r="I553">
            <v>1.0981188925422037E-2</v>
          </cell>
          <cell r="J553">
            <v>1.2702436588552725E-2</v>
          </cell>
          <cell r="K553">
            <v>1.2492368556646909E-2</v>
          </cell>
          <cell r="L553">
            <v>1.9588386119434288E-2</v>
          </cell>
          <cell r="M553">
            <v>1.9773177979668145E-2</v>
          </cell>
          <cell r="N553">
            <v>1.7868760376600797E-2</v>
          </cell>
          <cell r="O553">
            <v>1.8567008000130489E-2</v>
          </cell>
          <cell r="P553">
            <v>1.4996131178549385E-2</v>
          </cell>
          <cell r="Q553">
            <v>1.49132025894433E-2</v>
          </cell>
          <cell r="R553">
            <v>1.8525053330810514E-2</v>
          </cell>
          <cell r="S553">
            <v>1.2320990633406106E-2</v>
          </cell>
          <cell r="T553">
            <v>3.689229807582758E-4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</row>
        <row r="554">
          <cell r="B554" t="str">
            <v xml:space="preserve">        ORGANIZATION &amp; GOVERNANCE</v>
          </cell>
          <cell r="D554">
            <v>32081</v>
          </cell>
          <cell r="F554">
            <v>3.6930054630652263E-5</v>
          </cell>
          <cell r="G554">
            <v>3.6930054630652257E-5</v>
          </cell>
          <cell r="H554">
            <v>7.8344851261211678E-6</v>
          </cell>
          <cell r="I554">
            <v>2.9095569504531091E-5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</row>
        <row r="555">
          <cell r="B555" t="str">
            <v xml:space="preserve">          GY1-1030</v>
          </cell>
          <cell r="C555" t="str">
            <v>Identifying various Stakeholders and their Coordination</v>
          </cell>
          <cell r="D555">
            <v>23201</v>
          </cell>
          <cell r="E555">
            <v>1</v>
          </cell>
          <cell r="F555">
            <v>2.6708158080555881E-5</v>
          </cell>
          <cell r="G555">
            <v>2.6708158080555877E-5</v>
          </cell>
          <cell r="H555">
            <v>7.8344851261211678E-6</v>
          </cell>
          <cell r="I555">
            <v>1.8873672954434711E-5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</row>
        <row r="556">
          <cell r="B556" t="str">
            <v xml:space="preserve">          GY1-1280</v>
          </cell>
          <cell r="C556" t="str">
            <v>Establishing a Process for Issue resolution and decision making (Preparation of RACI Chart (Resp., Appr., Inf., Consu.)</v>
          </cell>
          <cell r="D556">
            <v>8880</v>
          </cell>
          <cell r="E556">
            <v>1</v>
          </cell>
          <cell r="F556">
            <v>1.0221896550096381E-5</v>
          </cell>
          <cell r="G556">
            <v>1.0221896550096381E-5</v>
          </cell>
          <cell r="H556">
            <v>0</v>
          </cell>
          <cell r="I556">
            <v>1.0221896550096381E-5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</row>
        <row r="557">
          <cell r="B557" t="str">
            <v xml:space="preserve">        PROGRAM CONTROLS</v>
          </cell>
          <cell r="D557">
            <v>153368912</v>
          </cell>
          <cell r="F557">
            <v>6.7955016317929856E-2</v>
          </cell>
          <cell r="G557">
            <v>6.7955016317929856E-2</v>
          </cell>
          <cell r="H557">
            <v>1.3055479945109583E-4</v>
          </cell>
          <cell r="I557">
            <v>1.9324725650852479E-3</v>
          </cell>
          <cell r="J557">
            <v>2.8283239529707052E-3</v>
          </cell>
          <cell r="K557">
            <v>2.9561344955101538E-3</v>
          </cell>
          <cell r="L557">
            <v>1.0138451110590408E-2</v>
          </cell>
          <cell r="M557">
            <v>9.3294317410003817E-3</v>
          </cell>
          <cell r="N557">
            <v>8.6205800509144403E-3</v>
          </cell>
          <cell r="O557">
            <v>8.1028260261638667E-3</v>
          </cell>
          <cell r="P557">
            <v>6.0475617776561087E-3</v>
          </cell>
          <cell r="Q557">
            <v>4.8284463647172834E-3</v>
          </cell>
          <cell r="R557">
            <v>9.624639652921374E-3</v>
          </cell>
          <cell r="S557">
            <v>3.3607466294935627E-3</v>
          </cell>
          <cell r="T557">
            <v>5.4847151455229975E-5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</row>
        <row r="558">
          <cell r="B558" t="str">
            <v xml:space="preserve">          SCHEDULE MANAGEMENT</v>
          </cell>
          <cell r="D558">
            <v>1256414</v>
          </cell>
          <cell r="F558">
            <v>1.44627749481862E-3</v>
          </cell>
          <cell r="G558">
            <v>1.44627749481862E-3</v>
          </cell>
          <cell r="H558">
            <v>3.4072988500321274E-6</v>
          </cell>
          <cell r="I558">
            <v>0</v>
          </cell>
          <cell r="J558">
            <v>1.2030182281013769E-4</v>
          </cell>
          <cell r="K558">
            <v>2.2425436671250299E-4</v>
          </cell>
          <cell r="L558">
            <v>2.2756151860309161E-4</v>
          </cell>
          <cell r="M558">
            <v>2.204591422839368E-4</v>
          </cell>
          <cell r="N558">
            <v>1.7670758326636209E-4</v>
          </cell>
          <cell r="O558">
            <v>1.6513197609206376E-4</v>
          </cell>
          <cell r="P558">
            <v>1.1832190591079468E-4</v>
          </cell>
          <cell r="Q558">
            <v>1.0003645245378107E-4</v>
          </cell>
          <cell r="R558">
            <v>5.6749943684656712E-5</v>
          </cell>
          <cell r="S558">
            <v>3.212069834841097E-5</v>
          </cell>
          <cell r="T558">
            <v>1.2247858028493863E-6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</row>
        <row r="559">
          <cell r="B559" t="str">
            <v xml:space="preserve">            GY1-1010</v>
          </cell>
          <cell r="C559" t="str">
            <v>Ensuring inclusion of Deliverables &amp; Milestones</v>
          </cell>
          <cell r="D559">
            <v>2960</v>
          </cell>
          <cell r="E559">
            <v>1</v>
          </cell>
          <cell r="F559">
            <v>3.4072988500321274E-6</v>
          </cell>
          <cell r="G559">
            <v>3.4072988500321274E-6</v>
          </cell>
          <cell r="H559">
            <v>3.4072988500321274E-6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</row>
        <row r="560">
          <cell r="B560" t="str">
            <v xml:space="preserve">            GY1-1470</v>
          </cell>
          <cell r="C560" t="str">
            <v>Ensuring Implementation of Change Management Processes (wrt Schedule)</v>
          </cell>
          <cell r="D560">
            <v>520494</v>
          </cell>
          <cell r="E560">
            <v>1</v>
          </cell>
          <cell r="F560">
            <v>5.9914817825966959E-4</v>
          </cell>
          <cell r="G560">
            <v>5.9914817825966948E-4</v>
          </cell>
          <cell r="H560">
            <v>0</v>
          </cell>
          <cell r="I560">
            <v>0</v>
          </cell>
          <cell r="J560">
            <v>5.7934440480833419E-5</v>
          </cell>
          <cell r="K560">
            <v>1.0799525794334935E-4</v>
          </cell>
          <cell r="L560">
            <v>9.0911567999657871E-5</v>
          </cell>
          <cell r="M560">
            <v>8.6307110094209057E-5</v>
          </cell>
          <cell r="N560">
            <v>6.9719550489829679E-5</v>
          </cell>
          <cell r="O560">
            <v>6.4618962245068738E-5</v>
          </cell>
          <cell r="P560">
            <v>4.6396820084255035E-5</v>
          </cell>
          <cell r="Q560">
            <v>3.9959787932437586E-5</v>
          </cell>
          <cell r="R560">
            <v>2.1985135384041756E-5</v>
          </cell>
          <cell r="S560">
            <v>1.2824566381151327E-5</v>
          </cell>
          <cell r="T560">
            <v>4.9497922483574819E-7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</row>
        <row r="561">
          <cell r="B561" t="str">
            <v xml:space="preserve">            GY1-1480</v>
          </cell>
          <cell r="C561" t="str">
            <v>Monitoring perceived viability of the Contractor Schedule &amp; Prepare alternatives</v>
          </cell>
          <cell r="D561">
            <v>560320</v>
          </cell>
          <cell r="E561">
            <v>1</v>
          </cell>
          <cell r="F561">
            <v>6.449947656242235E-4</v>
          </cell>
          <cell r="G561">
            <v>6.449947656242235E-4</v>
          </cell>
          <cell r="H561">
            <v>0</v>
          </cell>
          <cell r="I561">
            <v>0</v>
          </cell>
          <cell r="J561">
            <v>6.2367382329304264E-5</v>
          </cell>
          <cell r="K561">
            <v>1.1625910876915362E-4</v>
          </cell>
          <cell r="L561">
            <v>9.7868903894791039E-5</v>
          </cell>
          <cell r="M561">
            <v>9.2911053845099012E-5</v>
          </cell>
          <cell r="N561">
            <v>7.5053814973292127E-5</v>
          </cell>
          <cell r="O561">
            <v>6.9562998921044415E-5</v>
          </cell>
          <cell r="P561">
            <v>4.994685712935607E-5</v>
          </cell>
          <cell r="Q561">
            <v>4.3017147981655601E-5</v>
          </cell>
          <cell r="R561">
            <v>2.3668064748483296E-5</v>
          </cell>
          <cell r="S561">
            <v>1.3806467029488289E-5</v>
          </cell>
          <cell r="T561">
            <v>5.3296600255570098E-7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</row>
        <row r="562">
          <cell r="B562" t="str">
            <v xml:space="preserve">            GY1-2020</v>
          </cell>
          <cell r="C562" t="str">
            <v>Maintaining the Program Master Schedule</v>
          </cell>
          <cell r="D562">
            <v>172640</v>
          </cell>
          <cell r="E562">
            <v>1</v>
          </cell>
          <cell r="F562">
            <v>1.9872725208469472E-4</v>
          </cell>
          <cell r="G562">
            <v>1.9872725208469475E-4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3.8781046708642684E-5</v>
          </cell>
          <cell r="M562">
            <v>4.1240978344628718E-5</v>
          </cell>
          <cell r="N562">
            <v>3.1934217803240297E-5</v>
          </cell>
          <cell r="O562">
            <v>3.0950014925950606E-5</v>
          </cell>
          <cell r="P562">
            <v>2.1978228697183578E-5</v>
          </cell>
          <cell r="Q562">
            <v>1.7059516539687878E-5</v>
          </cell>
          <cell r="R562">
            <v>1.1096743552131656E-5</v>
          </cell>
          <cell r="S562">
            <v>5.489664937771356E-6</v>
          </cell>
          <cell r="T562">
            <v>1.9684057545793704E-7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</row>
        <row r="563">
          <cell r="B563" t="str">
            <v xml:space="preserve">          COST MANAGEMENT</v>
          </cell>
          <cell r="D563">
            <v>313738</v>
          </cell>
          <cell r="F563">
            <v>3.6114835358492555E-4</v>
          </cell>
          <cell r="G563">
            <v>3.6114835358492555E-4</v>
          </cell>
          <cell r="H563">
            <v>1.426230836212772E-6</v>
          </cell>
          <cell r="I563">
            <v>3.2089618257549191E-5</v>
          </cell>
          <cell r="J563">
            <v>2.2818542264927989E-5</v>
          </cell>
          <cell r="K563">
            <v>9.9041889546204122E-6</v>
          </cell>
          <cell r="L563">
            <v>1.1096743552131656E-6</v>
          </cell>
          <cell r="M563">
            <v>0</v>
          </cell>
          <cell r="N563">
            <v>1.0799986240125481E-4</v>
          </cell>
          <cell r="O563">
            <v>8.9020286914994758E-5</v>
          </cell>
          <cell r="P563">
            <v>3.654328016659456E-5</v>
          </cell>
          <cell r="Q563">
            <v>3.2296818863294389E-5</v>
          </cell>
          <cell r="R563">
            <v>2.0036298575560542E-5</v>
          </cell>
          <cell r="S563">
            <v>7.8045561497357496E-6</v>
          </cell>
          <cell r="T563">
            <v>9.8995844967149629E-8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</row>
        <row r="564">
          <cell r="B564" t="str">
            <v xml:space="preserve">            GY1-1090</v>
          </cell>
          <cell r="C564" t="str">
            <v>Assuming Responsibility for Cost Management in each Stage of Project</v>
          </cell>
          <cell r="D564">
            <v>58507</v>
          </cell>
          <cell r="E564">
            <v>1</v>
          </cell>
          <cell r="F564">
            <v>6.734825466852354E-5</v>
          </cell>
          <cell r="G564">
            <v>6.734825466852354E-5</v>
          </cell>
          <cell r="H564">
            <v>1.426230836212772E-6</v>
          </cell>
          <cell r="I564">
            <v>3.2089618257549191E-5</v>
          </cell>
          <cell r="J564">
            <v>2.2818542264927989E-5</v>
          </cell>
          <cell r="K564">
            <v>9.9041889546204122E-6</v>
          </cell>
          <cell r="L564">
            <v>1.1096743552131656E-6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</row>
        <row r="565">
          <cell r="B565" t="str">
            <v xml:space="preserve">            GY1-2340</v>
          </cell>
          <cell r="C565" t="str">
            <v>Preparing Costing for Design Submissions (For PPP Projects)</v>
          </cell>
          <cell r="D565">
            <v>172726</v>
          </cell>
          <cell r="E565">
            <v>1</v>
          </cell>
          <cell r="F565">
            <v>1.9882739904413825E-4</v>
          </cell>
          <cell r="G565">
            <v>1.9882739904413825E-4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1.0799986240125481E-4</v>
          </cell>
          <cell r="O565">
            <v>8.9020286914994758E-5</v>
          </cell>
          <cell r="P565">
            <v>1.8072497278886618E-6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</row>
        <row r="566">
          <cell r="B566" t="str">
            <v xml:space="preserve">            GY1-2490</v>
          </cell>
          <cell r="C566" t="str">
            <v>Preparing Cash Flow Estimate</v>
          </cell>
          <cell r="D566">
            <v>27698</v>
          </cell>
          <cell r="E566">
            <v>1</v>
          </cell>
          <cell r="F566">
            <v>3.1883568766280356E-5</v>
          </cell>
          <cell r="G566">
            <v>3.1883568766280356E-5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3.1883568766280356E-5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</row>
        <row r="567">
          <cell r="B567" t="str">
            <v xml:space="preserve">            GY1-2580</v>
          </cell>
          <cell r="C567" t="str">
            <v>Prepare complete life-cycle cost analysis</v>
          </cell>
          <cell r="D567">
            <v>54807</v>
          </cell>
          <cell r="E567">
            <v>1</v>
          </cell>
          <cell r="F567">
            <v>6.3089131105983375E-5</v>
          </cell>
          <cell r="G567">
            <v>6.3089131105983375E-5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2.8524616724255439E-6</v>
          </cell>
          <cell r="Q567">
            <v>3.2296818863294389E-5</v>
          </cell>
          <cell r="R567">
            <v>2.0036298575560542E-5</v>
          </cell>
          <cell r="S567">
            <v>7.8045561497357496E-6</v>
          </cell>
          <cell r="T567">
            <v>9.8995844967149629E-8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</row>
        <row r="568">
          <cell r="B568" t="str">
            <v xml:space="preserve">          DOCUMENT CONTROL</v>
          </cell>
          <cell r="D568">
            <v>183725</v>
          </cell>
          <cell r="F568">
            <v>2.9075770335537665E-4</v>
          </cell>
          <cell r="G568">
            <v>2.9075770335537676E-4</v>
          </cell>
          <cell r="H568">
            <v>0</v>
          </cell>
          <cell r="I568">
            <v>4.4582663669508202E-6</v>
          </cell>
          <cell r="J568">
            <v>7.2433878425091756E-5</v>
          </cell>
          <cell r="K568">
            <v>4.9444971217662157E-5</v>
          </cell>
          <cell r="L568">
            <v>3.4995031195887398E-5</v>
          </cell>
          <cell r="M568">
            <v>3.3183177010093287E-5</v>
          </cell>
          <cell r="N568">
            <v>2.6376637111363567E-5</v>
          </cell>
          <cell r="O568">
            <v>2.4905512810572668E-5</v>
          </cell>
          <cell r="P568">
            <v>1.756715802376361E-5</v>
          </cell>
          <cell r="Q568">
            <v>1.4094245648578838E-5</v>
          </cell>
          <cell r="R568">
            <v>8.7933634849308838E-6</v>
          </cell>
          <cell r="S568">
            <v>4.4847419999071503E-6</v>
          </cell>
          <cell r="T568">
            <v>2.072006057451969E-8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</row>
        <row r="569">
          <cell r="B569" t="str">
            <v xml:space="preserve">            GY1-1390</v>
          </cell>
          <cell r="C569" t="str">
            <v>Implementing Electronic Document Management System (EDMS)</v>
          </cell>
          <cell r="D569">
            <v>17216</v>
          </cell>
          <cell r="E569">
            <v>3</v>
          </cell>
          <cell r="F569">
            <v>5.9452760475155178E-5</v>
          </cell>
          <cell r="G569">
            <v>5.9452760475155171E-5</v>
          </cell>
          <cell r="H569">
            <v>0</v>
          </cell>
          <cell r="I569">
            <v>4.4582663669508202E-6</v>
          </cell>
          <cell r="J569">
            <v>5.4994494108204353E-5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</row>
        <row r="570">
          <cell r="B570" t="str">
            <v xml:space="preserve">            GY1-1510</v>
          </cell>
          <cell r="C570" t="str">
            <v>Implementing Documentation Handling &amp; Control Procedure</v>
          </cell>
          <cell r="D570">
            <v>17216</v>
          </cell>
          <cell r="E570">
            <v>3</v>
          </cell>
          <cell r="F570">
            <v>5.9452760475155165E-5</v>
          </cell>
          <cell r="G570">
            <v>5.9452760475155165E-5</v>
          </cell>
          <cell r="H570">
            <v>0</v>
          </cell>
          <cell r="I570">
            <v>0</v>
          </cell>
          <cell r="J570">
            <v>1.7439384316887406E-5</v>
          </cell>
          <cell r="K570">
            <v>4.2013376158267762E-5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</row>
        <row r="571">
          <cell r="B571" t="str">
            <v xml:space="preserve">            GY1-1710</v>
          </cell>
          <cell r="C571" t="str">
            <v>Training of Program Staff for Documentation Handling &amp; Control</v>
          </cell>
          <cell r="D571">
            <v>149293</v>
          </cell>
          <cell r="E571">
            <v>1</v>
          </cell>
          <cell r="F571">
            <v>1.7185218240506629E-4</v>
          </cell>
          <cell r="G571">
            <v>1.7185218240506635E-4</v>
          </cell>
          <cell r="H571">
            <v>0</v>
          </cell>
          <cell r="I571">
            <v>0</v>
          </cell>
          <cell r="J571">
            <v>0</v>
          </cell>
          <cell r="K571">
            <v>7.4315950593943956E-6</v>
          </cell>
          <cell r="L571">
            <v>3.4995031195887398E-5</v>
          </cell>
          <cell r="M571">
            <v>3.3183177010093287E-5</v>
          </cell>
          <cell r="N571">
            <v>2.6376637111363567E-5</v>
          </cell>
          <cell r="O571">
            <v>2.4905512810572668E-5</v>
          </cell>
          <cell r="P571">
            <v>1.756715802376361E-5</v>
          </cell>
          <cell r="Q571">
            <v>1.4094245648578838E-5</v>
          </cell>
          <cell r="R571">
            <v>8.7933634849308838E-6</v>
          </cell>
          <cell r="S571">
            <v>4.4847419999071503E-6</v>
          </cell>
          <cell r="T571">
            <v>2.072006057451969E-8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</row>
        <row r="572">
          <cell r="B572" t="str">
            <v xml:space="preserve">          RISK MANAGEMENT</v>
          </cell>
          <cell r="D572">
            <v>1190978</v>
          </cell>
          <cell r="F572">
            <v>2.0501958914683339E-3</v>
          </cell>
          <cell r="G572">
            <v>2.0501958914683344E-3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1.2912051081354855E-5</v>
          </cell>
          <cell r="N572">
            <v>3.0191430486027913E-4</v>
          </cell>
          <cell r="O572">
            <v>2.6977864202367547E-4</v>
          </cell>
          <cell r="P572">
            <v>1.9166401365773621E-4</v>
          </cell>
          <cell r="Q572">
            <v>1.3564272543661678E-4</v>
          </cell>
          <cell r="R572">
            <v>7.505853454264521E-4</v>
          </cell>
          <cell r="S572">
            <v>3.694191110975879E-4</v>
          </cell>
          <cell r="T572">
            <v>1.8279697884631814E-5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</row>
        <row r="573">
          <cell r="B573" t="str">
            <v xml:space="preserve">            GY1-2190</v>
          </cell>
          <cell r="C573" t="str">
            <v>Risk Identification</v>
          </cell>
          <cell r="D573">
            <v>866165</v>
          </cell>
          <cell r="E573">
            <v>1</v>
          </cell>
          <cell r="F573">
            <v>9.9705622153274556E-4</v>
          </cell>
          <cell r="G573">
            <v>9.9705622153274578E-4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1.2912051081354855E-5</v>
          </cell>
          <cell r="N573">
            <v>3.0191430486027913E-4</v>
          </cell>
          <cell r="O573">
            <v>2.6977864202367547E-4</v>
          </cell>
          <cell r="P573">
            <v>1.9166401365773621E-4</v>
          </cell>
          <cell r="Q573">
            <v>1.3564272543661678E-4</v>
          </cell>
          <cell r="R573">
            <v>7.0798144754181063E-5</v>
          </cell>
          <cell r="S573">
            <v>1.4346339718902163E-5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</row>
        <row r="574">
          <cell r="B574" t="str">
            <v xml:space="preserve">            GY1-2670</v>
          </cell>
          <cell r="C574" t="str">
            <v>Developing a systematic risk (Internal / External) management Plan/Strategy</v>
          </cell>
          <cell r="D574">
            <v>259850</v>
          </cell>
          <cell r="E574">
            <v>3</v>
          </cell>
          <cell r="F574">
            <v>8.973478367047278E-4</v>
          </cell>
          <cell r="G574">
            <v>8.973478367047278E-4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6.7978720067227107E-4</v>
          </cell>
          <cell r="S574">
            <v>2.1756063603245676E-4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</row>
        <row r="575">
          <cell r="B575" t="str">
            <v xml:space="preserve">            GY1-3620</v>
          </cell>
          <cell r="C575" t="str">
            <v>Conduct Risk Assessment Workshop with various Stakeholders</v>
          </cell>
          <cell r="D575">
            <v>5414</v>
          </cell>
          <cell r="E575">
            <v>3</v>
          </cell>
          <cell r="F575">
            <v>1.8696401325074933E-5</v>
          </cell>
          <cell r="G575">
            <v>1.8696401325074933E-5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1.8696401325074933E-5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</row>
        <row r="576">
          <cell r="B576" t="str">
            <v xml:space="preserve">            GY1-3630</v>
          </cell>
          <cell r="C576" t="str">
            <v>Tracking &amp; Managing Significant Risks (Internal &amp; External) ie Risk identification, Analysis, Evaluation, Treatment</v>
          </cell>
          <cell r="D576">
            <v>59549</v>
          </cell>
          <cell r="E576">
            <v>2</v>
          </cell>
          <cell r="F576">
            <v>1.3709543190578588E-4</v>
          </cell>
          <cell r="G576">
            <v>1.3709543190578588E-4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1.1881573402115407E-4</v>
          </cell>
          <cell r="T576">
            <v>1.8279697884631814E-5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</row>
        <row r="577">
          <cell r="B577" t="str">
            <v xml:space="preserve">          SCOPE &amp; CHANGE MANAGEMENT</v>
          </cell>
          <cell r="D577">
            <v>660171</v>
          </cell>
          <cell r="F577">
            <v>7.5993239497451333E-4</v>
          </cell>
          <cell r="G577">
            <v>7.5993239497451322E-4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5.1339705645754342E-6</v>
          </cell>
          <cell r="Q577">
            <v>8.4791092328840017E-5</v>
          </cell>
          <cell r="R577">
            <v>4.4247228911096256E-4</v>
          </cell>
          <cell r="S577">
            <v>2.2463999006208432E-4</v>
          </cell>
          <cell r="T577">
            <v>2.8950529080509459E-6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</row>
        <row r="578">
          <cell r="B578" t="str">
            <v xml:space="preserve">            GY1-2540</v>
          </cell>
          <cell r="C578" t="str">
            <v>Creating and Implementing Internal Change Management Plan / System</v>
          </cell>
          <cell r="D578">
            <v>81762</v>
          </cell>
          <cell r="E578">
            <v>1</v>
          </cell>
          <cell r="F578">
            <v>9.4117421816326612E-5</v>
          </cell>
          <cell r="G578">
            <v>9.4117421816326612E-5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5.1339705645754342E-6</v>
          </cell>
          <cell r="Q578">
            <v>8.4791092328840017E-5</v>
          </cell>
          <cell r="R578">
            <v>4.1923589229111514E-6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</row>
        <row r="579">
          <cell r="B579" t="str">
            <v xml:space="preserve">            GY1-2760</v>
          </cell>
          <cell r="C579" t="str">
            <v>Reviewing and Updating Internal Change Management Plan / System</v>
          </cell>
          <cell r="D579">
            <v>99745</v>
          </cell>
          <cell r="E579">
            <v>1</v>
          </cell>
          <cell r="F579">
            <v>1.1481791344474814E-4</v>
          </cell>
          <cell r="G579">
            <v>1.1481791344474814E-4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7.5579874288989651E-5</v>
          </cell>
          <cell r="S579">
            <v>3.8738455473017288E-5</v>
          </cell>
          <cell r="T579">
            <v>4.9958368274119697E-7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</row>
        <row r="580">
          <cell r="B580" t="str">
            <v xml:space="preserve">            GY1-2770</v>
          </cell>
          <cell r="C580" t="str">
            <v>Assessing any Change Request</v>
          </cell>
          <cell r="D580">
            <v>99745</v>
          </cell>
          <cell r="E580">
            <v>1</v>
          </cell>
          <cell r="F580">
            <v>1.1481791344474814E-4</v>
          </cell>
          <cell r="G580">
            <v>1.1481791344474814E-4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7.5579874288989651E-5</v>
          </cell>
          <cell r="S580">
            <v>3.8738455473017288E-5</v>
          </cell>
          <cell r="T580">
            <v>4.9958368274119697E-7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</row>
        <row r="581">
          <cell r="B581" t="str">
            <v xml:space="preserve">            GY1-2780</v>
          </cell>
          <cell r="C581" t="str">
            <v>Monitoring Changes &amp; Its Processing</v>
          </cell>
          <cell r="D581">
            <v>169379</v>
          </cell>
          <cell r="E581">
            <v>1</v>
          </cell>
          <cell r="F581">
            <v>1.9497461889175395E-4</v>
          </cell>
          <cell r="G581">
            <v>1.9497461889175392E-4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1.2834465965648042E-4</v>
          </cell>
          <cell r="S581">
            <v>6.5782738980670928E-5</v>
          </cell>
          <cell r="T581">
            <v>8.4722025460258295E-7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</row>
        <row r="582">
          <cell r="B582" t="str">
            <v xml:space="preserve">            GY1-2790</v>
          </cell>
          <cell r="C582" t="str">
            <v>Advising DMICDC on matters affecting the project budget</v>
          </cell>
          <cell r="D582">
            <v>209540</v>
          </cell>
          <cell r="E582">
            <v>1</v>
          </cell>
          <cell r="F582">
            <v>2.4120452737693644E-4</v>
          </cell>
          <cell r="G582">
            <v>2.4120452737693644E-4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1.5877552195359167E-4</v>
          </cell>
          <cell r="S582">
            <v>8.1380340135378803E-5</v>
          </cell>
          <cell r="T582">
            <v>1.0486652879659688E-6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</row>
        <row r="583">
          <cell r="B583" t="str">
            <v xml:space="preserve">          PERFORMANCE MEASUREMENT</v>
          </cell>
          <cell r="D583">
            <v>886621</v>
          </cell>
          <cell r="F583">
            <v>1.0206011170322583E-3</v>
          </cell>
          <cell r="G583">
            <v>1.0206011170322581E-3</v>
          </cell>
          <cell r="H583">
            <v>1.7623562633105359E-6</v>
          </cell>
          <cell r="I583">
            <v>5.9716365690242115E-5</v>
          </cell>
          <cell r="J583">
            <v>6.1790673976646807E-5</v>
          </cell>
          <cell r="K583">
            <v>5.5100396640029663E-5</v>
          </cell>
          <cell r="L583">
            <v>1.6246714607928524E-4</v>
          </cell>
          <cell r="M583">
            <v>1.6011541920407725E-4</v>
          </cell>
          <cell r="N583">
            <v>1.2948656521703171E-4</v>
          </cell>
          <cell r="O583">
            <v>1.2464037327154684E-4</v>
          </cell>
          <cell r="P583">
            <v>9.3782447503705198E-5</v>
          </cell>
          <cell r="Q583">
            <v>7.9264591727825083E-5</v>
          </cell>
          <cell r="R583">
            <v>5.3874459722703922E-5</v>
          </cell>
          <cell r="S583">
            <v>3.785209732621839E-5</v>
          </cell>
          <cell r="T583">
            <v>7.4822440963543323E-7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</row>
        <row r="584">
          <cell r="B584" t="str">
            <v xml:space="preserve">            GY1-1230</v>
          </cell>
          <cell r="C584" t="str">
            <v>Assisting DMICDC in Preparing Program Status Reports</v>
          </cell>
          <cell r="D584">
            <v>239825</v>
          </cell>
          <cell r="E584">
            <v>1</v>
          </cell>
          <cell r="F584">
            <v>2.7606487817908942E-4</v>
          </cell>
          <cell r="G584">
            <v>2.7606487817908947E-4</v>
          </cell>
          <cell r="H584">
            <v>1.7623562633105359E-6</v>
          </cell>
          <cell r="I584">
            <v>4.4053151010381588E-5</v>
          </cell>
          <cell r="J584">
            <v>4.5149011991878401E-5</v>
          </cell>
          <cell r="K584">
            <v>3.5262089754403422E-5</v>
          </cell>
          <cell r="L584">
            <v>3.1189446737033944E-5</v>
          </cell>
          <cell r="M584">
            <v>3.0113154701635282E-5</v>
          </cell>
          <cell r="N584">
            <v>2.3691087038010541E-5</v>
          </cell>
          <cell r="O584">
            <v>2.1870023936405533E-5</v>
          </cell>
          <cell r="P584">
            <v>1.6485110415983139E-5</v>
          </cell>
          <cell r="Q584">
            <v>1.3979134200942618E-5</v>
          </cell>
          <cell r="R584">
            <v>7.4200839146307738E-6</v>
          </cell>
          <cell r="S584">
            <v>4.8945387534920963E-6</v>
          </cell>
          <cell r="T584">
            <v>1.9568946098157487E-7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</row>
        <row r="585">
          <cell r="B585" t="str">
            <v xml:space="preserve">            GY1-1830</v>
          </cell>
          <cell r="C585" t="str">
            <v>Tracking, Analyzing &amp; Reporting Project Cost, Schedule and Budget Information</v>
          </cell>
          <cell r="D585">
            <v>316296</v>
          </cell>
          <cell r="E585">
            <v>1</v>
          </cell>
          <cell r="F585">
            <v>3.6409175330098369E-4</v>
          </cell>
          <cell r="G585">
            <v>3.6409175330098369E-4</v>
          </cell>
          <cell r="H585">
            <v>0</v>
          </cell>
          <cell r="I585">
            <v>0</v>
          </cell>
          <cell r="J585">
            <v>0</v>
          </cell>
          <cell r="K585">
            <v>3.1966449008578435E-6</v>
          </cell>
          <cell r="L585">
            <v>7.5926359746374676E-5</v>
          </cell>
          <cell r="M585">
            <v>7.3174045033392652E-5</v>
          </cell>
          <cell r="N585">
            <v>5.7278305229306954E-5</v>
          </cell>
          <cell r="O585">
            <v>5.5235077033764047E-5</v>
          </cell>
          <cell r="P585">
            <v>3.8717735412442764E-5</v>
          </cell>
          <cell r="Q585">
            <v>3.0636911788380091E-5</v>
          </cell>
          <cell r="R585">
            <v>1.9713986522179122E-5</v>
          </cell>
          <cell r="S585">
            <v>9.8569932610895609E-6</v>
          </cell>
          <cell r="T585">
            <v>3.5569437319592133E-7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</row>
        <row r="586">
          <cell r="B586" t="str">
            <v xml:space="preserve">            GY1-2030</v>
          </cell>
          <cell r="C586" t="str">
            <v>Conducting Program Progress Review meetings</v>
          </cell>
          <cell r="D586">
            <v>172321</v>
          </cell>
          <cell r="E586">
            <v>1</v>
          </cell>
          <cell r="F586">
            <v>1.9836234879568788E-4</v>
          </cell>
          <cell r="G586">
            <v>1.9836234879568788E-4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3.8709677611108234E-5</v>
          </cell>
          <cell r="M586">
            <v>4.116500478918881E-5</v>
          </cell>
          <cell r="N586">
            <v>3.1875510964945819E-5</v>
          </cell>
          <cell r="O586">
            <v>3.0893610316608853E-5</v>
          </cell>
          <cell r="P586">
            <v>2.1937939690510903E-5</v>
          </cell>
          <cell r="Q586">
            <v>1.7027285334349736E-5</v>
          </cell>
          <cell r="R586">
            <v>1.1077174606033498E-5</v>
          </cell>
          <cell r="S586">
            <v>5.4793049074840957E-6</v>
          </cell>
          <cell r="T586">
            <v>1.9684057545793704E-7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</row>
        <row r="587">
          <cell r="B587" t="str">
            <v xml:space="preserve">            MONTHLY PROGRESS REPORT</v>
          </cell>
          <cell r="D587">
            <v>158179</v>
          </cell>
          <cell r="F587">
            <v>1.8208213675649726E-4</v>
          </cell>
          <cell r="G587">
            <v>1.8208213675649724E-4</v>
          </cell>
          <cell r="H587">
            <v>0</v>
          </cell>
          <cell r="I587">
            <v>1.5663214679860527E-5</v>
          </cell>
          <cell r="J587">
            <v>1.6641661984768399E-5</v>
          </cell>
          <cell r="K587">
            <v>1.6641661984768399E-5</v>
          </cell>
          <cell r="L587">
            <v>1.6641661984768399E-5</v>
          </cell>
          <cell r="M587">
            <v>1.5663214679860527E-5</v>
          </cell>
          <cell r="N587">
            <v>1.6641661984768399E-5</v>
          </cell>
          <cell r="O587">
            <v>1.6641661984768399E-5</v>
          </cell>
          <cell r="P587">
            <v>1.6641661984768399E-5</v>
          </cell>
          <cell r="Q587">
            <v>1.7621260404152637E-5</v>
          </cell>
          <cell r="R587">
            <v>1.5663214679860527E-5</v>
          </cell>
          <cell r="S587">
            <v>1.7621260404152637E-5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</row>
        <row r="588">
          <cell r="B588" t="str">
            <v xml:space="preserve">              GY1-1260</v>
          </cell>
          <cell r="C588" t="str">
            <v>Preparation of MPR for D+1 Month</v>
          </cell>
          <cell r="D588">
            <v>12757</v>
          </cell>
          <cell r="E588">
            <v>1</v>
          </cell>
          <cell r="F588">
            <v>1.4684767374952651E-5</v>
          </cell>
          <cell r="G588">
            <v>1.4684767374952651E-5</v>
          </cell>
          <cell r="H588">
            <v>0</v>
          </cell>
          <cell r="I588">
            <v>1.4684767374952651E-5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</row>
        <row r="589">
          <cell r="B589" t="str">
            <v xml:space="preserve">              GY1-1300</v>
          </cell>
          <cell r="C589" t="str">
            <v>Submission of MPR for D+1 Month</v>
          </cell>
          <cell r="D589">
            <v>850</v>
          </cell>
          <cell r="E589">
            <v>1</v>
          </cell>
          <cell r="F589">
            <v>9.7844730490787415E-7</v>
          </cell>
          <cell r="G589">
            <v>9.7844730490787415E-7</v>
          </cell>
          <cell r="H589">
            <v>0</v>
          </cell>
          <cell r="I589">
            <v>9.7844730490787415E-7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</row>
        <row r="590">
          <cell r="B590" t="str">
            <v xml:space="preserve">              GY1-1410</v>
          </cell>
          <cell r="C590" t="str">
            <v>Preparation of MPR for D+2 Month</v>
          </cell>
          <cell r="D590">
            <v>13607</v>
          </cell>
          <cell r="E590">
            <v>1</v>
          </cell>
          <cell r="F590">
            <v>1.5663214679860523E-5</v>
          </cell>
          <cell r="G590">
            <v>1.5663214679860523E-5</v>
          </cell>
          <cell r="H590">
            <v>0</v>
          </cell>
          <cell r="I590">
            <v>0</v>
          </cell>
          <cell r="J590">
            <v>1.5663214679860523E-5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</row>
        <row r="591">
          <cell r="B591" t="str">
            <v xml:space="preserve">              GY1-1450</v>
          </cell>
          <cell r="C591" t="str">
            <v>Submission of MPR for D+2 Month</v>
          </cell>
          <cell r="D591">
            <v>850</v>
          </cell>
          <cell r="E591">
            <v>1</v>
          </cell>
          <cell r="F591">
            <v>9.7844730490787415E-7</v>
          </cell>
          <cell r="G591">
            <v>9.7844730490787415E-7</v>
          </cell>
          <cell r="H591">
            <v>0</v>
          </cell>
          <cell r="I591">
            <v>0</v>
          </cell>
          <cell r="J591">
            <v>9.7844730490787415E-7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</row>
        <row r="592">
          <cell r="B592" t="str">
            <v xml:space="preserve">              GY1-1570</v>
          </cell>
          <cell r="C592" t="str">
            <v>Preparation of MPR for D+3 Month</v>
          </cell>
          <cell r="D592">
            <v>13607</v>
          </cell>
          <cell r="E592">
            <v>1</v>
          </cell>
          <cell r="F592">
            <v>1.5663214679860523E-5</v>
          </cell>
          <cell r="G592">
            <v>1.5663214679860523E-5</v>
          </cell>
          <cell r="H592">
            <v>0</v>
          </cell>
          <cell r="I592">
            <v>0</v>
          </cell>
          <cell r="J592">
            <v>0</v>
          </cell>
          <cell r="K592">
            <v>1.5663214679860523E-5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</row>
        <row r="593">
          <cell r="B593" t="str">
            <v xml:space="preserve">              GY1-1670</v>
          </cell>
          <cell r="C593" t="str">
            <v>Submission of MPR for D+3 Month</v>
          </cell>
          <cell r="D593">
            <v>850</v>
          </cell>
          <cell r="E593">
            <v>1</v>
          </cell>
          <cell r="F593">
            <v>9.7844730490787415E-7</v>
          </cell>
          <cell r="G593">
            <v>9.7844730490787415E-7</v>
          </cell>
          <cell r="H593">
            <v>0</v>
          </cell>
          <cell r="I593">
            <v>0</v>
          </cell>
          <cell r="J593">
            <v>0</v>
          </cell>
          <cell r="K593">
            <v>9.7844730490787415E-7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</row>
        <row r="594">
          <cell r="B594" t="str">
            <v xml:space="preserve">              GY1-1990</v>
          </cell>
          <cell r="C594" t="str">
            <v>Preparation of MPR for D+4 Month</v>
          </cell>
          <cell r="D594">
            <v>13607</v>
          </cell>
          <cell r="E594">
            <v>1</v>
          </cell>
          <cell r="F594">
            <v>1.5663214679860523E-5</v>
          </cell>
          <cell r="G594">
            <v>1.5663214679860523E-5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1.5663214679860523E-5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</row>
        <row r="595">
          <cell r="B595" t="str">
            <v xml:space="preserve">              GY1-2130</v>
          </cell>
          <cell r="C595" t="str">
            <v>Submission of MPR for D+4 Month</v>
          </cell>
          <cell r="D595">
            <v>850</v>
          </cell>
          <cell r="E595">
            <v>1</v>
          </cell>
          <cell r="F595">
            <v>9.7844730490787415E-7</v>
          </cell>
          <cell r="G595">
            <v>9.7844730490787415E-7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9.7844730490787415E-7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</row>
        <row r="596">
          <cell r="B596" t="str">
            <v xml:space="preserve">              GY1-2170</v>
          </cell>
          <cell r="C596" t="str">
            <v>Preparation of MPR for D+5 Month</v>
          </cell>
          <cell r="D596">
            <v>12757</v>
          </cell>
          <cell r="E596">
            <v>1</v>
          </cell>
          <cell r="F596">
            <v>1.4684767374952651E-5</v>
          </cell>
          <cell r="G596">
            <v>1.4684767374952651E-5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1.4684767374952651E-5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</row>
        <row r="597">
          <cell r="B597" t="str">
            <v xml:space="preserve">              GY1-2270</v>
          </cell>
          <cell r="C597" t="str">
            <v>Submission of MPR for D+5 Month</v>
          </cell>
          <cell r="D597">
            <v>850</v>
          </cell>
          <cell r="E597">
            <v>1</v>
          </cell>
          <cell r="F597">
            <v>9.7844730490787415E-7</v>
          </cell>
          <cell r="G597">
            <v>9.7844730490787415E-7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9.7844730490787415E-7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</row>
        <row r="598">
          <cell r="B598" t="str">
            <v xml:space="preserve">              GY1-2300</v>
          </cell>
          <cell r="C598" t="str">
            <v>Preparation of MPR for D+6 Month</v>
          </cell>
          <cell r="D598">
            <v>13607</v>
          </cell>
          <cell r="E598">
            <v>1</v>
          </cell>
          <cell r="F598">
            <v>1.5663214679860523E-5</v>
          </cell>
          <cell r="G598">
            <v>1.5663214679860523E-5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1.5663214679860523E-5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</row>
        <row r="599">
          <cell r="B599" t="str">
            <v xml:space="preserve">              GY1-2350</v>
          </cell>
          <cell r="C599" t="str">
            <v>Submission of MPR for D+6 Month</v>
          </cell>
          <cell r="D599">
            <v>850</v>
          </cell>
          <cell r="E599">
            <v>1</v>
          </cell>
          <cell r="F599">
            <v>9.7844730490787415E-7</v>
          </cell>
          <cell r="G599">
            <v>9.7844730490787415E-7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9.7844730490787415E-7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0</v>
          </cell>
        </row>
        <row r="600">
          <cell r="B600" t="str">
            <v xml:space="preserve">              GY1-2400</v>
          </cell>
          <cell r="C600" t="str">
            <v>Preparation of MPR for D+7 Month</v>
          </cell>
          <cell r="D600">
            <v>13607</v>
          </cell>
          <cell r="E600">
            <v>1</v>
          </cell>
          <cell r="F600">
            <v>1.5663214679860523E-5</v>
          </cell>
          <cell r="G600">
            <v>1.5663214679860523E-5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1.5663214679860523E-5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0</v>
          </cell>
        </row>
        <row r="601">
          <cell r="B601" t="str">
            <v xml:space="preserve">              GY1-2470</v>
          </cell>
          <cell r="C601" t="str">
            <v>Submission of MPR for D+7 Month</v>
          </cell>
          <cell r="D601">
            <v>850</v>
          </cell>
          <cell r="E601">
            <v>1</v>
          </cell>
          <cell r="F601">
            <v>9.7844730490787415E-7</v>
          </cell>
          <cell r="G601">
            <v>9.7844730490787415E-7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9.7844730490787415E-7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0</v>
          </cell>
        </row>
        <row r="602">
          <cell r="B602" t="str">
            <v xml:space="preserve">              GY1-2500</v>
          </cell>
          <cell r="C602" t="str">
            <v>Preparation of MPR for D+8 Month</v>
          </cell>
          <cell r="D602">
            <v>13607</v>
          </cell>
          <cell r="E602">
            <v>1</v>
          </cell>
          <cell r="F602">
            <v>1.5663214679860523E-5</v>
          </cell>
          <cell r="G602">
            <v>1.5663214679860523E-5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1.5663214679860523E-5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</row>
        <row r="603">
          <cell r="B603" t="str">
            <v xml:space="preserve">              GY1-2560</v>
          </cell>
          <cell r="C603" t="str">
            <v>Submission of MPR for D+8 Month</v>
          </cell>
          <cell r="D603">
            <v>850</v>
          </cell>
          <cell r="E603">
            <v>1</v>
          </cell>
          <cell r="F603">
            <v>9.7844730490787415E-7</v>
          </cell>
          <cell r="G603">
            <v>9.7844730490787415E-7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9.7844730490787415E-7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</row>
        <row r="604">
          <cell r="B604" t="str">
            <v xml:space="preserve">              GY1-2610</v>
          </cell>
          <cell r="C604" t="str">
            <v>Preparation of MPR for D+9 Month</v>
          </cell>
          <cell r="D604">
            <v>14458</v>
          </cell>
          <cell r="E604">
            <v>1</v>
          </cell>
          <cell r="F604">
            <v>1.6642813099244762E-5</v>
          </cell>
          <cell r="G604">
            <v>1.6642813099244762E-5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1.6642813099244762E-5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0</v>
          </cell>
        </row>
        <row r="605">
          <cell r="B605" t="str">
            <v xml:space="preserve">              GY1-2660</v>
          </cell>
          <cell r="C605" t="str">
            <v>Submission of MPR for D+9 Month</v>
          </cell>
          <cell r="D605">
            <v>850</v>
          </cell>
          <cell r="E605">
            <v>1</v>
          </cell>
          <cell r="F605">
            <v>9.7844730490787415E-7</v>
          </cell>
          <cell r="G605">
            <v>9.7844730490787415E-7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9.7844730490787415E-7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0</v>
          </cell>
        </row>
        <row r="606">
          <cell r="B606" t="str">
            <v xml:space="preserve">              GY1-2740</v>
          </cell>
          <cell r="C606" t="str">
            <v>Preparation of MPR for D+10 Month</v>
          </cell>
          <cell r="D606">
            <v>12757</v>
          </cell>
          <cell r="E606">
            <v>1</v>
          </cell>
          <cell r="F606">
            <v>1.4684767374952651E-5</v>
          </cell>
          <cell r="G606">
            <v>1.4684767374952651E-5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1.4684767374952651E-5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0</v>
          </cell>
        </row>
        <row r="607">
          <cell r="B607" t="str">
            <v xml:space="preserve">              GY1-2830</v>
          </cell>
          <cell r="C607" t="str">
            <v>Submission of MPR for D+10 Month</v>
          </cell>
          <cell r="D607">
            <v>850</v>
          </cell>
          <cell r="E607">
            <v>1</v>
          </cell>
          <cell r="F607">
            <v>9.7844730490787415E-7</v>
          </cell>
          <cell r="G607">
            <v>9.7844730490787415E-7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9.7844730490787415E-7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0</v>
          </cell>
        </row>
        <row r="608">
          <cell r="B608" t="str">
            <v xml:space="preserve">              GY1-3060</v>
          </cell>
          <cell r="C608" t="str">
            <v>Preparation of MPR for D+11 Month</v>
          </cell>
          <cell r="D608">
            <v>14458</v>
          </cell>
          <cell r="E608">
            <v>1</v>
          </cell>
          <cell r="F608">
            <v>1.6642813099244762E-5</v>
          </cell>
          <cell r="G608">
            <v>1.6642813099244762E-5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1.6642813099244762E-5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</row>
        <row r="609">
          <cell r="B609" t="str">
            <v xml:space="preserve">              GY1-3640</v>
          </cell>
          <cell r="C609" t="str">
            <v>Submission of MPR for D+11 Month</v>
          </cell>
          <cell r="D609">
            <v>850</v>
          </cell>
          <cell r="E609">
            <v>1</v>
          </cell>
          <cell r="F609">
            <v>9.7844730490787415E-7</v>
          </cell>
          <cell r="G609">
            <v>9.7844730490787415E-7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9.7844730490787415E-7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0</v>
          </cell>
        </row>
        <row r="610">
          <cell r="B610" t="str">
            <v xml:space="preserve">              GY1-3660</v>
          </cell>
          <cell r="C610" t="str">
            <v>Preparation of MPR for D+12 Month</v>
          </cell>
          <cell r="D610">
            <v>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0</v>
          </cell>
        </row>
        <row r="611">
          <cell r="B611" t="str">
            <v xml:space="preserve">              GY1-3690</v>
          </cell>
          <cell r="C611" t="str">
            <v>Submission of MPR for D+12 Month</v>
          </cell>
          <cell r="D611">
            <v>0</v>
          </cell>
          <cell r="E611">
            <v>1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0</v>
          </cell>
        </row>
        <row r="612">
          <cell r="B612" t="str">
            <v xml:space="preserve">          INTERFACE MANAGEMENT</v>
          </cell>
          <cell r="D612">
            <v>3902621</v>
          </cell>
          <cell r="F612">
            <v>4.4923623777406683E-3</v>
          </cell>
          <cell r="G612">
            <v>4.4923623777406675E-3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7.1301181780351343E-4</v>
          </cell>
          <cell r="N612">
            <v>1.0484914696800381E-3</v>
          </cell>
          <cell r="O612">
            <v>9.6482616730908034E-4</v>
          </cell>
          <cell r="P612">
            <v>7.0817023031593401E-4</v>
          </cell>
          <cell r="Q612">
            <v>5.3929022548883485E-4</v>
          </cell>
          <cell r="R612">
            <v>3.5610877440741179E-4</v>
          </cell>
          <cell r="S612">
            <v>1.5714669496953915E-4</v>
          </cell>
          <cell r="T612">
            <v>5.3169977663170248E-6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0</v>
          </cell>
        </row>
        <row r="613">
          <cell r="B613" t="str">
            <v xml:space="preserve">            GY1-2220</v>
          </cell>
          <cell r="C613" t="str">
            <v>Coordinating with the DMICDC regarding interface issues</v>
          </cell>
          <cell r="D613">
            <v>1251691</v>
          </cell>
          <cell r="E613">
            <v>1</v>
          </cell>
          <cell r="F613">
            <v>1.4408384789178085E-3</v>
          </cell>
          <cell r="G613">
            <v>1.4408384789178085E-3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1.1276087187548888E-4</v>
          </cell>
          <cell r="N613">
            <v>3.7327534459340129E-4</v>
          </cell>
          <cell r="O613">
            <v>3.3282518189403344E-4</v>
          </cell>
          <cell r="P613">
            <v>2.5308633100194712E-4</v>
          </cell>
          <cell r="Q613">
            <v>1.8721956066450175E-4</v>
          </cell>
          <cell r="R613">
            <v>1.2627495582798117E-4</v>
          </cell>
          <cell r="S613">
            <v>5.3606250049711522E-5</v>
          </cell>
          <cell r="T613">
            <v>1.7899830107432289E-6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</row>
        <row r="614">
          <cell r="B614" t="str">
            <v xml:space="preserve">            GY1-2230</v>
          </cell>
          <cell r="C614" t="str">
            <v>Managing External interfaces with major stakeholders (Meetings)</v>
          </cell>
          <cell r="D614">
            <v>1325465</v>
          </cell>
          <cell r="E614">
            <v>1</v>
          </cell>
          <cell r="F614">
            <v>1.5257619494114302E-3</v>
          </cell>
          <cell r="G614">
            <v>1.5257619494114299E-3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3.0012547296401229E-4</v>
          </cell>
          <cell r="N614">
            <v>3.3760806254331838E-4</v>
          </cell>
          <cell r="O614">
            <v>3.1600049270752342E-4</v>
          </cell>
          <cell r="P614">
            <v>2.2754194965699345E-4</v>
          </cell>
          <cell r="Q614">
            <v>1.7603533241216656E-4</v>
          </cell>
          <cell r="R614">
            <v>1.149169092897153E-4</v>
          </cell>
          <cell r="S614">
            <v>5.1770222459913813E-5</v>
          </cell>
          <cell r="T614">
            <v>1.763507377786898E-6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0</v>
          </cell>
        </row>
        <row r="615">
          <cell r="B615" t="str">
            <v xml:space="preserve">            GY1-2240</v>
          </cell>
          <cell r="C615" t="str">
            <v>Managing interface between DMICDC / SPV / GOI &amp; PPP Concessionaire</v>
          </cell>
          <cell r="D615">
            <v>1325465</v>
          </cell>
          <cell r="E615">
            <v>1</v>
          </cell>
          <cell r="F615">
            <v>1.5257619494114302E-3</v>
          </cell>
          <cell r="G615">
            <v>1.5257619494114299E-3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3.0012547296401229E-4</v>
          </cell>
          <cell r="N615">
            <v>3.3760806254331838E-4</v>
          </cell>
          <cell r="O615">
            <v>3.1600049270752342E-4</v>
          </cell>
          <cell r="P615">
            <v>2.2754194965699345E-4</v>
          </cell>
          <cell r="Q615">
            <v>1.7603533241216656E-4</v>
          </cell>
          <cell r="R615">
            <v>1.149169092897153E-4</v>
          </cell>
          <cell r="S615">
            <v>5.1770222459913813E-5</v>
          </cell>
          <cell r="T615">
            <v>1.763507377786898E-6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0</v>
          </cell>
        </row>
        <row r="616">
          <cell r="B616" t="str">
            <v xml:space="preserve">          STAKEHOLDER MANAGEMENT</v>
          </cell>
          <cell r="D616">
            <v>931952</v>
          </cell>
          <cell r="F616">
            <v>1.0727834384747096E-3</v>
          </cell>
          <cell r="G616">
            <v>1.0727834384747098E-3</v>
          </cell>
          <cell r="H616">
            <v>0</v>
          </cell>
          <cell r="I616">
            <v>2.6095765179131187E-6</v>
          </cell>
          <cell r="J616">
            <v>2.8208060243255834E-5</v>
          </cell>
          <cell r="K616">
            <v>1.1218761686626049E-5</v>
          </cell>
          <cell r="L616">
            <v>1.7774473740956445E-4</v>
          </cell>
          <cell r="M616">
            <v>2.2116937991585226E-4</v>
          </cell>
          <cell r="N616">
            <v>1.6909986769208425E-4</v>
          </cell>
          <cell r="O616">
            <v>1.6470030816342795E-4</v>
          </cell>
          <cell r="P616">
            <v>1.1842665732814367E-4</v>
          </cell>
          <cell r="Q616">
            <v>9.0217445970411459E-5</v>
          </cell>
          <cell r="R616">
            <v>5.9316928966944425E-5</v>
          </cell>
          <cell r="S616">
            <v>2.903686266623662E-5</v>
          </cell>
          <cell r="T616">
            <v>1.0348519142496224E-6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</row>
        <row r="617">
          <cell r="B617" t="str">
            <v xml:space="preserve">            GY1-1330</v>
          </cell>
          <cell r="C617" t="str">
            <v>Preparation of engagement strategy with private sector providers</v>
          </cell>
          <cell r="D617">
            <v>37147</v>
          </cell>
          <cell r="E617">
            <v>1</v>
          </cell>
          <cell r="F617">
            <v>4.2761600567903195E-5</v>
          </cell>
          <cell r="G617">
            <v>4.2761600567903195E-5</v>
          </cell>
          <cell r="H617">
            <v>0</v>
          </cell>
          <cell r="I617">
            <v>2.6095765179131187E-6</v>
          </cell>
          <cell r="J617">
            <v>2.8208060243255834E-5</v>
          </cell>
          <cell r="K617">
            <v>1.1218761686626049E-5</v>
          </cell>
          <cell r="L617">
            <v>7.2520212010818911E-7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</row>
        <row r="618">
          <cell r="B618" t="str">
            <v xml:space="preserve">            GY1-2010</v>
          </cell>
          <cell r="C618" t="str">
            <v>Implementation of stakeholder management and Coordination strategy</v>
          </cell>
          <cell r="D618">
            <v>769512</v>
          </cell>
          <cell r="E618">
            <v>1</v>
          </cell>
          <cell r="F618">
            <v>8.8579525181995669E-4</v>
          </cell>
          <cell r="G618">
            <v>8.857952518199568E-4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1.522325872699489E-4</v>
          </cell>
          <cell r="M618">
            <v>1.9020094715827986E-4</v>
          </cell>
          <cell r="N618">
            <v>1.4542144291331371E-4</v>
          </cell>
          <cell r="O618">
            <v>1.4163888074398754E-4</v>
          </cell>
          <cell r="P618">
            <v>1.0184370218166974E-4</v>
          </cell>
          <cell r="Q618">
            <v>7.7585115706812617E-5</v>
          </cell>
          <cell r="R618">
            <v>5.1011638019991111E-5</v>
          </cell>
          <cell r="S618">
            <v>2.4971126335725313E-5</v>
          </cell>
          <cell r="T618">
            <v>8.8981149022798453E-7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</row>
        <row r="619">
          <cell r="B619" t="str">
            <v xml:space="preserve">            GY1-2040</v>
          </cell>
          <cell r="C619" t="str">
            <v>Initiation of Contacts with all governments and non governmental activity</v>
          </cell>
          <cell r="D619">
            <v>125293</v>
          </cell>
          <cell r="E619">
            <v>1</v>
          </cell>
          <cell r="F619">
            <v>1.4422658608684974E-4</v>
          </cell>
          <cell r="G619">
            <v>1.4422658608684974E-4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2.4786948019507361E-5</v>
          </cell>
          <cell r="M619">
            <v>3.0968432757572404E-5</v>
          </cell>
          <cell r="N619">
            <v>2.3678424778770558E-5</v>
          </cell>
          <cell r="O619">
            <v>2.3061427419440415E-5</v>
          </cell>
          <cell r="P619">
            <v>1.6582955146473925E-5</v>
          </cell>
          <cell r="Q619">
            <v>1.2632330263598838E-5</v>
          </cell>
          <cell r="R619">
            <v>8.3052909469533101E-6</v>
          </cell>
          <cell r="S619">
            <v>4.0657363305113082E-6</v>
          </cell>
          <cell r="T619">
            <v>1.4504042402163784E-7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0</v>
          </cell>
        </row>
        <row r="620">
          <cell r="B620" t="str">
            <v xml:space="preserve">          COMMUNICATIONS</v>
          </cell>
          <cell r="D620">
            <v>767140</v>
          </cell>
          <cell r="F620">
            <v>8.8306595939650206E-4</v>
          </cell>
          <cell r="G620">
            <v>8.8306595939650196E-4</v>
          </cell>
          <cell r="H620">
            <v>3.2484450522941424E-6</v>
          </cell>
          <cell r="I620">
            <v>5.4440808045074124E-5</v>
          </cell>
          <cell r="J620">
            <v>1.4977035340501014E-4</v>
          </cell>
          <cell r="K620">
            <v>1.3730033028257836E-4</v>
          </cell>
          <cell r="L620">
            <v>1.1000625493355412E-4</v>
          </cell>
          <cell r="M620">
            <v>1.1016050427338665E-4</v>
          </cell>
          <cell r="N620">
            <v>8.6546541905292376E-5</v>
          </cell>
          <cell r="O620">
            <v>8.0356999365892816E-5</v>
          </cell>
          <cell r="P620">
            <v>5.7398021134848627E-5</v>
          </cell>
          <cell r="Q620">
            <v>5.1123296124198247E-5</v>
          </cell>
          <cell r="R620">
            <v>2.5984107074924052E-5</v>
          </cell>
          <cell r="S620">
            <v>1.6312443244528807E-5</v>
          </cell>
          <cell r="T620">
            <v>4.1785455491948047E-7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0</v>
          </cell>
        </row>
        <row r="621">
          <cell r="B621" t="str">
            <v xml:space="preserve">            GY1-1070</v>
          </cell>
          <cell r="C621" t="str">
            <v>Developing a Program Communication Plan, Procedure and Flow Chart</v>
          </cell>
          <cell r="D621">
            <v>45857</v>
          </cell>
          <cell r="E621">
            <v>1</v>
          </cell>
          <cell r="F621">
            <v>5.2786656542541639E-5</v>
          </cell>
          <cell r="G621">
            <v>5.2786656542541639E-5</v>
          </cell>
          <cell r="H621">
            <v>3.2484450522941424E-6</v>
          </cell>
          <cell r="I621">
            <v>4.8306519000539934E-5</v>
          </cell>
          <cell r="J621">
            <v>1.2316924897075594E-6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0</v>
          </cell>
        </row>
        <row r="622">
          <cell r="B622" t="str">
            <v xml:space="preserve">            GY1-1360</v>
          </cell>
          <cell r="C622" t="str">
            <v>Scheduling Status Review Meeting and its Documentation</v>
          </cell>
          <cell r="D622">
            <v>219414</v>
          </cell>
          <cell r="E622">
            <v>1</v>
          </cell>
          <cell r="F622">
            <v>2.5257178283101317E-4</v>
          </cell>
          <cell r="G622">
            <v>2.5257178283101322E-4</v>
          </cell>
          <cell r="H622">
            <v>0</v>
          </cell>
          <cell r="I622">
            <v>3.5247125266210719E-6</v>
          </cell>
          <cell r="J622">
            <v>4.7263609284955779E-5</v>
          </cell>
          <cell r="K622">
            <v>4.0900248459625505E-5</v>
          </cell>
          <cell r="L622">
            <v>3.2834389323755537E-5</v>
          </cell>
          <cell r="M622">
            <v>3.2932234054246324E-5</v>
          </cell>
          <cell r="N622">
            <v>2.5844822223284225E-5</v>
          </cell>
          <cell r="O622">
            <v>2.3945483337286592E-5</v>
          </cell>
          <cell r="P622">
            <v>1.7132036751698698E-5</v>
          </cell>
          <cell r="Q622">
            <v>1.5330542596191848E-5</v>
          </cell>
          <cell r="R622">
            <v>7.7539071127758127E-6</v>
          </cell>
          <cell r="S622">
            <v>4.9141076995902534E-6</v>
          </cell>
          <cell r="T622">
            <v>1.9568946098157487E-7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</row>
        <row r="623">
          <cell r="B623" t="str">
            <v xml:space="preserve">            GY1-1380</v>
          </cell>
          <cell r="C623" t="str">
            <v>Providing DMICDC with responses to public queries</v>
          </cell>
          <cell r="D623">
            <v>162441</v>
          </cell>
          <cell r="E623">
            <v>1</v>
          </cell>
          <cell r="F623">
            <v>1.8698818665475298E-4</v>
          </cell>
          <cell r="G623">
            <v>1.8698818665475295E-4</v>
          </cell>
          <cell r="H623">
            <v>0</v>
          </cell>
          <cell r="I623">
            <v>2.6095765179131187E-6</v>
          </cell>
          <cell r="J623">
            <v>3.4991577852458311E-5</v>
          </cell>
          <cell r="K623">
            <v>3.0280066300707801E-5</v>
          </cell>
          <cell r="L623">
            <v>2.4308084397340684E-5</v>
          </cell>
          <cell r="M623">
            <v>2.4380604609351504E-5</v>
          </cell>
          <cell r="N623">
            <v>1.913382482609257E-5</v>
          </cell>
          <cell r="O623">
            <v>1.7727162935977957E-5</v>
          </cell>
          <cell r="P623">
            <v>1.2682979300558773E-5</v>
          </cell>
          <cell r="Q623">
            <v>1.1349988736931341E-5</v>
          </cell>
          <cell r="R623">
            <v>5.7406078936183166E-6</v>
          </cell>
          <cell r="S623">
            <v>3.63867285978093E-6</v>
          </cell>
          <cell r="T623">
            <v>1.4504042402163784E-7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</row>
        <row r="624">
          <cell r="B624" t="str">
            <v xml:space="preserve">            GY1-1430</v>
          </cell>
          <cell r="C624" t="str">
            <v>Delivery &amp; Distribution of information / communication to various Stakeholders</v>
          </cell>
          <cell r="D624">
            <v>339428</v>
          </cell>
          <cell r="E624">
            <v>1</v>
          </cell>
          <cell r="F624">
            <v>3.907193333681942E-4</v>
          </cell>
          <cell r="G624">
            <v>3.907193333681942E-4</v>
          </cell>
          <cell r="H624">
            <v>0</v>
          </cell>
          <cell r="I624">
            <v>0</v>
          </cell>
          <cell r="J624">
            <v>6.6283473777888492E-5</v>
          </cell>
          <cell r="K624">
            <v>6.6120015522245053E-5</v>
          </cell>
          <cell r="L624">
            <v>5.2863781212457901E-5</v>
          </cell>
          <cell r="M624">
            <v>5.2847665609788834E-5</v>
          </cell>
          <cell r="N624">
            <v>4.1567894855915588E-5</v>
          </cell>
          <cell r="O624">
            <v>3.868435309262826E-5</v>
          </cell>
          <cell r="P624">
            <v>2.7583005082591157E-5</v>
          </cell>
          <cell r="Q624">
            <v>2.4442764791075058E-5</v>
          </cell>
          <cell r="R624">
            <v>1.2489592068529924E-5</v>
          </cell>
          <cell r="S624">
            <v>7.7596626851576249E-6</v>
          </cell>
          <cell r="T624">
            <v>7.7124669916267741E-8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0</v>
          </cell>
        </row>
        <row r="625">
          <cell r="B625" t="str">
            <v xml:space="preserve">          DELIVERY SYSTEMS</v>
          </cell>
          <cell r="D625">
            <v>143275552</v>
          </cell>
          <cell r="F625">
            <v>5.5577891587083948E-2</v>
          </cell>
          <cell r="G625">
            <v>5.5577891587083955E-2</v>
          </cell>
          <cell r="H625">
            <v>1.2071046844924626E-4</v>
          </cell>
          <cell r="I625">
            <v>1.7791579302075186E-3</v>
          </cell>
          <cell r="J625">
            <v>2.373000621845635E-3</v>
          </cell>
          <cell r="K625">
            <v>2.4689114800161339E-3</v>
          </cell>
          <cell r="L625">
            <v>9.4245667480138129E-3</v>
          </cell>
          <cell r="M625">
            <v>7.858420249428167E-3</v>
          </cell>
          <cell r="N625">
            <v>6.5739572187807349E-3</v>
          </cell>
          <cell r="O625">
            <v>6.219465760212612E-3</v>
          </cell>
          <cell r="P625">
            <v>4.700554093050013E-3</v>
          </cell>
          <cell r="Q625">
            <v>3.7016894706749025E-3</v>
          </cell>
          <cell r="R625">
            <v>7.8507181424668279E-3</v>
          </cell>
          <cell r="S625">
            <v>2.4819294336293138E-3</v>
          </cell>
          <cell r="T625">
            <v>2.4809970309034603E-5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0</v>
          </cell>
        </row>
        <row r="626">
          <cell r="B626" t="str">
            <v xml:space="preserve">            PLANNING (REVIEW OF EXISTING MASTER PLAN) (D+5 MONTH)</v>
          </cell>
          <cell r="D626">
            <v>1905572</v>
          </cell>
          <cell r="F626">
            <v>3.3722520186848029E-3</v>
          </cell>
          <cell r="G626">
            <v>3.3722520186848029E-3</v>
          </cell>
          <cell r="H626">
            <v>1.1336520697557903E-4</v>
          </cell>
          <cell r="I626">
            <v>1.3440757960348014E-3</v>
          </cell>
          <cell r="J626">
            <v>0</v>
          </cell>
          <cell r="K626">
            <v>0</v>
          </cell>
          <cell r="L626">
            <v>1.9148110156744227E-3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0</v>
          </cell>
        </row>
        <row r="627">
          <cell r="B627" t="str">
            <v xml:space="preserve">              GY1-1040</v>
          </cell>
          <cell r="C627" t="str">
            <v>Providing input for Implementation of Environmental Clearances</v>
          </cell>
          <cell r="D627">
            <v>33567</v>
          </cell>
          <cell r="E627">
            <v>1</v>
          </cell>
          <cell r="F627">
            <v>3.8639459628050132E-5</v>
          </cell>
          <cell r="G627">
            <v>3.8639459628050132E-5</v>
          </cell>
          <cell r="H627">
            <v>6.9550336661804428E-6</v>
          </cell>
          <cell r="I627">
            <v>3.1684425961869689E-5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0</v>
          </cell>
        </row>
        <row r="628">
          <cell r="B628" t="str">
            <v xml:space="preserve">              GY1-1050</v>
          </cell>
          <cell r="C628" t="str">
            <v>Providing input for Obtaining Approval from Govt. Agencies, Implementation Authority, etc..</v>
          </cell>
          <cell r="D628">
            <v>1232546</v>
          </cell>
          <cell r="E628">
            <v>1</v>
          </cell>
          <cell r="F628">
            <v>1.4188015433823304E-3</v>
          </cell>
          <cell r="G628">
            <v>1.4188015433823304E-3</v>
          </cell>
          <cell r="H628">
            <v>1.0641017330939859E-4</v>
          </cell>
          <cell r="I628">
            <v>1.3123913700729317E-3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</row>
        <row r="629">
          <cell r="B629" t="str">
            <v xml:space="preserve">              GY1-1730</v>
          </cell>
          <cell r="C629" t="str">
            <v>Providing input for Final Site Layout wrt approved Zonal Controls</v>
          </cell>
          <cell r="D629">
            <v>72809</v>
          </cell>
          <cell r="E629">
            <v>3</v>
          </cell>
          <cell r="F629">
            <v>2.5143448172836735E-4</v>
          </cell>
          <cell r="G629">
            <v>2.5143448172836735E-4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2.5143448172836735E-4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0</v>
          </cell>
        </row>
        <row r="630">
          <cell r="B630" t="str">
            <v xml:space="preserve">              GY1-1740</v>
          </cell>
          <cell r="C630" t="str">
            <v>Providing input for Site Layout and Land use and Mix</v>
          </cell>
          <cell r="D630">
            <v>72809</v>
          </cell>
          <cell r="E630">
            <v>3</v>
          </cell>
          <cell r="F630">
            <v>2.5143448172836735E-4</v>
          </cell>
          <cell r="G630">
            <v>2.5143448172836735E-4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2.5143448172836735E-4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0</v>
          </cell>
        </row>
        <row r="631">
          <cell r="B631" t="str">
            <v xml:space="preserve">              GY1-1750</v>
          </cell>
          <cell r="C631" t="str">
            <v>Providing input for Transportation &amp; its Connectivity</v>
          </cell>
          <cell r="D631">
            <v>43518</v>
          </cell>
          <cell r="E631">
            <v>3</v>
          </cell>
          <cell r="F631">
            <v>1.5028259934699132E-4</v>
          </cell>
          <cell r="G631">
            <v>1.5028259934699132E-4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1.5028259934699132E-4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0</v>
          </cell>
        </row>
        <row r="632">
          <cell r="B632" t="str">
            <v xml:space="preserve">              GY1-1760</v>
          </cell>
          <cell r="C632" t="str">
            <v>Providing input for Trunk Infrastructure for entire site &amp; MEP for ECC &amp; Arena</v>
          </cell>
          <cell r="D632">
            <v>322855</v>
          </cell>
          <cell r="E632">
            <v>3</v>
          </cell>
          <cell r="F632">
            <v>1.1149291927977591E-3</v>
          </cell>
          <cell r="G632">
            <v>1.1149291927977591E-3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1.1149291927977591E-3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0</v>
          </cell>
        </row>
        <row r="633">
          <cell r="B633" t="str">
            <v xml:space="preserve">              GY1-1770</v>
          </cell>
          <cell r="C633" t="str">
            <v>Providing input for Project Phasing</v>
          </cell>
          <cell r="D633">
            <v>69734</v>
          </cell>
          <cell r="E633">
            <v>1</v>
          </cell>
          <cell r="F633">
            <v>8.0271816894642009E-5</v>
          </cell>
          <cell r="G633">
            <v>8.0271816894642009E-5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8.0271816894642009E-5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0</v>
          </cell>
        </row>
        <row r="634">
          <cell r="B634" t="str">
            <v xml:space="preserve">              GY1-1780</v>
          </cell>
          <cell r="C634" t="str">
            <v>Providing input for Utility Capacity viz. Power, Water &amp; Waste Water Facilities</v>
          </cell>
          <cell r="D634">
            <v>57734</v>
          </cell>
          <cell r="E634">
            <v>1</v>
          </cell>
          <cell r="F634">
            <v>6.6458443178295541E-5</v>
          </cell>
          <cell r="G634">
            <v>6.6458443178295541E-5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6.6458443178295541E-5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0</v>
          </cell>
        </row>
        <row r="635">
          <cell r="B635" t="str">
            <v xml:space="preserve">            SITE CONTROL/MAPPING</v>
          </cell>
          <cell r="D635">
            <v>618186</v>
          </cell>
          <cell r="F635">
            <v>7.1160285368444603E-4</v>
          </cell>
          <cell r="G635">
            <v>7.1160285368444614E-4</v>
          </cell>
          <cell r="H635">
            <v>7.34526147366723E-6</v>
          </cell>
          <cell r="I635">
            <v>2.6805542365256123E-4</v>
          </cell>
          <cell r="J635">
            <v>9.2355065553016079E-5</v>
          </cell>
          <cell r="K635">
            <v>3.2815050600552652E-4</v>
          </cell>
          <cell r="L635">
            <v>1.5696596999675027E-5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0</v>
          </cell>
        </row>
        <row r="636">
          <cell r="B636" t="str">
            <v xml:space="preserve">              GY1-1080</v>
          </cell>
          <cell r="C636" t="str">
            <v>Determining Appropriate Technique, Equipment &amp; Materials as per Current Best Practices</v>
          </cell>
          <cell r="D636">
            <v>207370</v>
          </cell>
          <cell r="E636">
            <v>1</v>
          </cell>
          <cell r="F636">
            <v>2.3870660896323042E-4</v>
          </cell>
          <cell r="G636">
            <v>2.3870660896323044E-4</v>
          </cell>
          <cell r="H636">
            <v>7.34526147366723E-6</v>
          </cell>
          <cell r="I636">
            <v>1.5232352531358151E-4</v>
          </cell>
          <cell r="J636">
            <v>7.4549626832645489E-5</v>
          </cell>
          <cell r="K636">
            <v>4.4881953433362376E-6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0</v>
          </cell>
        </row>
        <row r="637">
          <cell r="B637" t="str">
            <v xml:space="preserve">              GY1-1290</v>
          </cell>
          <cell r="C637" t="str">
            <v>Identifying Stakeholder Requirements</v>
          </cell>
          <cell r="D637">
            <v>116007</v>
          </cell>
          <cell r="E637">
            <v>1</v>
          </cell>
          <cell r="F637">
            <v>1.3353733705935035E-4</v>
          </cell>
          <cell r="G637">
            <v>1.3353733705935033E-4</v>
          </cell>
          <cell r="H637">
            <v>0</v>
          </cell>
          <cell r="I637">
            <v>1.1573189833897974E-4</v>
          </cell>
          <cell r="J637">
            <v>1.7805438720370589E-5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0</v>
          </cell>
        </row>
        <row r="638">
          <cell r="B638" t="str">
            <v xml:space="preserve">              GY1-1620</v>
          </cell>
          <cell r="C638" t="str">
            <v>Providing a System to coordinate site Control &amp; Mapping Information</v>
          </cell>
          <cell r="D638">
            <v>85075</v>
          </cell>
          <cell r="E638">
            <v>1</v>
          </cell>
          <cell r="F638">
            <v>9.7931064076514597E-5</v>
          </cell>
          <cell r="G638">
            <v>9.7931064076514597E-5</v>
          </cell>
          <cell r="H638">
            <v>0</v>
          </cell>
          <cell r="I638">
            <v>0</v>
          </cell>
          <cell r="J638">
            <v>0</v>
          </cell>
          <cell r="K638">
            <v>9.3401428612029314E-5</v>
          </cell>
          <cell r="L638">
            <v>4.5296354644852767E-6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0</v>
          </cell>
        </row>
        <row r="639">
          <cell r="B639" t="str">
            <v xml:space="preserve">              GY1-1630</v>
          </cell>
          <cell r="C639" t="str">
            <v>Providing the Standards, Means and Method for Site Control &amp; Mapping</v>
          </cell>
          <cell r="D639">
            <v>85075</v>
          </cell>
          <cell r="E639">
            <v>1</v>
          </cell>
          <cell r="F639">
            <v>9.7931064076514597E-5</v>
          </cell>
          <cell r="G639">
            <v>9.7931064076514597E-5</v>
          </cell>
          <cell r="H639">
            <v>0</v>
          </cell>
          <cell r="I639">
            <v>0</v>
          </cell>
          <cell r="J639">
            <v>0</v>
          </cell>
          <cell r="K639">
            <v>9.3401428612029314E-5</v>
          </cell>
          <cell r="L639">
            <v>4.5296354644852767E-6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0</v>
          </cell>
        </row>
        <row r="640">
          <cell r="B640" t="str">
            <v xml:space="preserve">              GY1-1640</v>
          </cell>
          <cell r="C640" t="str">
            <v>Devising &amp; Maintaing a Horizontal &amp; Vertical Control System</v>
          </cell>
          <cell r="D640">
            <v>85075</v>
          </cell>
          <cell r="E640">
            <v>1</v>
          </cell>
          <cell r="F640">
            <v>9.7931064076514597E-5</v>
          </cell>
          <cell r="G640">
            <v>9.7931064076514597E-5</v>
          </cell>
          <cell r="H640">
            <v>0</v>
          </cell>
          <cell r="I640">
            <v>0</v>
          </cell>
          <cell r="J640">
            <v>0</v>
          </cell>
          <cell r="K640">
            <v>9.3401428612029314E-5</v>
          </cell>
          <cell r="L640">
            <v>4.5296354644852767E-6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0</v>
          </cell>
        </row>
        <row r="641">
          <cell r="B641" t="str">
            <v xml:space="preserve">              GY1-1650</v>
          </cell>
          <cell r="C641" t="str">
            <v>Collecting additional Data Types to Coordinate for various Services</v>
          </cell>
          <cell r="D641">
            <v>39584</v>
          </cell>
          <cell r="E641">
            <v>1</v>
          </cell>
          <cell r="F641">
            <v>4.5565715432321528E-5</v>
          </cell>
          <cell r="G641">
            <v>4.5565715432321521E-5</v>
          </cell>
          <cell r="H641">
            <v>0</v>
          </cell>
          <cell r="I641">
            <v>0</v>
          </cell>
          <cell r="J641">
            <v>0</v>
          </cell>
          <cell r="K641">
            <v>4.3458024826102325E-5</v>
          </cell>
          <cell r="L641">
            <v>2.1076906062191975E-6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0</v>
          </cell>
        </row>
        <row r="642">
          <cell r="B642" t="str">
            <v xml:space="preserve">            DESIGN MANAGEMENT</v>
          </cell>
          <cell r="D642">
            <v>34967906</v>
          </cell>
          <cell r="F642">
            <v>4.0252062804672806E-2</v>
          </cell>
          <cell r="G642">
            <v>4.0252062804672813E-2</v>
          </cell>
          <cell r="H642">
            <v>0</v>
          </cell>
          <cell r="I642">
            <v>9.3696113917978043E-5</v>
          </cell>
          <cell r="J642">
            <v>2.0506321638548756E-3</v>
          </cell>
          <cell r="K642">
            <v>1.9182678124469383E-3</v>
          </cell>
          <cell r="L642">
            <v>6.369176255664852E-3</v>
          </cell>
          <cell r="M642">
            <v>7.4276824212892402E-3</v>
          </cell>
          <cell r="N642">
            <v>6.1376445432327863E-3</v>
          </cell>
          <cell r="O642">
            <v>5.547529160269132E-3</v>
          </cell>
          <cell r="P642">
            <v>3.8307455190777747E-3</v>
          </cell>
          <cell r="Q642">
            <v>3.0273343792165848E-3</v>
          </cell>
          <cell r="R642">
            <v>1.927482483830218E-3</v>
          </cell>
          <cell r="S642">
            <v>1.9024894863194418E-3</v>
          </cell>
          <cell r="T642">
            <v>1.9382465552986805E-5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>
            <v>0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0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0</v>
          </cell>
          <cell r="AM642">
            <v>0</v>
          </cell>
          <cell r="AN642">
            <v>0</v>
          </cell>
          <cell r="AO642">
            <v>0</v>
          </cell>
          <cell r="AP642">
            <v>0</v>
          </cell>
          <cell r="AQ642">
            <v>0</v>
          </cell>
          <cell r="AR642">
            <v>0</v>
          </cell>
        </row>
        <row r="643">
          <cell r="B643" t="str">
            <v xml:space="preserve">              GY1-1340</v>
          </cell>
          <cell r="C643" t="str">
            <v>Implementing technology and ICT innovations to be incorporated into the design of ECC</v>
          </cell>
          <cell r="D643">
            <v>331897</v>
          </cell>
          <cell r="E643">
            <v>1</v>
          </cell>
          <cell r="F643">
            <v>3.8204913913223408E-4</v>
          </cell>
          <cell r="G643">
            <v>3.8204913913223408E-4</v>
          </cell>
          <cell r="H643">
            <v>0</v>
          </cell>
          <cell r="I643">
            <v>9.8236109412750571E-6</v>
          </cell>
          <cell r="J643">
            <v>1.2771384892343394E-4</v>
          </cell>
          <cell r="K643">
            <v>9.2237651876427124E-5</v>
          </cell>
          <cell r="L643">
            <v>6.8768729932354485E-5</v>
          </cell>
          <cell r="M643">
            <v>5.1304021096987108E-5</v>
          </cell>
          <cell r="N643">
            <v>2.5651434991255376E-5</v>
          </cell>
          <cell r="O643">
            <v>6.5498413705009458E-6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>
            <v>0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0</v>
          </cell>
          <cell r="AM643">
            <v>0</v>
          </cell>
          <cell r="AN643">
            <v>0</v>
          </cell>
          <cell r="AO643">
            <v>0</v>
          </cell>
          <cell r="AP643">
            <v>0</v>
          </cell>
          <cell r="AQ643">
            <v>0</v>
          </cell>
          <cell r="AR643">
            <v>0</v>
          </cell>
        </row>
        <row r="644">
          <cell r="B644" t="str">
            <v xml:space="preserve">              GY1-1350</v>
          </cell>
          <cell r="C644" t="str">
            <v>Creating a set of Vision Documents for entire Design Development</v>
          </cell>
          <cell r="D644">
            <v>706211</v>
          </cell>
          <cell r="E644">
            <v>1</v>
          </cell>
          <cell r="F644">
            <v>8.1292970546622927E-4</v>
          </cell>
          <cell r="G644">
            <v>8.1292970546622905E-4</v>
          </cell>
          <cell r="H644">
            <v>0</v>
          </cell>
          <cell r="I644">
            <v>2.0904238890737641E-5</v>
          </cell>
          <cell r="J644">
            <v>2.7175050112168388E-4</v>
          </cell>
          <cell r="K644">
            <v>1.9626501821975596E-4</v>
          </cell>
          <cell r="L644">
            <v>1.4632737000621078E-4</v>
          </cell>
          <cell r="M644">
            <v>1.0916479025133335E-4</v>
          </cell>
          <cell r="N644">
            <v>5.4582395125666676E-5</v>
          </cell>
          <cell r="O644">
            <v>1.3935391850840854E-5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0</v>
          </cell>
          <cell r="AQ644">
            <v>0</v>
          </cell>
          <cell r="AR644">
            <v>0</v>
          </cell>
        </row>
        <row r="645">
          <cell r="B645" t="str">
            <v xml:space="preserve">              GY1-1400</v>
          </cell>
          <cell r="C645" t="str">
            <v>Reviewing and Updating design Basis, Criteria &amp; Standards</v>
          </cell>
          <cell r="D645">
            <v>4254600</v>
          </cell>
          <cell r="E645">
            <v>1</v>
          </cell>
          <cell r="F645">
            <v>4.8975316511306382E-3</v>
          </cell>
          <cell r="G645">
            <v>4.8975316511306382E-3</v>
          </cell>
          <cell r="H645">
            <v>0</v>
          </cell>
          <cell r="I645">
            <v>6.2968264085965346E-5</v>
          </cell>
          <cell r="J645">
            <v>1.6511678138097579E-3</v>
          </cell>
          <cell r="K645">
            <v>1.1859023069523472E-3</v>
          </cell>
          <cell r="L645">
            <v>8.955486447781737E-4</v>
          </cell>
          <cell r="M645">
            <v>6.6816324668996549E-4</v>
          </cell>
          <cell r="N645">
            <v>3.4282721557914463E-4</v>
          </cell>
          <cell r="O645">
            <v>9.0954159235283268E-5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0</v>
          </cell>
          <cell r="AQ645">
            <v>0</v>
          </cell>
          <cell r="AR645">
            <v>0</v>
          </cell>
        </row>
        <row r="646">
          <cell r="B646" t="str">
            <v xml:space="preserve">              GY1-1920</v>
          </cell>
          <cell r="C646" t="str">
            <v>Design coordination between project related consultants, government agencies and stakeholders</v>
          </cell>
          <cell r="D646">
            <v>5464054</v>
          </cell>
          <cell r="E646">
            <v>1</v>
          </cell>
          <cell r="F646">
            <v>6.2897516590248118E-3</v>
          </cell>
          <cell r="G646">
            <v>6.2897516590248118E-3</v>
          </cell>
          <cell r="H646">
            <v>0</v>
          </cell>
          <cell r="I646">
            <v>0</v>
          </cell>
          <cell r="J646">
            <v>0</v>
          </cell>
          <cell r="K646">
            <v>1.1045403846485902E-4</v>
          </cell>
          <cell r="L646">
            <v>1.3085754255837911E-3</v>
          </cell>
          <cell r="M646">
            <v>1.254881690833876E-3</v>
          </cell>
          <cell r="N646">
            <v>9.8641762154220622E-4</v>
          </cell>
          <cell r="O646">
            <v>9.4499706933926506E-4</v>
          </cell>
          <cell r="P646">
            <v>6.5965651070964883E-4</v>
          </cell>
          <cell r="Q646">
            <v>5.2619169386230937E-4</v>
          </cell>
          <cell r="R646">
            <v>3.3136211539457706E-4</v>
          </cell>
          <cell r="S646">
            <v>1.6721549329427936E-4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>
            <v>0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0</v>
          </cell>
          <cell r="AM646">
            <v>0</v>
          </cell>
          <cell r="AN646">
            <v>0</v>
          </cell>
          <cell r="AO646">
            <v>0</v>
          </cell>
          <cell r="AP646">
            <v>0</v>
          </cell>
          <cell r="AQ646">
            <v>0</v>
          </cell>
          <cell r="AR646">
            <v>0</v>
          </cell>
        </row>
        <row r="647">
          <cell r="B647" t="str">
            <v xml:space="preserve">              GY1-1930</v>
          </cell>
          <cell r="C647" t="str">
            <v>Monitoring the Design Schedule &amp; Managing any Changes &amp; Delay</v>
          </cell>
          <cell r="D647">
            <v>583644</v>
          </cell>
          <cell r="E647">
            <v>1</v>
          </cell>
          <cell r="F647">
            <v>6.7183875521298992E-4</v>
          </cell>
          <cell r="G647">
            <v>6.7183875521298992E-4</v>
          </cell>
          <cell r="H647">
            <v>0</v>
          </cell>
          <cell r="I647">
            <v>0</v>
          </cell>
          <cell r="J647">
            <v>0</v>
          </cell>
          <cell r="K647">
            <v>1.179777226823624E-5</v>
          </cell>
          <cell r="L647">
            <v>1.3977522640675711E-4</v>
          </cell>
          <cell r="M647">
            <v>1.340403740855206E-4</v>
          </cell>
          <cell r="N647">
            <v>1.0536381025038534E-4</v>
          </cell>
          <cell r="O647">
            <v>1.0094007731772539E-4</v>
          </cell>
          <cell r="P647">
            <v>7.0460868212606937E-5</v>
          </cell>
          <cell r="Q647">
            <v>5.6205466537337389E-5</v>
          </cell>
          <cell r="R647">
            <v>3.5394467919185082E-5</v>
          </cell>
          <cell r="S647">
            <v>1.7860692215235973E-5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>
            <v>0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0</v>
          </cell>
          <cell r="AQ647">
            <v>0</v>
          </cell>
          <cell r="AR647">
            <v>0</v>
          </cell>
        </row>
        <row r="648">
          <cell r="B648" t="str">
            <v xml:space="preserve">              GY1-1940</v>
          </cell>
          <cell r="C648" t="str">
            <v>Initiating &amp; conducting all Design Value Engineering Workshop</v>
          </cell>
          <cell r="D648">
            <v>6759624</v>
          </cell>
          <cell r="E648">
            <v>1</v>
          </cell>
          <cell r="F648">
            <v>7.7811010411653935E-3</v>
          </cell>
          <cell r="G648">
            <v>7.7811010411653935E-3</v>
          </cell>
          <cell r="H648">
            <v>0</v>
          </cell>
          <cell r="I648">
            <v>0</v>
          </cell>
          <cell r="J648">
            <v>0</v>
          </cell>
          <cell r="K648">
            <v>1.3664419503105191E-4</v>
          </cell>
          <cell r="L648">
            <v>1.6188491237714127E-3</v>
          </cell>
          <cell r="M648">
            <v>1.5524240629129315E-3</v>
          </cell>
          <cell r="N648">
            <v>1.2203045141929081E-3</v>
          </cell>
          <cell r="O648">
            <v>1.1690626532776444E-3</v>
          </cell>
          <cell r="P648">
            <v>8.1606649241431619E-4</v>
          </cell>
          <cell r="Q648">
            <v>6.5095523638282688E-4</v>
          </cell>
          <cell r="R648">
            <v>4.0993143397867937E-4</v>
          </cell>
          <cell r="S648">
            <v>2.0686332920362275E-4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>
            <v>0</v>
          </cell>
          <cell r="AC648">
            <v>0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0</v>
          </cell>
          <cell r="AM648">
            <v>0</v>
          </cell>
          <cell r="AN648">
            <v>0</v>
          </cell>
          <cell r="AO648">
            <v>0</v>
          </cell>
          <cell r="AP648">
            <v>0</v>
          </cell>
          <cell r="AQ648">
            <v>0</v>
          </cell>
          <cell r="AR648">
            <v>0</v>
          </cell>
        </row>
        <row r="649">
          <cell r="B649" t="str">
            <v xml:space="preserve">              GY1-1950</v>
          </cell>
          <cell r="C649" t="str">
            <v>Implementing a Stage Review Process to provide benefits of controlling Quality, Cost &amp; Schedule</v>
          </cell>
          <cell r="D649">
            <v>695273</v>
          </cell>
          <cell r="E649">
            <v>1</v>
          </cell>
          <cell r="F649">
            <v>8.0034111755273229E-4</v>
          </cell>
          <cell r="G649">
            <v>8.0034111755273218E-4</v>
          </cell>
          <cell r="H649">
            <v>0</v>
          </cell>
          <cell r="I649">
            <v>0</v>
          </cell>
          <cell r="J649">
            <v>0</v>
          </cell>
          <cell r="K649">
            <v>1.4055107756382525E-5</v>
          </cell>
          <cell r="L649">
            <v>1.6650986012026932E-4</v>
          </cell>
          <cell r="M649">
            <v>1.5967799570305963E-4</v>
          </cell>
          <cell r="N649">
            <v>1.2551637138805849E-4</v>
          </cell>
          <cell r="O649">
            <v>1.2024656931527231E-4</v>
          </cell>
          <cell r="P649">
            <v>8.3938116501855629E-5</v>
          </cell>
          <cell r="Q649">
            <v>6.6955724632084018E-5</v>
          </cell>
          <cell r="R649">
            <v>4.2164172154671207E-5</v>
          </cell>
          <cell r="S649">
            <v>2.1277199981078999E-5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>
            <v>0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0</v>
          </cell>
          <cell r="AM649">
            <v>0</v>
          </cell>
          <cell r="AN649">
            <v>0</v>
          </cell>
          <cell r="AO649">
            <v>0</v>
          </cell>
          <cell r="AP649">
            <v>0</v>
          </cell>
          <cell r="AQ649">
            <v>0</v>
          </cell>
          <cell r="AR649">
            <v>0</v>
          </cell>
        </row>
        <row r="650">
          <cell r="B650" t="str">
            <v xml:space="preserve">              GY1-1960</v>
          </cell>
          <cell r="C650" t="str">
            <v>Technical review and approval of Consultants and Contractors Designs</v>
          </cell>
          <cell r="D650">
            <v>8144469</v>
          </cell>
          <cell r="E650">
            <v>1</v>
          </cell>
          <cell r="F650">
            <v>9.3752161681832126E-3</v>
          </cell>
          <cell r="G650">
            <v>9.3752161681832109E-3</v>
          </cell>
          <cell r="H650">
            <v>0</v>
          </cell>
          <cell r="I650">
            <v>0</v>
          </cell>
          <cell r="J650">
            <v>0</v>
          </cell>
          <cell r="K650">
            <v>1.6463814798170438E-4</v>
          </cell>
          <cell r="L650">
            <v>1.9505024711285093E-3</v>
          </cell>
          <cell r="M650">
            <v>1.8704700860449506E-3</v>
          </cell>
          <cell r="N650">
            <v>1.4703081606271572E-3</v>
          </cell>
          <cell r="O650">
            <v>1.4085692868019467E-3</v>
          </cell>
          <cell r="P650">
            <v>9.8325435896116291E-4</v>
          </cell>
          <cell r="Q650">
            <v>7.8431645292729383E-4</v>
          </cell>
          <cell r="R650">
            <v>4.939132928306367E-4</v>
          </cell>
          <cell r="S650">
            <v>2.4924391087985007E-4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>
            <v>0</v>
          </cell>
          <cell r="AC650">
            <v>0</v>
          </cell>
          <cell r="AD650">
            <v>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>
            <v>0</v>
          </cell>
          <cell r="AM650">
            <v>0</v>
          </cell>
          <cell r="AN650">
            <v>0</v>
          </cell>
          <cell r="AO650">
            <v>0</v>
          </cell>
          <cell r="AP650">
            <v>0</v>
          </cell>
          <cell r="AQ650">
            <v>0</v>
          </cell>
          <cell r="AR650">
            <v>0</v>
          </cell>
        </row>
        <row r="651">
          <cell r="B651" t="str">
            <v xml:space="preserve">              GY1-1970</v>
          </cell>
          <cell r="C651" t="str">
            <v>Supervising and Overseeing the work of all bidders, contractors, vendors &amp; Supplier</v>
          </cell>
          <cell r="D651">
            <v>310324</v>
          </cell>
          <cell r="E651">
            <v>1</v>
          </cell>
          <cell r="F651">
            <v>3.5721959987710121E-4</v>
          </cell>
          <cell r="G651">
            <v>3.5721959987710126E-4</v>
          </cell>
          <cell r="H651">
            <v>0</v>
          </cell>
          <cell r="I651">
            <v>0</v>
          </cell>
          <cell r="J651">
            <v>0</v>
          </cell>
          <cell r="K651">
            <v>6.2735738961740175E-6</v>
          </cell>
          <cell r="L651">
            <v>7.4319403937373043E-5</v>
          </cell>
          <cell r="M651">
            <v>7.1270101689489566E-5</v>
          </cell>
          <cell r="N651">
            <v>5.6022439335595803E-5</v>
          </cell>
          <cell r="O651">
            <v>5.3669561345911449E-5</v>
          </cell>
          <cell r="P651">
            <v>3.7464171747684324E-5</v>
          </cell>
          <cell r="Q651">
            <v>2.9884082920839205E-5</v>
          </cell>
          <cell r="R651">
            <v>1.881957057404569E-5</v>
          </cell>
          <cell r="S651">
            <v>9.4966944299881919E-6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0</v>
          </cell>
          <cell r="AM651">
            <v>0</v>
          </cell>
          <cell r="AN651">
            <v>0</v>
          </cell>
          <cell r="AO651">
            <v>0</v>
          </cell>
          <cell r="AP651">
            <v>0</v>
          </cell>
          <cell r="AQ651">
            <v>0</v>
          </cell>
          <cell r="AR651">
            <v>0</v>
          </cell>
        </row>
        <row r="652">
          <cell r="B652" t="str">
            <v xml:space="preserve">              GY1-2210</v>
          </cell>
          <cell r="C652" t="str">
            <v>Reviewing &amp; ensuring Costructability of the proposed Designs</v>
          </cell>
          <cell r="D652">
            <v>6873137</v>
          </cell>
          <cell r="E652">
            <v>1</v>
          </cell>
          <cell r="F652">
            <v>7.9117674987206985E-3</v>
          </cell>
          <cell r="G652">
            <v>7.9117674987206968E-3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1.5562860519811265E-3</v>
          </cell>
          <cell r="N652">
            <v>1.7506505802004086E-3</v>
          </cell>
          <cell r="O652">
            <v>1.6386045504147408E-3</v>
          </cell>
          <cell r="P652">
            <v>1.1799050005305001E-3</v>
          </cell>
          <cell r="Q652">
            <v>9.1282572195389405E-4</v>
          </cell>
          <cell r="R652">
            <v>5.9589743097842273E-4</v>
          </cell>
          <cell r="S652">
            <v>2.6845140703242985E-4</v>
          </cell>
          <cell r="T652">
            <v>9.1467556291740815E-6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0</v>
          </cell>
          <cell r="AQ652">
            <v>0</v>
          </cell>
          <cell r="AR652">
            <v>0</v>
          </cell>
        </row>
        <row r="653">
          <cell r="B653" t="str">
            <v xml:space="preserve">              GY1-2890</v>
          </cell>
          <cell r="C653" t="str">
            <v>Providing Design Coordination between PPP Concessionaires and all Stakeholders</v>
          </cell>
          <cell r="D653">
            <v>819816</v>
          </cell>
          <cell r="E653">
            <v>1</v>
          </cell>
          <cell r="F653">
            <v>9.4370206555335749E-4</v>
          </cell>
          <cell r="G653">
            <v>9.4370206555335749E-4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9.3376794762235163E-4</v>
          </cell>
          <cell r="T653">
            <v>9.9341179310058287E-6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0</v>
          </cell>
          <cell r="AQ653">
            <v>0</v>
          </cell>
          <cell r="AR653">
            <v>0</v>
          </cell>
        </row>
        <row r="654">
          <cell r="B654" t="str">
            <v xml:space="preserve">              GY1-2900</v>
          </cell>
          <cell r="C654" t="str">
            <v>Coordinating Design &amp; Design issues between contractors</v>
          </cell>
          <cell r="D654">
            <v>24857</v>
          </cell>
          <cell r="E654">
            <v>1</v>
          </cell>
          <cell r="F654">
            <v>2.8614403653411691E-5</v>
          </cell>
          <cell r="G654">
            <v>2.8614403653411691E-5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2.8312811660604795E-5</v>
          </cell>
          <cell r="T654">
            <v>3.0159199280689768E-7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0</v>
          </cell>
          <cell r="AQ654">
            <v>0</v>
          </cell>
          <cell r="AR654">
            <v>0</v>
          </cell>
        </row>
        <row r="655">
          <cell r="B655" t="str">
            <v xml:space="preserve">            PERMITS &amp; APPROVALS</v>
          </cell>
          <cell r="D655">
            <v>1913668</v>
          </cell>
          <cell r="F655">
            <v>2.2028543910945376E-3</v>
          </cell>
          <cell r="G655">
            <v>2.2028543910945376E-3</v>
          </cell>
          <cell r="H655">
            <v>0</v>
          </cell>
          <cell r="I655">
            <v>0</v>
          </cell>
          <cell r="J655">
            <v>0</v>
          </cell>
          <cell r="K655">
            <v>1.9037361432973419E-4</v>
          </cell>
          <cell r="L655">
            <v>4.1264230857051236E-4</v>
          </cell>
          <cell r="M655">
            <v>4.0646542829035279E-4</v>
          </cell>
          <cell r="N655">
            <v>3.2474550938444715E-4</v>
          </cell>
          <cell r="O655">
            <v>3.0783448661220994E-4</v>
          </cell>
          <cell r="P655">
            <v>2.1922514756527649E-4</v>
          </cell>
          <cell r="Q655">
            <v>1.7586151412623589E-4</v>
          </cell>
          <cell r="R655">
            <v>1.0862261533296675E-4</v>
          </cell>
          <cell r="S655">
            <v>5.6162875301711986E-5</v>
          </cell>
          <cell r="T655">
            <v>9.20891581089764E-7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>
            <v>0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0</v>
          </cell>
          <cell r="AQ655">
            <v>0</v>
          </cell>
          <cell r="AR655">
            <v>0</v>
          </cell>
        </row>
        <row r="656">
          <cell r="B656" t="str">
            <v xml:space="preserve">              GY1-1600</v>
          </cell>
          <cell r="C656" t="str">
            <v>Ensuring the Process for obtaining the approval</v>
          </cell>
          <cell r="D656">
            <v>266532</v>
          </cell>
          <cell r="E656">
            <v>1</v>
          </cell>
          <cell r="F656">
            <v>3.0681114584272395E-4</v>
          </cell>
          <cell r="G656">
            <v>3.0681114584272401E-4</v>
          </cell>
          <cell r="H656">
            <v>0</v>
          </cell>
          <cell r="I656">
            <v>0</v>
          </cell>
          <cell r="J656">
            <v>0</v>
          </cell>
          <cell r="K656">
            <v>5.5915385689294103E-5</v>
          </cell>
          <cell r="L656">
            <v>5.4496061539939514E-5</v>
          </cell>
          <cell r="M656">
            <v>4.8535590781336011E-5</v>
          </cell>
          <cell r="N656">
            <v>4.0493905049469647E-5</v>
          </cell>
          <cell r="O656">
            <v>3.730416683546998E-5</v>
          </cell>
          <cell r="P656">
            <v>2.695104323506831E-5</v>
          </cell>
          <cell r="Q656">
            <v>2.2422558885059393E-5</v>
          </cell>
          <cell r="R656">
            <v>1.32182475320672E-5</v>
          </cell>
          <cell r="S656">
            <v>7.2036743930746794E-6</v>
          </cell>
          <cell r="T656">
            <v>2.7051190194511816E-7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>
            <v>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0</v>
          </cell>
          <cell r="AM656">
            <v>0</v>
          </cell>
          <cell r="AN656">
            <v>0</v>
          </cell>
          <cell r="AO656">
            <v>0</v>
          </cell>
          <cell r="AP656">
            <v>0</v>
          </cell>
          <cell r="AQ656">
            <v>0</v>
          </cell>
          <cell r="AR656">
            <v>0</v>
          </cell>
        </row>
        <row r="657">
          <cell r="B657" t="str">
            <v xml:space="preserve">              GY1-1610</v>
          </cell>
          <cell r="C657" t="str">
            <v>Assisting DMICDC and Speciality 3rd Party Consultant in Approval Process</v>
          </cell>
          <cell r="D657">
            <v>640930</v>
          </cell>
          <cell r="E657">
            <v>1</v>
          </cell>
          <cell r="F657">
            <v>7.3778380133482813E-4</v>
          </cell>
          <cell r="G657">
            <v>7.3778380133482802E-4</v>
          </cell>
          <cell r="H657">
            <v>0</v>
          </cell>
          <cell r="I657">
            <v>0</v>
          </cell>
          <cell r="J657">
            <v>0</v>
          </cell>
          <cell r="K657">
            <v>1.3445822864044008E-4</v>
          </cell>
          <cell r="L657">
            <v>1.3104632533250251E-4</v>
          </cell>
          <cell r="M657">
            <v>1.1671264787284034E-4</v>
          </cell>
          <cell r="N657">
            <v>9.7373924669955287E-5</v>
          </cell>
          <cell r="O657">
            <v>8.9704048913953908E-5</v>
          </cell>
          <cell r="P657">
            <v>6.4807745019192136E-5</v>
          </cell>
          <cell r="Q657">
            <v>5.3920504301758412E-5</v>
          </cell>
          <cell r="R657">
            <v>3.1786875150265932E-5</v>
          </cell>
          <cell r="S657">
            <v>1.7323121754774824E-5</v>
          </cell>
          <cell r="T657">
            <v>6.5037967914464584E-7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>
            <v>0</v>
          </cell>
          <cell r="AC657">
            <v>0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0</v>
          </cell>
          <cell r="AM657">
            <v>0</v>
          </cell>
          <cell r="AN657">
            <v>0</v>
          </cell>
          <cell r="AO657">
            <v>0</v>
          </cell>
          <cell r="AP657">
            <v>0</v>
          </cell>
          <cell r="AQ657">
            <v>0</v>
          </cell>
          <cell r="AR657">
            <v>0</v>
          </cell>
        </row>
        <row r="658">
          <cell r="B658" t="str">
            <v xml:space="preserve">              GY1-1720</v>
          </cell>
          <cell r="C658" t="str">
            <v>Preparing Monthly updates on Status of environmental and other regulatory approvals</v>
          </cell>
          <cell r="D658">
            <v>1006206</v>
          </cell>
          <cell r="E658">
            <v>1</v>
          </cell>
          <cell r="F658">
            <v>1.1582594439169854E-3</v>
          </cell>
          <cell r="G658">
            <v>1.1582594439169852E-3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2.2709992169807033E-4</v>
          </cell>
          <cell r="M658">
            <v>2.4121718963617645E-4</v>
          </cell>
          <cell r="N658">
            <v>1.8687767966502219E-4</v>
          </cell>
          <cell r="O658">
            <v>1.8082627086278606E-4</v>
          </cell>
          <cell r="P658">
            <v>1.2746635931101604E-4</v>
          </cell>
          <cell r="Q658">
            <v>9.9518450939418081E-5</v>
          </cell>
          <cell r="R658">
            <v>6.3617492650633624E-5</v>
          </cell>
          <cell r="S658">
            <v>3.1636079153862481E-5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>
            <v>0</v>
          </cell>
          <cell r="AC658">
            <v>0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0</v>
          </cell>
          <cell r="AM658">
            <v>0</v>
          </cell>
          <cell r="AN658">
            <v>0</v>
          </cell>
          <cell r="AO658">
            <v>0</v>
          </cell>
          <cell r="AP658">
            <v>0</v>
          </cell>
          <cell r="AQ658">
            <v>0</v>
          </cell>
          <cell r="AR658">
            <v>0</v>
          </cell>
        </row>
        <row r="659">
          <cell r="B659" t="str">
            <v xml:space="preserve">            PROCUREMENT &amp; SUPPLY CHAIN MANAGEMENT</v>
          </cell>
          <cell r="D659">
            <v>2355812</v>
          </cell>
          <cell r="F659">
            <v>2.8702866800920123E-3</v>
          </cell>
          <cell r="G659">
            <v>2.8702866800920123E-3</v>
          </cell>
          <cell r="H659">
            <v>0</v>
          </cell>
          <cell r="I659">
            <v>0</v>
          </cell>
          <cell r="J659">
            <v>0</v>
          </cell>
          <cell r="K659">
            <v>8.9142305049489156E-6</v>
          </cell>
          <cell r="L659">
            <v>6.3549001339290078E-4</v>
          </cell>
          <cell r="M659">
            <v>2.4272399848573455E-5</v>
          </cell>
          <cell r="N659">
            <v>1.1156716616350128E-4</v>
          </cell>
          <cell r="O659">
            <v>3.6410211333127085E-4</v>
          </cell>
          <cell r="P659">
            <v>6.5058342640696197E-4</v>
          </cell>
          <cell r="Q659">
            <v>4.9849357733208191E-4</v>
          </cell>
          <cell r="R659">
            <v>3.2088467143072825E-4</v>
          </cell>
          <cell r="S659">
            <v>2.5147246850608731E-4</v>
          </cell>
          <cell r="T659">
            <v>4.5066131749580331E-6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0</v>
          </cell>
          <cell r="AQ659">
            <v>0</v>
          </cell>
          <cell r="AR659">
            <v>0</v>
          </cell>
        </row>
        <row r="660">
          <cell r="B660" t="str">
            <v xml:space="preserve">              PROCUREMENT MANAGEMENT</v>
          </cell>
          <cell r="D660">
            <v>220467</v>
          </cell>
          <cell r="F660">
            <v>4.1225898744988367E-4</v>
          </cell>
          <cell r="G660">
            <v>4.1225898744988378E-4</v>
          </cell>
          <cell r="H660">
            <v>0</v>
          </cell>
          <cell r="I660">
            <v>0</v>
          </cell>
          <cell r="J660">
            <v>0</v>
          </cell>
          <cell r="K660">
            <v>8.9142305049489156E-6</v>
          </cell>
          <cell r="L660">
            <v>7.092937180448634E-5</v>
          </cell>
          <cell r="M660">
            <v>2.4272399848573455E-5</v>
          </cell>
          <cell r="N660">
            <v>1.1156716616350128E-4</v>
          </cell>
          <cell r="O660">
            <v>6.0331060820619526E-5</v>
          </cell>
          <cell r="P660">
            <v>1.436590866500032E-6</v>
          </cell>
          <cell r="Q660">
            <v>0</v>
          </cell>
          <cell r="R660">
            <v>7.246265628700081E-6</v>
          </cell>
          <cell r="S660">
            <v>1.2640157842038101E-4</v>
          </cell>
          <cell r="T660">
            <v>1.1603233921731027E-6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>
            <v>0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0</v>
          </cell>
          <cell r="AM660">
            <v>0</v>
          </cell>
          <cell r="AN660">
            <v>0</v>
          </cell>
          <cell r="AO660">
            <v>0</v>
          </cell>
          <cell r="AP660">
            <v>0</v>
          </cell>
          <cell r="AQ660">
            <v>0</v>
          </cell>
          <cell r="AR660">
            <v>0</v>
          </cell>
        </row>
        <row r="661">
          <cell r="B661" t="str">
            <v xml:space="preserve">                GY1-1680</v>
          </cell>
          <cell r="C661" t="str">
            <v>Developing a Procurement Strategy</v>
          </cell>
          <cell r="D661">
            <v>9444</v>
          </cell>
          <cell r="E661">
            <v>1</v>
          </cell>
          <cell r="F661">
            <v>1.0871125114764663E-5</v>
          </cell>
          <cell r="G661">
            <v>1.0871125114764663E-5</v>
          </cell>
          <cell r="H661">
            <v>0</v>
          </cell>
          <cell r="I661">
            <v>0</v>
          </cell>
          <cell r="J661">
            <v>0</v>
          </cell>
          <cell r="K661">
            <v>8.9142305049489156E-6</v>
          </cell>
          <cell r="L661">
            <v>1.9568946098157483E-6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>
            <v>0</v>
          </cell>
          <cell r="AC661">
            <v>0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0</v>
          </cell>
          <cell r="AQ661">
            <v>0</v>
          </cell>
          <cell r="AR661">
            <v>0</v>
          </cell>
        </row>
        <row r="662">
          <cell r="B662" t="str">
            <v xml:space="preserve">                GY1-1910</v>
          </cell>
          <cell r="C662" t="str">
            <v>Establishing an approach that provides certainty of delivery, Cost Efficiency and Compliance</v>
          </cell>
          <cell r="D662">
            <v>66428</v>
          </cell>
          <cell r="E662">
            <v>1</v>
          </cell>
          <cell r="F662">
            <v>7.6466232435788549E-5</v>
          </cell>
          <cell r="G662">
            <v>7.6466232435788549E-5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6.8972477194670595E-5</v>
          </cell>
          <cell r="M662">
            <v>7.4937552411179552E-6</v>
          </cell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>
            <v>0</v>
          </cell>
          <cell r="AC662">
            <v>0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0</v>
          </cell>
          <cell r="AP662">
            <v>0</v>
          </cell>
          <cell r="AQ662">
            <v>0</v>
          </cell>
          <cell r="AR662">
            <v>0</v>
          </cell>
        </row>
        <row r="663">
          <cell r="B663" t="str">
            <v xml:space="preserve">                GY1-2150</v>
          </cell>
          <cell r="C663" t="str">
            <v>Setting a Strategic Procurement Plan &amp; Manging the Procurement Timetable</v>
          </cell>
          <cell r="D663">
            <v>15740</v>
          </cell>
          <cell r="E663">
            <v>1</v>
          </cell>
          <cell r="F663">
            <v>1.8119692972417469E-5</v>
          </cell>
          <cell r="G663">
            <v>1.8119692972417469E-5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1.6778644607455502E-5</v>
          </cell>
          <cell r="N663">
            <v>1.3410483649619688E-6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>
            <v>0</v>
          </cell>
          <cell r="AC663">
            <v>0</v>
          </cell>
          <cell r="AD663">
            <v>0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0</v>
          </cell>
          <cell r="AQ663">
            <v>0</v>
          </cell>
          <cell r="AR663">
            <v>0</v>
          </cell>
        </row>
        <row r="664">
          <cell r="B664" t="str">
            <v xml:space="preserve">                GY1-2290</v>
          </cell>
          <cell r="C664" t="str">
            <v>Developing an Appropriate Packaging Strategy</v>
          </cell>
          <cell r="D664">
            <v>52041</v>
          </cell>
          <cell r="E664">
            <v>2</v>
          </cell>
          <cell r="F664">
            <v>1.1981029692873103E-4</v>
          </cell>
          <cell r="G664">
            <v>1.1981029692873104E-4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1.1022611779853931E-4</v>
          </cell>
          <cell r="O664">
            <v>9.5841791301917199E-6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0</v>
          </cell>
          <cell r="AM664">
            <v>0</v>
          </cell>
          <cell r="AN664">
            <v>0</v>
          </cell>
          <cell r="AO664">
            <v>0</v>
          </cell>
          <cell r="AP664">
            <v>0</v>
          </cell>
          <cell r="AQ664">
            <v>0</v>
          </cell>
          <cell r="AR664">
            <v>0</v>
          </cell>
        </row>
        <row r="665">
          <cell r="B665" t="str">
            <v xml:space="preserve">                GY1-2370</v>
          </cell>
          <cell r="C665" t="str">
            <v>Setting up the Contract  - Strategy, Structure &amp; Procurement Options</v>
          </cell>
          <cell r="D665">
            <v>15111</v>
          </cell>
          <cell r="E665">
            <v>3</v>
          </cell>
          <cell r="F665">
            <v>5.2183472556927832E-5</v>
          </cell>
          <cell r="G665">
            <v>5.2183472556927838E-5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5.0746881690427806E-5</v>
          </cell>
          <cell r="P665">
            <v>1.436590866500032E-6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0</v>
          </cell>
          <cell r="AM665">
            <v>0</v>
          </cell>
          <cell r="AN665">
            <v>0</v>
          </cell>
          <cell r="AO665">
            <v>0</v>
          </cell>
          <cell r="AP665">
            <v>0</v>
          </cell>
          <cell r="AQ665">
            <v>0</v>
          </cell>
          <cell r="AR665">
            <v>0</v>
          </cell>
        </row>
        <row r="666">
          <cell r="B666" t="str">
            <v xml:space="preserve">                SELECTION OF EPC CONTRACTOR FOR PHASE I DEVELOPMENT</v>
          </cell>
          <cell r="D666">
            <v>6295</v>
          </cell>
          <cell r="F666">
            <v>7.246265628700081E-6</v>
          </cell>
          <cell r="G666">
            <v>7.246265628700081E-6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7.246265628700081E-6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0</v>
          </cell>
          <cell r="AQ666">
            <v>0</v>
          </cell>
          <cell r="AR666">
            <v>0</v>
          </cell>
        </row>
        <row r="667">
          <cell r="B667" t="str">
            <v xml:space="preserve">                  GY1-2910</v>
          </cell>
          <cell r="C667" t="str">
            <v>Selection of EPC Contractor for Exhibition Center</v>
          </cell>
          <cell r="D667">
            <v>1259</v>
          </cell>
          <cell r="E667">
            <v>1</v>
          </cell>
          <cell r="F667">
            <v>1.4492531257400162E-6</v>
          </cell>
          <cell r="G667">
            <v>1.4492531257400162E-6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1.4492531257400162E-6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>
            <v>0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0</v>
          </cell>
          <cell r="AQ667">
            <v>0</v>
          </cell>
          <cell r="AR667">
            <v>0</v>
          </cell>
        </row>
        <row r="668">
          <cell r="B668" t="str">
            <v xml:space="preserve">                  GY1-2920</v>
          </cell>
          <cell r="C668" t="str">
            <v>Selection of EPC Contractor for Primary Trunk infrastructure and MEP Works</v>
          </cell>
          <cell r="D668">
            <v>1259</v>
          </cell>
          <cell r="E668">
            <v>1</v>
          </cell>
          <cell r="F668">
            <v>1.4492531257400162E-6</v>
          </cell>
          <cell r="G668">
            <v>1.4492531257400162E-6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1.4492531257400162E-6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0</v>
          </cell>
          <cell r="AQ668">
            <v>0</v>
          </cell>
          <cell r="AR668">
            <v>0</v>
          </cell>
        </row>
        <row r="669">
          <cell r="B669" t="str">
            <v xml:space="preserve">                  GY1-2930</v>
          </cell>
          <cell r="C669" t="str">
            <v>Selection of EPC Contractor for Secondary Trunk Infrastructure and MEP Works</v>
          </cell>
          <cell r="D669">
            <v>1259</v>
          </cell>
          <cell r="E669">
            <v>1</v>
          </cell>
          <cell r="F669">
            <v>1.4492531257400162E-6</v>
          </cell>
          <cell r="G669">
            <v>1.4492531257400162E-6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1.4492531257400162E-6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>
            <v>0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0</v>
          </cell>
          <cell r="AQ669">
            <v>0</v>
          </cell>
          <cell r="AR669">
            <v>0</v>
          </cell>
        </row>
        <row r="670">
          <cell r="B670" t="str">
            <v xml:space="preserve">                  GY1-2940</v>
          </cell>
          <cell r="C670" t="str">
            <v>Selection of EPC Contractor for Convention Center</v>
          </cell>
          <cell r="D670">
            <v>1259</v>
          </cell>
          <cell r="E670">
            <v>1</v>
          </cell>
          <cell r="F670">
            <v>1.4492531257400162E-6</v>
          </cell>
          <cell r="G670">
            <v>1.4492531257400162E-6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1.4492531257400162E-6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>
            <v>0</v>
          </cell>
          <cell r="AC670">
            <v>0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0</v>
          </cell>
          <cell r="AM670">
            <v>0</v>
          </cell>
          <cell r="AN670">
            <v>0</v>
          </cell>
          <cell r="AO670">
            <v>0</v>
          </cell>
          <cell r="AP670">
            <v>0</v>
          </cell>
          <cell r="AQ670">
            <v>0</v>
          </cell>
          <cell r="AR670">
            <v>0</v>
          </cell>
        </row>
        <row r="671">
          <cell r="B671" t="str">
            <v xml:space="preserve">                  GY1-3000</v>
          </cell>
          <cell r="C671" t="str">
            <v>Selection of EPC Contractor for Public Realm and Landscape</v>
          </cell>
          <cell r="D671">
            <v>1259</v>
          </cell>
          <cell r="E671">
            <v>1</v>
          </cell>
          <cell r="F671">
            <v>1.4492531257400162E-6</v>
          </cell>
          <cell r="G671">
            <v>1.4492531257400162E-6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1.4492531257400162E-6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0</v>
          </cell>
          <cell r="AP671">
            <v>0</v>
          </cell>
          <cell r="AQ671">
            <v>0</v>
          </cell>
          <cell r="AR671">
            <v>0</v>
          </cell>
        </row>
        <row r="672">
          <cell r="B672" t="str">
            <v xml:space="preserve">                SELECTION OF PPP CONCESSIONAIRE FOR PHASE I &amp; II DEVELOPMENT</v>
          </cell>
          <cell r="D672">
            <v>55408</v>
          </cell>
          <cell r="F672">
            <v>1.2756190181255412E-4</v>
          </cell>
          <cell r="G672">
            <v>1.275619018125541E-4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1.2640157842038101E-4</v>
          </cell>
          <cell r="T672">
            <v>1.1603233921731027E-6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0</v>
          </cell>
          <cell r="AQ672">
            <v>0</v>
          </cell>
          <cell r="AR672">
            <v>0</v>
          </cell>
        </row>
        <row r="673">
          <cell r="B673" t="str">
            <v xml:space="preserve">                  GY1-2960</v>
          </cell>
          <cell r="C673" t="str">
            <v>Selection of Concessionaire for Office Building</v>
          </cell>
          <cell r="D673">
            <v>13852</v>
          </cell>
          <cell r="E673">
            <v>3</v>
          </cell>
          <cell r="F673">
            <v>4.78357131797078E-5</v>
          </cell>
          <cell r="G673">
            <v>4.7835713179707793E-5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4.7400591907642881E-5</v>
          </cell>
          <cell r="T673">
            <v>4.3512127206491348E-7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0</v>
          </cell>
          <cell r="AQ673">
            <v>0</v>
          </cell>
          <cell r="AR673">
            <v>0</v>
          </cell>
        </row>
        <row r="674">
          <cell r="B674" t="str">
            <v xml:space="preserve">                  GY1-2970</v>
          </cell>
          <cell r="C674" t="str">
            <v>Selection of Concessionaire for Retail</v>
          </cell>
          <cell r="D674">
            <v>13852</v>
          </cell>
          <cell r="E674">
            <v>3</v>
          </cell>
          <cell r="F674">
            <v>4.78357131797078E-5</v>
          </cell>
          <cell r="G674">
            <v>4.7835713179707793E-5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4.7400591907642881E-5</v>
          </cell>
          <cell r="T674">
            <v>4.3512127206491348E-7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>
            <v>0</v>
          </cell>
          <cell r="AC674">
            <v>0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0</v>
          </cell>
          <cell r="AP674">
            <v>0</v>
          </cell>
          <cell r="AQ674">
            <v>0</v>
          </cell>
          <cell r="AR674">
            <v>0</v>
          </cell>
        </row>
        <row r="675">
          <cell r="B675" t="str">
            <v xml:space="preserve">                  GY1-2980</v>
          </cell>
          <cell r="C675" t="str">
            <v>Selection of Concessionaire for Hotels</v>
          </cell>
          <cell r="D675">
            <v>13852</v>
          </cell>
          <cell r="E675">
            <v>1</v>
          </cell>
          <cell r="F675">
            <v>1.5945237726569266E-5</v>
          </cell>
          <cell r="G675">
            <v>1.5945237726569262E-5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1.5800197302547626E-5</v>
          </cell>
          <cell r="T675">
            <v>1.4504042402163784E-7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>
            <v>0</v>
          </cell>
          <cell r="AC675">
            <v>0</v>
          </cell>
          <cell r="AD675">
            <v>0</v>
          </cell>
          <cell r="AE675">
            <v>0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0</v>
          </cell>
          <cell r="AM675">
            <v>0</v>
          </cell>
          <cell r="AN675">
            <v>0</v>
          </cell>
          <cell r="AO675">
            <v>0</v>
          </cell>
          <cell r="AP675">
            <v>0</v>
          </cell>
          <cell r="AQ675">
            <v>0</v>
          </cell>
          <cell r="AR675">
            <v>0</v>
          </cell>
        </row>
        <row r="676">
          <cell r="B676" t="str">
            <v xml:space="preserve">                  GY1-2990</v>
          </cell>
          <cell r="C676" t="str">
            <v>Selection of Concessionaire for Serviced Apartments</v>
          </cell>
          <cell r="D676">
            <v>13852</v>
          </cell>
          <cell r="E676">
            <v>1</v>
          </cell>
          <cell r="F676">
            <v>1.5945237726569266E-5</v>
          </cell>
          <cell r="G676">
            <v>1.5945237726569262E-5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  <cell r="S676">
            <v>1.5800197302547626E-5</v>
          </cell>
          <cell r="T676">
            <v>1.4504042402163784E-7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0</v>
          </cell>
          <cell r="AQ676">
            <v>0</v>
          </cell>
          <cell r="AR676">
            <v>0</v>
          </cell>
        </row>
        <row r="677">
          <cell r="B677" t="str">
            <v xml:space="preserve">              SUPPLY CHAIN MANAGEMENT</v>
          </cell>
          <cell r="D677">
            <v>1644898</v>
          </cell>
          <cell r="F677">
            <v>1.8934670510537144E-3</v>
          </cell>
          <cell r="G677">
            <v>1.8934670510537147E-3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3.0377105251065131E-4</v>
          </cell>
          <cell r="P677">
            <v>6.4914683554046198E-4</v>
          </cell>
          <cell r="Q677">
            <v>4.9849357733208191E-4</v>
          </cell>
          <cell r="R677">
            <v>3.1363840580202819E-4</v>
          </cell>
          <cell r="S677">
            <v>1.2507089008570628E-4</v>
          </cell>
          <cell r="T677">
            <v>3.3462897827849302E-6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>
            <v>0</v>
          </cell>
          <cell r="AC677">
            <v>0</v>
          </cell>
          <cell r="AD677">
            <v>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>
            <v>0</v>
          </cell>
          <cell r="AM677">
            <v>0</v>
          </cell>
          <cell r="AN677">
            <v>0</v>
          </cell>
          <cell r="AO677">
            <v>0</v>
          </cell>
          <cell r="AP677">
            <v>0</v>
          </cell>
          <cell r="AQ677">
            <v>0</v>
          </cell>
          <cell r="AR677">
            <v>0</v>
          </cell>
        </row>
        <row r="678">
          <cell r="B678" t="str">
            <v xml:space="preserve">                GY1-2380</v>
          </cell>
          <cell r="C678" t="str">
            <v>Undertaking a Supply Chain Analysis &amp; Recommendations by inputs from PMs, Bidders, Contractors &amp; Suppliers</v>
          </cell>
          <cell r="D678">
            <v>279405</v>
          </cell>
          <cell r="E678">
            <v>1</v>
          </cell>
          <cell r="F678">
            <v>3.2162714026798186E-4</v>
          </cell>
          <cell r="G678">
            <v>3.2162714026798186E-4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9.5814164554484501E-5</v>
          </cell>
          <cell r="P678">
            <v>9.1456045146977194E-5</v>
          </cell>
          <cell r="Q678">
            <v>7.086145605038097E-5</v>
          </cell>
          <cell r="R678">
            <v>4.5546146486223366E-5</v>
          </cell>
          <cell r="S678">
            <v>1.7430175401076507E-5</v>
          </cell>
          <cell r="T678">
            <v>5.1915262883935453E-7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>
            <v>0</v>
          </cell>
          <cell r="AC678">
            <v>0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0</v>
          </cell>
          <cell r="AM678">
            <v>0</v>
          </cell>
          <cell r="AN678">
            <v>0</v>
          </cell>
          <cell r="AO678">
            <v>0</v>
          </cell>
          <cell r="AP678">
            <v>0</v>
          </cell>
          <cell r="AQ678">
            <v>0</v>
          </cell>
          <cell r="AR678">
            <v>0</v>
          </cell>
        </row>
        <row r="679">
          <cell r="B679" t="str">
            <v xml:space="preserve">                GY1-2420</v>
          </cell>
          <cell r="C679" t="str">
            <v>Meeting PMs, Bidders, Contractors, Suppliers &amp; Supervision Bidders to discuss Potential Issues, Conflicts or Problems</v>
          </cell>
          <cell r="D679">
            <v>266544</v>
          </cell>
          <cell r="E679">
            <v>1</v>
          </cell>
          <cell r="F679">
            <v>3.0682265698748758E-4</v>
          </cell>
          <cell r="G679">
            <v>3.0682265698748758E-4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6.9373065032444641E-5</v>
          </cell>
          <cell r="P679">
            <v>9.6519797728494537E-5</v>
          </cell>
          <cell r="Q679">
            <v>7.4469048819300132E-5</v>
          </cell>
          <cell r="R679">
            <v>4.7375267389162908E-5</v>
          </cell>
          <cell r="S679">
            <v>1.8565174274769643E-5</v>
          </cell>
          <cell r="T679">
            <v>5.2030374331571665E-7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>
            <v>0</v>
          </cell>
          <cell r="AC679">
            <v>0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0</v>
          </cell>
          <cell r="AM679">
            <v>0</v>
          </cell>
          <cell r="AN679">
            <v>0</v>
          </cell>
          <cell r="AO679">
            <v>0</v>
          </cell>
          <cell r="AP679">
            <v>0</v>
          </cell>
          <cell r="AQ679">
            <v>0</v>
          </cell>
          <cell r="AR679">
            <v>0</v>
          </cell>
        </row>
        <row r="680">
          <cell r="B680" t="str">
            <v xml:space="preserve">                GY1-2440</v>
          </cell>
          <cell r="C680" t="str">
            <v>Forecasting /Analyzing / Assessing Impact on Supply Chain</v>
          </cell>
          <cell r="D680">
            <v>253684</v>
          </cell>
          <cell r="E680">
            <v>1</v>
          </cell>
          <cell r="F680">
            <v>2.920193248214696E-4</v>
          </cell>
          <cell r="G680">
            <v>2.920193248214696E-4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4.2238994595634751E-5</v>
          </cell>
          <cell r="P680">
            <v>1.0220630324172381E-4</v>
          </cell>
          <cell r="Q680">
            <v>7.8114628365939242E-5</v>
          </cell>
          <cell r="R680">
            <v>4.9226259467153329E-5</v>
          </cell>
          <cell r="S680">
            <v>1.9711684293226397E-5</v>
          </cell>
          <cell r="T680">
            <v>5.2145485779207887E-7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>
            <v>0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0</v>
          </cell>
          <cell r="AP680">
            <v>0</v>
          </cell>
          <cell r="AQ680">
            <v>0</v>
          </cell>
          <cell r="AR680">
            <v>0</v>
          </cell>
        </row>
        <row r="681">
          <cell r="B681" t="str">
            <v xml:space="preserve">                GY1-2450</v>
          </cell>
          <cell r="C681" t="str">
            <v>Recommending Mitigation tools to ease to avoid delays, interruptions on local supply chain</v>
          </cell>
          <cell r="D681">
            <v>433679</v>
          </cell>
          <cell r="E681">
            <v>1</v>
          </cell>
          <cell r="F681">
            <v>4.9921417499428468E-4</v>
          </cell>
          <cell r="G681">
            <v>4.9921417499428468E-4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7.220825998772476E-5</v>
          </cell>
          <cell r="P681">
            <v>1.7472536413806638E-4</v>
          </cell>
          <cell r="Q681">
            <v>1.3353963928830302E-4</v>
          </cell>
          <cell r="R681">
            <v>8.4153374908935364E-5</v>
          </cell>
          <cell r="S681">
            <v>3.3696574066550824E-5</v>
          </cell>
          <cell r="T681">
            <v>8.9096260470434675E-7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0</v>
          </cell>
          <cell r="AQ681">
            <v>0</v>
          </cell>
          <cell r="AR681">
            <v>0</v>
          </cell>
        </row>
        <row r="682">
          <cell r="B682" t="str">
            <v xml:space="preserve">                GY1-2460</v>
          </cell>
          <cell r="C682" t="str">
            <v>Developing Strategic Sourcing Solutions &amp; Value Buying</v>
          </cell>
          <cell r="D682">
            <v>411586</v>
          </cell>
          <cell r="E682">
            <v>1</v>
          </cell>
          <cell r="F682">
            <v>4.7378375398249089E-4</v>
          </cell>
          <cell r="G682">
            <v>4.7378375398249089E-4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2.4136568340362715E-5</v>
          </cell>
          <cell r="P682">
            <v>1.842393252852E-4</v>
          </cell>
          <cell r="Q682">
            <v>1.4150880480815858E-4</v>
          </cell>
          <cell r="R682">
            <v>8.7337357550553219E-5</v>
          </cell>
          <cell r="S682">
            <v>3.5667282050082924E-5</v>
          </cell>
          <cell r="T682">
            <v>8.9441594813343342E-7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0</v>
          </cell>
          <cell r="AP682">
            <v>0</v>
          </cell>
          <cell r="AQ682">
            <v>0</v>
          </cell>
          <cell r="AR682">
            <v>0</v>
          </cell>
        </row>
        <row r="683">
          <cell r="B683" t="str">
            <v xml:space="preserve">              TENDERING ADMINISTRATION</v>
          </cell>
          <cell r="D683">
            <v>490447</v>
          </cell>
          <cell r="F683">
            <v>5.6456064158841442E-4</v>
          </cell>
          <cell r="G683">
            <v>5.6456064158841442E-4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5.6456064158841442E-4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0</v>
          </cell>
          <cell r="AN683">
            <v>0</v>
          </cell>
          <cell r="AO683">
            <v>0</v>
          </cell>
          <cell r="AP683">
            <v>0</v>
          </cell>
          <cell r="AQ683">
            <v>0</v>
          </cell>
          <cell r="AR683">
            <v>0</v>
          </cell>
        </row>
        <row r="684">
          <cell r="B684" t="str">
            <v xml:space="preserve">                GY1-1840</v>
          </cell>
          <cell r="C684" t="str">
            <v>Developing Program wide Tender Evaluation &amp; Selection Criteria</v>
          </cell>
          <cell r="D684">
            <v>26020</v>
          </cell>
          <cell r="E684">
            <v>1</v>
          </cell>
          <cell r="F684">
            <v>2.9951998674944572E-5</v>
          </cell>
          <cell r="G684">
            <v>2.9951998674944572E-5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2.9951998674944572E-5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>
            <v>0</v>
          </cell>
          <cell r="AM684">
            <v>0</v>
          </cell>
          <cell r="AN684">
            <v>0</v>
          </cell>
          <cell r="AO684">
            <v>0</v>
          </cell>
          <cell r="AP684">
            <v>0</v>
          </cell>
          <cell r="AQ684">
            <v>0</v>
          </cell>
          <cell r="AR684">
            <v>0</v>
          </cell>
        </row>
        <row r="685">
          <cell r="B685" t="str">
            <v xml:space="preserve">                GY1-1850</v>
          </cell>
          <cell r="C685" t="str">
            <v>Creating, Administering, Assisting in Tendering, Contract Negotiation, Contract Awards</v>
          </cell>
          <cell r="D685">
            <v>26020</v>
          </cell>
          <cell r="E685">
            <v>1</v>
          </cell>
          <cell r="F685">
            <v>2.9951998674944572E-5</v>
          </cell>
          <cell r="G685">
            <v>2.9951998674944572E-5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2.9951998674944572E-5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>
            <v>0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0</v>
          </cell>
          <cell r="AQ685">
            <v>0</v>
          </cell>
          <cell r="AR685">
            <v>0</v>
          </cell>
        </row>
        <row r="686">
          <cell r="B686" t="str">
            <v xml:space="preserve">                GY1-1860</v>
          </cell>
          <cell r="C686" t="str">
            <v>Creating, Reviewing, Monitoring, Evaluating &amp; Reporting on Procurement &amp; Tendering Packages</v>
          </cell>
          <cell r="D686">
            <v>26020</v>
          </cell>
          <cell r="E686">
            <v>1</v>
          </cell>
          <cell r="F686">
            <v>2.9951998674944572E-5</v>
          </cell>
          <cell r="G686">
            <v>2.9951998674944572E-5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2.9951998674944572E-5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>
            <v>0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0</v>
          </cell>
          <cell r="AQ686">
            <v>0</v>
          </cell>
          <cell r="AR686">
            <v>0</v>
          </cell>
        </row>
        <row r="687">
          <cell r="B687" t="str">
            <v xml:space="preserve">                GY1-1870</v>
          </cell>
          <cell r="C687" t="str">
            <v>Overseeing the Development of Activities (By PM) from EOI to Tender</v>
          </cell>
          <cell r="D687">
            <v>7555</v>
          </cell>
          <cell r="E687">
            <v>1</v>
          </cell>
          <cell r="F687">
            <v>8.6966698689164596E-6</v>
          </cell>
          <cell r="G687">
            <v>8.6966698689164596E-6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8.6966698689164596E-6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  <cell r="Q687">
            <v>0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>
            <v>0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0</v>
          </cell>
          <cell r="AP687">
            <v>0</v>
          </cell>
          <cell r="AQ687">
            <v>0</v>
          </cell>
          <cell r="AR687">
            <v>0</v>
          </cell>
        </row>
        <row r="688">
          <cell r="B688" t="str">
            <v xml:space="preserve">                GY1-1880</v>
          </cell>
          <cell r="C688" t="str">
            <v>Ensuring record keeping of Pre-tender &amp; Post-tender Meetings</v>
          </cell>
          <cell r="D688">
            <v>16163</v>
          </cell>
          <cell r="E688">
            <v>1</v>
          </cell>
          <cell r="F688">
            <v>1.8605463281442322E-5</v>
          </cell>
          <cell r="G688">
            <v>1.8605463281442322E-5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1.8605463281442322E-5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0</v>
          </cell>
          <cell r="AQ688">
            <v>0</v>
          </cell>
          <cell r="AR688">
            <v>0</v>
          </cell>
        </row>
        <row r="689">
          <cell r="B689" t="str">
            <v xml:space="preserve">                GY1-1890</v>
          </cell>
          <cell r="C689" t="str">
            <v>Participating &amp; Assisting DMICDC in Negotiation &amp; Contract Finalization upto Award</v>
          </cell>
          <cell r="D689">
            <v>362649</v>
          </cell>
          <cell r="E689">
            <v>1</v>
          </cell>
          <cell r="F689">
            <v>4.1745051373827732E-4</v>
          </cell>
          <cell r="G689">
            <v>4.1745051373827732E-4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4.1745051373827732E-4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0</v>
          </cell>
          <cell r="AQ689">
            <v>0</v>
          </cell>
          <cell r="AR689">
            <v>0</v>
          </cell>
        </row>
        <row r="690">
          <cell r="B690" t="str">
            <v xml:space="preserve">                GY1-1900</v>
          </cell>
          <cell r="C690" t="str">
            <v>Keeping DMICDC informed on any issues that may have any implication</v>
          </cell>
          <cell r="D690">
            <v>26020</v>
          </cell>
          <cell r="E690">
            <v>1</v>
          </cell>
          <cell r="F690">
            <v>2.9951998674944572E-5</v>
          </cell>
          <cell r="G690">
            <v>2.9951998674944572E-5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2.9951998674944572E-5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0</v>
          </cell>
          <cell r="AQ690">
            <v>0</v>
          </cell>
          <cell r="AR690">
            <v>0</v>
          </cell>
        </row>
        <row r="691">
          <cell r="B691" t="str">
            <v xml:space="preserve">            SITE LOGISTICS</v>
          </cell>
          <cell r="D691">
            <v>221507</v>
          </cell>
          <cell r="F691">
            <v>2.5497876320108664E-4</v>
          </cell>
          <cell r="G691">
            <v>2.5497876320108664E-4</v>
          </cell>
          <cell r="H691">
            <v>0</v>
          </cell>
          <cell r="I691">
            <v>7.3330596602177916E-5</v>
          </cell>
          <cell r="J691">
            <v>8.1692292158472968E-5</v>
          </cell>
          <cell r="K691">
            <v>2.3205316728985692E-5</v>
          </cell>
          <cell r="L691">
            <v>7.6750557711450016E-5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0</v>
          </cell>
          <cell r="AM691">
            <v>0</v>
          </cell>
          <cell r="AN691">
            <v>0</v>
          </cell>
          <cell r="AO691">
            <v>0</v>
          </cell>
          <cell r="AP691">
            <v>0</v>
          </cell>
          <cell r="AQ691">
            <v>0</v>
          </cell>
          <cell r="AR691">
            <v>0</v>
          </cell>
        </row>
        <row r="692">
          <cell r="B692" t="str">
            <v xml:space="preserve">              GY1-1060</v>
          </cell>
          <cell r="C692" t="str">
            <v>Developing, Reviewing &amp; Updating a Global Logistics Plan</v>
          </cell>
          <cell r="D692">
            <v>72616</v>
          </cell>
          <cell r="E692">
            <v>1</v>
          </cell>
          <cell r="F692">
            <v>8.358932881551788E-5</v>
          </cell>
          <cell r="G692">
            <v>8.3589328815517893E-5</v>
          </cell>
          <cell r="H692">
            <v>0</v>
          </cell>
          <cell r="I692">
            <v>7.3330596602177916E-5</v>
          </cell>
          <cell r="J692">
            <v>1.0258732213339972E-5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0</v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0</v>
          </cell>
          <cell r="AM692">
            <v>0</v>
          </cell>
          <cell r="AN692">
            <v>0</v>
          </cell>
          <cell r="AO692">
            <v>0</v>
          </cell>
          <cell r="AP692">
            <v>0</v>
          </cell>
          <cell r="AQ692">
            <v>0</v>
          </cell>
          <cell r="AR692">
            <v>0</v>
          </cell>
        </row>
        <row r="693">
          <cell r="B693" t="str">
            <v xml:space="preserve">              GY1-1320</v>
          </cell>
          <cell r="C693" t="str">
            <v>Analyzing local &amp; Regional Conditions to determine Supply &amp; Demand Requirements</v>
          </cell>
          <cell r="D693">
            <v>63206</v>
          </cell>
          <cell r="E693">
            <v>1</v>
          </cell>
          <cell r="F693">
            <v>7.275619047847317E-5</v>
          </cell>
          <cell r="G693">
            <v>7.275619047847317E-5</v>
          </cell>
          <cell r="H693">
            <v>0</v>
          </cell>
          <cell r="I693">
            <v>0</v>
          </cell>
          <cell r="J693">
            <v>7.1433559945132991E-5</v>
          </cell>
          <cell r="K693">
            <v>1.3226305333401735E-6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0</v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>
            <v>0</v>
          </cell>
          <cell r="AM693">
            <v>0</v>
          </cell>
          <cell r="AN693">
            <v>0</v>
          </cell>
          <cell r="AO693">
            <v>0</v>
          </cell>
          <cell r="AP693">
            <v>0</v>
          </cell>
          <cell r="AQ693">
            <v>0</v>
          </cell>
          <cell r="AR693">
            <v>0</v>
          </cell>
        </row>
        <row r="694">
          <cell r="B694" t="str">
            <v xml:space="preserve">              GY1-1500</v>
          </cell>
          <cell r="C694" t="str">
            <v>Developing, Reviewing &amp; Updating Traffic &amp; Construction Access Managments Plans</v>
          </cell>
          <cell r="D694">
            <v>13069</v>
          </cell>
          <cell r="E694">
            <v>1</v>
          </cell>
          <cell r="F694">
            <v>1.5043915091577658E-5</v>
          </cell>
          <cell r="G694">
            <v>1.5043915091577658E-5</v>
          </cell>
          <cell r="H694">
            <v>0</v>
          </cell>
          <cell r="I694">
            <v>0</v>
          </cell>
          <cell r="J694">
            <v>0</v>
          </cell>
          <cell r="K694">
            <v>1.5043915091577658E-5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0</v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>
            <v>0</v>
          </cell>
          <cell r="AM694">
            <v>0</v>
          </cell>
          <cell r="AN694">
            <v>0</v>
          </cell>
          <cell r="AO694">
            <v>0</v>
          </cell>
          <cell r="AP694">
            <v>0</v>
          </cell>
          <cell r="AQ694">
            <v>0</v>
          </cell>
          <cell r="AR694">
            <v>0</v>
          </cell>
        </row>
        <row r="695">
          <cell r="B695" t="str">
            <v xml:space="preserve">              GY1-1700</v>
          </cell>
          <cell r="C695" t="str">
            <v>Determining Integrated Logistics Plan for the Projects</v>
          </cell>
          <cell r="D695">
            <v>72616</v>
          </cell>
          <cell r="E695">
            <v>1</v>
          </cell>
          <cell r="F695">
            <v>8.358932881551788E-5</v>
          </cell>
          <cell r="G695">
            <v>8.358932881551788E-5</v>
          </cell>
          <cell r="H695">
            <v>0</v>
          </cell>
          <cell r="I695">
            <v>0</v>
          </cell>
          <cell r="J695">
            <v>0</v>
          </cell>
          <cell r="K695">
            <v>6.8387711040678599E-6</v>
          </cell>
          <cell r="L695">
            <v>7.6750557711450016E-5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0</v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>
            <v>0</v>
          </cell>
          <cell r="AC695">
            <v>0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0</v>
          </cell>
          <cell r="AM695">
            <v>0</v>
          </cell>
          <cell r="AN695">
            <v>0</v>
          </cell>
          <cell r="AO695">
            <v>0</v>
          </cell>
          <cell r="AP695">
            <v>0</v>
          </cell>
          <cell r="AQ695">
            <v>0</v>
          </cell>
          <cell r="AR695">
            <v>0</v>
          </cell>
        </row>
        <row r="696">
          <cell r="B696" t="str">
            <v xml:space="preserve">            CONSTRUCTION PROGRAM MANAGEMENT</v>
          </cell>
          <cell r="D696">
            <v>4280721</v>
          </cell>
          <cell r="F696">
            <v>4.9276137257414105E-3</v>
          </cell>
          <cell r="G696">
            <v>4.9276137257414114E-3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4.6953107666101836E-3</v>
          </cell>
          <cell r="S696">
            <v>2.323029591312275E-4</v>
          </cell>
          <cell r="T696">
            <v>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>
            <v>0</v>
          </cell>
          <cell r="AC696">
            <v>0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>
            <v>0</v>
          </cell>
          <cell r="AM696">
            <v>0</v>
          </cell>
          <cell r="AN696">
            <v>0</v>
          </cell>
          <cell r="AO696">
            <v>0</v>
          </cell>
          <cell r="AP696">
            <v>0</v>
          </cell>
          <cell r="AQ696">
            <v>0</v>
          </cell>
          <cell r="AR696">
            <v>0</v>
          </cell>
        </row>
        <row r="697">
          <cell r="B697" t="str">
            <v xml:space="preserve">              EXHIBITION HALL 1</v>
          </cell>
          <cell r="D697">
            <v>1445223</v>
          </cell>
          <cell r="F697">
            <v>1.6636217213295205E-3</v>
          </cell>
          <cell r="G697">
            <v>1.6636217213295203E-3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1.5851928387115343E-3</v>
          </cell>
          <cell r="S697">
            <v>7.8428882617986119E-5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0</v>
          </cell>
          <cell r="AQ697">
            <v>0</v>
          </cell>
          <cell r="AR697">
            <v>0</v>
          </cell>
        </row>
        <row r="698">
          <cell r="B698" t="str">
            <v xml:space="preserve">                PLANNING &amp; CONTROLS</v>
          </cell>
          <cell r="D698">
            <v>808136</v>
          </cell>
          <cell r="F698">
            <v>9.3025819958392317E-4</v>
          </cell>
          <cell r="G698">
            <v>9.3025819958392339E-4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8.8640304026347606E-4</v>
          </cell>
          <cell r="S698">
            <v>4.385515932044729E-5</v>
          </cell>
          <cell r="T698">
            <v>0</v>
          </cell>
          <cell r="U698">
            <v>0</v>
          </cell>
          <cell r="V698">
            <v>0</v>
          </cell>
          <cell r="W698">
            <v>0</v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>
            <v>0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0</v>
          </cell>
          <cell r="AM698">
            <v>0</v>
          </cell>
          <cell r="AN698">
            <v>0</v>
          </cell>
          <cell r="AO698">
            <v>0</v>
          </cell>
          <cell r="AP698">
            <v>0</v>
          </cell>
          <cell r="AQ698">
            <v>0</v>
          </cell>
          <cell r="AR698">
            <v>0</v>
          </cell>
        </row>
        <row r="699">
          <cell r="B699" t="str">
            <v xml:space="preserve">                  GY1-3170</v>
          </cell>
          <cell r="C699" t="str">
            <v>Overall Supervision &amp; Monitoring of Construction Work Package</v>
          </cell>
          <cell r="D699">
            <v>60551</v>
          </cell>
          <cell r="E699">
            <v>1</v>
          </cell>
          <cell r="F699">
            <v>6.9702283772684243E-5</v>
          </cell>
          <cell r="G699">
            <v>6.9702283772684243E-5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6.6415851942670145E-5</v>
          </cell>
          <cell r="S699">
            <v>3.2864318300140955E-6</v>
          </cell>
          <cell r="T699">
            <v>0</v>
          </cell>
          <cell r="U699">
            <v>0</v>
          </cell>
          <cell r="V699">
            <v>0</v>
          </cell>
          <cell r="W699">
            <v>0</v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>
            <v>0</v>
          </cell>
          <cell r="AC699">
            <v>0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0</v>
          </cell>
          <cell r="AQ699">
            <v>0</v>
          </cell>
          <cell r="AR699">
            <v>0</v>
          </cell>
        </row>
        <row r="700">
          <cell r="B700" t="str">
            <v xml:space="preserve">                  GY1-3180</v>
          </cell>
          <cell r="C700" t="str">
            <v>Management of Site Infrastructure</v>
          </cell>
          <cell r="D700">
            <v>95187</v>
          </cell>
          <cell r="E700">
            <v>1</v>
          </cell>
          <cell r="F700">
            <v>1.0957113366148921E-4</v>
          </cell>
          <cell r="G700">
            <v>1.0957113366148921E-4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1.04406083006052E-4</v>
          </cell>
          <cell r="S700">
            <v>5.165050655437214E-6</v>
          </cell>
          <cell r="T700">
            <v>0</v>
          </cell>
          <cell r="U700">
            <v>0</v>
          </cell>
          <cell r="V700">
            <v>0</v>
          </cell>
          <cell r="W700">
            <v>0</v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>
            <v>0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0</v>
          </cell>
          <cell r="AP700">
            <v>0</v>
          </cell>
          <cell r="AQ700">
            <v>0</v>
          </cell>
          <cell r="AR700">
            <v>0</v>
          </cell>
        </row>
        <row r="701">
          <cell r="B701" t="str">
            <v xml:space="preserve">                  GY1-3190</v>
          </cell>
          <cell r="C701" t="str">
            <v>Work Scope Coordination</v>
          </cell>
          <cell r="D701">
            <v>60551</v>
          </cell>
          <cell r="E701">
            <v>1</v>
          </cell>
          <cell r="F701">
            <v>6.9702283772684243E-5</v>
          </cell>
          <cell r="G701">
            <v>6.9702283772684243E-5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6.6415851942670145E-5</v>
          </cell>
          <cell r="S701">
            <v>3.2864318300140955E-6</v>
          </cell>
          <cell r="T701">
            <v>0</v>
          </cell>
          <cell r="U701">
            <v>0</v>
          </cell>
          <cell r="V701">
            <v>0</v>
          </cell>
          <cell r="W701">
            <v>0</v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>
            <v>0</v>
          </cell>
          <cell r="AC701">
            <v>0</v>
          </cell>
          <cell r="AD701">
            <v>0</v>
          </cell>
          <cell r="AE701">
            <v>0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0</v>
          </cell>
          <cell r="AP701">
            <v>0</v>
          </cell>
          <cell r="AQ701">
            <v>0</v>
          </cell>
          <cell r="AR701">
            <v>0</v>
          </cell>
        </row>
        <row r="702">
          <cell r="B702" t="str">
            <v xml:space="preserve">                  GY1-3200</v>
          </cell>
          <cell r="C702" t="str">
            <v>Workforce Management</v>
          </cell>
          <cell r="D702">
            <v>38770</v>
          </cell>
          <cell r="E702">
            <v>1</v>
          </cell>
          <cell r="F702">
            <v>4.4628708248562689E-5</v>
          </cell>
          <cell r="G702">
            <v>4.4628708248562689E-5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4.2524470985772581E-5</v>
          </cell>
          <cell r="S702">
            <v>2.1042372627901106E-6</v>
          </cell>
          <cell r="T702">
            <v>0</v>
          </cell>
          <cell r="U702">
            <v>0</v>
          </cell>
          <cell r="V702">
            <v>0</v>
          </cell>
          <cell r="W702">
            <v>0</v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0</v>
          </cell>
          <cell r="AQ702">
            <v>0</v>
          </cell>
          <cell r="AR702">
            <v>0</v>
          </cell>
        </row>
        <row r="703">
          <cell r="B703" t="str">
            <v xml:space="preserve">                  GY1-3210</v>
          </cell>
          <cell r="C703" t="str">
            <v>Document Management Practices</v>
          </cell>
          <cell r="D703">
            <v>62711</v>
          </cell>
          <cell r="E703">
            <v>1</v>
          </cell>
          <cell r="F703">
            <v>7.2186388812673873E-5</v>
          </cell>
          <cell r="G703">
            <v>7.2186388812673873E-5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6.8783694420547197E-5</v>
          </cell>
          <cell r="S703">
            <v>3.4026943921266776E-6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>
            <v>0</v>
          </cell>
          <cell r="AC703">
            <v>0</v>
          </cell>
          <cell r="AD703">
            <v>0</v>
          </cell>
          <cell r="AE703">
            <v>0</v>
          </cell>
          <cell r="AF703">
            <v>0</v>
          </cell>
          <cell r="AG703">
            <v>0</v>
          </cell>
          <cell r="AH703">
            <v>0</v>
          </cell>
          <cell r="AI703">
            <v>0</v>
          </cell>
          <cell r="AJ703">
            <v>0</v>
          </cell>
          <cell r="AK703">
            <v>0</v>
          </cell>
          <cell r="AL703">
            <v>0</v>
          </cell>
          <cell r="AM703">
            <v>0</v>
          </cell>
          <cell r="AN703">
            <v>0</v>
          </cell>
          <cell r="AO703">
            <v>0</v>
          </cell>
          <cell r="AP703">
            <v>0</v>
          </cell>
          <cell r="AQ703">
            <v>0</v>
          </cell>
          <cell r="AR703">
            <v>0</v>
          </cell>
        </row>
        <row r="704">
          <cell r="B704" t="str">
            <v xml:space="preserve">                  GY1-3220</v>
          </cell>
          <cell r="C704" t="str">
            <v>Schedule &amp; Progress Management</v>
          </cell>
          <cell r="D704">
            <v>34018</v>
          </cell>
          <cell r="E704">
            <v>1</v>
          </cell>
          <cell r="F704">
            <v>3.9158612256889488E-5</v>
          </cell>
          <cell r="G704">
            <v>3.9158612256889488E-5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>
            <v>0</v>
          </cell>
          <cell r="R704">
            <v>3.731222463680451E-5</v>
          </cell>
          <cell r="S704">
            <v>1.8463876200849769E-6</v>
          </cell>
          <cell r="T704">
            <v>0</v>
          </cell>
          <cell r="U704">
            <v>0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>
            <v>0</v>
          </cell>
          <cell r="AC704">
            <v>0</v>
          </cell>
          <cell r="AD704">
            <v>0</v>
          </cell>
          <cell r="AE704">
            <v>0</v>
          </cell>
          <cell r="AF704">
            <v>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0</v>
          </cell>
          <cell r="AN704">
            <v>0</v>
          </cell>
          <cell r="AO704">
            <v>0</v>
          </cell>
          <cell r="AP704">
            <v>0</v>
          </cell>
          <cell r="AQ704">
            <v>0</v>
          </cell>
          <cell r="AR704">
            <v>0</v>
          </cell>
        </row>
        <row r="705">
          <cell r="B705" t="str">
            <v xml:space="preserve">                  GY1-3230</v>
          </cell>
          <cell r="C705" t="str">
            <v>Material Management Process</v>
          </cell>
          <cell r="D705">
            <v>95187</v>
          </cell>
          <cell r="E705">
            <v>1</v>
          </cell>
          <cell r="F705">
            <v>1.0957113366148921E-4</v>
          </cell>
          <cell r="G705">
            <v>1.0957113366148921E-4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1.04406083006052E-4</v>
          </cell>
          <cell r="S705">
            <v>5.165050655437214E-6</v>
          </cell>
          <cell r="T705">
            <v>0</v>
          </cell>
          <cell r="U705">
            <v>0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>
            <v>0</v>
          </cell>
          <cell r="AC705">
            <v>0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0</v>
          </cell>
          <cell r="AI705">
            <v>0</v>
          </cell>
          <cell r="AJ705">
            <v>0</v>
          </cell>
          <cell r="AK705">
            <v>0</v>
          </cell>
          <cell r="AL705">
            <v>0</v>
          </cell>
          <cell r="AM705">
            <v>0</v>
          </cell>
          <cell r="AN705">
            <v>0</v>
          </cell>
          <cell r="AO705">
            <v>0</v>
          </cell>
          <cell r="AP705">
            <v>0</v>
          </cell>
          <cell r="AQ705">
            <v>0</v>
          </cell>
          <cell r="AR705">
            <v>0</v>
          </cell>
        </row>
        <row r="706">
          <cell r="B706" t="str">
            <v xml:space="preserve">                  GY1-3240</v>
          </cell>
          <cell r="C706" t="str">
            <v>Financial Management</v>
          </cell>
          <cell r="D706">
            <v>82437</v>
          </cell>
          <cell r="E706">
            <v>1</v>
          </cell>
          <cell r="F706">
            <v>9.4894424087871093E-5</v>
          </cell>
          <cell r="G706">
            <v>9.4894424087871093E-5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9.0421193232727569E-5</v>
          </cell>
          <cell r="S706">
            <v>4.4732308551435285E-6</v>
          </cell>
          <cell r="T706">
            <v>0</v>
          </cell>
          <cell r="U706">
            <v>0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0</v>
          </cell>
          <cell r="AQ706">
            <v>0</v>
          </cell>
          <cell r="AR706">
            <v>0</v>
          </cell>
        </row>
        <row r="707">
          <cell r="B707" t="str">
            <v xml:space="preserve">                  GY1-3250</v>
          </cell>
          <cell r="C707" t="str">
            <v>Final Sign off on all Construction Related Design (GFCs) etc..</v>
          </cell>
          <cell r="D707">
            <v>231484</v>
          </cell>
          <cell r="E707">
            <v>1</v>
          </cell>
          <cell r="F707">
            <v>2.6646458344622867E-4</v>
          </cell>
          <cell r="G707">
            <v>2.6646458344622867E-4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2.5390247116568792E-4</v>
          </cell>
          <cell r="S707">
            <v>1.2562112280540745E-5</v>
          </cell>
          <cell r="T707">
            <v>0</v>
          </cell>
          <cell r="U707">
            <v>0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>
            <v>0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0</v>
          </cell>
          <cell r="AP707">
            <v>0</v>
          </cell>
          <cell r="AQ707">
            <v>0</v>
          </cell>
          <cell r="AR707">
            <v>0</v>
          </cell>
        </row>
        <row r="708">
          <cell r="B708" t="str">
            <v xml:space="preserve">                  GY1-3280</v>
          </cell>
          <cell r="C708" t="str">
            <v>Determine EOT, Compensation &amp; Relief from Penalties</v>
          </cell>
          <cell r="D708">
            <v>47240</v>
          </cell>
          <cell r="E708">
            <v>1</v>
          </cell>
          <cell r="F708">
            <v>5.4378647863350566E-5</v>
          </cell>
          <cell r="G708">
            <v>5.4378647863350559E-5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5.1815115924491927E-5</v>
          </cell>
          <cell r="S708">
            <v>2.5635319388586307E-6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>
            <v>0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0</v>
          </cell>
          <cell r="AQ708">
            <v>0</v>
          </cell>
          <cell r="AR708">
            <v>0</v>
          </cell>
        </row>
        <row r="709">
          <cell r="B709" t="str">
            <v xml:space="preserve">                CONSTRUCTION DESIGN &amp; DETAILS</v>
          </cell>
          <cell r="D709">
            <v>231484</v>
          </cell>
          <cell r="F709">
            <v>2.6646458344622867E-4</v>
          </cell>
          <cell r="G709">
            <v>2.6646458344622867E-4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2.5390247116568792E-4</v>
          </cell>
          <cell r="S709">
            <v>1.2562112280540745E-5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>
            <v>0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0</v>
          </cell>
          <cell r="AP709">
            <v>0</v>
          </cell>
          <cell r="AQ709">
            <v>0</v>
          </cell>
          <cell r="AR709">
            <v>0</v>
          </cell>
        </row>
        <row r="710">
          <cell r="B710" t="str">
            <v xml:space="preserve">                  GY1-3260</v>
          </cell>
          <cell r="C710" t="str">
            <v>Reviewing Design Documents &amp; Preparing Details</v>
          </cell>
          <cell r="D710">
            <v>231484</v>
          </cell>
          <cell r="E710">
            <v>1</v>
          </cell>
          <cell r="F710">
            <v>2.6646458344622867E-4</v>
          </cell>
          <cell r="G710">
            <v>2.6646458344622867E-4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2.5390247116568792E-4</v>
          </cell>
          <cell r="S710">
            <v>1.2562112280540745E-5</v>
          </cell>
          <cell r="T710">
            <v>0</v>
          </cell>
          <cell r="U710">
            <v>0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>
            <v>0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0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0</v>
          </cell>
          <cell r="AP710">
            <v>0</v>
          </cell>
          <cell r="AQ710">
            <v>0</v>
          </cell>
          <cell r="AR710">
            <v>0</v>
          </cell>
        </row>
        <row r="711">
          <cell r="B711" t="str">
            <v xml:space="preserve">                CONSTRUCTION PROCUREMENT &amp; CONTRACTS MANAGEMENT</v>
          </cell>
          <cell r="D711">
            <v>95554</v>
          </cell>
          <cell r="F711">
            <v>1.099947437887905E-4</v>
          </cell>
          <cell r="G711">
            <v>1.0999474378879049E-4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1.0480897307277876E-4</v>
          </cell>
          <cell r="S711">
            <v>5.1857707160117344E-6</v>
          </cell>
          <cell r="T711">
            <v>0</v>
          </cell>
          <cell r="U711">
            <v>0</v>
          </cell>
          <cell r="V711">
            <v>0</v>
          </cell>
          <cell r="W711">
            <v>0</v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>
            <v>0</v>
          </cell>
          <cell r="AC711">
            <v>0</v>
          </cell>
          <cell r="AD711">
            <v>0</v>
          </cell>
          <cell r="AE711">
            <v>0</v>
          </cell>
          <cell r="AF711">
            <v>0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0</v>
          </cell>
          <cell r="AM711">
            <v>0</v>
          </cell>
          <cell r="AN711">
            <v>0</v>
          </cell>
          <cell r="AO711">
            <v>0</v>
          </cell>
          <cell r="AP711">
            <v>0</v>
          </cell>
          <cell r="AQ711">
            <v>0</v>
          </cell>
          <cell r="AR711">
            <v>0</v>
          </cell>
        </row>
        <row r="712">
          <cell r="B712" t="str">
            <v xml:space="preserve">                  GY1-3270</v>
          </cell>
          <cell r="C712" t="str">
            <v>Monitoring site availability, Land Acquisitions and Permits</v>
          </cell>
          <cell r="D712">
            <v>21781</v>
          </cell>
          <cell r="E712">
            <v>1</v>
          </cell>
          <cell r="F712">
            <v>2.507357552412155E-5</v>
          </cell>
          <cell r="G712">
            <v>2.507357552412155E-5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2.3891380956897564E-5</v>
          </cell>
          <cell r="S712">
            <v>1.1821945672239845E-6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>
            <v>0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0</v>
          </cell>
          <cell r="AP712">
            <v>0</v>
          </cell>
          <cell r="AQ712">
            <v>0</v>
          </cell>
          <cell r="AR712">
            <v>0</v>
          </cell>
        </row>
        <row r="713">
          <cell r="B713" t="str">
            <v xml:space="preserve">                  GY1-3290</v>
          </cell>
          <cell r="C713" t="str">
            <v>Supervision, Administration &amp; Management of Construction Contracts</v>
          </cell>
          <cell r="D713">
            <v>73773</v>
          </cell>
          <cell r="E713">
            <v>1</v>
          </cell>
          <cell r="F713">
            <v>8.4921168264668958E-5</v>
          </cell>
          <cell r="G713">
            <v>8.4921168264668945E-5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8.0917592115881199E-5</v>
          </cell>
          <cell r="S713">
            <v>4.0035761487877495E-6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0</v>
          </cell>
          <cell r="AQ713">
            <v>0</v>
          </cell>
          <cell r="AR713">
            <v>0</v>
          </cell>
        </row>
        <row r="714">
          <cell r="B714" t="str">
            <v xml:space="preserve">                CONSTRUCTION QA / QC MANAGEMENT</v>
          </cell>
          <cell r="D714">
            <v>296827</v>
          </cell>
          <cell r="F714">
            <v>3.4168415890411695E-4</v>
          </cell>
          <cell r="G714">
            <v>3.4168415890411695E-4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3.2557546292190425E-4</v>
          </cell>
          <cell r="S714">
            <v>1.6108695982212697E-5</v>
          </cell>
          <cell r="T714">
            <v>0</v>
          </cell>
          <cell r="U714">
            <v>0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>
            <v>0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0</v>
          </cell>
          <cell r="AH714">
            <v>0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0</v>
          </cell>
          <cell r="AP714">
            <v>0</v>
          </cell>
          <cell r="AQ714">
            <v>0</v>
          </cell>
          <cell r="AR714">
            <v>0</v>
          </cell>
        </row>
        <row r="715">
          <cell r="B715" t="str">
            <v xml:space="preserve">                  GY1-3100</v>
          </cell>
          <cell r="C715" t="str">
            <v>Ensuring Quality Control of Works, including Test Reports for Material &amp; Construction</v>
          </cell>
          <cell r="D715">
            <v>21781</v>
          </cell>
          <cell r="E715">
            <v>1</v>
          </cell>
          <cell r="F715">
            <v>2.507357552412155E-5</v>
          </cell>
          <cell r="G715">
            <v>2.507357552412155E-5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2.3891380956897564E-5</v>
          </cell>
          <cell r="S715">
            <v>1.1821945672239845E-6</v>
          </cell>
          <cell r="T715">
            <v>0</v>
          </cell>
          <cell r="U715">
            <v>0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>
            <v>0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0</v>
          </cell>
          <cell r="AQ715">
            <v>0</v>
          </cell>
          <cell r="AR715">
            <v>0</v>
          </cell>
        </row>
        <row r="716">
          <cell r="B716" t="str">
            <v xml:space="preserve">                  GY1-3130</v>
          </cell>
          <cell r="C716" t="str">
            <v>Reviewing &amp; Recommending Quality Assurance Programme (Test Checks, RFIs)</v>
          </cell>
          <cell r="D716">
            <v>21781</v>
          </cell>
          <cell r="E716">
            <v>1</v>
          </cell>
          <cell r="F716">
            <v>2.507357552412155E-5</v>
          </cell>
          <cell r="G716">
            <v>2.507357552412155E-5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2.3891380956897564E-5</v>
          </cell>
          <cell r="S716">
            <v>1.1821945672239845E-6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0</v>
          </cell>
          <cell r="AQ716">
            <v>0</v>
          </cell>
          <cell r="AR716">
            <v>0</v>
          </cell>
        </row>
        <row r="717">
          <cell r="B717" t="str">
            <v xml:space="preserve">                  GY1-3310</v>
          </cell>
          <cell r="C717" t="str">
            <v>Reviewing As Built Drawings &amp; Completion Records</v>
          </cell>
          <cell r="D717">
            <v>253265</v>
          </cell>
          <cell r="E717">
            <v>1</v>
          </cell>
          <cell r="F717">
            <v>2.9153700785587385E-4</v>
          </cell>
          <cell r="G717">
            <v>2.9153700785587385E-4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  <cell r="R717">
            <v>2.777927010081091E-4</v>
          </cell>
          <cell r="S717">
            <v>1.3744306847764729E-5</v>
          </cell>
          <cell r="T717">
            <v>0</v>
          </cell>
          <cell r="U717">
            <v>0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>
            <v>0</v>
          </cell>
          <cell r="AC717">
            <v>0</v>
          </cell>
          <cell r="AD717">
            <v>0</v>
          </cell>
          <cell r="AE717">
            <v>0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0</v>
          </cell>
          <cell r="AQ717">
            <v>0</v>
          </cell>
          <cell r="AR717">
            <v>0</v>
          </cell>
        </row>
        <row r="718">
          <cell r="B718" t="str">
            <v xml:space="preserve">                CONSTRUCTION INVOICE MANAGEMENT</v>
          </cell>
          <cell r="D718">
            <v>13222</v>
          </cell>
          <cell r="F718">
            <v>1.5220035606461075E-5</v>
          </cell>
          <cell r="G718">
            <v>1.5220035606461075E-5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1.4502891287687421E-5</v>
          </cell>
          <cell r="S718">
            <v>7.1714431877365366E-7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>
            <v>0</v>
          </cell>
          <cell r="AC718">
            <v>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0</v>
          </cell>
          <cell r="AM718">
            <v>0</v>
          </cell>
          <cell r="AN718">
            <v>0</v>
          </cell>
          <cell r="AO718">
            <v>0</v>
          </cell>
          <cell r="AP718">
            <v>0</v>
          </cell>
          <cell r="AQ718">
            <v>0</v>
          </cell>
          <cell r="AR718">
            <v>0</v>
          </cell>
        </row>
        <row r="719">
          <cell r="B719" t="str">
            <v xml:space="preserve">                  GY1-3300</v>
          </cell>
          <cell r="C719" t="str">
            <v>Certifications of the Bills for Payments</v>
          </cell>
          <cell r="D719">
            <v>13222</v>
          </cell>
          <cell r="E719">
            <v>1</v>
          </cell>
          <cell r="F719">
            <v>1.5220035606461075E-5</v>
          </cell>
          <cell r="G719">
            <v>1.5220035606461075E-5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1.4502891287687421E-5</v>
          </cell>
          <cell r="S719">
            <v>7.1714431877365366E-7</v>
          </cell>
          <cell r="T719">
            <v>0</v>
          </cell>
          <cell r="U719">
            <v>0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>
            <v>0</v>
          </cell>
          <cell r="AC719">
            <v>0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>
            <v>0</v>
          </cell>
          <cell r="AM719">
            <v>0</v>
          </cell>
          <cell r="AN719">
            <v>0</v>
          </cell>
          <cell r="AO719">
            <v>0</v>
          </cell>
          <cell r="AP719">
            <v>0</v>
          </cell>
          <cell r="AQ719">
            <v>0</v>
          </cell>
          <cell r="AR719">
            <v>0</v>
          </cell>
        </row>
        <row r="720">
          <cell r="B720" t="str">
            <v xml:space="preserve">              CONVENTION CENTRE</v>
          </cell>
          <cell r="D720">
            <v>1417749</v>
          </cell>
          <cell r="F720">
            <v>1.6319960022059452E-3</v>
          </cell>
          <cell r="G720">
            <v>1.6319960022059454E-3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1.5550589639493247E-3</v>
          </cell>
          <cell r="S720">
            <v>7.6937038256620689E-5</v>
          </cell>
          <cell r="T720">
            <v>0</v>
          </cell>
          <cell r="U720">
            <v>0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>
            <v>0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>
            <v>0</v>
          </cell>
          <cell r="AM720">
            <v>0</v>
          </cell>
          <cell r="AN720">
            <v>0</v>
          </cell>
          <cell r="AO720">
            <v>0</v>
          </cell>
          <cell r="AP720">
            <v>0</v>
          </cell>
          <cell r="AQ720">
            <v>0</v>
          </cell>
          <cell r="AR720">
            <v>0</v>
          </cell>
        </row>
        <row r="721">
          <cell r="B721" t="str">
            <v xml:space="preserve">                PLANNING &amp; CONTROLS</v>
          </cell>
          <cell r="D721">
            <v>808136</v>
          </cell>
          <cell r="F721">
            <v>9.3025819958392317E-4</v>
          </cell>
          <cell r="G721">
            <v>9.3025819958392339E-4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8.8640304026347606E-4</v>
          </cell>
          <cell r="S721">
            <v>4.385515932044729E-5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0</v>
          </cell>
          <cell r="AQ721">
            <v>0</v>
          </cell>
          <cell r="AR721">
            <v>0</v>
          </cell>
        </row>
        <row r="722">
          <cell r="B722" t="str">
            <v xml:space="preserve">                  GY1-3320</v>
          </cell>
          <cell r="C722" t="str">
            <v>Overall Supervision &amp; Monitoring of Construction Work Package</v>
          </cell>
          <cell r="D722">
            <v>60551</v>
          </cell>
          <cell r="E722">
            <v>1</v>
          </cell>
          <cell r="F722">
            <v>6.9702283772684243E-5</v>
          </cell>
          <cell r="G722">
            <v>6.9702283772684243E-5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</v>
          </cell>
          <cell r="R722">
            <v>6.6415851942670145E-5</v>
          </cell>
          <cell r="S722">
            <v>3.2864318300140955E-6</v>
          </cell>
          <cell r="T722">
            <v>0</v>
          </cell>
          <cell r="U722">
            <v>0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0</v>
          </cell>
          <cell r="AP722">
            <v>0</v>
          </cell>
          <cell r="AQ722">
            <v>0</v>
          </cell>
          <cell r="AR722">
            <v>0</v>
          </cell>
        </row>
        <row r="723">
          <cell r="B723" t="str">
            <v xml:space="preserve">                  GY1-3330</v>
          </cell>
          <cell r="C723" t="str">
            <v>Management of Site Infrastructure</v>
          </cell>
          <cell r="D723">
            <v>95187</v>
          </cell>
          <cell r="E723">
            <v>1</v>
          </cell>
          <cell r="F723">
            <v>1.0957113366148921E-4</v>
          </cell>
          <cell r="G723">
            <v>1.0957113366148921E-4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1.04406083006052E-4</v>
          </cell>
          <cell r="S723">
            <v>5.165050655437214E-6</v>
          </cell>
          <cell r="T723">
            <v>0</v>
          </cell>
          <cell r="U723">
            <v>0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0</v>
          </cell>
          <cell r="AQ723">
            <v>0</v>
          </cell>
          <cell r="AR723">
            <v>0</v>
          </cell>
        </row>
        <row r="724">
          <cell r="B724" t="str">
            <v xml:space="preserve">                  GY1-3340</v>
          </cell>
          <cell r="C724" t="str">
            <v>Work Scope Coordination</v>
          </cell>
          <cell r="D724">
            <v>60551</v>
          </cell>
          <cell r="E724">
            <v>1</v>
          </cell>
          <cell r="F724">
            <v>6.9702283772684243E-5</v>
          </cell>
          <cell r="G724">
            <v>6.9702283772684243E-5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6.6415851942670145E-5</v>
          </cell>
          <cell r="S724">
            <v>3.2864318300140955E-6</v>
          </cell>
          <cell r="T724">
            <v>0</v>
          </cell>
          <cell r="U724">
            <v>0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0</v>
          </cell>
          <cell r="AQ724">
            <v>0</v>
          </cell>
          <cell r="AR724">
            <v>0</v>
          </cell>
        </row>
        <row r="725">
          <cell r="B725" t="str">
            <v xml:space="preserve">                  GY1-3350</v>
          </cell>
          <cell r="C725" t="str">
            <v>Workforce Management</v>
          </cell>
          <cell r="D725">
            <v>38770</v>
          </cell>
          <cell r="E725">
            <v>1</v>
          </cell>
          <cell r="F725">
            <v>4.4628708248562689E-5</v>
          </cell>
          <cell r="G725">
            <v>4.4628708248562689E-5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4.2524470985772581E-5</v>
          </cell>
          <cell r="S725">
            <v>2.1042372627901106E-6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0</v>
          </cell>
          <cell r="AN725">
            <v>0</v>
          </cell>
          <cell r="AO725">
            <v>0</v>
          </cell>
          <cell r="AP725">
            <v>0</v>
          </cell>
          <cell r="AQ725">
            <v>0</v>
          </cell>
          <cell r="AR725">
            <v>0</v>
          </cell>
        </row>
        <row r="726">
          <cell r="B726" t="str">
            <v xml:space="preserve">                  GY1-3360</v>
          </cell>
          <cell r="C726" t="str">
            <v>Document Management Practices</v>
          </cell>
          <cell r="D726">
            <v>62711</v>
          </cell>
          <cell r="E726">
            <v>1</v>
          </cell>
          <cell r="F726">
            <v>7.2186388812673873E-5</v>
          </cell>
          <cell r="G726">
            <v>7.2186388812673873E-5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6.8783694420547197E-5</v>
          </cell>
          <cell r="S726">
            <v>3.4026943921266776E-6</v>
          </cell>
          <cell r="T726">
            <v>0</v>
          </cell>
          <cell r="U726">
            <v>0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>
            <v>0</v>
          </cell>
          <cell r="AM726">
            <v>0</v>
          </cell>
          <cell r="AN726">
            <v>0</v>
          </cell>
          <cell r="AO726">
            <v>0</v>
          </cell>
          <cell r="AP726">
            <v>0</v>
          </cell>
          <cell r="AQ726">
            <v>0</v>
          </cell>
          <cell r="AR726">
            <v>0</v>
          </cell>
        </row>
        <row r="727">
          <cell r="B727" t="str">
            <v xml:space="preserve">                  GY1-3370</v>
          </cell>
          <cell r="C727" t="str">
            <v>Schedule &amp; Progress Management</v>
          </cell>
          <cell r="D727">
            <v>34018</v>
          </cell>
          <cell r="E727">
            <v>1</v>
          </cell>
          <cell r="F727">
            <v>3.9158612256889488E-5</v>
          </cell>
          <cell r="G727">
            <v>3.9158612256889488E-5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3.731222463680451E-5</v>
          </cell>
          <cell r="S727">
            <v>1.8463876200849769E-6</v>
          </cell>
          <cell r="T727">
            <v>0</v>
          </cell>
          <cell r="U727">
            <v>0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0</v>
          </cell>
          <cell r="AM727">
            <v>0</v>
          </cell>
          <cell r="AN727">
            <v>0</v>
          </cell>
          <cell r="AO727">
            <v>0</v>
          </cell>
          <cell r="AP727">
            <v>0</v>
          </cell>
          <cell r="AQ727">
            <v>0</v>
          </cell>
          <cell r="AR727">
            <v>0</v>
          </cell>
        </row>
        <row r="728">
          <cell r="B728" t="str">
            <v xml:space="preserve">                  GY1-3380</v>
          </cell>
          <cell r="C728" t="str">
            <v>Material Management Process</v>
          </cell>
          <cell r="D728">
            <v>95187</v>
          </cell>
          <cell r="E728">
            <v>1</v>
          </cell>
          <cell r="F728">
            <v>1.0957113366148921E-4</v>
          </cell>
          <cell r="G728">
            <v>1.0957113366148921E-4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1.04406083006052E-4</v>
          </cell>
          <cell r="S728">
            <v>5.165050655437214E-6</v>
          </cell>
          <cell r="T728">
            <v>0</v>
          </cell>
          <cell r="U728">
            <v>0</v>
          </cell>
          <cell r="V728">
            <v>0</v>
          </cell>
          <cell r="W728">
            <v>0</v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>
            <v>0</v>
          </cell>
          <cell r="AC728">
            <v>0</v>
          </cell>
          <cell r="AD728">
            <v>0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>
            <v>0</v>
          </cell>
          <cell r="AM728">
            <v>0</v>
          </cell>
          <cell r="AN728">
            <v>0</v>
          </cell>
          <cell r="AO728">
            <v>0</v>
          </cell>
          <cell r="AP728">
            <v>0</v>
          </cell>
          <cell r="AQ728">
            <v>0</v>
          </cell>
          <cell r="AR728">
            <v>0</v>
          </cell>
        </row>
        <row r="729">
          <cell r="B729" t="str">
            <v xml:space="preserve">                  GY1-3390</v>
          </cell>
          <cell r="C729" t="str">
            <v>Financial Management</v>
          </cell>
          <cell r="D729">
            <v>82437</v>
          </cell>
          <cell r="E729">
            <v>1</v>
          </cell>
          <cell r="F729">
            <v>9.4894424087871093E-5</v>
          </cell>
          <cell r="G729">
            <v>9.4894424087871093E-5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9.0421193232727569E-5</v>
          </cell>
          <cell r="S729">
            <v>4.4732308551435285E-6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0</v>
          </cell>
          <cell r="AQ729">
            <v>0</v>
          </cell>
          <cell r="AR729">
            <v>0</v>
          </cell>
        </row>
        <row r="730">
          <cell r="B730" t="str">
            <v xml:space="preserve">                  GY1-3400</v>
          </cell>
          <cell r="C730" t="str">
            <v>Final Sign off on all Construction Related Design (GFCs) etc..</v>
          </cell>
          <cell r="D730">
            <v>231484</v>
          </cell>
          <cell r="E730">
            <v>1</v>
          </cell>
          <cell r="F730">
            <v>2.6646458344622867E-4</v>
          </cell>
          <cell r="G730">
            <v>2.6646458344622867E-4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2.5390247116568792E-4</v>
          </cell>
          <cell r="S730">
            <v>1.2562112280540745E-5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>
            <v>0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0</v>
          </cell>
          <cell r="AP730">
            <v>0</v>
          </cell>
          <cell r="AQ730">
            <v>0</v>
          </cell>
          <cell r="AR730">
            <v>0</v>
          </cell>
        </row>
        <row r="731">
          <cell r="B731" t="str">
            <v xml:space="preserve">                  GY1-3430</v>
          </cell>
          <cell r="C731" t="str">
            <v>Determine EOT, Compensation &amp; Relief from Penalties</v>
          </cell>
          <cell r="D731">
            <v>47240</v>
          </cell>
          <cell r="E731">
            <v>1</v>
          </cell>
          <cell r="F731">
            <v>5.4378647863350566E-5</v>
          </cell>
          <cell r="G731">
            <v>5.4378647863350559E-5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5.1815115924491927E-5</v>
          </cell>
          <cell r="S731">
            <v>2.5635319388586307E-6</v>
          </cell>
          <cell r="T731">
            <v>0</v>
          </cell>
          <cell r="U731">
            <v>0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>
            <v>0</v>
          </cell>
          <cell r="AC731">
            <v>0</v>
          </cell>
          <cell r="AD731">
            <v>0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0</v>
          </cell>
          <cell r="AQ731">
            <v>0</v>
          </cell>
          <cell r="AR731">
            <v>0</v>
          </cell>
        </row>
        <row r="732">
          <cell r="B732" t="str">
            <v xml:space="preserve">                CONSTRUCTION DESIGN &amp; DETAILS</v>
          </cell>
          <cell r="D732">
            <v>231484</v>
          </cell>
          <cell r="F732">
            <v>2.6646458344622867E-4</v>
          </cell>
          <cell r="G732">
            <v>2.6646458344622867E-4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2.5390247116568792E-4</v>
          </cell>
          <cell r="S732">
            <v>1.2562112280540745E-5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0</v>
          </cell>
          <cell r="AM732">
            <v>0</v>
          </cell>
          <cell r="AN732">
            <v>0</v>
          </cell>
          <cell r="AO732">
            <v>0</v>
          </cell>
          <cell r="AP732">
            <v>0</v>
          </cell>
          <cell r="AQ732">
            <v>0</v>
          </cell>
          <cell r="AR732">
            <v>0</v>
          </cell>
        </row>
        <row r="733">
          <cell r="B733" t="str">
            <v xml:space="preserve">                  GY1-3410</v>
          </cell>
          <cell r="C733" t="str">
            <v>Reviewing Design Documents &amp; Preparing Details</v>
          </cell>
          <cell r="D733">
            <v>231484</v>
          </cell>
          <cell r="E733">
            <v>1</v>
          </cell>
          <cell r="F733">
            <v>2.6646458344622867E-4</v>
          </cell>
          <cell r="G733">
            <v>2.6646458344622867E-4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2.5390247116568792E-4</v>
          </cell>
          <cell r="S733">
            <v>1.2562112280540745E-5</v>
          </cell>
          <cell r="T733">
            <v>0</v>
          </cell>
          <cell r="U733">
            <v>0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>
            <v>0</v>
          </cell>
          <cell r="AC733">
            <v>0</v>
          </cell>
          <cell r="AD733">
            <v>0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0</v>
          </cell>
          <cell r="AQ733">
            <v>0</v>
          </cell>
          <cell r="AR733">
            <v>0</v>
          </cell>
        </row>
        <row r="734">
          <cell r="B734" t="str">
            <v xml:space="preserve">                CONSTRUCTION PROCUREMENT &amp; CONTRACTS MANAGEMENT</v>
          </cell>
          <cell r="D734">
            <v>95554</v>
          </cell>
          <cell r="F734">
            <v>1.099947437887905E-4</v>
          </cell>
          <cell r="G734">
            <v>1.0999474378879049E-4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1.0480897307277876E-4</v>
          </cell>
          <cell r="S734">
            <v>5.1857707160117344E-6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>
            <v>0</v>
          </cell>
          <cell r="AC734">
            <v>0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0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0</v>
          </cell>
          <cell r="AQ734">
            <v>0</v>
          </cell>
          <cell r="AR734">
            <v>0</v>
          </cell>
        </row>
        <row r="735">
          <cell r="B735" t="str">
            <v xml:space="preserve">                  GY1-3420</v>
          </cell>
          <cell r="C735" t="str">
            <v>Monitoring site availability, Land Acquisitions and Permits</v>
          </cell>
          <cell r="D735">
            <v>21781</v>
          </cell>
          <cell r="E735">
            <v>1</v>
          </cell>
          <cell r="F735">
            <v>2.507357552412155E-5</v>
          </cell>
          <cell r="G735">
            <v>2.507357552412155E-5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2.3891380956897564E-5</v>
          </cell>
          <cell r="S735">
            <v>1.1821945672239845E-6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>
            <v>0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0</v>
          </cell>
          <cell r="AL735">
            <v>0</v>
          </cell>
          <cell r="AM735">
            <v>0</v>
          </cell>
          <cell r="AN735">
            <v>0</v>
          </cell>
          <cell r="AO735">
            <v>0</v>
          </cell>
          <cell r="AP735">
            <v>0</v>
          </cell>
          <cell r="AQ735">
            <v>0</v>
          </cell>
          <cell r="AR735">
            <v>0</v>
          </cell>
        </row>
        <row r="736">
          <cell r="B736" t="str">
            <v xml:space="preserve">                  GY1-3440</v>
          </cell>
          <cell r="C736" t="str">
            <v>Supervision, Administration &amp; Management of Construction Contracts</v>
          </cell>
          <cell r="D736">
            <v>73773</v>
          </cell>
          <cell r="E736">
            <v>1</v>
          </cell>
          <cell r="F736">
            <v>8.4921168264668958E-5</v>
          </cell>
          <cell r="G736">
            <v>8.4921168264668945E-5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8.0917592115881199E-5</v>
          </cell>
          <cell r="S736">
            <v>4.0035761487877495E-6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>
            <v>0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0</v>
          </cell>
          <cell r="AI736">
            <v>0</v>
          </cell>
          <cell r="AJ736">
            <v>0</v>
          </cell>
          <cell r="AK736">
            <v>0</v>
          </cell>
          <cell r="AL736">
            <v>0</v>
          </cell>
          <cell r="AM736">
            <v>0</v>
          </cell>
          <cell r="AN736">
            <v>0</v>
          </cell>
          <cell r="AO736">
            <v>0</v>
          </cell>
          <cell r="AP736">
            <v>0</v>
          </cell>
          <cell r="AQ736">
            <v>0</v>
          </cell>
          <cell r="AR736">
            <v>0</v>
          </cell>
        </row>
        <row r="737">
          <cell r="B737" t="str">
            <v xml:space="preserve">                CONSTRUCTION QA / QC MANAGEMENT</v>
          </cell>
          <cell r="D737">
            <v>269353</v>
          </cell>
          <cell r="F737">
            <v>3.1005843978054173E-4</v>
          </cell>
          <cell r="G737">
            <v>3.1005843978054173E-4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2.9544158815969447E-4</v>
          </cell>
          <cell r="S737">
            <v>1.4616851620847278E-5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>
            <v>0</v>
          </cell>
          <cell r="AC737">
            <v>0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0</v>
          </cell>
          <cell r="AI737">
            <v>0</v>
          </cell>
          <cell r="AJ737">
            <v>0</v>
          </cell>
          <cell r="AK737">
            <v>0</v>
          </cell>
          <cell r="AL737">
            <v>0</v>
          </cell>
          <cell r="AM737">
            <v>0</v>
          </cell>
          <cell r="AN737">
            <v>0</v>
          </cell>
          <cell r="AO737">
            <v>0</v>
          </cell>
          <cell r="AP737">
            <v>0</v>
          </cell>
          <cell r="AQ737">
            <v>0</v>
          </cell>
          <cell r="AR737">
            <v>0</v>
          </cell>
        </row>
        <row r="738">
          <cell r="B738" t="str">
            <v xml:space="preserve">                  GY1-3140</v>
          </cell>
          <cell r="C738" t="str">
            <v>Reviewing &amp; Recommending Quality Assurance Programme (Test Checks, RFIs)</v>
          </cell>
          <cell r="D738">
            <v>21781</v>
          </cell>
          <cell r="E738">
            <v>1</v>
          </cell>
          <cell r="F738">
            <v>2.507357552412155E-5</v>
          </cell>
          <cell r="G738">
            <v>2.507357552412155E-5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2.3891380956897564E-5</v>
          </cell>
          <cell r="S738">
            <v>1.1821945672239845E-6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>
            <v>0</v>
          </cell>
          <cell r="AC738">
            <v>0</v>
          </cell>
          <cell r="AD738">
            <v>0</v>
          </cell>
          <cell r="AE738">
            <v>0</v>
          </cell>
          <cell r="AF738">
            <v>0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0</v>
          </cell>
          <cell r="AL738">
            <v>0</v>
          </cell>
          <cell r="AM738">
            <v>0</v>
          </cell>
          <cell r="AN738">
            <v>0</v>
          </cell>
          <cell r="AO738">
            <v>0</v>
          </cell>
          <cell r="AP738">
            <v>0</v>
          </cell>
          <cell r="AQ738">
            <v>0</v>
          </cell>
          <cell r="AR738">
            <v>0</v>
          </cell>
        </row>
        <row r="739">
          <cell r="B739" t="str">
            <v xml:space="preserve">                  GY1-3150</v>
          </cell>
          <cell r="C739" t="str">
            <v>Ensuring Quality Control of Works, including Test Reports for Material &amp; Construction</v>
          </cell>
          <cell r="D739">
            <v>21781</v>
          </cell>
          <cell r="E739">
            <v>1</v>
          </cell>
          <cell r="F739">
            <v>2.507357552412155E-5</v>
          </cell>
          <cell r="G739">
            <v>2.507357552412155E-5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2.3891380956897564E-5</v>
          </cell>
          <cell r="S739">
            <v>1.1821945672239845E-6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>
            <v>0</v>
          </cell>
          <cell r="AC739">
            <v>0</v>
          </cell>
          <cell r="AD739">
            <v>0</v>
          </cell>
          <cell r="AE739">
            <v>0</v>
          </cell>
          <cell r="AF739">
            <v>0</v>
          </cell>
          <cell r="AG739">
            <v>0</v>
          </cell>
          <cell r="AH739">
            <v>0</v>
          </cell>
          <cell r="AI739">
            <v>0</v>
          </cell>
          <cell r="AJ739">
            <v>0</v>
          </cell>
          <cell r="AK739">
            <v>0</v>
          </cell>
          <cell r="AL739">
            <v>0</v>
          </cell>
          <cell r="AM739">
            <v>0</v>
          </cell>
          <cell r="AN739">
            <v>0</v>
          </cell>
          <cell r="AO739">
            <v>0</v>
          </cell>
          <cell r="AP739">
            <v>0</v>
          </cell>
          <cell r="AQ739">
            <v>0</v>
          </cell>
          <cell r="AR739">
            <v>0</v>
          </cell>
        </row>
        <row r="740">
          <cell r="B740" t="str">
            <v xml:space="preserve">                  GY1-3460</v>
          </cell>
          <cell r="C740" t="str">
            <v>Reviewing As Built Drawings Drawings &amp; Completion Records</v>
          </cell>
          <cell r="D740">
            <v>225791</v>
          </cell>
          <cell r="E740">
            <v>1</v>
          </cell>
          <cell r="F740">
            <v>2.5991128873229863E-4</v>
          </cell>
          <cell r="G740">
            <v>2.5991128873229863E-4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Q740">
            <v>0</v>
          </cell>
          <cell r="R740">
            <v>2.4765882624589933E-4</v>
          </cell>
          <cell r="S740">
            <v>1.225246248639931E-5</v>
          </cell>
          <cell r="T740">
            <v>0</v>
          </cell>
          <cell r="U740">
            <v>0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>
            <v>0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0</v>
          </cell>
          <cell r="AP740">
            <v>0</v>
          </cell>
          <cell r="AQ740">
            <v>0</v>
          </cell>
          <cell r="AR740">
            <v>0</v>
          </cell>
        </row>
        <row r="741">
          <cell r="B741" t="str">
            <v xml:space="preserve">                CONSTRUCTION INVOICE MANAGEMENT</v>
          </cell>
          <cell r="D741">
            <v>13222</v>
          </cell>
          <cell r="F741">
            <v>1.5220035606461075E-5</v>
          </cell>
          <cell r="G741">
            <v>1.5220035606461075E-5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1.4502891287687421E-5</v>
          </cell>
          <cell r="S741">
            <v>7.1714431877365366E-7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>
            <v>0</v>
          </cell>
          <cell r="AC741">
            <v>0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0</v>
          </cell>
          <cell r="AQ741">
            <v>0</v>
          </cell>
          <cell r="AR741">
            <v>0</v>
          </cell>
        </row>
        <row r="742">
          <cell r="B742" t="str">
            <v xml:space="preserve">                  GY1-3450</v>
          </cell>
          <cell r="C742" t="str">
            <v>Certifications of the Bills for Payments</v>
          </cell>
          <cell r="D742">
            <v>13222</v>
          </cell>
          <cell r="E742">
            <v>1</v>
          </cell>
          <cell r="F742">
            <v>1.5220035606461075E-5</v>
          </cell>
          <cell r="G742">
            <v>1.5220035606461075E-5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1.4502891287687421E-5</v>
          </cell>
          <cell r="S742">
            <v>7.1714431877365366E-7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>
            <v>0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0</v>
          </cell>
          <cell r="AM742">
            <v>0</v>
          </cell>
          <cell r="AN742">
            <v>0</v>
          </cell>
          <cell r="AO742">
            <v>0</v>
          </cell>
          <cell r="AP742">
            <v>0</v>
          </cell>
          <cell r="AQ742">
            <v>0</v>
          </cell>
          <cell r="AR742">
            <v>0</v>
          </cell>
        </row>
        <row r="743">
          <cell r="B743" t="str">
            <v xml:space="preserve">              TRUNK SERVICES</v>
          </cell>
          <cell r="D743">
            <v>1417749</v>
          </cell>
          <cell r="F743">
            <v>1.6319960022059452E-3</v>
          </cell>
          <cell r="G743">
            <v>1.6319960022059454E-3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1.5550589639493247E-3</v>
          </cell>
          <cell r="S743">
            <v>7.6937038256620689E-5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>
            <v>0</v>
          </cell>
          <cell r="AC743">
            <v>0</v>
          </cell>
          <cell r="AD743">
            <v>0</v>
          </cell>
          <cell r="AE743">
            <v>0</v>
          </cell>
          <cell r="AF743">
            <v>0</v>
          </cell>
          <cell r="AG743">
            <v>0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0</v>
          </cell>
          <cell r="AM743">
            <v>0</v>
          </cell>
          <cell r="AN743">
            <v>0</v>
          </cell>
          <cell r="AO743">
            <v>0</v>
          </cell>
          <cell r="AP743">
            <v>0</v>
          </cell>
          <cell r="AQ743">
            <v>0</v>
          </cell>
          <cell r="AR743">
            <v>0</v>
          </cell>
        </row>
        <row r="744">
          <cell r="B744" t="str">
            <v xml:space="preserve">                PLANNING &amp; CONTROLS</v>
          </cell>
          <cell r="D744">
            <v>808136</v>
          </cell>
          <cell r="F744">
            <v>9.3025819958392317E-4</v>
          </cell>
          <cell r="G744">
            <v>9.3025819958392339E-4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8.8640304026347606E-4</v>
          </cell>
          <cell r="S744">
            <v>4.385515932044729E-5</v>
          </cell>
          <cell r="T744">
            <v>0</v>
          </cell>
          <cell r="U744">
            <v>0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0</v>
          </cell>
          <cell r="AL744">
            <v>0</v>
          </cell>
          <cell r="AM744">
            <v>0</v>
          </cell>
          <cell r="AN744">
            <v>0</v>
          </cell>
          <cell r="AO744">
            <v>0</v>
          </cell>
          <cell r="AP744">
            <v>0</v>
          </cell>
          <cell r="AQ744">
            <v>0</v>
          </cell>
          <cell r="AR744">
            <v>0</v>
          </cell>
        </row>
        <row r="745">
          <cell r="B745" t="str">
            <v xml:space="preserve">                  GY1-3470</v>
          </cell>
          <cell r="C745" t="str">
            <v>Overall Supervision &amp; Monitoring of Construction Work Package</v>
          </cell>
          <cell r="D745">
            <v>60551</v>
          </cell>
          <cell r="E745">
            <v>1</v>
          </cell>
          <cell r="F745">
            <v>6.9702283772684243E-5</v>
          </cell>
          <cell r="G745">
            <v>6.9702283772684243E-5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6.6415851942670145E-5</v>
          </cell>
          <cell r="S745">
            <v>3.2864318300140955E-6</v>
          </cell>
          <cell r="T745">
            <v>0</v>
          </cell>
          <cell r="U745">
            <v>0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>
            <v>0</v>
          </cell>
          <cell r="AC745">
            <v>0</v>
          </cell>
          <cell r="AD745">
            <v>0</v>
          </cell>
          <cell r="AE745">
            <v>0</v>
          </cell>
          <cell r="AF745">
            <v>0</v>
          </cell>
          <cell r="AG745">
            <v>0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0</v>
          </cell>
          <cell r="AP745">
            <v>0</v>
          </cell>
          <cell r="AQ745">
            <v>0</v>
          </cell>
          <cell r="AR745">
            <v>0</v>
          </cell>
        </row>
        <row r="746">
          <cell r="B746" t="str">
            <v xml:space="preserve">                  GY1-3480</v>
          </cell>
          <cell r="C746" t="str">
            <v>Management of Site Infrastructure</v>
          </cell>
          <cell r="D746">
            <v>95187</v>
          </cell>
          <cell r="E746">
            <v>1</v>
          </cell>
          <cell r="F746">
            <v>1.0957113366148921E-4</v>
          </cell>
          <cell r="G746">
            <v>1.0957113366148921E-4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1.04406083006052E-4</v>
          </cell>
          <cell r="S746">
            <v>5.165050655437214E-6</v>
          </cell>
          <cell r="T746">
            <v>0</v>
          </cell>
          <cell r="U746">
            <v>0</v>
          </cell>
          <cell r="V746">
            <v>0</v>
          </cell>
          <cell r="W746">
            <v>0</v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0</v>
          </cell>
          <cell r="AP746">
            <v>0</v>
          </cell>
          <cell r="AQ746">
            <v>0</v>
          </cell>
          <cell r="AR746">
            <v>0</v>
          </cell>
        </row>
        <row r="747">
          <cell r="B747" t="str">
            <v xml:space="preserve">                  GY1-3490</v>
          </cell>
          <cell r="C747" t="str">
            <v>Work Scope Coordination</v>
          </cell>
          <cell r="D747">
            <v>60551</v>
          </cell>
          <cell r="E747">
            <v>1</v>
          </cell>
          <cell r="F747">
            <v>6.9702283772684243E-5</v>
          </cell>
          <cell r="G747">
            <v>6.9702283772684243E-5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6.6415851942670145E-5</v>
          </cell>
          <cell r="S747">
            <v>3.2864318300140955E-6</v>
          </cell>
          <cell r="T747">
            <v>0</v>
          </cell>
          <cell r="U747">
            <v>0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>
            <v>0</v>
          </cell>
          <cell r="AC747">
            <v>0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0</v>
          </cell>
          <cell r="AQ747">
            <v>0</v>
          </cell>
          <cell r="AR747">
            <v>0</v>
          </cell>
        </row>
        <row r="748">
          <cell r="B748" t="str">
            <v xml:space="preserve">                  GY1-3500</v>
          </cell>
          <cell r="C748" t="str">
            <v>Workforce Management</v>
          </cell>
          <cell r="D748">
            <v>38770</v>
          </cell>
          <cell r="E748">
            <v>1</v>
          </cell>
          <cell r="F748">
            <v>4.4628708248562689E-5</v>
          </cell>
          <cell r="G748">
            <v>4.4628708248562689E-5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4.2524470985772581E-5</v>
          </cell>
          <cell r="S748">
            <v>2.1042372627901106E-6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0</v>
          </cell>
          <cell r="AP748">
            <v>0</v>
          </cell>
          <cell r="AQ748">
            <v>0</v>
          </cell>
          <cell r="AR748">
            <v>0</v>
          </cell>
        </row>
        <row r="749">
          <cell r="B749" t="str">
            <v xml:space="preserve">                  GY1-3510</v>
          </cell>
          <cell r="C749" t="str">
            <v>Document Management Practices</v>
          </cell>
          <cell r="D749">
            <v>62711</v>
          </cell>
          <cell r="E749">
            <v>1</v>
          </cell>
          <cell r="F749">
            <v>7.2186388812673873E-5</v>
          </cell>
          <cell r="G749">
            <v>7.2186388812673873E-5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6.8783694420547197E-5</v>
          </cell>
          <cell r="S749">
            <v>3.4026943921266776E-6</v>
          </cell>
          <cell r="T749">
            <v>0</v>
          </cell>
          <cell r="U749">
            <v>0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>
            <v>0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0</v>
          </cell>
          <cell r="AH749">
            <v>0</v>
          </cell>
          <cell r="AI749">
            <v>0</v>
          </cell>
          <cell r="AJ749">
            <v>0</v>
          </cell>
          <cell r="AK749">
            <v>0</v>
          </cell>
          <cell r="AL749">
            <v>0</v>
          </cell>
          <cell r="AM749">
            <v>0</v>
          </cell>
          <cell r="AN749">
            <v>0</v>
          </cell>
          <cell r="AO749">
            <v>0</v>
          </cell>
          <cell r="AP749">
            <v>0</v>
          </cell>
          <cell r="AQ749">
            <v>0</v>
          </cell>
          <cell r="AR749">
            <v>0</v>
          </cell>
        </row>
        <row r="750">
          <cell r="B750" t="str">
            <v xml:space="preserve">                  GY1-3520</v>
          </cell>
          <cell r="C750" t="str">
            <v>Schedule &amp; Progress Management</v>
          </cell>
          <cell r="D750">
            <v>34018</v>
          </cell>
          <cell r="E750">
            <v>1</v>
          </cell>
          <cell r="F750">
            <v>3.9158612256889488E-5</v>
          </cell>
          <cell r="G750">
            <v>3.9158612256889488E-5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3.731222463680451E-5</v>
          </cell>
          <cell r="S750">
            <v>1.8463876200849769E-6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>
            <v>0</v>
          </cell>
          <cell r="AM750">
            <v>0</v>
          </cell>
          <cell r="AN750">
            <v>0</v>
          </cell>
          <cell r="AO750">
            <v>0</v>
          </cell>
          <cell r="AP750">
            <v>0</v>
          </cell>
          <cell r="AQ750">
            <v>0</v>
          </cell>
          <cell r="AR750">
            <v>0</v>
          </cell>
        </row>
        <row r="751">
          <cell r="B751" t="str">
            <v xml:space="preserve">                  GY1-3530</v>
          </cell>
          <cell r="C751" t="str">
            <v>Material Management Process</v>
          </cell>
          <cell r="D751">
            <v>95187</v>
          </cell>
          <cell r="E751">
            <v>1</v>
          </cell>
          <cell r="F751">
            <v>1.0957113366148921E-4</v>
          </cell>
          <cell r="G751">
            <v>1.0957113366148921E-4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1.04406083006052E-4</v>
          </cell>
          <cell r="S751">
            <v>5.165050655437214E-6</v>
          </cell>
          <cell r="T751">
            <v>0</v>
          </cell>
          <cell r="U751">
            <v>0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>
            <v>0</v>
          </cell>
          <cell r="AC751">
            <v>0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0</v>
          </cell>
          <cell r="AM751">
            <v>0</v>
          </cell>
          <cell r="AN751">
            <v>0</v>
          </cell>
          <cell r="AO751">
            <v>0</v>
          </cell>
          <cell r="AP751">
            <v>0</v>
          </cell>
          <cell r="AQ751">
            <v>0</v>
          </cell>
          <cell r="AR751">
            <v>0</v>
          </cell>
        </row>
        <row r="752">
          <cell r="B752" t="str">
            <v xml:space="preserve">                  GY1-3540</v>
          </cell>
          <cell r="C752" t="str">
            <v>Financial Management</v>
          </cell>
          <cell r="D752">
            <v>82437</v>
          </cell>
          <cell r="E752">
            <v>1</v>
          </cell>
          <cell r="F752">
            <v>9.4894424087871093E-5</v>
          </cell>
          <cell r="G752">
            <v>9.4894424087871093E-5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9.0421193232727569E-5</v>
          </cell>
          <cell r="S752">
            <v>4.4732308551435285E-6</v>
          </cell>
          <cell r="T752">
            <v>0</v>
          </cell>
          <cell r="U752">
            <v>0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0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>
            <v>0</v>
          </cell>
          <cell r="AM752">
            <v>0</v>
          </cell>
          <cell r="AN752">
            <v>0</v>
          </cell>
          <cell r="AO752">
            <v>0</v>
          </cell>
          <cell r="AP752">
            <v>0</v>
          </cell>
          <cell r="AQ752">
            <v>0</v>
          </cell>
          <cell r="AR752">
            <v>0</v>
          </cell>
        </row>
        <row r="753">
          <cell r="B753" t="str">
            <v xml:space="preserve">                  GY1-3550</v>
          </cell>
          <cell r="C753" t="str">
            <v>Final Sign off on all Construction Related Design (GFCs) etc..</v>
          </cell>
          <cell r="D753">
            <v>231484</v>
          </cell>
          <cell r="E753">
            <v>1</v>
          </cell>
          <cell r="F753">
            <v>2.6646458344622867E-4</v>
          </cell>
          <cell r="G753">
            <v>2.6646458344622867E-4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2.5390247116568792E-4</v>
          </cell>
          <cell r="S753">
            <v>1.2562112280540745E-5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>
            <v>0</v>
          </cell>
          <cell r="AC753">
            <v>0</v>
          </cell>
          <cell r="AD753">
            <v>0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0</v>
          </cell>
          <cell r="AM753">
            <v>0</v>
          </cell>
          <cell r="AN753">
            <v>0</v>
          </cell>
          <cell r="AO753">
            <v>0</v>
          </cell>
          <cell r="AP753">
            <v>0</v>
          </cell>
          <cell r="AQ753">
            <v>0</v>
          </cell>
          <cell r="AR753">
            <v>0</v>
          </cell>
        </row>
        <row r="754">
          <cell r="B754" t="str">
            <v xml:space="preserve">                  GY1-3580</v>
          </cell>
          <cell r="C754" t="str">
            <v>Determine EOT, Compensation &amp; Relief from Penalties</v>
          </cell>
          <cell r="D754">
            <v>47240</v>
          </cell>
          <cell r="E754">
            <v>1</v>
          </cell>
          <cell r="F754">
            <v>5.4378647863350566E-5</v>
          </cell>
          <cell r="G754">
            <v>5.4378647863350559E-5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5.1815115924491927E-5</v>
          </cell>
          <cell r="S754">
            <v>2.5635319388586307E-6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>
            <v>0</v>
          </cell>
          <cell r="AM754">
            <v>0</v>
          </cell>
          <cell r="AN754">
            <v>0</v>
          </cell>
          <cell r="AO754">
            <v>0</v>
          </cell>
          <cell r="AP754">
            <v>0</v>
          </cell>
          <cell r="AQ754">
            <v>0</v>
          </cell>
          <cell r="AR754">
            <v>0</v>
          </cell>
        </row>
        <row r="755">
          <cell r="B755" t="str">
            <v xml:space="preserve">                CONSTRUCTION DESIGN &amp; DETAILS</v>
          </cell>
          <cell r="D755">
            <v>231484</v>
          </cell>
          <cell r="F755">
            <v>2.6646458344622867E-4</v>
          </cell>
          <cell r="G755">
            <v>2.6646458344622867E-4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2.5390247116568792E-4</v>
          </cell>
          <cell r="S755">
            <v>1.2562112280540745E-5</v>
          </cell>
          <cell r="T755">
            <v>0</v>
          </cell>
          <cell r="U755">
            <v>0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0</v>
          </cell>
          <cell r="AM755">
            <v>0</v>
          </cell>
          <cell r="AN755">
            <v>0</v>
          </cell>
          <cell r="AO755">
            <v>0</v>
          </cell>
          <cell r="AP755">
            <v>0</v>
          </cell>
          <cell r="AQ755">
            <v>0</v>
          </cell>
          <cell r="AR755">
            <v>0</v>
          </cell>
        </row>
        <row r="756">
          <cell r="B756" t="str">
            <v xml:space="preserve">                  GY1-3560</v>
          </cell>
          <cell r="C756" t="str">
            <v>Reviewing Design Documents &amp; Preparing Details</v>
          </cell>
          <cell r="D756">
            <v>231484</v>
          </cell>
          <cell r="E756">
            <v>1</v>
          </cell>
          <cell r="F756">
            <v>2.6646458344622867E-4</v>
          </cell>
          <cell r="G756">
            <v>2.6646458344622867E-4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>
            <v>0</v>
          </cell>
          <cell r="R756">
            <v>2.5390247116568792E-4</v>
          </cell>
          <cell r="S756">
            <v>1.2562112280540745E-5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0</v>
          </cell>
          <cell r="AQ756">
            <v>0</v>
          </cell>
          <cell r="AR756">
            <v>0</v>
          </cell>
        </row>
        <row r="757">
          <cell r="B757" t="str">
            <v xml:space="preserve">                CONSTRUCTION PROCUREMENT &amp; CONTRACTS MANAGEMENT</v>
          </cell>
          <cell r="D757">
            <v>95554</v>
          </cell>
          <cell r="F757">
            <v>1.099947437887905E-4</v>
          </cell>
          <cell r="G757">
            <v>1.0999474378879049E-4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>
            <v>0</v>
          </cell>
          <cell r="R757">
            <v>1.0480897307277876E-4</v>
          </cell>
          <cell r="S757">
            <v>5.1857707160117344E-6</v>
          </cell>
          <cell r="T757">
            <v>0</v>
          </cell>
          <cell r="U757">
            <v>0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0</v>
          </cell>
          <cell r="AP757">
            <v>0</v>
          </cell>
          <cell r="AQ757">
            <v>0</v>
          </cell>
          <cell r="AR757">
            <v>0</v>
          </cell>
        </row>
        <row r="758">
          <cell r="B758" t="str">
            <v xml:space="preserve">                  GY1-3570</v>
          </cell>
          <cell r="C758" t="str">
            <v>Monitoring site availability, Land Acquisitions and Permits</v>
          </cell>
          <cell r="D758">
            <v>21781</v>
          </cell>
          <cell r="E758">
            <v>1</v>
          </cell>
          <cell r="F758">
            <v>2.507357552412155E-5</v>
          </cell>
          <cell r="G758">
            <v>2.507357552412155E-5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2.3891380956897564E-5</v>
          </cell>
          <cell r="S758">
            <v>1.1821945672239845E-6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>
            <v>0</v>
          </cell>
          <cell r="AM758">
            <v>0</v>
          </cell>
          <cell r="AN758">
            <v>0</v>
          </cell>
          <cell r="AO758">
            <v>0</v>
          </cell>
          <cell r="AP758">
            <v>0</v>
          </cell>
          <cell r="AQ758">
            <v>0</v>
          </cell>
          <cell r="AR758">
            <v>0</v>
          </cell>
        </row>
        <row r="759">
          <cell r="B759" t="str">
            <v xml:space="preserve">                  GY1-3590</v>
          </cell>
          <cell r="C759" t="str">
            <v>Supervision, Administration &amp; Management of Construction Contracts</v>
          </cell>
          <cell r="D759">
            <v>73773</v>
          </cell>
          <cell r="E759">
            <v>1</v>
          </cell>
          <cell r="F759">
            <v>8.4921168264668958E-5</v>
          </cell>
          <cell r="G759">
            <v>8.4921168264668945E-5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>
            <v>0</v>
          </cell>
          <cell r="R759">
            <v>8.0917592115881199E-5</v>
          </cell>
          <cell r="S759">
            <v>4.0035761487877495E-6</v>
          </cell>
          <cell r="T759">
            <v>0</v>
          </cell>
          <cell r="U759">
            <v>0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0</v>
          </cell>
          <cell r="AN759">
            <v>0</v>
          </cell>
          <cell r="AO759">
            <v>0</v>
          </cell>
          <cell r="AP759">
            <v>0</v>
          </cell>
          <cell r="AQ759">
            <v>0</v>
          </cell>
          <cell r="AR759">
            <v>0</v>
          </cell>
        </row>
        <row r="760">
          <cell r="B760" t="str">
            <v xml:space="preserve">                CONSTRUCTION QA / QC MANAGEMENT</v>
          </cell>
          <cell r="D760">
            <v>269353</v>
          </cell>
          <cell r="F760">
            <v>3.1005843978054173E-4</v>
          </cell>
          <cell r="G760">
            <v>3.1005843978054173E-4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>
            <v>2.9544158815969447E-4</v>
          </cell>
          <cell r="S760">
            <v>1.4616851620847278E-5</v>
          </cell>
          <cell r="T760">
            <v>0</v>
          </cell>
          <cell r="U760">
            <v>0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0</v>
          </cell>
          <cell r="AN760">
            <v>0</v>
          </cell>
          <cell r="AO760">
            <v>0</v>
          </cell>
          <cell r="AP760">
            <v>0</v>
          </cell>
          <cell r="AQ760">
            <v>0</v>
          </cell>
          <cell r="AR760">
            <v>0</v>
          </cell>
        </row>
        <row r="761">
          <cell r="B761" t="str">
            <v xml:space="preserve">                  GY1-3110</v>
          </cell>
          <cell r="C761" t="str">
            <v>Ensuring Quality Control of Works, including Test Reports for Material &amp; Construction</v>
          </cell>
          <cell r="D761">
            <v>21781</v>
          </cell>
          <cell r="E761">
            <v>1</v>
          </cell>
          <cell r="F761">
            <v>2.507357552412155E-5</v>
          </cell>
          <cell r="G761">
            <v>2.507357552412155E-5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2.3891380956897564E-5</v>
          </cell>
          <cell r="S761">
            <v>1.1821945672239845E-6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>
            <v>0</v>
          </cell>
          <cell r="AM761">
            <v>0</v>
          </cell>
          <cell r="AN761">
            <v>0</v>
          </cell>
          <cell r="AO761">
            <v>0</v>
          </cell>
          <cell r="AP761">
            <v>0</v>
          </cell>
          <cell r="AQ761">
            <v>0</v>
          </cell>
          <cell r="AR761">
            <v>0</v>
          </cell>
        </row>
        <row r="762">
          <cell r="B762" t="str">
            <v xml:space="preserve">                  GY1-3160</v>
          </cell>
          <cell r="C762" t="str">
            <v>Reviewing &amp; Recommending Quality Assurance Programme (Test Checks, RFIs)</v>
          </cell>
          <cell r="D762">
            <v>21781</v>
          </cell>
          <cell r="E762">
            <v>1</v>
          </cell>
          <cell r="F762">
            <v>2.507357552412155E-5</v>
          </cell>
          <cell r="G762">
            <v>2.507357552412155E-5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2.3891380956897564E-5</v>
          </cell>
          <cell r="S762">
            <v>1.1821945672239845E-6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>
            <v>0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0</v>
          </cell>
          <cell r="AM762">
            <v>0</v>
          </cell>
          <cell r="AN762">
            <v>0</v>
          </cell>
          <cell r="AO762">
            <v>0</v>
          </cell>
          <cell r="AP762">
            <v>0</v>
          </cell>
          <cell r="AQ762">
            <v>0</v>
          </cell>
          <cell r="AR762">
            <v>0</v>
          </cell>
        </row>
        <row r="763">
          <cell r="B763" t="str">
            <v xml:space="preserve">                  GY1-3610</v>
          </cell>
          <cell r="C763" t="str">
            <v>Reviewing As Built Drawings Drawings &amp; Completion Records</v>
          </cell>
          <cell r="D763">
            <v>225791</v>
          </cell>
          <cell r="E763">
            <v>1</v>
          </cell>
          <cell r="F763">
            <v>2.5991128873229863E-4</v>
          </cell>
          <cell r="G763">
            <v>2.5991128873229863E-4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2.4765882624589933E-4</v>
          </cell>
          <cell r="S763">
            <v>1.225246248639931E-5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0</v>
          </cell>
          <cell r="AQ763">
            <v>0</v>
          </cell>
          <cell r="AR763">
            <v>0</v>
          </cell>
        </row>
        <row r="764">
          <cell r="B764" t="str">
            <v xml:space="preserve">                CONSTRUCTION INVOICE MANAGEMENT</v>
          </cell>
          <cell r="D764">
            <v>13222</v>
          </cell>
          <cell r="F764">
            <v>1.5220035606461075E-5</v>
          </cell>
          <cell r="G764">
            <v>1.5220035606461075E-5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0</v>
          </cell>
          <cell r="R764">
            <v>1.4502891287687421E-5</v>
          </cell>
          <cell r="S764">
            <v>7.1714431877365366E-7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>
            <v>0</v>
          </cell>
          <cell r="AC764">
            <v>0</v>
          </cell>
          <cell r="AD764">
            <v>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>
            <v>0</v>
          </cell>
          <cell r="AM764">
            <v>0</v>
          </cell>
          <cell r="AN764">
            <v>0</v>
          </cell>
          <cell r="AO764">
            <v>0</v>
          </cell>
          <cell r="AP764">
            <v>0</v>
          </cell>
          <cell r="AQ764">
            <v>0</v>
          </cell>
          <cell r="AR764">
            <v>0</v>
          </cell>
        </row>
        <row r="765">
          <cell r="B765" t="str">
            <v xml:space="preserve">                  GY1-3600</v>
          </cell>
          <cell r="C765" t="str">
            <v>Certifications of the Bills for Payments</v>
          </cell>
          <cell r="D765">
            <v>13222</v>
          </cell>
          <cell r="E765">
            <v>1</v>
          </cell>
          <cell r="F765">
            <v>1.5220035606461075E-5</v>
          </cell>
          <cell r="G765">
            <v>1.5220035606461075E-5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1.4502891287687421E-5</v>
          </cell>
          <cell r="S765">
            <v>7.1714431877365366E-7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>
            <v>0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0</v>
          </cell>
          <cell r="AP765">
            <v>0</v>
          </cell>
          <cell r="AQ765">
            <v>0</v>
          </cell>
          <cell r="AR765">
            <v>0</v>
          </cell>
        </row>
        <row r="766">
          <cell r="B766" t="str">
            <v xml:space="preserve">            COMMISSIONING</v>
          </cell>
          <cell r="D766">
            <v>856770</v>
          </cell>
          <cell r="F766">
            <v>9.862403499128463E-4</v>
          </cell>
          <cell r="G766">
            <v>9.8624034991284652E-4</v>
          </cell>
          <cell r="H766">
            <v>0</v>
          </cell>
          <cell r="I766">
            <v>0</v>
          </cell>
          <cell r="J766">
            <v>1.4832110027927011E-4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7.9841760526273094E-4</v>
          </cell>
          <cell r="S766">
            <v>3.9501644370845432E-5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>
            <v>0</v>
          </cell>
          <cell r="AC766">
            <v>0</v>
          </cell>
          <cell r="AD766">
            <v>0</v>
          </cell>
          <cell r="AE766">
            <v>0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0</v>
          </cell>
          <cell r="AM766">
            <v>0</v>
          </cell>
          <cell r="AN766">
            <v>0</v>
          </cell>
          <cell r="AO766">
            <v>0</v>
          </cell>
          <cell r="AP766">
            <v>0</v>
          </cell>
          <cell r="AQ766">
            <v>0</v>
          </cell>
          <cell r="AR766">
            <v>0</v>
          </cell>
        </row>
        <row r="767">
          <cell r="B767" t="str">
            <v xml:space="preserve">              GY1-1460</v>
          </cell>
          <cell r="C767" t="str">
            <v>Prepare SOP to manage Testing &amp; Commissioning</v>
          </cell>
          <cell r="D767">
            <v>128850</v>
          </cell>
          <cell r="E767">
            <v>1</v>
          </cell>
          <cell r="F767">
            <v>1.4832110027927011E-4</v>
          </cell>
          <cell r="G767">
            <v>1.4832110027927011E-4</v>
          </cell>
          <cell r="H767">
            <v>0</v>
          </cell>
          <cell r="I767">
            <v>0</v>
          </cell>
          <cell r="J767">
            <v>1.4832110027927011E-4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>
            <v>0</v>
          </cell>
          <cell r="AM767">
            <v>0</v>
          </cell>
          <cell r="AN767">
            <v>0</v>
          </cell>
          <cell r="AO767">
            <v>0</v>
          </cell>
          <cell r="AP767">
            <v>0</v>
          </cell>
          <cell r="AQ767">
            <v>0</v>
          </cell>
          <cell r="AR767">
            <v>0</v>
          </cell>
        </row>
        <row r="768">
          <cell r="B768" t="str">
            <v xml:space="preserve">              GY1-3120</v>
          </cell>
          <cell r="C768" t="str">
            <v>Assisting the Client to Manage Statutory Approvals</v>
          </cell>
          <cell r="D768">
            <v>727920</v>
          </cell>
          <cell r="E768">
            <v>1</v>
          </cell>
          <cell r="F768">
            <v>8.379192496335763E-4</v>
          </cell>
          <cell r="G768">
            <v>8.3791924963357641E-4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7.9841760526273094E-4</v>
          </cell>
          <cell r="S768">
            <v>3.9501644370845432E-5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0</v>
          </cell>
          <cell r="AM768">
            <v>0</v>
          </cell>
          <cell r="AN768">
            <v>0</v>
          </cell>
          <cell r="AO768">
            <v>0</v>
          </cell>
          <cell r="AP768">
            <v>0</v>
          </cell>
          <cell r="AQ768">
            <v>0</v>
          </cell>
          <cell r="AR768">
            <v>0</v>
          </cell>
        </row>
        <row r="769">
          <cell r="B769" t="str">
            <v xml:space="preserve">            OPERATIONS &amp; MAINTENANCE (ACTIVATION)</v>
          </cell>
          <cell r="D769">
            <v>96155410</v>
          </cell>
          <cell r="G769">
            <v>0</v>
          </cell>
        </row>
        <row r="770">
          <cell r="B770" t="str">
            <v xml:space="preserve">        CONTRACT MANAGEMENT</v>
          </cell>
          <cell r="D770">
            <v>4067820</v>
          </cell>
          <cell r="F770">
            <v>4.6825241870067525E-3</v>
          </cell>
          <cell r="G770">
            <v>4.6825241870067525E-3</v>
          </cell>
          <cell r="H770">
            <v>0</v>
          </cell>
          <cell r="I770">
            <v>0</v>
          </cell>
          <cell r="J770">
            <v>1.473933020113222E-4</v>
          </cell>
          <cell r="K770">
            <v>5.1599742405964561E-4</v>
          </cell>
          <cell r="L770">
            <v>5.6835701713145686E-4</v>
          </cell>
          <cell r="M770">
            <v>9.0956461464236009E-4</v>
          </cell>
          <cell r="N770">
            <v>6.9140309685324216E-4</v>
          </cell>
          <cell r="O770">
            <v>5.9210796212223824E-4</v>
          </cell>
          <cell r="P770">
            <v>3.7772209981558851E-4</v>
          </cell>
          <cell r="Q770">
            <v>2.4219103248317885E-4</v>
          </cell>
          <cell r="R770">
            <v>1.0046581815346416E-4</v>
          </cell>
          <cell r="S770">
            <v>5.3208309775233122E-4</v>
          </cell>
          <cell r="T770">
            <v>5.2387219819243954E-6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>
            <v>0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>
            <v>0</v>
          </cell>
          <cell r="AM770">
            <v>0</v>
          </cell>
          <cell r="AN770">
            <v>0</v>
          </cell>
          <cell r="AO770">
            <v>0</v>
          </cell>
          <cell r="AP770">
            <v>0</v>
          </cell>
          <cell r="AQ770">
            <v>0</v>
          </cell>
          <cell r="AR770">
            <v>0</v>
          </cell>
        </row>
        <row r="771">
          <cell r="B771" t="str">
            <v xml:space="preserve">          ECC COMPLEX (CONTRACTS MANAGEMENT)</v>
          </cell>
          <cell r="D771">
            <v>2347489</v>
          </cell>
          <cell r="F771">
            <v>2.7022251176576076E-3</v>
          </cell>
          <cell r="G771">
            <v>2.7022251176576071E-3</v>
          </cell>
          <cell r="H771">
            <v>0</v>
          </cell>
          <cell r="I771">
            <v>0</v>
          </cell>
          <cell r="J771">
            <v>1.473933020113222E-4</v>
          </cell>
          <cell r="K771">
            <v>5.1599742405964561E-4</v>
          </cell>
          <cell r="L771">
            <v>4.4288669032245293E-4</v>
          </cell>
          <cell r="M771">
            <v>4.1094786806130718E-4</v>
          </cell>
          <cell r="N771">
            <v>3.3315670286322577E-4</v>
          </cell>
          <cell r="O771">
            <v>3.0648538044591344E-4</v>
          </cell>
          <cell r="P771">
            <v>2.1781503233173278E-4</v>
          </cell>
          <cell r="Q771">
            <v>1.8681667059777498E-4</v>
          </cell>
          <cell r="R771">
            <v>9.1595329998617008E-5</v>
          </cell>
          <cell r="S771">
            <v>4.9130716965615281E-5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0</v>
          </cell>
          <cell r="AQ771">
            <v>0</v>
          </cell>
          <cell r="AR771">
            <v>0</v>
          </cell>
        </row>
        <row r="772">
          <cell r="B772" t="str">
            <v xml:space="preserve">            GY1-1520</v>
          </cell>
          <cell r="C772" t="str">
            <v>Coordinating Contract Dispute Resolutions</v>
          </cell>
          <cell r="D772">
            <v>500894</v>
          </cell>
          <cell r="E772">
            <v>1</v>
          </cell>
          <cell r="F772">
            <v>5.7658518340849402E-4</v>
          </cell>
          <cell r="G772">
            <v>5.7658518340849391E-4</v>
          </cell>
          <cell r="H772">
            <v>0</v>
          </cell>
          <cell r="I772">
            <v>0</v>
          </cell>
          <cell r="J772">
            <v>3.1449598608691807E-5</v>
          </cell>
          <cell r="K772">
            <v>1.1010064632061582E-4</v>
          </cell>
          <cell r="L772">
            <v>9.4500742936955222E-5</v>
          </cell>
          <cell r="M772">
            <v>8.7686145236890968E-5</v>
          </cell>
          <cell r="N772">
            <v>7.1087074487747979E-5</v>
          </cell>
          <cell r="O772">
            <v>6.5395964516613231E-5</v>
          </cell>
          <cell r="P772">
            <v>4.647624698312403E-5</v>
          </cell>
          <cell r="Q772">
            <v>3.98619432019468E-5</v>
          </cell>
          <cell r="R772">
            <v>1.9543621579677515E-5</v>
          </cell>
          <cell r="S772">
            <v>1.0483199536230601E-5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0</v>
          </cell>
          <cell r="AQ772">
            <v>0</v>
          </cell>
          <cell r="AR772">
            <v>0</v>
          </cell>
        </row>
        <row r="773">
          <cell r="B773" t="str">
            <v xml:space="preserve">            GY1-1530</v>
          </cell>
          <cell r="C773" t="str">
            <v>Performing Overall Assessment and Reporting of Prog. Anticipated Final Cost (AFC)</v>
          </cell>
          <cell r="D773">
            <v>159001</v>
          </cell>
          <cell r="E773">
            <v>1</v>
          </cell>
          <cell r="F773">
            <v>1.8302835285606697E-4</v>
          </cell>
          <cell r="G773">
            <v>1.8302835285606697E-4</v>
          </cell>
          <cell r="H773">
            <v>0</v>
          </cell>
          <cell r="I773">
            <v>0</v>
          </cell>
          <cell r="J773">
            <v>9.9836158534894032E-6</v>
          </cell>
          <cell r="K773">
            <v>3.495013773130927E-5</v>
          </cell>
          <cell r="L773">
            <v>2.9998043253999066E-5</v>
          </cell>
          <cell r="M773">
            <v>2.7833948038438117E-5</v>
          </cell>
          <cell r="N773">
            <v>2.2565297080128304E-5</v>
          </cell>
          <cell r="O773">
            <v>2.0759198466716005E-5</v>
          </cell>
          <cell r="P773">
            <v>1.475268312905802E-5</v>
          </cell>
          <cell r="Q773">
            <v>1.2653050324173357E-5</v>
          </cell>
          <cell r="R773">
            <v>6.2045070275922851E-6</v>
          </cell>
          <cell r="S773">
            <v>3.3278719511631347E-6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>
            <v>0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0</v>
          </cell>
          <cell r="AM773">
            <v>0</v>
          </cell>
          <cell r="AN773">
            <v>0</v>
          </cell>
          <cell r="AO773">
            <v>0</v>
          </cell>
          <cell r="AP773">
            <v>0</v>
          </cell>
          <cell r="AQ773">
            <v>0</v>
          </cell>
          <cell r="AR773">
            <v>0</v>
          </cell>
        </row>
        <row r="774">
          <cell r="B774" t="str">
            <v xml:space="preserve">            GY1-1540</v>
          </cell>
          <cell r="C774" t="str">
            <v>Managing Authority Delegation &amp; Reporting</v>
          </cell>
          <cell r="D774">
            <v>691576</v>
          </cell>
          <cell r="E774">
            <v>1</v>
          </cell>
          <cell r="F774">
            <v>7.9608199399019194E-4</v>
          </cell>
          <cell r="G774">
            <v>7.9608199399019194E-4</v>
          </cell>
          <cell r="H774">
            <v>0</v>
          </cell>
          <cell r="I774">
            <v>0</v>
          </cell>
          <cell r="J774">
            <v>4.3422340277335096E-5</v>
          </cell>
          <cell r="K774">
            <v>1.5201387551944006E-4</v>
          </cell>
          <cell r="L774">
            <v>1.3047537255222685E-4</v>
          </cell>
          <cell r="M774">
            <v>1.2106616282244218E-4</v>
          </cell>
          <cell r="N774">
            <v>9.8148624712547056E-5</v>
          </cell>
          <cell r="O774">
            <v>9.0291117296898641E-5</v>
          </cell>
          <cell r="P774">
            <v>6.4168876484811121E-5</v>
          </cell>
          <cell r="Q774">
            <v>5.5037085343829749E-5</v>
          </cell>
          <cell r="R774">
            <v>2.6984425554882807E-5</v>
          </cell>
          <cell r="S774">
            <v>1.4474113425778366E-5</v>
          </cell>
          <cell r="T774">
            <v>0</v>
          </cell>
          <cell r="U774">
            <v>0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0</v>
          </cell>
          <cell r="AP774">
            <v>0</v>
          </cell>
          <cell r="AQ774">
            <v>0</v>
          </cell>
          <cell r="AR774">
            <v>0</v>
          </cell>
        </row>
        <row r="775">
          <cell r="B775" t="str">
            <v xml:space="preserve">            GY1-1550</v>
          </cell>
          <cell r="C775" t="str">
            <v>Providing Contractual and Commercial Advice and Supporting PMs</v>
          </cell>
          <cell r="D775">
            <v>304442</v>
          </cell>
          <cell r="E775">
            <v>1</v>
          </cell>
          <cell r="F775">
            <v>3.5044759341266237E-4</v>
          </cell>
          <cell r="G775">
            <v>3.5044759341266237E-4</v>
          </cell>
          <cell r="H775">
            <v>0</v>
          </cell>
          <cell r="I775">
            <v>0</v>
          </cell>
          <cell r="J775">
            <v>1.9115406994470775E-5</v>
          </cell>
          <cell r="K775">
            <v>6.691888896884042E-5</v>
          </cell>
          <cell r="L775">
            <v>5.743715902704495E-5</v>
          </cell>
          <cell r="M775">
            <v>5.3295449141093733E-5</v>
          </cell>
          <cell r="N775">
            <v>4.3207081870255368E-5</v>
          </cell>
          <cell r="O775">
            <v>3.9747982868786939E-5</v>
          </cell>
          <cell r="P775">
            <v>2.8248349249928509E-5</v>
          </cell>
          <cell r="Q775">
            <v>2.422750638399533E-5</v>
          </cell>
          <cell r="R775">
            <v>1.1878350281581593E-5</v>
          </cell>
          <cell r="S775">
            <v>6.3714186266648049E-6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>
            <v>0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0</v>
          </cell>
          <cell r="AQ775">
            <v>0</v>
          </cell>
          <cell r="AR775">
            <v>0</v>
          </cell>
        </row>
        <row r="776">
          <cell r="B776" t="str">
            <v xml:space="preserve">            GY1-1560</v>
          </cell>
          <cell r="C776" t="str">
            <v>Managing Compliance with Contract Administration, Standards, Procedures Tools</v>
          </cell>
          <cell r="D776">
            <v>691576</v>
          </cell>
          <cell r="E776">
            <v>1</v>
          </cell>
          <cell r="F776">
            <v>7.9608199399019194E-4</v>
          </cell>
          <cell r="G776">
            <v>7.9608199399019194E-4</v>
          </cell>
          <cell r="H776">
            <v>0</v>
          </cell>
          <cell r="I776">
            <v>0</v>
          </cell>
          <cell r="J776">
            <v>4.3422340277335096E-5</v>
          </cell>
          <cell r="K776">
            <v>1.5201387551944006E-4</v>
          </cell>
          <cell r="L776">
            <v>1.3047537255222685E-4</v>
          </cell>
          <cell r="M776">
            <v>1.2106616282244218E-4</v>
          </cell>
          <cell r="N776">
            <v>9.8148624712547056E-5</v>
          </cell>
          <cell r="O776">
            <v>9.0291117296898641E-5</v>
          </cell>
          <cell r="P776">
            <v>6.4168876484811121E-5</v>
          </cell>
          <cell r="Q776">
            <v>5.5037085343829749E-5</v>
          </cell>
          <cell r="R776">
            <v>2.6984425554882807E-5</v>
          </cell>
          <cell r="S776">
            <v>1.4474113425778366E-5</v>
          </cell>
          <cell r="T776">
            <v>0</v>
          </cell>
          <cell r="U776">
            <v>0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0</v>
          </cell>
          <cell r="AQ776">
            <v>0</v>
          </cell>
          <cell r="AR776">
            <v>0</v>
          </cell>
        </row>
        <row r="777">
          <cell r="B777" t="str">
            <v xml:space="preserve">          PROGRAM MANAGEMENT (CONTRACTS MANAGEMENT)</v>
          </cell>
          <cell r="D777">
            <v>1720331</v>
          </cell>
          <cell r="F777">
            <v>1.980299069349145E-3</v>
          </cell>
          <cell r="G777">
            <v>1.9802990693491445E-3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1.2547032680900399E-4</v>
          </cell>
          <cell r="M777">
            <v>4.9861674658105285E-4</v>
          </cell>
          <cell r="N777">
            <v>3.5824639399001639E-4</v>
          </cell>
          <cell r="O777">
            <v>2.8562258167632481E-4</v>
          </cell>
          <cell r="P777">
            <v>1.5990706748385573E-4</v>
          </cell>
          <cell r="Q777">
            <v>5.5374361885403868E-5</v>
          </cell>
          <cell r="R777">
            <v>8.8704881548471516E-6</v>
          </cell>
          <cell r="S777">
            <v>4.8295238078671589E-4</v>
          </cell>
          <cell r="T777">
            <v>5.2387219819243954E-6</v>
          </cell>
          <cell r="U777">
            <v>0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>
            <v>0</v>
          </cell>
          <cell r="AM777">
            <v>0</v>
          </cell>
          <cell r="AN777">
            <v>0</v>
          </cell>
          <cell r="AO777">
            <v>0</v>
          </cell>
          <cell r="AP777">
            <v>0</v>
          </cell>
          <cell r="AQ777">
            <v>0</v>
          </cell>
          <cell r="AR777">
            <v>0</v>
          </cell>
        </row>
        <row r="778">
          <cell r="B778" t="str">
            <v xml:space="preserve">            GY1-2060</v>
          </cell>
          <cell r="C778" t="str">
            <v>Developing the appropriate Mix of Contract Packages</v>
          </cell>
          <cell r="D778">
            <v>675706</v>
          </cell>
          <cell r="E778">
            <v>1</v>
          </cell>
          <cell r="F778">
            <v>7.7781726059375294E-4</v>
          </cell>
          <cell r="G778">
            <v>7.7781726059375283E-4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6.72032142445019E-5</v>
          </cell>
          <cell r="M778">
            <v>2.660133465714947E-4</v>
          </cell>
          <cell r="N778">
            <v>1.9009849796988363E-4</v>
          </cell>
          <cell r="O778">
            <v>1.4934098770532704E-4</v>
          </cell>
          <cell r="P778">
            <v>8.1204219620495391E-5</v>
          </cell>
          <cell r="Q778">
            <v>2.3956994482050209E-5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0</v>
          </cell>
          <cell r="AQ778">
            <v>0</v>
          </cell>
          <cell r="AR778">
            <v>0</v>
          </cell>
        </row>
        <row r="779">
          <cell r="B779" t="str">
            <v xml:space="preserve">            GY1-2070</v>
          </cell>
          <cell r="C779" t="str">
            <v>Evaluation of Contract Packaging against the Capacity &amp; Capability of Potential Conractors and Special Contract Req.</v>
          </cell>
          <cell r="D779">
            <v>78702</v>
          </cell>
          <cell r="E779">
            <v>1</v>
          </cell>
          <cell r="F779">
            <v>9.0595011518658256E-5</v>
          </cell>
          <cell r="G779">
            <v>9.0595011518658256E-5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7.8275784392629932E-6</v>
          </cell>
          <cell r="M779">
            <v>3.0983397245765116E-5</v>
          </cell>
          <cell r="N779">
            <v>2.2141686952827014E-5</v>
          </cell>
          <cell r="O779">
            <v>1.7394490852309278E-5</v>
          </cell>
          <cell r="P779">
            <v>9.4575565377918759E-6</v>
          </cell>
          <cell r="Q779">
            <v>2.7903014907019848E-6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>
            <v>0</v>
          </cell>
          <cell r="AM779">
            <v>0</v>
          </cell>
          <cell r="AN779">
            <v>0</v>
          </cell>
          <cell r="AO779">
            <v>0</v>
          </cell>
          <cell r="AP779">
            <v>0</v>
          </cell>
          <cell r="AQ779">
            <v>0</v>
          </cell>
          <cell r="AR779">
            <v>0</v>
          </cell>
        </row>
        <row r="780">
          <cell r="B780" t="str">
            <v xml:space="preserve">            GY1-2080</v>
          </cell>
          <cell r="C780" t="str">
            <v>Developing Procurement &amp; Contracting Strategy for delivery of various projects</v>
          </cell>
          <cell r="D780">
            <v>271047</v>
          </cell>
          <cell r="E780">
            <v>1</v>
          </cell>
          <cell r="F780">
            <v>3.1200497436007017E-4</v>
          </cell>
          <cell r="G780">
            <v>3.1200497436007028E-4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2.6956798807450115E-5</v>
          </cell>
          <cell r="M780">
            <v>1.0670600972982368E-4</v>
          </cell>
          <cell r="N780">
            <v>7.6254427372137915E-5</v>
          </cell>
          <cell r="O780">
            <v>5.9905148464365513E-5</v>
          </cell>
          <cell r="P780">
            <v>3.2573086337621319E-5</v>
          </cell>
          <cell r="Q780">
            <v>9.6095036486716867E-6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0</v>
          </cell>
          <cell r="AM780">
            <v>0</v>
          </cell>
          <cell r="AN780">
            <v>0</v>
          </cell>
          <cell r="AO780">
            <v>0</v>
          </cell>
          <cell r="AP780">
            <v>0</v>
          </cell>
          <cell r="AQ780">
            <v>0</v>
          </cell>
          <cell r="AR780">
            <v>0</v>
          </cell>
        </row>
        <row r="781">
          <cell r="B781" t="str">
            <v xml:space="preserve">            GY1-2090</v>
          </cell>
          <cell r="C781" t="str">
            <v>Undertaking Contract Administration &amp; Managment for all stakeholders on Behalf of DMICDC</v>
          </cell>
          <cell r="D781">
            <v>78702</v>
          </cell>
          <cell r="E781">
            <v>1</v>
          </cell>
          <cell r="F781">
            <v>9.0595011518658256E-5</v>
          </cell>
          <cell r="G781">
            <v>9.0595011518658256E-5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7.8275784392629932E-6</v>
          </cell>
          <cell r="M781">
            <v>3.0983397245765116E-5</v>
          </cell>
          <cell r="N781">
            <v>2.2141686952827014E-5</v>
          </cell>
          <cell r="O781">
            <v>1.7394490852309278E-5</v>
          </cell>
          <cell r="P781">
            <v>9.4575565377918759E-6</v>
          </cell>
          <cell r="Q781">
            <v>2.7903014907019848E-6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0</v>
          </cell>
          <cell r="AM781">
            <v>0</v>
          </cell>
          <cell r="AN781">
            <v>0</v>
          </cell>
          <cell r="AO781">
            <v>0</v>
          </cell>
          <cell r="AP781">
            <v>0</v>
          </cell>
          <cell r="AQ781">
            <v>0</v>
          </cell>
          <cell r="AR781">
            <v>0</v>
          </cell>
        </row>
        <row r="782">
          <cell r="B782" t="str">
            <v xml:space="preserve">            GY1-2100</v>
          </cell>
          <cell r="C782" t="str">
            <v>Setting of Contract Terms &amp; Condition to ensure that it is line with DMICDC' Vision and Objective</v>
          </cell>
          <cell r="D782">
            <v>78702</v>
          </cell>
          <cell r="E782">
            <v>1</v>
          </cell>
          <cell r="F782">
            <v>9.0595011518658256E-5</v>
          </cell>
          <cell r="G782">
            <v>9.0595011518658256E-5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7.8275784392629932E-6</v>
          </cell>
          <cell r="M782">
            <v>3.0983397245765116E-5</v>
          </cell>
          <cell r="N782">
            <v>2.2141686952827014E-5</v>
          </cell>
          <cell r="O782">
            <v>1.7394490852309278E-5</v>
          </cell>
          <cell r="P782">
            <v>9.4575565377918759E-6</v>
          </cell>
          <cell r="Q782">
            <v>2.7903014907019848E-6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0</v>
          </cell>
          <cell r="AP782">
            <v>0</v>
          </cell>
          <cell r="AQ782">
            <v>0</v>
          </cell>
          <cell r="AR782">
            <v>0</v>
          </cell>
        </row>
        <row r="783">
          <cell r="B783" t="str">
            <v xml:space="preserve">            GY1-2110</v>
          </cell>
          <cell r="C783" t="str">
            <v>Alerting, Analyzing, Resolution the DMICDC of any Actual, Perceived or Expected Departure from Contractual Requirements</v>
          </cell>
          <cell r="D783">
            <v>117108</v>
          </cell>
          <cell r="E783">
            <v>1</v>
          </cell>
          <cell r="F783">
            <v>1.3480586521230148E-4</v>
          </cell>
          <cell r="G783">
            <v>1.3480586521230146E-4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7.8275784392629932E-6</v>
          </cell>
          <cell r="M783">
            <v>3.2947198542439035E-5</v>
          </cell>
          <cell r="N783">
            <v>2.5468407789513787E-5</v>
          </cell>
          <cell r="O783">
            <v>2.4192972949704461E-5</v>
          </cell>
          <cell r="P783">
            <v>1.7757091912363374E-5</v>
          </cell>
          <cell r="Q783">
            <v>1.343695928257602E-5</v>
          </cell>
          <cell r="R783">
            <v>8.8704881548471516E-6</v>
          </cell>
          <cell r="S783">
            <v>4.1601277175730092E-6</v>
          </cell>
          <cell r="T783">
            <v>1.4504042402163784E-7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0</v>
          </cell>
          <cell r="AM783">
            <v>0</v>
          </cell>
          <cell r="AN783">
            <v>0</v>
          </cell>
          <cell r="AO783">
            <v>0</v>
          </cell>
          <cell r="AP783">
            <v>0</v>
          </cell>
          <cell r="AQ783">
            <v>0</v>
          </cell>
          <cell r="AR783">
            <v>0</v>
          </cell>
        </row>
        <row r="784">
          <cell r="B784" t="str">
            <v xml:space="preserve">            GY1-2850</v>
          </cell>
          <cell r="C784" t="str">
            <v>Providing Visibility to the Management in Changes, Invoicing, Claims, Valuations &amp; Payments, Notices, Early Warning, etc</v>
          </cell>
          <cell r="D784">
            <v>219224</v>
          </cell>
          <cell r="E784">
            <v>1</v>
          </cell>
          <cell r="F784">
            <v>2.5235191996602805E-4</v>
          </cell>
          <cell r="G784">
            <v>2.5235191996602805E-4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2.4969514775458409E-4</v>
          </cell>
          <cell r="T784">
            <v>2.6567722114439692E-6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0</v>
          </cell>
          <cell r="AN784">
            <v>0</v>
          </cell>
          <cell r="AO784">
            <v>0</v>
          </cell>
          <cell r="AP784">
            <v>0</v>
          </cell>
          <cell r="AQ784">
            <v>0</v>
          </cell>
          <cell r="AR784">
            <v>0</v>
          </cell>
        </row>
        <row r="785">
          <cell r="B785" t="str">
            <v xml:space="preserve">            GY1-2860</v>
          </cell>
          <cell r="C785" t="str">
            <v>Assessing impact on Program, Contract Variations arising due to Changes or Change Request</v>
          </cell>
          <cell r="D785">
            <v>51404</v>
          </cell>
          <cell r="E785">
            <v>1</v>
          </cell>
          <cell r="F785">
            <v>5.9171888542922792E-5</v>
          </cell>
          <cell r="G785">
            <v>5.9171888542922785E-5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5.854913561121083E-5</v>
          </cell>
          <cell r="T785">
            <v>6.2275293171195293E-7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>
            <v>0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0</v>
          </cell>
          <cell r="AM785">
            <v>0</v>
          </cell>
          <cell r="AN785">
            <v>0</v>
          </cell>
          <cell r="AO785">
            <v>0</v>
          </cell>
          <cell r="AP785">
            <v>0</v>
          </cell>
          <cell r="AQ785">
            <v>0</v>
          </cell>
          <cell r="AR785">
            <v>0</v>
          </cell>
        </row>
        <row r="786">
          <cell r="B786" t="str">
            <v xml:space="preserve">            GY1-2870</v>
          </cell>
          <cell r="C786" t="str">
            <v>Monitoring the  Program and Advise impact of Non Compliance wrt Contract</v>
          </cell>
          <cell r="D786">
            <v>98332</v>
          </cell>
          <cell r="E786">
            <v>1</v>
          </cell>
          <cell r="F786">
            <v>1.1319023757517198E-4</v>
          </cell>
          <cell r="G786">
            <v>1.13190237575172E-4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1.1199883409213711E-4</v>
          </cell>
          <cell r="T786">
            <v>1.1914034830348823E-6</v>
          </cell>
          <cell r="U786">
            <v>0</v>
          </cell>
          <cell r="V786">
            <v>0</v>
          </cell>
          <cell r="W786">
            <v>0</v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>
            <v>0</v>
          </cell>
          <cell r="AM786">
            <v>0</v>
          </cell>
          <cell r="AN786">
            <v>0</v>
          </cell>
          <cell r="AO786">
            <v>0</v>
          </cell>
          <cell r="AP786">
            <v>0</v>
          </cell>
          <cell r="AQ786">
            <v>0</v>
          </cell>
          <cell r="AR786">
            <v>0</v>
          </cell>
        </row>
        <row r="787">
          <cell r="B787" t="str">
            <v xml:space="preserve">            GY1-2880</v>
          </cell>
          <cell r="C787" t="str">
            <v>Development of Claims Management Process</v>
          </cell>
          <cell r="D787">
            <v>51404</v>
          </cell>
          <cell r="E787">
            <v>1</v>
          </cell>
          <cell r="F787">
            <v>5.9171888542922792E-5</v>
          </cell>
          <cell r="G787">
            <v>5.9171888542922785E-5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5.854913561121083E-5</v>
          </cell>
          <cell r="T787">
            <v>6.2275293171195293E-7</v>
          </cell>
          <cell r="U787">
            <v>0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>
            <v>0</v>
          </cell>
          <cell r="AC787">
            <v>0</v>
          </cell>
          <cell r="AD787">
            <v>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>
            <v>0</v>
          </cell>
          <cell r="AM787">
            <v>0</v>
          </cell>
          <cell r="AN787">
            <v>0</v>
          </cell>
          <cell r="AO787">
            <v>0</v>
          </cell>
          <cell r="AP787">
            <v>0</v>
          </cell>
          <cell r="AQ787">
            <v>0</v>
          </cell>
          <cell r="AR787">
            <v>0</v>
          </cell>
        </row>
        <row r="788">
          <cell r="B788" t="str">
            <v xml:space="preserve">        FINANCE &amp; INVESTMENT MANAGEMENT</v>
          </cell>
          <cell r="D788">
            <v>744830</v>
          </cell>
          <cell r="F788">
            <v>8.5738344431438495E-4</v>
          </cell>
          <cell r="G788">
            <v>8.5738344431438474E-4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3.1975657924389331E-5</v>
          </cell>
          <cell r="M788">
            <v>1.3952658567986288E-4</v>
          </cell>
          <cell r="N788">
            <v>1.1720302263977064E-4</v>
          </cell>
          <cell r="O788">
            <v>1.1193667391041354E-4</v>
          </cell>
          <cell r="P788">
            <v>8.1497753811967744E-5</v>
          </cell>
          <cell r="Q788">
            <v>1.9103780738259521E-4</v>
          </cell>
          <cell r="R788">
            <v>1.292954802139556E-4</v>
          </cell>
          <cell r="S788">
            <v>5.3585529989137005E-5</v>
          </cell>
          <cell r="T788">
            <v>1.3249327622928981E-6</v>
          </cell>
          <cell r="U788">
            <v>0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0</v>
          </cell>
          <cell r="AM788">
            <v>0</v>
          </cell>
          <cell r="AN788">
            <v>0</v>
          </cell>
          <cell r="AO788">
            <v>0</v>
          </cell>
          <cell r="AP788">
            <v>0</v>
          </cell>
          <cell r="AQ788">
            <v>0</v>
          </cell>
          <cell r="AR788">
            <v>0</v>
          </cell>
        </row>
        <row r="789">
          <cell r="B789" t="str">
            <v xml:space="preserve">          GY1-2120</v>
          </cell>
          <cell r="C789" t="str">
            <v>Monitor &amp; Control of the Programme/Project Cash Flow</v>
          </cell>
          <cell r="D789">
            <v>293214</v>
          </cell>
          <cell r="E789">
            <v>1</v>
          </cell>
          <cell r="F789">
            <v>3.3752403118654398E-4</v>
          </cell>
          <cell r="G789">
            <v>3.3752403118654398E-4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3.1975657924389331E-5</v>
          </cell>
          <cell r="M789">
            <v>8.011756755480947E-5</v>
          </cell>
          <cell r="N789">
            <v>6.0221704945365121E-5</v>
          </cell>
          <cell r="O789">
            <v>5.8444384193861876E-5</v>
          </cell>
          <cell r="P789">
            <v>4.2812249604863128E-5</v>
          </cell>
          <cell r="Q789">
            <v>3.2154080668225474E-5</v>
          </cell>
          <cell r="R789">
            <v>2.1317488987751677E-5</v>
          </cell>
          <cell r="S789">
            <v>1.0125202934081955E-5</v>
          </cell>
          <cell r="T789">
            <v>3.5569437319592133E-7</v>
          </cell>
          <cell r="U789">
            <v>0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>
            <v>0</v>
          </cell>
          <cell r="AM789">
            <v>0</v>
          </cell>
          <cell r="AN789">
            <v>0</v>
          </cell>
          <cell r="AO789">
            <v>0</v>
          </cell>
          <cell r="AP789">
            <v>0</v>
          </cell>
          <cell r="AQ789">
            <v>0</v>
          </cell>
          <cell r="AR789">
            <v>0</v>
          </cell>
        </row>
        <row r="790">
          <cell r="B790" t="str">
            <v xml:space="preserve">          GY1-2160</v>
          </cell>
          <cell r="C790" t="str">
            <v>Evaluation &amp; Forwarding all Documents to DMICDC for Payment Processing</v>
          </cell>
          <cell r="D790">
            <v>231956</v>
          </cell>
          <cell r="E790">
            <v>1</v>
          </cell>
          <cell r="F790">
            <v>2.6700675836459532E-4</v>
          </cell>
          <cell r="G790">
            <v>2.6700675836459532E-4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5.9409018125053406E-5</v>
          </cell>
          <cell r="N790">
            <v>5.6981317694405514E-5</v>
          </cell>
          <cell r="O790">
            <v>5.3492289716551668E-5</v>
          </cell>
          <cell r="P790">
            <v>3.8685504207104623E-5</v>
          </cell>
          <cell r="Q790">
            <v>2.9795447106159318E-5</v>
          </cell>
          <cell r="R790">
            <v>1.9479159169001236E-5</v>
          </cell>
          <cell r="S790">
            <v>8.8601281245598931E-6</v>
          </cell>
          <cell r="T790">
            <v>3.0389422175962213E-7</v>
          </cell>
          <cell r="U790">
            <v>0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>
            <v>0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0</v>
          </cell>
          <cell r="AM790">
            <v>0</v>
          </cell>
          <cell r="AN790">
            <v>0</v>
          </cell>
          <cell r="AO790">
            <v>0</v>
          </cell>
          <cell r="AP790">
            <v>0</v>
          </cell>
          <cell r="AQ790">
            <v>0</v>
          </cell>
          <cell r="AR790">
            <v>0</v>
          </cell>
        </row>
        <row r="791">
          <cell r="B791" t="str">
            <v xml:space="preserve">          GY1-2590</v>
          </cell>
          <cell r="C791" t="str">
            <v>Establishing an Experienced and  thorough Commercial Group to assess Invoices and Variations</v>
          </cell>
          <cell r="D791">
            <v>167348</v>
          </cell>
          <cell r="E791">
            <v>1</v>
          </cell>
          <cell r="F791">
            <v>1.9263555427578591E-4</v>
          </cell>
          <cell r="G791">
            <v>1.9263555427578591E-4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Q791">
            <v>9.8345465288004992E-5</v>
          </cell>
          <cell r="R791">
            <v>6.7423077109487071E-5</v>
          </cell>
          <cell r="S791">
            <v>2.6360521508694493E-5</v>
          </cell>
          <cell r="T791">
            <v>5.0649036959937019E-7</v>
          </cell>
          <cell r="U791">
            <v>0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0</v>
          </cell>
          <cell r="AM791">
            <v>0</v>
          </cell>
          <cell r="AN791">
            <v>0</v>
          </cell>
          <cell r="AO791">
            <v>0</v>
          </cell>
          <cell r="AP791">
            <v>0</v>
          </cell>
          <cell r="AQ791">
            <v>0</v>
          </cell>
          <cell r="AR791">
            <v>0</v>
          </cell>
        </row>
        <row r="792">
          <cell r="B792" t="str">
            <v xml:space="preserve">          GY1-2600</v>
          </cell>
          <cell r="C792" t="str">
            <v>Preparation &amp; Submission of Monthly Financial Reports to DMICDC</v>
          </cell>
          <cell r="D792">
            <v>52312</v>
          </cell>
          <cell r="E792">
            <v>1</v>
          </cell>
          <cell r="F792">
            <v>6.0217100487459665E-5</v>
          </cell>
          <cell r="G792">
            <v>6.0217100487459665E-5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Q792">
            <v>3.0742814320205408E-5</v>
          </cell>
          <cell r="R792">
            <v>2.1075754947715613E-5</v>
          </cell>
          <cell r="S792">
            <v>8.2396774218006632E-6</v>
          </cell>
          <cell r="T792">
            <v>1.5885379773798432E-7</v>
          </cell>
          <cell r="U792">
            <v>0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>
            <v>0</v>
          </cell>
          <cell r="AC792">
            <v>0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0</v>
          </cell>
          <cell r="AQ792">
            <v>0</v>
          </cell>
          <cell r="AR792">
            <v>0</v>
          </cell>
        </row>
        <row r="793">
          <cell r="B793" t="str">
            <v xml:space="preserve">        HUMAN RESOURCES AND ORGANIZATIONAL DEVELOPMENT</v>
          </cell>
          <cell r="D793">
            <v>4069201</v>
          </cell>
          <cell r="F793">
            <v>4.6841161783275614E-3</v>
          </cell>
          <cell r="G793">
            <v>4.6841161783275605E-3</v>
          </cell>
          <cell r="H793">
            <v>3.414781094128481E-5</v>
          </cell>
          <cell r="I793">
            <v>7.434737601914865E-4</v>
          </cell>
          <cell r="J793">
            <v>7.528185075105949E-4</v>
          </cell>
          <cell r="K793">
            <v>5.874678196680222E-4</v>
          </cell>
          <cell r="L793">
            <v>5.1983639083831362E-4</v>
          </cell>
          <cell r="M793">
            <v>5.0141050141518377E-4</v>
          </cell>
          <cell r="N793">
            <v>3.9413008556165539E-4</v>
          </cell>
          <cell r="O793">
            <v>3.635783562445261E-4</v>
          </cell>
          <cell r="P793">
            <v>2.7425762845120077E-4</v>
          </cell>
          <cell r="Q793">
            <v>2.3087442606606201E-4</v>
          </cell>
          <cell r="R793">
            <v>1.2290219041223991E-4</v>
          </cell>
          <cell r="S793">
            <v>1.5782700362506922E-4</v>
          </cell>
          <cell r="T793">
            <v>1.3916974019219059E-6</v>
          </cell>
          <cell r="U793">
            <v>0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0</v>
          </cell>
          <cell r="AM793">
            <v>0</v>
          </cell>
          <cell r="AN793">
            <v>0</v>
          </cell>
          <cell r="AO793">
            <v>0</v>
          </cell>
          <cell r="AP793">
            <v>0</v>
          </cell>
          <cell r="AQ793">
            <v>0</v>
          </cell>
          <cell r="AR793">
            <v>0</v>
          </cell>
        </row>
        <row r="794">
          <cell r="B794" t="str">
            <v xml:space="preserve">          RESOURCE MANAGEMENT</v>
          </cell>
          <cell r="D794">
            <v>1783095</v>
          </cell>
          <cell r="F794">
            <v>2.0525464672290663E-3</v>
          </cell>
          <cell r="G794">
            <v>2.0525464672290659E-3</v>
          </cell>
          <cell r="H794">
            <v>1.7290890549436683E-5</v>
          </cell>
          <cell r="I794">
            <v>3.2204844816633045E-4</v>
          </cell>
          <cell r="J794">
            <v>3.2099863176388813E-4</v>
          </cell>
          <cell r="K794">
            <v>2.5070122180692464E-4</v>
          </cell>
          <cell r="L794">
            <v>2.2174723938298609E-4</v>
          </cell>
          <cell r="M794">
            <v>2.1409117700070106E-4</v>
          </cell>
          <cell r="N794">
            <v>1.6843337241027057E-4</v>
          </cell>
          <cell r="O794">
            <v>1.5548793900910121E-4</v>
          </cell>
          <cell r="P794">
            <v>1.1720647598319972E-4</v>
          </cell>
          <cell r="Q794">
            <v>9.9389526118065502E-5</v>
          </cell>
          <cell r="R794">
            <v>5.2757878680632584E-5</v>
          </cell>
          <cell r="S794">
            <v>1.1100196895560744E-4</v>
          </cell>
          <cell r="T794">
            <v>1.3916974019219059E-6</v>
          </cell>
          <cell r="U794">
            <v>0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0</v>
          </cell>
          <cell r="AN794">
            <v>0</v>
          </cell>
          <cell r="AO794">
            <v>0</v>
          </cell>
          <cell r="AP794">
            <v>0</v>
          </cell>
          <cell r="AQ794">
            <v>0</v>
          </cell>
          <cell r="AR794">
            <v>0</v>
          </cell>
        </row>
        <row r="795">
          <cell r="B795" t="str">
            <v xml:space="preserve">            GY1-1020</v>
          </cell>
          <cell r="C795" t="str">
            <v>Development &amp; Implementation of Program Resourcing Strategy</v>
          </cell>
          <cell r="D795">
            <v>11821</v>
          </cell>
          <cell r="E795">
            <v>1</v>
          </cell>
          <cell r="F795">
            <v>1.3607324225077627E-5</v>
          </cell>
          <cell r="G795">
            <v>1.3607324225077625E-5</v>
          </cell>
          <cell r="H795">
            <v>4.7621605887104418E-6</v>
          </cell>
          <cell r="I795">
            <v>8.8451636363671831E-6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0</v>
          </cell>
          <cell r="AM795">
            <v>0</v>
          </cell>
          <cell r="AN795">
            <v>0</v>
          </cell>
          <cell r="AO795">
            <v>0</v>
          </cell>
          <cell r="AP795">
            <v>0</v>
          </cell>
          <cell r="AQ795">
            <v>0</v>
          </cell>
          <cell r="AR795">
            <v>0</v>
          </cell>
        </row>
        <row r="796">
          <cell r="B796" t="str">
            <v xml:space="preserve">            GY1-1100</v>
          </cell>
          <cell r="C796" t="str">
            <v>Ensuring that the resources are available to meet the PMC needs</v>
          </cell>
          <cell r="D796">
            <v>666710</v>
          </cell>
          <cell r="E796">
            <v>1</v>
          </cell>
          <cell r="F796">
            <v>7.6745953253544582E-4</v>
          </cell>
          <cell r="G796">
            <v>7.6745953253544571E-4</v>
          </cell>
          <cell r="H796">
            <v>4.8991432113975443E-6</v>
          </cell>
          <cell r="I796">
            <v>1.2246706914017499E-4</v>
          </cell>
          <cell r="J796">
            <v>1.255152202735821E-4</v>
          </cell>
          <cell r="K796">
            <v>9.8027757692529028E-5</v>
          </cell>
          <cell r="L796">
            <v>8.6706546817506727E-5</v>
          </cell>
          <cell r="M796">
            <v>8.3712498064488633E-5</v>
          </cell>
          <cell r="N796">
            <v>6.5859863650587197E-5</v>
          </cell>
          <cell r="O796">
            <v>6.0798413298022579E-5</v>
          </cell>
          <cell r="P796">
            <v>4.5829320647408471E-5</v>
          </cell>
          <cell r="Q796">
            <v>3.8862775836464404E-5</v>
          </cell>
          <cell r="R796">
            <v>2.0629122530887077E-5</v>
          </cell>
          <cell r="S796">
            <v>1.3607324225077627E-5</v>
          </cell>
          <cell r="T796">
            <v>5.4447714731932299E-7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0</v>
          </cell>
          <cell r="AN796">
            <v>0</v>
          </cell>
          <cell r="AO796">
            <v>0</v>
          </cell>
          <cell r="AP796">
            <v>0</v>
          </cell>
          <cell r="AQ796">
            <v>0</v>
          </cell>
          <cell r="AR796">
            <v>0</v>
          </cell>
        </row>
        <row r="797">
          <cell r="B797" t="str">
            <v xml:space="preserve">            GY1-1250</v>
          </cell>
          <cell r="C797" t="str">
            <v>Monitoring &amp; Regularly report on changes caused by both PMC and the Contractors</v>
          </cell>
          <cell r="D797">
            <v>1038366</v>
          </cell>
          <cell r="E797">
            <v>1</v>
          </cell>
          <cell r="F797">
            <v>1.1952781343623174E-3</v>
          </cell>
          <cell r="G797">
            <v>1.1952781343623172E-3</v>
          </cell>
          <cell r="H797">
            <v>7.6295867493286952E-6</v>
          </cell>
          <cell r="I797">
            <v>1.9073621538978828E-4</v>
          </cell>
          <cell r="J797">
            <v>1.9548341149030601E-4</v>
          </cell>
          <cell r="K797">
            <v>1.526734641143956E-4</v>
          </cell>
          <cell r="L797">
            <v>1.3504069256547937E-4</v>
          </cell>
          <cell r="M797">
            <v>1.3037867893621243E-4</v>
          </cell>
          <cell r="N797">
            <v>1.0257350875968337E-4</v>
          </cell>
          <cell r="O797">
            <v>9.468952571107862E-5</v>
          </cell>
          <cell r="P797">
            <v>7.1377155335791245E-5</v>
          </cell>
          <cell r="Q797">
            <v>6.0526750281601099E-5</v>
          </cell>
          <cell r="R797">
            <v>3.2128756149745507E-5</v>
          </cell>
          <cell r="S797">
            <v>2.1193168624304558E-5</v>
          </cell>
          <cell r="T797">
            <v>8.4722025460258295E-7</v>
          </cell>
          <cell r="U797">
            <v>0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>
            <v>0</v>
          </cell>
          <cell r="AM797">
            <v>0</v>
          </cell>
          <cell r="AN797">
            <v>0</v>
          </cell>
          <cell r="AO797">
            <v>0</v>
          </cell>
          <cell r="AP797">
            <v>0</v>
          </cell>
          <cell r="AQ797">
            <v>0</v>
          </cell>
          <cell r="AR797">
            <v>0</v>
          </cell>
        </row>
        <row r="798">
          <cell r="B798" t="str">
            <v xml:space="preserve">            GY1-3010</v>
          </cell>
          <cell r="C798" t="str">
            <v>Monitoring that Contractors / Concessionaire have adequate resource Plans in Place</v>
          </cell>
          <cell r="D798">
            <v>66198</v>
          </cell>
          <cell r="E798">
            <v>1</v>
          </cell>
          <cell r="F798">
            <v>7.6201476106225257E-5</v>
          </cell>
          <cell r="G798">
            <v>7.6201476106225257E-5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0</v>
          </cell>
          <cell r="S798">
            <v>7.6201476106225257E-5</v>
          </cell>
          <cell r="T798">
            <v>0</v>
          </cell>
          <cell r="U798">
            <v>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0</v>
          </cell>
          <cell r="AQ798">
            <v>0</v>
          </cell>
          <cell r="AR798">
            <v>0</v>
          </cell>
        </row>
        <row r="799">
          <cell r="B799" t="str">
            <v xml:space="preserve">          ORGANIZATIONAL DEVELOPMENT</v>
          </cell>
          <cell r="D799">
            <v>2286106</v>
          </cell>
          <cell r="F799">
            <v>2.6315697110984955E-3</v>
          </cell>
          <cell r="G799">
            <v>2.631569711098495E-3</v>
          </cell>
          <cell r="H799">
            <v>1.685692039184813E-5</v>
          </cell>
          <cell r="I799">
            <v>4.2142531202515605E-4</v>
          </cell>
          <cell r="J799">
            <v>4.3181987574670671E-4</v>
          </cell>
          <cell r="K799">
            <v>3.367665978610976E-4</v>
          </cell>
          <cell r="L799">
            <v>2.9808915145532753E-4</v>
          </cell>
          <cell r="M799">
            <v>2.8731932441448276E-4</v>
          </cell>
          <cell r="N799">
            <v>2.2569671315138482E-4</v>
          </cell>
          <cell r="O799">
            <v>2.0809041723542489E-4</v>
          </cell>
          <cell r="P799">
            <v>1.5705115246800107E-4</v>
          </cell>
          <cell r="Q799">
            <v>1.3148489994799651E-4</v>
          </cell>
          <cell r="R799">
            <v>7.0144311731607322E-5</v>
          </cell>
          <cell r="S799">
            <v>4.682503466946178E-5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0</v>
          </cell>
          <cell r="AQ799">
            <v>0</v>
          </cell>
          <cell r="AR799">
            <v>0</v>
          </cell>
        </row>
        <row r="800">
          <cell r="B800" t="str">
            <v xml:space="preserve">            GY1-1200</v>
          </cell>
          <cell r="C800" t="str">
            <v>Monitor, Implement &amp; Address changes required to the PMC Organization resulting from the delivery of Programme</v>
          </cell>
          <cell r="D800">
            <v>810880</v>
          </cell>
          <cell r="E800">
            <v>1</v>
          </cell>
          <cell r="F800">
            <v>9.3341455547810842E-4</v>
          </cell>
          <cell r="G800">
            <v>9.3341455547810853E-4</v>
          </cell>
          <cell r="H800">
            <v>5.9788885902252929E-6</v>
          </cell>
          <cell r="I800">
            <v>1.494791214424905E-4</v>
          </cell>
          <cell r="J800">
            <v>1.5316614111027864E-4</v>
          </cell>
          <cell r="K800">
            <v>1.1945114921210601E-4</v>
          </cell>
          <cell r="L800">
            <v>1.0573216688282125E-4</v>
          </cell>
          <cell r="M800">
            <v>1.0191161793577509E-4</v>
          </cell>
          <cell r="N800">
            <v>8.005425625860955E-5</v>
          </cell>
          <cell r="O800">
            <v>7.380946022434458E-5</v>
          </cell>
          <cell r="P800">
            <v>5.5705882854596181E-5</v>
          </cell>
          <cell r="Q800">
            <v>4.6637403009814737E-5</v>
          </cell>
          <cell r="R800">
            <v>2.4880188292092698E-5</v>
          </cell>
          <cell r="S800">
            <v>1.6608279664953895E-5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>
            <v>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0</v>
          </cell>
          <cell r="AQ800">
            <v>0</v>
          </cell>
          <cell r="AR800">
            <v>0</v>
          </cell>
        </row>
        <row r="801">
          <cell r="B801" t="str">
            <v xml:space="preserve">            GY1-1210</v>
          </cell>
          <cell r="C801" t="str">
            <v>Ensuring that any significant development of new business processes and procedure is adequately documented</v>
          </cell>
          <cell r="D801">
            <v>617464</v>
          </cell>
          <cell r="E801">
            <v>1</v>
          </cell>
          <cell r="F801">
            <v>7.1077174903251268E-4</v>
          </cell>
          <cell r="G801">
            <v>7.1077174903251246E-4</v>
          </cell>
          <cell r="H801">
            <v>4.5526577540125212E-6</v>
          </cell>
          <cell r="I801">
            <v>1.1382450165164756E-4</v>
          </cell>
          <cell r="J801">
            <v>1.1663206985949497E-4</v>
          </cell>
          <cell r="K801">
            <v>9.0958763693188717E-5</v>
          </cell>
          <cell r="L801">
            <v>8.0512399820201704E-5</v>
          </cell>
          <cell r="M801">
            <v>7.7603533538434416E-5</v>
          </cell>
          <cell r="N801">
            <v>6.0959569324713286E-5</v>
          </cell>
          <cell r="O801">
            <v>5.620431542286102E-5</v>
          </cell>
          <cell r="P801">
            <v>4.241856845394725E-5</v>
          </cell>
          <cell r="Q801">
            <v>3.5513032710250385E-5</v>
          </cell>
          <cell r="R801">
            <v>1.8945042051969168E-5</v>
          </cell>
          <cell r="S801">
            <v>1.2647294751791548E-5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>
            <v>0</v>
          </cell>
          <cell r="AM801">
            <v>0</v>
          </cell>
          <cell r="AN801">
            <v>0</v>
          </cell>
          <cell r="AO801">
            <v>0</v>
          </cell>
          <cell r="AP801">
            <v>0</v>
          </cell>
          <cell r="AQ801">
            <v>0</v>
          </cell>
          <cell r="AR801">
            <v>0</v>
          </cell>
        </row>
        <row r="802">
          <cell r="B802" t="str">
            <v xml:space="preserve">            GY1-1220</v>
          </cell>
          <cell r="C802" t="str">
            <v>Monitoring the development of any Related policy changes, Procedures, Forms, Staffing, Job description, remuneration,etc</v>
          </cell>
          <cell r="D802">
            <v>857762</v>
          </cell>
          <cell r="E802">
            <v>1</v>
          </cell>
          <cell r="F802">
            <v>9.8738340658787414E-4</v>
          </cell>
          <cell r="G802">
            <v>9.8738340658787414E-4</v>
          </cell>
          <cell r="H802">
            <v>6.3253740476103169E-6</v>
          </cell>
          <cell r="I802">
            <v>1.5812168893101795E-4</v>
          </cell>
          <cell r="J802">
            <v>1.6202166477693309E-4</v>
          </cell>
          <cell r="K802">
            <v>1.263566849558029E-4</v>
          </cell>
          <cell r="L802">
            <v>1.1184458475230457E-4</v>
          </cell>
          <cell r="M802">
            <v>1.0780417294027324E-4</v>
          </cell>
          <cell r="N802">
            <v>8.4682887568061975E-5</v>
          </cell>
          <cell r="O802">
            <v>7.8076641588219282E-5</v>
          </cell>
          <cell r="P802">
            <v>5.8926701159457634E-5</v>
          </cell>
          <cell r="Q802">
            <v>4.9334464227931384E-5</v>
          </cell>
          <cell r="R802">
            <v>2.6319081387545456E-5</v>
          </cell>
          <cell r="S802">
            <v>1.7569460252716338E-5</v>
          </cell>
          <cell r="T802">
            <v>0</v>
          </cell>
          <cell r="U802">
            <v>0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0</v>
          </cell>
          <cell r="AQ802">
            <v>0</v>
          </cell>
          <cell r="AR802">
            <v>0</v>
          </cell>
        </row>
        <row r="803">
          <cell r="B803" t="str">
            <v xml:space="preserve">        INFORMATION &amp; TECHNOLOGY (IT) MANAGEMENT</v>
          </cell>
          <cell r="D803">
            <v>1519759</v>
          </cell>
          <cell r="F803">
            <v>1.7494177365962246E-3</v>
          </cell>
          <cell r="G803">
            <v>1.7494177365962248E-3</v>
          </cell>
          <cell r="H803">
            <v>0</v>
          </cell>
          <cell r="I803">
            <v>6.4968901045882848E-6</v>
          </cell>
          <cell r="J803">
            <v>8.7114041342138947E-5</v>
          </cell>
          <cell r="K803">
            <v>8.6591435369870511E-5</v>
          </cell>
          <cell r="L803">
            <v>3.285326760116788E-4</v>
          </cell>
          <cell r="M803">
            <v>3.1891511456167256E-4</v>
          </cell>
          <cell r="N803">
            <v>2.4985630378127478E-4</v>
          </cell>
          <cell r="O803">
            <v>2.3879754700686305E-4</v>
          </cell>
          <cell r="P803">
            <v>1.6826991415462713E-4</v>
          </cell>
          <cell r="Q803">
            <v>1.361515180351689E-4</v>
          </cell>
          <cell r="R803">
            <v>8.3568608754943369E-5</v>
          </cell>
          <cell r="S803">
            <v>4.3825230344061873E-5</v>
          </cell>
          <cell r="T803">
            <v>1.2984571293365672E-6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>
            <v>0</v>
          </cell>
          <cell r="AM803">
            <v>0</v>
          </cell>
          <cell r="AN803">
            <v>0</v>
          </cell>
          <cell r="AO803">
            <v>0</v>
          </cell>
          <cell r="AP803">
            <v>0</v>
          </cell>
          <cell r="AQ803">
            <v>0</v>
          </cell>
          <cell r="AR803">
            <v>0</v>
          </cell>
        </row>
        <row r="804">
          <cell r="B804" t="str">
            <v xml:space="preserve">          GY1-1370</v>
          </cell>
          <cell r="C804" t="str">
            <v>Development and Implementation of MIS</v>
          </cell>
          <cell r="D804">
            <v>403111</v>
          </cell>
          <cell r="E804">
            <v>1</v>
          </cell>
          <cell r="F804">
            <v>4.6402805879532121E-4</v>
          </cell>
          <cell r="G804">
            <v>4.6402805879532121E-4</v>
          </cell>
          <cell r="H804">
            <v>0</v>
          </cell>
          <cell r="I804">
            <v>6.4968901045882848E-6</v>
          </cell>
          <cell r="J804">
            <v>8.7114041342138947E-5</v>
          </cell>
          <cell r="K804">
            <v>7.5304757929139097E-5</v>
          </cell>
          <cell r="L804">
            <v>6.048185681702297E-5</v>
          </cell>
          <cell r="M804">
            <v>6.0583154890942851E-5</v>
          </cell>
          <cell r="N804">
            <v>4.7643477062155301E-5</v>
          </cell>
          <cell r="O804">
            <v>4.3795301367676457E-5</v>
          </cell>
          <cell r="P804">
            <v>3.1579674544520735E-5</v>
          </cell>
          <cell r="Q804">
            <v>2.7990499607223378E-5</v>
          </cell>
          <cell r="R804">
            <v>1.3969925285131722E-5</v>
          </cell>
          <cell r="S804">
            <v>9.0235863802033265E-6</v>
          </cell>
          <cell r="T804">
            <v>4.4893464578125999E-8</v>
          </cell>
          <cell r="U804">
            <v>0</v>
          </cell>
          <cell r="V804">
            <v>0</v>
          </cell>
          <cell r="W804">
            <v>0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0</v>
          </cell>
          <cell r="AQ804">
            <v>0</v>
          </cell>
          <cell r="AR804">
            <v>0</v>
          </cell>
        </row>
        <row r="805">
          <cell r="B805" t="str">
            <v xml:space="preserve">          GY1-1790</v>
          </cell>
          <cell r="C805" t="str">
            <v>Maintaining Program &amp; Information Tools and Application information Management System for the PMC</v>
          </cell>
          <cell r="D805">
            <v>322960</v>
          </cell>
          <cell r="E805">
            <v>1</v>
          </cell>
          <cell r="F805">
            <v>3.7176393128593774E-4</v>
          </cell>
          <cell r="G805">
            <v>3.7176393128593774E-4</v>
          </cell>
          <cell r="H805">
            <v>0</v>
          </cell>
          <cell r="I805">
            <v>0</v>
          </cell>
          <cell r="J805">
            <v>0</v>
          </cell>
          <cell r="K805">
            <v>3.2645606549632135E-6</v>
          </cell>
          <cell r="L805">
            <v>7.7526408868518147E-5</v>
          </cell>
          <cell r="M805">
            <v>7.4715387317241639E-5</v>
          </cell>
          <cell r="N805">
            <v>5.8484673200534554E-5</v>
          </cell>
          <cell r="O805">
            <v>5.6398853769366231E-5</v>
          </cell>
          <cell r="P805">
            <v>3.9533875576183567E-5</v>
          </cell>
          <cell r="Q805">
            <v>3.1282687009619281E-5</v>
          </cell>
          <cell r="R805">
            <v>2.0129538848145879E-5</v>
          </cell>
          <cell r="S805">
            <v>1.0065344981311121E-5</v>
          </cell>
          <cell r="T805">
            <v>3.6260106005409455E-7</v>
          </cell>
          <cell r="U805">
            <v>0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0</v>
          </cell>
          <cell r="AN805">
            <v>0</v>
          </cell>
          <cell r="AO805">
            <v>0</v>
          </cell>
          <cell r="AP805">
            <v>0</v>
          </cell>
          <cell r="AQ805">
            <v>0</v>
          </cell>
          <cell r="AR805">
            <v>0</v>
          </cell>
        </row>
        <row r="806">
          <cell r="B806" t="str">
            <v xml:space="preserve">          GY1-1800</v>
          </cell>
          <cell r="C806" t="str">
            <v>Establishing &amp; Managing the Information System for the Programme</v>
          </cell>
          <cell r="D806">
            <v>322960</v>
          </cell>
          <cell r="E806">
            <v>1</v>
          </cell>
          <cell r="F806">
            <v>3.7176393128593774E-4</v>
          </cell>
          <cell r="G806">
            <v>3.7176393128593774E-4</v>
          </cell>
          <cell r="H806">
            <v>0</v>
          </cell>
          <cell r="I806">
            <v>0</v>
          </cell>
          <cell r="J806">
            <v>0</v>
          </cell>
          <cell r="K806">
            <v>3.2645606549632135E-6</v>
          </cell>
          <cell r="L806">
            <v>7.7526408868518147E-5</v>
          </cell>
          <cell r="M806">
            <v>7.4715387317241639E-5</v>
          </cell>
          <cell r="N806">
            <v>5.8484673200534554E-5</v>
          </cell>
          <cell r="O806">
            <v>5.6398853769366231E-5</v>
          </cell>
          <cell r="P806">
            <v>3.9533875576183567E-5</v>
          </cell>
          <cell r="Q806">
            <v>3.1282687009619281E-5</v>
          </cell>
          <cell r="R806">
            <v>2.0129538848145879E-5</v>
          </cell>
          <cell r="S806">
            <v>1.0065344981311121E-5</v>
          </cell>
          <cell r="T806">
            <v>3.6260106005409455E-7</v>
          </cell>
          <cell r="U806">
            <v>0</v>
          </cell>
          <cell r="V806">
            <v>0</v>
          </cell>
          <cell r="W806">
            <v>0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>
            <v>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0</v>
          </cell>
          <cell r="AP806">
            <v>0</v>
          </cell>
          <cell r="AQ806">
            <v>0</v>
          </cell>
          <cell r="AR806">
            <v>0</v>
          </cell>
        </row>
        <row r="807">
          <cell r="B807" t="str">
            <v xml:space="preserve">          GY1-1810</v>
          </cell>
          <cell r="C807" t="str">
            <v>Ensuring that the Information is Kept and Knowledge is transmitted to the Program Team and to various Stakeholders</v>
          </cell>
          <cell r="D807">
            <v>147768</v>
          </cell>
          <cell r="E807">
            <v>1</v>
          </cell>
          <cell r="F807">
            <v>1.7009788394309032E-4</v>
          </cell>
          <cell r="G807">
            <v>1.700978839430903E-4</v>
          </cell>
          <cell r="H807">
            <v>0</v>
          </cell>
          <cell r="I807">
            <v>0</v>
          </cell>
          <cell r="J807">
            <v>0</v>
          </cell>
          <cell r="K807">
            <v>1.49299547584178E-6</v>
          </cell>
          <cell r="L807">
            <v>3.5471592589101344E-5</v>
          </cell>
          <cell r="M807">
            <v>3.4185797719004763E-5</v>
          </cell>
          <cell r="N807">
            <v>2.6758807117515817E-5</v>
          </cell>
          <cell r="O807">
            <v>2.5805684331087915E-5</v>
          </cell>
          <cell r="P807">
            <v>1.808861288155569E-5</v>
          </cell>
          <cell r="Q807">
            <v>1.4312957399087658E-5</v>
          </cell>
          <cell r="R807">
            <v>9.2100669253740018E-6</v>
          </cell>
          <cell r="S807">
            <v>4.6056090199251821E-6</v>
          </cell>
          <cell r="T807">
            <v>1.6576048459615752E-7</v>
          </cell>
          <cell r="U807">
            <v>0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>
            <v>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0</v>
          </cell>
          <cell r="AM807">
            <v>0</v>
          </cell>
          <cell r="AN807">
            <v>0</v>
          </cell>
          <cell r="AO807">
            <v>0</v>
          </cell>
          <cell r="AP807">
            <v>0</v>
          </cell>
          <cell r="AQ807">
            <v>0</v>
          </cell>
          <cell r="AR807">
            <v>0</v>
          </cell>
        </row>
        <row r="808">
          <cell r="B808" t="str">
            <v xml:space="preserve">          GY1-1820</v>
          </cell>
          <cell r="C808" t="str">
            <v>Training of DMICDC Staff in the Utilization of the Web Based system</v>
          </cell>
          <cell r="D808">
            <v>322960</v>
          </cell>
          <cell r="E808">
            <v>1</v>
          </cell>
          <cell r="F808">
            <v>3.7176393128593774E-4</v>
          </cell>
          <cell r="G808">
            <v>3.7176393128593774E-4</v>
          </cell>
          <cell r="H808">
            <v>0</v>
          </cell>
          <cell r="I808">
            <v>0</v>
          </cell>
          <cell r="J808">
            <v>0</v>
          </cell>
          <cell r="K808">
            <v>3.2645606549632135E-6</v>
          </cell>
          <cell r="L808">
            <v>7.7526408868518147E-5</v>
          </cell>
          <cell r="M808">
            <v>7.4715387317241639E-5</v>
          </cell>
          <cell r="N808">
            <v>5.8484673200534554E-5</v>
          </cell>
          <cell r="O808">
            <v>5.6398853769366231E-5</v>
          </cell>
          <cell r="P808">
            <v>3.9533875576183567E-5</v>
          </cell>
          <cell r="Q808">
            <v>3.1282687009619281E-5</v>
          </cell>
          <cell r="R808">
            <v>2.0129538848145879E-5</v>
          </cell>
          <cell r="S808">
            <v>1.0065344981311121E-5</v>
          </cell>
          <cell r="T808">
            <v>3.6260106005409455E-7</v>
          </cell>
          <cell r="U808">
            <v>0</v>
          </cell>
          <cell r="V808">
            <v>0</v>
          </cell>
          <cell r="W808">
            <v>0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>
            <v>0</v>
          </cell>
          <cell r="AR808">
            <v>0</v>
          </cell>
        </row>
        <row r="809">
          <cell r="B809" t="str">
            <v xml:space="preserve">        MARKETING &amp; PROMOTION</v>
          </cell>
          <cell r="D809">
            <v>400323</v>
          </cell>
          <cell r="F809">
            <v>1.2774331745402879E-3</v>
          </cell>
          <cell r="G809">
            <v>1.2774331745402882E-3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5.1721415206116054E-4</v>
          </cell>
          <cell r="P809">
            <v>1.409240386541666E-4</v>
          </cell>
          <cell r="Q809">
            <v>4.461512509774162E-4</v>
          </cell>
          <cell r="R809">
            <v>1.731437328475447E-4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>
            <v>0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0</v>
          </cell>
          <cell r="AP809">
            <v>0</v>
          </cell>
          <cell r="AQ809">
            <v>0</v>
          </cell>
          <cell r="AR809">
            <v>0</v>
          </cell>
        </row>
        <row r="810">
          <cell r="B810" t="str">
            <v xml:space="preserve">          GY1-2330</v>
          </cell>
          <cell r="C810" t="str">
            <v>Preparation of Marketing Plan/Program for Value Maximization</v>
          </cell>
          <cell r="D810">
            <v>19424</v>
          </cell>
          <cell r="E810">
            <v>3</v>
          </cell>
          <cell r="F810">
            <v>6.7077742766578422E-5</v>
          </cell>
          <cell r="G810">
            <v>6.7077742766578422E-5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6.7077742766578422E-5</v>
          </cell>
          <cell r="P810">
            <v>0</v>
          </cell>
          <cell r="Q810">
            <v>0</v>
          </cell>
          <cell r="R810">
            <v>0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0</v>
          </cell>
          <cell r="AQ810">
            <v>0</v>
          </cell>
          <cell r="AR810">
            <v>0</v>
          </cell>
        </row>
        <row r="811">
          <cell r="B811" t="str">
            <v xml:space="preserve">          GY1-2390</v>
          </cell>
          <cell r="C811" t="str">
            <v>Development of Creatives, Branding, Promotional materials for the Project</v>
          </cell>
          <cell r="D811">
            <v>91236</v>
          </cell>
          <cell r="E811">
            <v>2</v>
          </cell>
          <cell r="F811">
            <v>2.1004616073076426E-4</v>
          </cell>
          <cell r="G811">
            <v>2.1004616073076426E-4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2.1004616073076426E-4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>
            <v>0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0</v>
          </cell>
          <cell r="AQ811">
            <v>0</v>
          </cell>
          <cell r="AR811">
            <v>0</v>
          </cell>
        </row>
        <row r="812">
          <cell r="B812" t="str">
            <v xml:space="preserve">          GY1-2550</v>
          </cell>
          <cell r="C812" t="str">
            <v>Preparation of Project Model - 3D/4D</v>
          </cell>
          <cell r="D812">
            <v>209220</v>
          </cell>
          <cell r="E812">
            <v>3</v>
          </cell>
          <cell r="F812">
            <v>7.225119655769307E-4</v>
          </cell>
          <cell r="G812">
            <v>7.225119655769307E-4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1.1611867280303743E-4</v>
          </cell>
          <cell r="Q812">
            <v>4.461512509774162E-4</v>
          </cell>
          <cell r="R812">
            <v>1.6024204179647712E-4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>
            <v>0</v>
          </cell>
          <cell r="AC812">
            <v>0</v>
          </cell>
          <cell r="AD812">
            <v>0</v>
          </cell>
          <cell r="AE812">
            <v>0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0</v>
          </cell>
          <cell r="AQ812">
            <v>0</v>
          </cell>
          <cell r="AR812">
            <v>0</v>
          </cell>
        </row>
        <row r="813">
          <cell r="B813" t="str">
            <v xml:space="preserve">          GY1-2700</v>
          </cell>
          <cell r="C813" t="str">
            <v>Assisting the Client in Carrying out road Shows, Conference, meetings with Investor, etc.</v>
          </cell>
          <cell r="D813">
            <v>76707</v>
          </cell>
          <cell r="E813">
            <v>3</v>
          </cell>
          <cell r="F813">
            <v>2.6489561441494694E-4</v>
          </cell>
          <cell r="G813">
            <v>2.64895614414947E-4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2.4009024856381782E-4</v>
          </cell>
          <cell r="P813">
            <v>2.4805365851129157E-5</v>
          </cell>
          <cell r="Q813">
            <v>0</v>
          </cell>
          <cell r="R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>
            <v>0</v>
          </cell>
          <cell r="AC813">
            <v>0</v>
          </cell>
          <cell r="AD813">
            <v>0</v>
          </cell>
          <cell r="AE813">
            <v>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0</v>
          </cell>
          <cell r="AQ813">
            <v>0</v>
          </cell>
          <cell r="AR813">
            <v>0</v>
          </cell>
        </row>
        <row r="814">
          <cell r="B814" t="str">
            <v xml:space="preserve">          GY1-2730</v>
          </cell>
          <cell r="C814" t="str">
            <v>Workshop on 3D / 4D Physical Model</v>
          </cell>
          <cell r="D814">
            <v>3736</v>
          </cell>
          <cell r="E814">
            <v>3</v>
          </cell>
          <cell r="F814">
            <v>1.2901691051067594E-5</v>
          </cell>
          <cell r="G814">
            <v>1.2901691051067594E-5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1.2901691051067594E-5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>
            <v>0</v>
          </cell>
          <cell r="AM814">
            <v>0</v>
          </cell>
          <cell r="AN814">
            <v>0</v>
          </cell>
          <cell r="AO814">
            <v>0</v>
          </cell>
          <cell r="AP814">
            <v>0</v>
          </cell>
          <cell r="AQ814">
            <v>0</v>
          </cell>
          <cell r="AR814">
            <v>0</v>
          </cell>
        </row>
        <row r="815">
          <cell r="B815" t="str">
            <v xml:space="preserve">        PROGRAM ADMINISTRATION</v>
          </cell>
          <cell r="D815">
            <v>1654473</v>
          </cell>
          <cell r="F815">
            <v>1.9044855188214535E-3</v>
          </cell>
          <cell r="G815">
            <v>1.9044855188214535E-3</v>
          </cell>
          <cell r="H815">
            <v>9.4690676825554986E-6</v>
          </cell>
          <cell r="I815">
            <v>2.3673359875074564E-4</v>
          </cell>
          <cell r="J815">
            <v>2.4262730486972016E-4</v>
          </cell>
          <cell r="K815">
            <v>1.8949416286979348E-4</v>
          </cell>
          <cell r="L815">
            <v>2.0173856755485823E-4</v>
          </cell>
          <cell r="M815">
            <v>1.9640660530034852E-4</v>
          </cell>
          <cell r="N815">
            <v>1.5418833076528827E-4</v>
          </cell>
          <cell r="O815">
            <v>1.4353246405760336E-4</v>
          </cell>
          <cell r="P815">
            <v>1.069799749751979E-4</v>
          </cell>
          <cell r="Q815">
            <v>8.9487639392397812E-5</v>
          </cell>
          <cell r="R815">
            <v>4.9187121574957019E-5</v>
          </cell>
          <cell r="S815">
            <v>2.8342280191199668E-4</v>
          </cell>
          <cell r="T815">
            <v>1.2178791159912127E-6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>
            <v>0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0</v>
          </cell>
          <cell r="AQ815">
            <v>0</v>
          </cell>
          <cell r="AR815">
            <v>0</v>
          </cell>
        </row>
        <row r="816">
          <cell r="B816" t="str">
            <v xml:space="preserve">          CONTRACTOR PROGRESS</v>
          </cell>
          <cell r="D816">
            <v>86683</v>
          </cell>
          <cell r="F816">
            <v>9.9782056154505011E-5</v>
          </cell>
          <cell r="G816">
            <v>9.9782056154505011E-5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Q816">
            <v>0</v>
          </cell>
          <cell r="R816">
            <v>0</v>
          </cell>
          <cell r="S816">
            <v>9.9782056154505011E-5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>
            <v>0</v>
          </cell>
          <cell r="AM816">
            <v>0</v>
          </cell>
          <cell r="AN816">
            <v>0</v>
          </cell>
          <cell r="AO816">
            <v>0</v>
          </cell>
          <cell r="AP816">
            <v>0</v>
          </cell>
          <cell r="AQ816">
            <v>0</v>
          </cell>
          <cell r="AR816">
            <v>0</v>
          </cell>
        </row>
        <row r="817">
          <cell r="B817" t="str">
            <v xml:space="preserve">            GY1-3030</v>
          </cell>
          <cell r="C817" t="str">
            <v>Conducting Weekly Project Management Support Meeting</v>
          </cell>
          <cell r="D817">
            <v>23812</v>
          </cell>
          <cell r="E817">
            <v>1</v>
          </cell>
          <cell r="F817">
            <v>2.7410337911136823E-5</v>
          </cell>
          <cell r="G817">
            <v>2.7410337911136823E-5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2.7410337911136823E-5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>
            <v>0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  <cell r="AR817">
            <v>0</v>
          </cell>
        </row>
        <row r="818">
          <cell r="B818" t="str">
            <v xml:space="preserve">            GY1-3040</v>
          </cell>
          <cell r="C818" t="str">
            <v>Maintaining Project Planning for Each Project</v>
          </cell>
          <cell r="D818">
            <v>23812</v>
          </cell>
          <cell r="E818">
            <v>1</v>
          </cell>
          <cell r="F818">
            <v>2.7410337911136823E-5</v>
          </cell>
          <cell r="G818">
            <v>2.7410337911136823E-5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  <cell r="Q818">
            <v>0</v>
          </cell>
          <cell r="R818">
            <v>0</v>
          </cell>
          <cell r="S818">
            <v>2.7410337911136823E-5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>
            <v>0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0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  <cell r="AR818">
            <v>0</v>
          </cell>
        </row>
        <row r="819">
          <cell r="B819" t="str">
            <v xml:space="preserve">            GY1-3050</v>
          </cell>
          <cell r="C819" t="str">
            <v>Facilitation of Periodic Coordination &amp; Review Meetings with Contractors</v>
          </cell>
          <cell r="D819">
            <v>39059</v>
          </cell>
          <cell r="E819">
            <v>1</v>
          </cell>
          <cell r="F819">
            <v>4.4961380332231365E-5</v>
          </cell>
          <cell r="G819">
            <v>4.4961380332231365E-5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4.4961380332231365E-5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>
            <v>0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G819">
            <v>0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  <cell r="AR819">
            <v>0</v>
          </cell>
        </row>
        <row r="820">
          <cell r="B820" t="str">
            <v xml:space="preserve">          PROCESS IMPROVEMENT PROGRAM</v>
          </cell>
          <cell r="D820">
            <v>132666</v>
          </cell>
          <cell r="F820">
            <v>1.5271375312106829E-4</v>
          </cell>
          <cell r="G820">
            <v>1.5271375312106829E-4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1.5271375312106829E-4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>
            <v>0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  <cell r="AR820">
            <v>0</v>
          </cell>
        </row>
        <row r="821">
          <cell r="B821" t="str">
            <v xml:space="preserve">            GY1-3020</v>
          </cell>
          <cell r="C821" t="str">
            <v>Defining, Building and Implementing Project Management Practices</v>
          </cell>
          <cell r="D821">
            <v>80653</v>
          </cell>
          <cell r="E821">
            <v>1</v>
          </cell>
          <cell r="F821">
            <v>9.2840835862040917E-5</v>
          </cell>
          <cell r="G821">
            <v>9.2840835862040917E-5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>
            <v>0</v>
          </cell>
          <cell r="R821">
            <v>0</v>
          </cell>
          <cell r="S821">
            <v>9.2840835862040917E-5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>
            <v>0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>
            <v>0</v>
          </cell>
          <cell r="AM821">
            <v>0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  <cell r="AR821">
            <v>0</v>
          </cell>
        </row>
        <row r="822">
          <cell r="B822" t="str">
            <v xml:space="preserve">            GY1-3080</v>
          </cell>
          <cell r="C822" t="str">
            <v>Overseeing the Implementation and Completion of each Stage &amp; Achievement of Milestones</v>
          </cell>
          <cell r="D822">
            <v>52013</v>
          </cell>
          <cell r="E822">
            <v>1</v>
          </cell>
          <cell r="F822">
            <v>5.9872917259027365E-5</v>
          </cell>
          <cell r="G822">
            <v>5.9872917259027365E-5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  <cell r="Q822">
            <v>0</v>
          </cell>
          <cell r="R822">
            <v>0</v>
          </cell>
          <cell r="S822">
            <v>5.9872917259027365E-5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>
            <v>0</v>
          </cell>
          <cell r="AM822">
            <v>0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  <cell r="AR822">
            <v>0</v>
          </cell>
        </row>
        <row r="823">
          <cell r="B823" t="str">
            <v xml:space="preserve">          PROFESSIONAL RESOURCES &amp; SUPPORT SERVICES</v>
          </cell>
          <cell r="D823">
            <v>1435124</v>
          </cell>
          <cell r="F823">
            <v>1.6519897095458801E-3</v>
          </cell>
          <cell r="G823">
            <v>1.6519897095458801E-3</v>
          </cell>
          <cell r="H823">
            <v>9.4690676825554986E-6</v>
          </cell>
          <cell r="I823">
            <v>2.3673359875074564E-4</v>
          </cell>
          <cell r="J823">
            <v>2.4262730486972016E-4</v>
          </cell>
          <cell r="K823">
            <v>1.8949416286979348E-4</v>
          </cell>
          <cell r="L823">
            <v>2.0173856755485823E-4</v>
          </cell>
          <cell r="M823">
            <v>1.9640660530034852E-4</v>
          </cell>
          <cell r="N823">
            <v>1.5418833076528827E-4</v>
          </cell>
          <cell r="O823">
            <v>1.4353246405760336E-4</v>
          </cell>
          <cell r="P823">
            <v>1.069799749751979E-4</v>
          </cell>
          <cell r="Q823">
            <v>8.9487639392397812E-5</v>
          </cell>
          <cell r="R823">
            <v>4.9187121574957019E-5</v>
          </cell>
          <cell r="S823">
            <v>3.092699263642337E-5</v>
          </cell>
          <cell r="T823">
            <v>1.2178791159912127E-6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>
            <v>0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G823">
            <v>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>
            <v>0</v>
          </cell>
          <cell r="AM823">
            <v>0</v>
          </cell>
          <cell r="AN823">
            <v>0</v>
          </cell>
          <cell r="AO823">
            <v>0</v>
          </cell>
          <cell r="AP823">
            <v>0</v>
          </cell>
          <cell r="AQ823">
            <v>0</v>
          </cell>
          <cell r="AR823">
            <v>0</v>
          </cell>
        </row>
        <row r="824">
          <cell r="B824" t="str">
            <v xml:space="preserve">            GY1-1110</v>
          </cell>
          <cell r="C824" t="str">
            <v>Providing Staff to perform Regular Project Management Practices</v>
          </cell>
          <cell r="D824">
            <v>442110</v>
          </cell>
          <cell r="E824">
            <v>1</v>
          </cell>
          <cell r="F824">
            <v>5.0891922114449436E-4</v>
          </cell>
          <cell r="G824">
            <v>5.0891922114449446E-4</v>
          </cell>
          <cell r="H824">
            <v>3.2484450522941424E-6</v>
          </cell>
          <cell r="I824">
            <v>8.1209975192877203E-5</v>
          </cell>
          <cell r="J824">
            <v>8.3231332213369244E-5</v>
          </cell>
          <cell r="K824">
            <v>6.5004585594650085E-5</v>
          </cell>
          <cell r="L824">
            <v>5.7497016979815776E-5</v>
          </cell>
          <cell r="M824">
            <v>5.5511344508090977E-5</v>
          </cell>
          <cell r="N824">
            <v>4.3673283233182059E-5</v>
          </cell>
          <cell r="O824">
            <v>4.0316633420109873E-5</v>
          </cell>
          <cell r="P824">
            <v>3.0390573290438578E-5</v>
          </cell>
          <cell r="Q824">
            <v>2.5771150896797046E-5</v>
          </cell>
          <cell r="R824">
            <v>1.3679844437088445E-5</v>
          </cell>
          <cell r="S824">
            <v>9.0235863802033265E-6</v>
          </cell>
          <cell r="T824">
            <v>3.6144994557773238E-7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>
            <v>0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>
            <v>0</v>
          </cell>
          <cell r="AM824">
            <v>0</v>
          </cell>
          <cell r="AN824">
            <v>0</v>
          </cell>
          <cell r="AO824">
            <v>0</v>
          </cell>
          <cell r="AP824">
            <v>0</v>
          </cell>
          <cell r="AQ824">
            <v>0</v>
          </cell>
          <cell r="AR824">
            <v>0</v>
          </cell>
        </row>
        <row r="825">
          <cell r="B825" t="str">
            <v xml:space="preserve">            GY1-1120</v>
          </cell>
          <cell r="C825" t="str">
            <v>Maintaining documents for an internal DMICDC website focused on Project Management Manuals</v>
          </cell>
          <cell r="D825">
            <v>202285</v>
          </cell>
          <cell r="E825">
            <v>1</v>
          </cell>
          <cell r="F825">
            <v>2.328520407364523E-4</v>
          </cell>
          <cell r="G825">
            <v>2.3285204073645232E-4</v>
          </cell>
          <cell r="H825">
            <v>1.4860887889836067E-6</v>
          </cell>
          <cell r="I825">
            <v>3.7156824182495615E-5</v>
          </cell>
          <cell r="J825">
            <v>3.8082320221490829E-5</v>
          </cell>
          <cell r="K825">
            <v>2.9742495840246656E-5</v>
          </cell>
          <cell r="L825">
            <v>2.6307570242781831E-5</v>
          </cell>
          <cell r="M825">
            <v>2.5399340920932051E-5</v>
          </cell>
          <cell r="N825">
            <v>1.9982196195171518E-5</v>
          </cell>
          <cell r="O825">
            <v>1.8446609483704336E-5</v>
          </cell>
          <cell r="P825">
            <v>1.3905462874455438E-5</v>
          </cell>
          <cell r="Q825">
            <v>1.1790865581378067E-5</v>
          </cell>
          <cell r="R825">
            <v>6.2586094079813084E-6</v>
          </cell>
          <cell r="S825">
            <v>4.1290476267112294E-6</v>
          </cell>
          <cell r="T825">
            <v>1.6460937011979532E-7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>
            <v>0</v>
          </cell>
          <cell r="AC825">
            <v>0</v>
          </cell>
          <cell r="AD825">
            <v>0</v>
          </cell>
          <cell r="AE825">
            <v>0</v>
          </cell>
          <cell r="AF825">
            <v>0</v>
          </cell>
          <cell r="AG825">
            <v>0</v>
          </cell>
          <cell r="AH825">
            <v>0</v>
          </cell>
          <cell r="AI825">
            <v>0</v>
          </cell>
          <cell r="AJ825">
            <v>0</v>
          </cell>
          <cell r="AK825">
            <v>0</v>
          </cell>
          <cell r="AL825">
            <v>0</v>
          </cell>
          <cell r="AM825">
            <v>0</v>
          </cell>
          <cell r="AN825">
            <v>0</v>
          </cell>
          <cell r="AO825">
            <v>0</v>
          </cell>
          <cell r="AP825">
            <v>0</v>
          </cell>
          <cell r="AQ825">
            <v>0</v>
          </cell>
          <cell r="AR825">
            <v>0</v>
          </cell>
        </row>
        <row r="826">
          <cell r="B826" t="str">
            <v xml:space="preserve">            GY1-1130</v>
          </cell>
          <cell r="C826" t="str">
            <v>Providing support &amp; Training in PMO Processes, Procedures, Tools &amp; Template to DMICDC Staff</v>
          </cell>
          <cell r="D826">
            <v>442110</v>
          </cell>
          <cell r="E826">
            <v>1</v>
          </cell>
          <cell r="F826">
            <v>5.0891922114449436E-4</v>
          </cell>
          <cell r="G826">
            <v>5.0891922114449446E-4</v>
          </cell>
          <cell r="H826">
            <v>3.2484450522941424E-6</v>
          </cell>
          <cell r="I826">
            <v>8.1209975192877203E-5</v>
          </cell>
          <cell r="J826">
            <v>8.3231332213369244E-5</v>
          </cell>
          <cell r="K826">
            <v>6.5004585594650085E-5</v>
          </cell>
          <cell r="L826">
            <v>5.7497016979815776E-5</v>
          </cell>
          <cell r="M826">
            <v>5.5511344508090977E-5</v>
          </cell>
          <cell r="N826">
            <v>4.3673283233182059E-5</v>
          </cell>
          <cell r="O826">
            <v>4.0316633420109873E-5</v>
          </cell>
          <cell r="P826">
            <v>3.0390573290438578E-5</v>
          </cell>
          <cell r="Q826">
            <v>2.5771150896797046E-5</v>
          </cell>
          <cell r="R826">
            <v>1.3679844437088445E-5</v>
          </cell>
          <cell r="S826">
            <v>9.0235863802033265E-6</v>
          </cell>
          <cell r="T826">
            <v>3.6144994557773238E-7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>
            <v>0</v>
          </cell>
          <cell r="AC826">
            <v>0</v>
          </cell>
          <cell r="AD826">
            <v>0</v>
          </cell>
          <cell r="AE826">
            <v>0</v>
          </cell>
          <cell r="AF826">
            <v>0</v>
          </cell>
          <cell r="AG826">
            <v>0</v>
          </cell>
          <cell r="AH826">
            <v>0</v>
          </cell>
          <cell r="AI826">
            <v>0</v>
          </cell>
          <cell r="AJ826">
            <v>0</v>
          </cell>
          <cell r="AK826">
            <v>0</v>
          </cell>
          <cell r="AL826">
            <v>0</v>
          </cell>
          <cell r="AM826">
            <v>0</v>
          </cell>
          <cell r="AN826">
            <v>0</v>
          </cell>
          <cell r="AO826">
            <v>0</v>
          </cell>
          <cell r="AP826">
            <v>0</v>
          </cell>
          <cell r="AQ826">
            <v>0</v>
          </cell>
          <cell r="AR826">
            <v>0</v>
          </cell>
        </row>
        <row r="827">
          <cell r="B827" t="str">
            <v xml:space="preserve">            GY1-1140</v>
          </cell>
          <cell r="C827" t="str">
            <v>Providing Consultant Services in Special Technology areas as necessary &amp; Requested</v>
          </cell>
          <cell r="D827">
            <v>202285</v>
          </cell>
          <cell r="E827">
            <v>1</v>
          </cell>
          <cell r="F827">
            <v>2.328520407364523E-4</v>
          </cell>
          <cell r="G827">
            <v>2.3285204073645232E-4</v>
          </cell>
          <cell r="H827">
            <v>1.4860887889836067E-6</v>
          </cell>
          <cell r="I827">
            <v>3.7156824182495615E-5</v>
          </cell>
          <cell r="J827">
            <v>3.8082320221490829E-5</v>
          </cell>
          <cell r="K827">
            <v>2.9742495840246656E-5</v>
          </cell>
          <cell r="L827">
            <v>2.6307570242781831E-5</v>
          </cell>
          <cell r="M827">
            <v>2.5399340920932051E-5</v>
          </cell>
          <cell r="N827">
            <v>1.9982196195171518E-5</v>
          </cell>
          <cell r="O827">
            <v>1.8446609483704336E-5</v>
          </cell>
          <cell r="P827">
            <v>1.3905462874455438E-5</v>
          </cell>
          <cell r="Q827">
            <v>1.1790865581378067E-5</v>
          </cell>
          <cell r="R827">
            <v>6.2586094079813084E-6</v>
          </cell>
          <cell r="S827">
            <v>4.1290476267112294E-6</v>
          </cell>
          <cell r="T827">
            <v>1.6460937011979532E-7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0</v>
          </cell>
          <cell r="AE827">
            <v>0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>
            <v>0</v>
          </cell>
          <cell r="AM827">
            <v>0</v>
          </cell>
          <cell r="AN827">
            <v>0</v>
          </cell>
          <cell r="AO827">
            <v>0</v>
          </cell>
          <cell r="AP827">
            <v>0</v>
          </cell>
          <cell r="AQ827">
            <v>0</v>
          </cell>
          <cell r="AR827">
            <v>0</v>
          </cell>
        </row>
        <row r="828">
          <cell r="B828" t="str">
            <v xml:space="preserve">            GY1-1980</v>
          </cell>
          <cell r="C828" t="str">
            <v>Supporting a Website for the ECC</v>
          </cell>
          <cell r="D828">
            <v>146334</v>
          </cell>
          <cell r="E828">
            <v>1</v>
          </cell>
          <cell r="F828">
            <v>1.6844718578398689E-4</v>
          </cell>
          <cell r="G828">
            <v>1.6844718578398692E-4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3.4129393109663018E-5</v>
          </cell>
          <cell r="M828">
            <v>3.4585234442302447E-5</v>
          </cell>
          <cell r="N828">
            <v>2.6877371908581124E-5</v>
          </cell>
          <cell r="O828">
            <v>2.6005978249974935E-5</v>
          </cell>
          <cell r="P828">
            <v>1.8387902645409866E-5</v>
          </cell>
          <cell r="Q828">
            <v>1.4363606436047593E-5</v>
          </cell>
          <cell r="R828">
            <v>9.3102138848175132E-6</v>
          </cell>
          <cell r="S828">
            <v>4.6217246225942536E-6</v>
          </cell>
          <cell r="T828">
            <v>1.6576048459615752E-7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>
            <v>0</v>
          </cell>
          <cell r="AC828">
            <v>0</v>
          </cell>
          <cell r="AD828">
            <v>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>
            <v>0</v>
          </cell>
          <cell r="AM828">
            <v>0</v>
          </cell>
          <cell r="AN828">
            <v>0</v>
          </cell>
          <cell r="AO828">
            <v>0</v>
          </cell>
          <cell r="AP828">
            <v>0</v>
          </cell>
          <cell r="AQ828">
            <v>0</v>
          </cell>
          <cell r="AR828">
            <v>0</v>
          </cell>
        </row>
        <row r="829">
          <cell r="B829" t="str">
            <v xml:space="preserve">        PROGRAM ASSURANCE FUNCTIONS</v>
          </cell>
          <cell r="D829">
            <v>4952383</v>
          </cell>
          <cell r="F829">
            <v>6.3562193111189194E-3</v>
          </cell>
          <cell r="G829">
            <v>6.3562193111189177E-3</v>
          </cell>
          <cell r="H829">
            <v>2.3122436486687611E-5</v>
          </cell>
          <cell r="I829">
            <v>5.7804479656452126E-4</v>
          </cell>
          <cell r="J829">
            <v>5.9243372751904865E-4</v>
          </cell>
          <cell r="K829">
            <v>7.01086271828401E-4</v>
          </cell>
          <cell r="L829">
            <v>6.4159897791895497E-4</v>
          </cell>
          <cell r="M829">
            <v>6.2462349273604146E-4</v>
          </cell>
          <cell r="N829">
            <v>4.8350376462089328E-4</v>
          </cell>
          <cell r="O829">
            <v>4.4601311724025265E-4</v>
          </cell>
          <cell r="P829">
            <v>3.43321043689504E-4</v>
          </cell>
          <cell r="Q829">
            <v>9.9483917505127206E-4</v>
          </cell>
          <cell r="R829">
            <v>4.8855140159974157E-4</v>
          </cell>
          <cell r="S829">
            <v>4.3317934194329048E-4</v>
          </cell>
          <cell r="T829">
            <v>5.9017639203090243E-6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0</v>
          </cell>
          <cell r="AE829">
            <v>0</v>
          </cell>
          <cell r="AF829">
            <v>0</v>
          </cell>
          <cell r="AG829">
            <v>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>
            <v>0</v>
          </cell>
          <cell r="AM829">
            <v>0</v>
          </cell>
          <cell r="AN829">
            <v>0</v>
          </cell>
          <cell r="AO829">
            <v>0</v>
          </cell>
          <cell r="AP829">
            <v>0</v>
          </cell>
          <cell r="AQ829">
            <v>0</v>
          </cell>
          <cell r="AR829">
            <v>0</v>
          </cell>
        </row>
        <row r="830">
          <cell r="B830" t="str">
            <v xml:space="preserve">          QUALITY ASSURANCE</v>
          </cell>
          <cell r="D830">
            <v>109096</v>
          </cell>
          <cell r="F830">
            <v>1.631911970849171E-4</v>
          </cell>
          <cell r="G830">
            <v>1.6319119708491707E-4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2.2564145965651942E-5</v>
          </cell>
          <cell r="N830">
            <v>0</v>
          </cell>
          <cell r="O830">
            <v>0</v>
          </cell>
          <cell r="P830">
            <v>1.1706834224603625E-6</v>
          </cell>
          <cell r="Q830">
            <v>2.4125057195599094E-5</v>
          </cell>
          <cell r="R830">
            <v>1.5672423595671423E-5</v>
          </cell>
          <cell r="S830">
            <v>9.8868071260273428E-5</v>
          </cell>
          <cell r="T830">
            <v>7.9081564526083481E-7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>
            <v>0</v>
          </cell>
          <cell r="AC830">
            <v>0</v>
          </cell>
          <cell r="AD830">
            <v>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>
            <v>0</v>
          </cell>
          <cell r="AM830">
            <v>0</v>
          </cell>
          <cell r="AN830">
            <v>0</v>
          </cell>
          <cell r="AO830">
            <v>0</v>
          </cell>
          <cell r="AP830">
            <v>0</v>
          </cell>
          <cell r="AQ830">
            <v>0</v>
          </cell>
          <cell r="AR830">
            <v>0</v>
          </cell>
        </row>
        <row r="831">
          <cell r="B831" t="str">
            <v xml:space="preserve">            GY1-2200</v>
          </cell>
          <cell r="C831" t="str">
            <v>Establishing the Quality Assurance Inspection Program</v>
          </cell>
          <cell r="D831">
            <v>3267</v>
          </cell>
          <cell r="E831">
            <v>3</v>
          </cell>
          <cell r="F831">
            <v>1.1282072982825971E-5</v>
          </cell>
          <cell r="G831">
            <v>1.1282072982825971E-5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1.1282072982825971E-5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>
            <v>0</v>
          </cell>
          <cell r="AC831">
            <v>0</v>
          </cell>
          <cell r="AD831">
            <v>0</v>
          </cell>
          <cell r="AE831">
            <v>0</v>
          </cell>
          <cell r="AF831">
            <v>0</v>
          </cell>
          <cell r="AG831">
            <v>0</v>
          </cell>
          <cell r="AH831">
            <v>0</v>
          </cell>
          <cell r="AI831">
            <v>0</v>
          </cell>
          <cell r="AJ831">
            <v>0</v>
          </cell>
          <cell r="AK831">
            <v>0</v>
          </cell>
          <cell r="AL831">
            <v>0</v>
          </cell>
          <cell r="AM831">
            <v>0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  <cell r="AR831">
            <v>0</v>
          </cell>
        </row>
        <row r="832">
          <cell r="B832" t="str">
            <v xml:space="preserve">            GY1-2260</v>
          </cell>
          <cell r="C832" t="str">
            <v>Establishing the Quality Assurance &amp; Control Issues Recorded</v>
          </cell>
          <cell r="D832">
            <v>3267</v>
          </cell>
          <cell r="E832">
            <v>3</v>
          </cell>
          <cell r="F832">
            <v>1.1282072982825971E-5</v>
          </cell>
          <cell r="G832">
            <v>1.1282072982825971E-5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1.1282072982825971E-5</v>
          </cell>
          <cell r="N832">
            <v>0</v>
          </cell>
          <cell r="O832">
            <v>0</v>
          </cell>
          <cell r="P832">
            <v>0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0</v>
          </cell>
          <cell r="V832">
            <v>0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>
            <v>0</v>
          </cell>
          <cell r="AC832">
            <v>0</v>
          </cell>
          <cell r="AD832">
            <v>0</v>
          </cell>
          <cell r="AE832">
            <v>0</v>
          </cell>
          <cell r="AF832">
            <v>0</v>
          </cell>
          <cell r="AG832">
            <v>0</v>
          </cell>
          <cell r="AH832">
            <v>0</v>
          </cell>
          <cell r="AI832">
            <v>0</v>
          </cell>
          <cell r="AJ832">
            <v>0</v>
          </cell>
          <cell r="AK832">
            <v>0</v>
          </cell>
          <cell r="AL832">
            <v>0</v>
          </cell>
          <cell r="AM832">
            <v>0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  <cell r="AR832">
            <v>0</v>
          </cell>
        </row>
        <row r="833">
          <cell r="B833" t="str">
            <v xml:space="preserve">            GY1-2650</v>
          </cell>
          <cell r="C833" t="str">
            <v>Establishing a Quality Control Plan &amp; Development Programme (Quality Manual)</v>
          </cell>
          <cell r="D833">
            <v>9802</v>
          </cell>
          <cell r="E833">
            <v>3</v>
          </cell>
          <cell r="F833">
            <v>3.3849672291907007E-5</v>
          </cell>
          <cell r="G833">
            <v>3.3849672291907E-5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1.1706834224603625E-6</v>
          </cell>
          <cell r="Q833">
            <v>2.4125057195599094E-5</v>
          </cell>
          <cell r="R833">
            <v>8.5539316738475466E-6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>
            <v>0</v>
          </cell>
          <cell r="AC833">
            <v>0</v>
          </cell>
          <cell r="AD833">
            <v>0</v>
          </cell>
          <cell r="AE833">
            <v>0</v>
          </cell>
          <cell r="AF833">
            <v>0</v>
          </cell>
          <cell r="AG833">
            <v>0</v>
          </cell>
          <cell r="AH833">
            <v>0</v>
          </cell>
          <cell r="AI833">
            <v>0</v>
          </cell>
          <cell r="AJ833">
            <v>0</v>
          </cell>
          <cell r="AK833">
            <v>0</v>
          </cell>
          <cell r="AL833">
            <v>0</v>
          </cell>
          <cell r="AM833">
            <v>0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  <cell r="AR833">
            <v>0</v>
          </cell>
        </row>
        <row r="834">
          <cell r="B834" t="str">
            <v xml:space="preserve">            GY1-2820</v>
          </cell>
          <cell r="C834" t="str">
            <v>Overseeing &amp; Manage the Independent 3rd Party Consultants used for Quality Check &amp; Value Engineering</v>
          </cell>
          <cell r="D834">
            <v>92760</v>
          </cell>
          <cell r="E834">
            <v>1</v>
          </cell>
          <cell r="F834">
            <v>1.0677737882735814E-4</v>
          </cell>
          <cell r="G834">
            <v>1.0677737882735814E-4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7.1184919218238763E-6</v>
          </cell>
          <cell r="S834">
            <v>9.8868071260273428E-5</v>
          </cell>
          <cell r="T834">
            <v>7.9081564526083481E-7</v>
          </cell>
          <cell r="U834">
            <v>0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>
            <v>0</v>
          </cell>
          <cell r="AC834">
            <v>0</v>
          </cell>
          <cell r="AD834">
            <v>0</v>
          </cell>
          <cell r="AE834">
            <v>0</v>
          </cell>
          <cell r="AF834">
            <v>0</v>
          </cell>
          <cell r="AG834">
            <v>0</v>
          </cell>
          <cell r="AH834">
            <v>0</v>
          </cell>
          <cell r="AI834">
            <v>0</v>
          </cell>
          <cell r="AJ834">
            <v>0</v>
          </cell>
          <cell r="AK834">
            <v>0</v>
          </cell>
          <cell r="AL834">
            <v>0</v>
          </cell>
          <cell r="AM834">
            <v>0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  <cell r="AR834">
            <v>0</v>
          </cell>
        </row>
        <row r="835">
          <cell r="B835" t="str">
            <v xml:space="preserve">          HEALTH &amp; SAFETY</v>
          </cell>
          <cell r="D835">
            <v>184558</v>
          </cell>
          <cell r="F835">
            <v>4.2691843030635645E-4</v>
          </cell>
          <cell r="G835">
            <v>4.2691843030635639E-4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1.092637860963005E-5</v>
          </cell>
          <cell r="Q835">
            <v>2.2664983593781272E-4</v>
          </cell>
          <cell r="R835">
            <v>8.4130352619408115E-5</v>
          </cell>
          <cell r="S835">
            <v>1.0440147854814654E-4</v>
          </cell>
          <cell r="T835">
            <v>8.1038459135899237E-7</v>
          </cell>
          <cell r="U835">
            <v>0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>
            <v>0</v>
          </cell>
          <cell r="AC835">
            <v>0</v>
          </cell>
          <cell r="AD835">
            <v>0</v>
          </cell>
          <cell r="AE835">
            <v>0</v>
          </cell>
          <cell r="AF835">
            <v>0</v>
          </cell>
          <cell r="AG835">
            <v>0</v>
          </cell>
          <cell r="AH835">
            <v>0</v>
          </cell>
          <cell r="AI835">
            <v>0</v>
          </cell>
          <cell r="AJ835">
            <v>0</v>
          </cell>
          <cell r="AK835">
            <v>0</v>
          </cell>
          <cell r="AL835">
            <v>0</v>
          </cell>
          <cell r="AM835">
            <v>0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  <cell r="AR835">
            <v>0</v>
          </cell>
        </row>
        <row r="836">
          <cell r="B836" t="str">
            <v xml:space="preserve">            GY1-2530</v>
          </cell>
          <cell r="C836" t="str">
            <v>Development of basic &amp; Specified health &amp; Safety Training across the Programme (Manuals &amp; Procedures)</v>
          </cell>
          <cell r="D836">
            <v>93158</v>
          </cell>
          <cell r="E836">
            <v>3</v>
          </cell>
          <cell r="F836">
            <v>3.2170656716685092E-4</v>
          </cell>
          <cell r="G836">
            <v>3.2170656716685086E-4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1.092637860963005E-5</v>
          </cell>
          <cell r="Q836">
            <v>2.2664983593781272E-4</v>
          </cell>
          <cell r="R836">
            <v>8.4130352619408115E-5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>
            <v>0</v>
          </cell>
          <cell r="AC836">
            <v>0</v>
          </cell>
          <cell r="AD836">
            <v>0</v>
          </cell>
          <cell r="AE836">
            <v>0</v>
          </cell>
          <cell r="AF836">
            <v>0</v>
          </cell>
          <cell r="AG836">
            <v>0</v>
          </cell>
          <cell r="AH836">
            <v>0</v>
          </cell>
          <cell r="AI836">
            <v>0</v>
          </cell>
          <cell r="AJ836">
            <v>0</v>
          </cell>
          <cell r="AK836">
            <v>0</v>
          </cell>
          <cell r="AL836">
            <v>0</v>
          </cell>
          <cell r="AM836">
            <v>0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  <cell r="AR836">
            <v>0</v>
          </cell>
        </row>
        <row r="837">
          <cell r="B837" t="str">
            <v xml:space="preserve">            GY1-2710</v>
          </cell>
          <cell r="C837" t="str">
            <v>Delivering basic &amp; Specified health &amp; Safety Training across the Programme</v>
          </cell>
          <cell r="D837">
            <v>45700</v>
          </cell>
          <cell r="E837">
            <v>1</v>
          </cell>
          <cell r="F837">
            <v>5.2605931569752764E-5</v>
          </cell>
          <cell r="G837">
            <v>5.2605931569752764E-5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5.2200739274073268E-5</v>
          </cell>
          <cell r="T837">
            <v>4.0519229567949619E-7</v>
          </cell>
          <cell r="U837">
            <v>0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>
            <v>0</v>
          </cell>
          <cell r="AC837">
            <v>0</v>
          </cell>
          <cell r="AD837">
            <v>0</v>
          </cell>
          <cell r="AE837">
            <v>0</v>
          </cell>
          <cell r="AF837">
            <v>0</v>
          </cell>
          <cell r="AG837">
            <v>0</v>
          </cell>
          <cell r="AH837">
            <v>0</v>
          </cell>
          <cell r="AI837">
            <v>0</v>
          </cell>
          <cell r="AJ837">
            <v>0</v>
          </cell>
          <cell r="AK837">
            <v>0</v>
          </cell>
          <cell r="AL837">
            <v>0</v>
          </cell>
          <cell r="AM837">
            <v>0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  <cell r="AR837">
            <v>0</v>
          </cell>
        </row>
        <row r="838">
          <cell r="B838" t="str">
            <v xml:space="preserve">            GY1-2720</v>
          </cell>
          <cell r="C838" t="str">
            <v>Implementation of a Program to Monitor &amp; Evaluate Health &amp; Safety Practices</v>
          </cell>
          <cell r="D838">
            <v>45700</v>
          </cell>
          <cell r="E838">
            <v>1</v>
          </cell>
          <cell r="F838">
            <v>5.2605931569752764E-5</v>
          </cell>
          <cell r="G838">
            <v>5.2605931569752764E-5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  <cell r="Q838">
            <v>0</v>
          </cell>
          <cell r="R838">
            <v>0</v>
          </cell>
          <cell r="S838">
            <v>5.2200739274073268E-5</v>
          </cell>
          <cell r="T838">
            <v>4.0519229567949619E-7</v>
          </cell>
          <cell r="U838">
            <v>0</v>
          </cell>
          <cell r="V838">
            <v>0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>
            <v>0</v>
          </cell>
          <cell r="AC838">
            <v>0</v>
          </cell>
          <cell r="AD838">
            <v>0</v>
          </cell>
          <cell r="AE838">
            <v>0</v>
          </cell>
          <cell r="AF838">
            <v>0</v>
          </cell>
          <cell r="AG838">
            <v>0</v>
          </cell>
          <cell r="AH838">
            <v>0</v>
          </cell>
          <cell r="AI838">
            <v>0</v>
          </cell>
          <cell r="AJ838">
            <v>0</v>
          </cell>
          <cell r="AK838">
            <v>0</v>
          </cell>
          <cell r="AL838">
            <v>0</v>
          </cell>
          <cell r="AM838">
            <v>0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  <cell r="AR838">
            <v>0</v>
          </cell>
        </row>
        <row r="839">
          <cell r="B839" t="str">
            <v xml:space="preserve">          SUSTAINABILITY &amp; ENVIRONMENT</v>
          </cell>
          <cell r="D839">
            <v>1489286</v>
          </cell>
          <cell r="F839">
            <v>2.11771451107936E-3</v>
          </cell>
          <cell r="G839">
            <v>2.1177145110793595E-3</v>
          </cell>
          <cell r="H839">
            <v>0</v>
          </cell>
          <cell r="I839">
            <v>0</v>
          </cell>
          <cell r="J839">
            <v>0</v>
          </cell>
          <cell r="K839">
            <v>2.3839350582565994E-4</v>
          </cell>
          <cell r="L839">
            <v>2.3234324813790021E-4</v>
          </cell>
          <cell r="M839">
            <v>2.0693124495772813E-4</v>
          </cell>
          <cell r="N839">
            <v>1.7264414916480351E-4</v>
          </cell>
          <cell r="O839">
            <v>1.590448827410604E-4</v>
          </cell>
          <cell r="P839">
            <v>1.149042470304753E-4</v>
          </cell>
          <cell r="Q839">
            <v>5.6063073676611383E-4</v>
          </cell>
          <cell r="R839">
            <v>2.9138160740156498E-4</v>
          </cell>
          <cell r="S839">
            <v>1.397119151105572E-4</v>
          </cell>
          <cell r="T839">
            <v>1.7289739434960317E-6</v>
          </cell>
          <cell r="U839">
            <v>0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>
            <v>0</v>
          </cell>
          <cell r="AC839">
            <v>0</v>
          </cell>
          <cell r="AD839">
            <v>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>
            <v>0</v>
          </cell>
          <cell r="AM839">
            <v>0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  <cell r="AR839">
            <v>0</v>
          </cell>
        </row>
        <row r="840">
          <cell r="B840" t="str">
            <v xml:space="preserve">            GY1-1590</v>
          </cell>
          <cell r="C840" t="str">
            <v>Monitor Progress against Environment Goals at the Project &amp; Programme Level</v>
          </cell>
          <cell r="D840">
            <v>1136363</v>
          </cell>
          <cell r="E840">
            <v>1</v>
          </cell>
          <cell r="F840">
            <v>1.308085050816861E-3</v>
          </cell>
          <cell r="G840">
            <v>1.3080850508168608E-3</v>
          </cell>
          <cell r="H840">
            <v>0</v>
          </cell>
          <cell r="I840">
            <v>0</v>
          </cell>
          <cell r="J840">
            <v>0</v>
          </cell>
          <cell r="K840">
            <v>2.3839350582565994E-4</v>
          </cell>
          <cell r="L840">
            <v>2.3234324813790021E-4</v>
          </cell>
          <cell r="M840">
            <v>2.0693124495772813E-4</v>
          </cell>
          <cell r="N840">
            <v>1.7264414916480351E-4</v>
          </cell>
          <cell r="O840">
            <v>1.590448827410604E-4</v>
          </cell>
          <cell r="P840">
            <v>1.149042470304753E-4</v>
          </cell>
          <cell r="Q840">
            <v>9.5600057261881129E-5</v>
          </cell>
          <cell r="R840">
            <v>5.6357413648217204E-5</v>
          </cell>
          <cell r="S840">
            <v>3.0714036458296354E-5</v>
          </cell>
          <cell r="T840">
            <v>1.1522655908385671E-6</v>
          </cell>
          <cell r="U840">
            <v>0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>
            <v>0</v>
          </cell>
          <cell r="AC840">
            <v>0</v>
          </cell>
          <cell r="AD840">
            <v>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>
            <v>0</v>
          </cell>
          <cell r="AM840">
            <v>0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  <cell r="AR840">
            <v>0</v>
          </cell>
        </row>
        <row r="841">
          <cell r="B841" t="str">
            <v xml:space="preserve">            GY1-2630</v>
          </cell>
          <cell r="C841" t="str">
            <v>Development of a framework that enables Program to define its sustainability and Env. Goals &amp; Strategy (Env. Manual)</v>
          </cell>
          <cell r="D841">
            <v>175210</v>
          </cell>
          <cell r="E841">
            <v>3</v>
          </cell>
          <cell r="F841">
            <v>6.0506030221026586E-4</v>
          </cell>
          <cell r="G841">
            <v>6.0506030221026586E-4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>
            <v>4.6503067950423268E-4</v>
          </cell>
          <cell r="R841">
            <v>1.4002962270603315E-4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>
            <v>0</v>
          </cell>
          <cell r="AC841">
            <v>0</v>
          </cell>
          <cell r="AD841">
            <v>0</v>
          </cell>
          <cell r="AE841">
            <v>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>
            <v>0</v>
          </cell>
          <cell r="AM841">
            <v>0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  <cell r="AR841">
            <v>0</v>
          </cell>
        </row>
        <row r="842">
          <cell r="B842" t="str">
            <v xml:space="preserve">            GY1-2690</v>
          </cell>
          <cell r="C842" t="str">
            <v>Implementation a framework that enables Program to define its sustainability and Env. Goals &amp; Strategy</v>
          </cell>
          <cell r="D842">
            <v>177713</v>
          </cell>
          <cell r="E842">
            <v>1</v>
          </cell>
          <cell r="F842">
            <v>2.0456915805223294E-4</v>
          </cell>
          <cell r="G842">
            <v>2.0456915805223291E-4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  <cell r="Q842">
            <v>0</v>
          </cell>
          <cell r="R842">
            <v>9.4994571047314611E-5</v>
          </cell>
          <cell r="S842">
            <v>1.0899787865226084E-4</v>
          </cell>
          <cell r="T842">
            <v>5.7670835265746468E-7</v>
          </cell>
          <cell r="U842">
            <v>0</v>
          </cell>
          <cell r="V842">
            <v>0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>
            <v>0</v>
          </cell>
          <cell r="AC842">
            <v>0</v>
          </cell>
          <cell r="AD842">
            <v>0</v>
          </cell>
          <cell r="AE842">
            <v>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>
            <v>0</v>
          </cell>
          <cell r="AM842">
            <v>0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  <cell r="AR842">
            <v>0</v>
          </cell>
        </row>
        <row r="843">
          <cell r="B843" t="str">
            <v xml:space="preserve">          SECURITY</v>
          </cell>
          <cell r="D843">
            <v>3146879</v>
          </cell>
          <cell r="F843">
            <v>3.6224214256036493E-3</v>
          </cell>
          <cell r="G843">
            <v>3.622421425603648E-3</v>
          </cell>
          <cell r="H843">
            <v>2.3122436486687611E-5</v>
          </cell>
          <cell r="I843">
            <v>5.7804479656452126E-4</v>
          </cell>
          <cell r="J843">
            <v>5.9243372751904865E-4</v>
          </cell>
          <cell r="K843">
            <v>4.6269276600274106E-4</v>
          </cell>
          <cell r="L843">
            <v>4.0925572978105478E-4</v>
          </cell>
          <cell r="M843">
            <v>3.951281018126614E-4</v>
          </cell>
          <cell r="N843">
            <v>3.1085961545608976E-4</v>
          </cell>
          <cell r="O843">
            <v>2.8696823449919228E-4</v>
          </cell>
          <cell r="P843">
            <v>2.163197346269383E-4</v>
          </cell>
          <cell r="Q843">
            <v>1.8343354515174646E-4</v>
          </cell>
          <cell r="R843">
            <v>9.7367017983097113E-5</v>
          </cell>
          <cell r="S843">
            <v>6.4224129979676504E-5</v>
          </cell>
          <cell r="T843">
            <v>2.571589740193166E-6</v>
          </cell>
          <cell r="U843">
            <v>0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>
            <v>0</v>
          </cell>
          <cell r="AC843">
            <v>0</v>
          </cell>
          <cell r="AD843">
            <v>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>
            <v>0</v>
          </cell>
          <cell r="AM843">
            <v>0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  <cell r="AR843">
            <v>0</v>
          </cell>
        </row>
        <row r="844">
          <cell r="B844" t="str">
            <v xml:space="preserve">            GY1-1150</v>
          </cell>
          <cell r="C844" t="str">
            <v>Development &amp; Implementation of Crisis Managment Response</v>
          </cell>
          <cell r="D844">
            <v>495669</v>
          </cell>
          <cell r="E844">
            <v>1</v>
          </cell>
          <cell r="F844">
            <v>5.7057291249845428E-4</v>
          </cell>
          <cell r="G844">
            <v>5.7057291249845406E-4</v>
          </cell>
          <cell r="H844">
            <v>3.6421262032100169E-6</v>
          </cell>
          <cell r="I844">
            <v>9.1048550622344974E-5</v>
          </cell>
          <cell r="J844">
            <v>9.3315095026302145E-5</v>
          </cell>
          <cell r="K844">
            <v>7.2879359727443923E-5</v>
          </cell>
          <cell r="L844">
            <v>6.4462410676283487E-5</v>
          </cell>
          <cell r="M844">
            <v>6.2237306393475336E-5</v>
          </cell>
          <cell r="N844">
            <v>4.8963805366542748E-5</v>
          </cell>
          <cell r="O844">
            <v>4.5200812143314711E-5</v>
          </cell>
          <cell r="P844">
            <v>3.4072988500321272E-5</v>
          </cell>
          <cell r="Q844">
            <v>2.8892973356691346E-5</v>
          </cell>
          <cell r="R844">
            <v>1.5336298168573657E-5</v>
          </cell>
          <cell r="S844">
            <v>1.0115994018271058E-5</v>
          </cell>
          <cell r="T844">
            <v>4.0519229567949619E-7</v>
          </cell>
          <cell r="U844">
            <v>0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>
            <v>0</v>
          </cell>
          <cell r="AC844">
            <v>0</v>
          </cell>
          <cell r="AD844">
            <v>0</v>
          </cell>
          <cell r="AE844">
            <v>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>
            <v>0</v>
          </cell>
          <cell r="AM844">
            <v>0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  <cell r="AR844">
            <v>0</v>
          </cell>
        </row>
        <row r="845">
          <cell r="B845" t="str">
            <v xml:space="preserve">            GY1-1160</v>
          </cell>
          <cell r="C845" t="str">
            <v>Development &amp; Implementation of Business Continiuty</v>
          </cell>
          <cell r="D845">
            <v>495669</v>
          </cell>
          <cell r="E845">
            <v>1</v>
          </cell>
          <cell r="F845">
            <v>5.7057291249845428E-4</v>
          </cell>
          <cell r="G845">
            <v>5.7057291249845406E-4</v>
          </cell>
          <cell r="H845">
            <v>3.6421262032100169E-6</v>
          </cell>
          <cell r="I845">
            <v>9.1048550622344974E-5</v>
          </cell>
          <cell r="J845">
            <v>9.3315095026302145E-5</v>
          </cell>
          <cell r="K845">
            <v>7.2879359727443923E-5</v>
          </cell>
          <cell r="L845">
            <v>6.4462410676283487E-5</v>
          </cell>
          <cell r="M845">
            <v>6.2237306393475336E-5</v>
          </cell>
          <cell r="N845">
            <v>4.8963805366542748E-5</v>
          </cell>
          <cell r="O845">
            <v>4.5200812143314711E-5</v>
          </cell>
          <cell r="P845">
            <v>3.4072988500321272E-5</v>
          </cell>
          <cell r="Q845">
            <v>2.8892973356691346E-5</v>
          </cell>
          <cell r="R845">
            <v>1.5336298168573657E-5</v>
          </cell>
          <cell r="S845">
            <v>1.0115994018271058E-5</v>
          </cell>
          <cell r="T845">
            <v>4.0519229567949619E-7</v>
          </cell>
          <cell r="U845">
            <v>0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>
            <v>0</v>
          </cell>
          <cell r="AC845">
            <v>0</v>
          </cell>
          <cell r="AD845">
            <v>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>
            <v>0</v>
          </cell>
          <cell r="AM845">
            <v>0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  <cell r="AR845">
            <v>0</v>
          </cell>
        </row>
        <row r="846">
          <cell r="B846" t="str">
            <v xml:space="preserve">            GY1-1170</v>
          </cell>
          <cell r="C846" t="str">
            <v>Development &amp; Implementation of Employee Protection</v>
          </cell>
          <cell r="D846">
            <v>495669</v>
          </cell>
          <cell r="E846">
            <v>1</v>
          </cell>
          <cell r="F846">
            <v>5.7057291249845428E-4</v>
          </cell>
          <cell r="G846">
            <v>5.7057291249845406E-4</v>
          </cell>
          <cell r="H846">
            <v>3.6421262032100169E-6</v>
          </cell>
          <cell r="I846">
            <v>9.1048550622344974E-5</v>
          </cell>
          <cell r="J846">
            <v>9.3315095026302145E-5</v>
          </cell>
          <cell r="K846">
            <v>7.2879359727443923E-5</v>
          </cell>
          <cell r="L846">
            <v>6.4462410676283487E-5</v>
          </cell>
          <cell r="M846">
            <v>6.2237306393475336E-5</v>
          </cell>
          <cell r="N846">
            <v>4.8963805366542748E-5</v>
          </cell>
          <cell r="O846">
            <v>4.5200812143314711E-5</v>
          </cell>
          <cell r="P846">
            <v>3.4072988500321272E-5</v>
          </cell>
          <cell r="Q846">
            <v>2.8892973356691346E-5</v>
          </cell>
          <cell r="R846">
            <v>1.5336298168573657E-5</v>
          </cell>
          <cell r="S846">
            <v>1.0115994018271058E-5</v>
          </cell>
          <cell r="T846">
            <v>4.0519229567949619E-7</v>
          </cell>
          <cell r="U846">
            <v>0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>
            <v>0</v>
          </cell>
          <cell r="AC846">
            <v>0</v>
          </cell>
          <cell r="AD846">
            <v>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>
            <v>0</v>
          </cell>
          <cell r="AM846">
            <v>0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  <cell r="AR846">
            <v>0</v>
          </cell>
        </row>
        <row r="847">
          <cell r="B847" t="str">
            <v xml:space="preserve">            GY1-1180</v>
          </cell>
          <cell r="C847" t="str">
            <v>Development &amp; Implementation of Information Security</v>
          </cell>
          <cell r="D847">
            <v>668534</v>
          </cell>
          <cell r="E847">
            <v>1</v>
          </cell>
          <cell r="F847">
            <v>7.6955686311137763E-4</v>
          </cell>
          <cell r="G847">
            <v>7.6955686311137763E-4</v>
          </cell>
          <cell r="H847">
            <v>4.9118054706375285E-6</v>
          </cell>
          <cell r="I847">
            <v>1.2280204345279641E-4</v>
          </cell>
          <cell r="J847">
            <v>1.2585825238753805E-4</v>
          </cell>
          <cell r="K847">
            <v>9.829596736552142E-5</v>
          </cell>
          <cell r="L847">
            <v>8.6943676399637348E-5</v>
          </cell>
          <cell r="M847">
            <v>8.3941569845284717E-5</v>
          </cell>
          <cell r="N847">
            <v>6.6040588623376072E-5</v>
          </cell>
          <cell r="O847">
            <v>6.0964173782618742E-5</v>
          </cell>
          <cell r="P847">
            <v>4.5954792125331949E-5</v>
          </cell>
          <cell r="Q847">
            <v>3.8968678368289727E-5</v>
          </cell>
          <cell r="R847">
            <v>2.0685527140228826E-5</v>
          </cell>
          <cell r="S847">
            <v>1.3644159888321216E-5</v>
          </cell>
          <cell r="T847">
            <v>5.4562826179568522E-7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>
            <v>0</v>
          </cell>
          <cell r="AC847">
            <v>0</v>
          </cell>
          <cell r="AD847">
            <v>0</v>
          </cell>
          <cell r="AE847">
            <v>0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>
            <v>0</v>
          </cell>
          <cell r="AM847">
            <v>0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  <cell r="AR847">
            <v>0</v>
          </cell>
        </row>
        <row r="848">
          <cell r="B848" t="str">
            <v xml:space="preserve">            GY1-1190</v>
          </cell>
          <cell r="C848" t="str">
            <v>Development &amp; Implementation of Programe Office Security</v>
          </cell>
          <cell r="D848">
            <v>495669</v>
          </cell>
          <cell r="E848">
            <v>1</v>
          </cell>
          <cell r="F848">
            <v>5.7057291249845428E-4</v>
          </cell>
          <cell r="G848">
            <v>5.7057291249845406E-4</v>
          </cell>
          <cell r="H848">
            <v>3.6421262032100169E-6</v>
          </cell>
          <cell r="I848">
            <v>9.1048550622344974E-5</v>
          </cell>
          <cell r="J848">
            <v>9.3315095026302145E-5</v>
          </cell>
          <cell r="K848">
            <v>7.2879359727443923E-5</v>
          </cell>
          <cell r="L848">
            <v>6.4462410676283487E-5</v>
          </cell>
          <cell r="M848">
            <v>6.2237306393475336E-5</v>
          </cell>
          <cell r="N848">
            <v>4.8963805366542748E-5</v>
          </cell>
          <cell r="O848">
            <v>4.5200812143314711E-5</v>
          </cell>
          <cell r="P848">
            <v>3.4072988500321272E-5</v>
          </cell>
          <cell r="Q848">
            <v>2.8892973356691346E-5</v>
          </cell>
          <cell r="R848">
            <v>1.5336298168573657E-5</v>
          </cell>
          <cell r="S848">
            <v>1.0115994018271058E-5</v>
          </cell>
          <cell r="T848">
            <v>4.0519229567949619E-7</v>
          </cell>
          <cell r="U848">
            <v>0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>
            <v>0</v>
          </cell>
          <cell r="AC848">
            <v>0</v>
          </cell>
          <cell r="AD848">
            <v>0</v>
          </cell>
          <cell r="AE848">
            <v>0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>
            <v>0</v>
          </cell>
          <cell r="AM848">
            <v>0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  <cell r="AR848">
            <v>0</v>
          </cell>
        </row>
        <row r="849">
          <cell r="B849" t="str">
            <v xml:space="preserve">            GY1-1240</v>
          </cell>
          <cell r="C849" t="str">
            <v>Development &amp; Implementation of Securities for Fcilities &amp; Job Sites</v>
          </cell>
          <cell r="D849">
            <v>495669</v>
          </cell>
          <cell r="E849">
            <v>1</v>
          </cell>
          <cell r="F849">
            <v>5.7057291249845428E-4</v>
          </cell>
          <cell r="G849">
            <v>5.7057291249845406E-4</v>
          </cell>
          <cell r="H849">
            <v>3.6421262032100169E-6</v>
          </cell>
          <cell r="I849">
            <v>9.1048550622344974E-5</v>
          </cell>
          <cell r="J849">
            <v>9.3315095026302145E-5</v>
          </cell>
          <cell r="K849">
            <v>7.2879359727443923E-5</v>
          </cell>
          <cell r="L849">
            <v>6.4462410676283487E-5</v>
          </cell>
          <cell r="M849">
            <v>6.2237306393475336E-5</v>
          </cell>
          <cell r="N849">
            <v>4.8963805366542748E-5</v>
          </cell>
          <cell r="O849">
            <v>4.5200812143314711E-5</v>
          </cell>
          <cell r="P849">
            <v>3.4072988500321272E-5</v>
          </cell>
          <cell r="Q849">
            <v>2.8892973356691346E-5</v>
          </cell>
          <cell r="R849">
            <v>1.5336298168573657E-5</v>
          </cell>
          <cell r="S849">
            <v>1.0115994018271058E-5</v>
          </cell>
          <cell r="T849">
            <v>4.0519229567949619E-7</v>
          </cell>
          <cell r="U849">
            <v>0</v>
          </cell>
          <cell r="V849">
            <v>0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>
            <v>0</v>
          </cell>
          <cell r="AC849">
            <v>0</v>
          </cell>
          <cell r="AD849">
            <v>0</v>
          </cell>
          <cell r="AE849">
            <v>0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>
            <v>0</v>
          </cell>
          <cell r="AM849">
            <v>0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  <cell r="AR849">
            <v>0</v>
          </cell>
        </row>
        <row r="850">
          <cell r="B850" t="str">
            <v xml:space="preserve">          WORKSHOP FOR APPROVAL OF MANUALS &amp; PROCEDDURES</v>
          </cell>
          <cell r="D850">
            <v>22564</v>
          </cell>
          <cell r="F850">
            <v>2.5973747044636793E-5</v>
          </cell>
          <cell r="G850">
            <v>2.5973747044636793E-5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>
            <v>0</v>
          </cell>
          <cell r="R850">
            <v>0</v>
          </cell>
          <cell r="S850">
            <v>2.5973747044636793E-5</v>
          </cell>
          <cell r="T850">
            <v>0</v>
          </cell>
          <cell r="U850">
            <v>0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>
            <v>0</v>
          </cell>
          <cell r="AC850">
            <v>0</v>
          </cell>
          <cell r="AD850">
            <v>0</v>
          </cell>
          <cell r="AE850">
            <v>0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>
            <v>0</v>
          </cell>
          <cell r="AM850">
            <v>0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  <cell r="AR850">
            <v>0</v>
          </cell>
        </row>
        <row r="851">
          <cell r="B851" t="str">
            <v xml:space="preserve">            GY1-2810</v>
          </cell>
          <cell r="C851" t="str">
            <v>Workshop for approval of Manual &amp; Procedures</v>
          </cell>
          <cell r="D851">
            <v>22564</v>
          </cell>
          <cell r="E851">
            <v>1</v>
          </cell>
          <cell r="F851">
            <v>2.5973747044636793E-5</v>
          </cell>
          <cell r="G851">
            <v>2.5973747044636793E-5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>
            <v>0</v>
          </cell>
          <cell r="R851">
            <v>0</v>
          </cell>
          <cell r="S851">
            <v>2.5973747044636793E-5</v>
          </cell>
          <cell r="T851">
            <v>0</v>
          </cell>
          <cell r="U851">
            <v>0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>
            <v>0</v>
          </cell>
          <cell r="AC851">
            <v>0</v>
          </cell>
          <cell r="AD851">
            <v>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>
            <v>0</v>
          </cell>
          <cell r="AM851">
            <v>0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  <cell r="AR851">
            <v>0</v>
          </cell>
        </row>
        <row r="852">
          <cell r="B852" t="str">
            <v xml:space="preserve">        INVOICES</v>
          </cell>
          <cell r="D852">
            <v>78746621</v>
          </cell>
          <cell r="F852">
            <v>1.4496099712276884E-4</v>
          </cell>
          <cell r="G852">
            <v>1.4496099712276884E-4</v>
          </cell>
          <cell r="H852">
            <v>0</v>
          </cell>
          <cell r="I852">
            <v>1.2321529354981042E-5</v>
          </cell>
          <cell r="J852">
            <v>1.377078248072106E-5</v>
          </cell>
          <cell r="K852">
            <v>1.3046731475089231E-5</v>
          </cell>
          <cell r="L852">
            <v>1.3046731475089231E-5</v>
          </cell>
          <cell r="M852">
            <v>1.3046731475089231E-5</v>
          </cell>
          <cell r="N852">
            <v>1.3046731475089231E-5</v>
          </cell>
          <cell r="O852">
            <v>1.3046731475089231E-5</v>
          </cell>
          <cell r="P852">
            <v>1.3046731475089231E-5</v>
          </cell>
          <cell r="Q852">
            <v>1.377078248072106E-5</v>
          </cell>
          <cell r="R852">
            <v>1.3046731475089231E-5</v>
          </cell>
          <cell r="S852">
            <v>1.377078248072106E-5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>
            <v>0</v>
          </cell>
          <cell r="AC852">
            <v>0</v>
          </cell>
          <cell r="AD852">
            <v>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>
            <v>0</v>
          </cell>
          <cell r="AM852">
            <v>0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  <cell r="AR852">
            <v>0</v>
          </cell>
        </row>
        <row r="853">
          <cell r="B853" t="str">
            <v xml:space="preserve">          INVOICES FOR YEAR 1</v>
          </cell>
          <cell r="D853">
            <v>125931</v>
          </cell>
          <cell r="F853">
            <v>1.4496099712276884E-4</v>
          </cell>
          <cell r="G853">
            <v>1.4496099712276884E-4</v>
          </cell>
          <cell r="H853">
            <v>0</v>
          </cell>
          <cell r="I853">
            <v>1.2321529354981042E-5</v>
          </cell>
          <cell r="J853">
            <v>1.377078248072106E-5</v>
          </cell>
          <cell r="K853">
            <v>1.3046731475089231E-5</v>
          </cell>
          <cell r="L853">
            <v>1.3046731475089231E-5</v>
          </cell>
          <cell r="M853">
            <v>1.3046731475089231E-5</v>
          </cell>
          <cell r="N853">
            <v>1.3046731475089231E-5</v>
          </cell>
          <cell r="O853">
            <v>1.3046731475089231E-5</v>
          </cell>
          <cell r="P853">
            <v>1.3046731475089231E-5</v>
          </cell>
          <cell r="Q853">
            <v>1.377078248072106E-5</v>
          </cell>
          <cell r="R853">
            <v>1.3046731475089231E-5</v>
          </cell>
          <cell r="S853">
            <v>1.377078248072106E-5</v>
          </cell>
          <cell r="T853">
            <v>0</v>
          </cell>
          <cell r="U853">
            <v>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>
            <v>0</v>
          </cell>
          <cell r="AC853">
            <v>0</v>
          </cell>
          <cell r="AD853">
            <v>0</v>
          </cell>
          <cell r="AE853">
            <v>0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>
            <v>0</v>
          </cell>
          <cell r="AM853">
            <v>0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  <cell r="AR853">
            <v>0</v>
          </cell>
        </row>
        <row r="854">
          <cell r="B854" t="str">
            <v xml:space="preserve">            D+1 MONTH</v>
          </cell>
          <cell r="D854">
            <v>11334</v>
          </cell>
          <cell r="F854">
            <v>1.3046731475089231E-5</v>
          </cell>
          <cell r="G854">
            <v>1.3046731475089231E-5</v>
          </cell>
          <cell r="H854">
            <v>0</v>
          </cell>
          <cell r="I854">
            <v>1.2321529354981042E-5</v>
          </cell>
          <cell r="J854">
            <v>7.2520212010818911E-7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>
            <v>0</v>
          </cell>
          <cell r="R854">
            <v>0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>
            <v>0</v>
          </cell>
          <cell r="AC854">
            <v>0</v>
          </cell>
          <cell r="AD854">
            <v>0</v>
          </cell>
          <cell r="AE854">
            <v>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>
            <v>0</v>
          </cell>
          <cell r="AM854">
            <v>0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  <cell r="AR854">
            <v>0</v>
          </cell>
        </row>
        <row r="855">
          <cell r="B855" t="str">
            <v xml:space="preserve">              GY1-1270</v>
          </cell>
          <cell r="C855" t="str">
            <v>Preparation of Monthly Invoice for D+1</v>
          </cell>
          <cell r="D855">
            <v>10074</v>
          </cell>
          <cell r="E855">
            <v>1</v>
          </cell>
          <cell r="F855">
            <v>1.1596327234872853E-5</v>
          </cell>
          <cell r="G855">
            <v>1.1596327234872853E-5</v>
          </cell>
          <cell r="H855">
            <v>0</v>
          </cell>
          <cell r="I855">
            <v>1.1596327234872853E-5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>
            <v>0</v>
          </cell>
          <cell r="AM855">
            <v>0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  <cell r="AR855">
            <v>0</v>
          </cell>
        </row>
        <row r="856">
          <cell r="B856" t="str">
            <v xml:space="preserve">              GY1-1310</v>
          </cell>
          <cell r="C856" t="str">
            <v>Submission of invoice for D+1 MONTH</v>
          </cell>
          <cell r="D856">
            <v>630</v>
          </cell>
          <cell r="E856">
            <v>1</v>
          </cell>
          <cell r="F856">
            <v>7.2520212010818911E-7</v>
          </cell>
          <cell r="G856">
            <v>7.2520212010818911E-7</v>
          </cell>
          <cell r="H856">
            <v>0</v>
          </cell>
          <cell r="I856">
            <v>7.2520212010818911E-7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>
            <v>0</v>
          </cell>
          <cell r="AM856">
            <v>0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  <cell r="AR856">
            <v>0</v>
          </cell>
        </row>
        <row r="857">
          <cell r="B857" t="str">
            <v xml:space="preserve">              GY1-1440</v>
          </cell>
          <cell r="C857" t="str">
            <v>Receipt of Payment for D+1 Month</v>
          </cell>
          <cell r="D857">
            <v>630</v>
          </cell>
          <cell r="E857">
            <v>1</v>
          </cell>
          <cell r="F857">
            <v>7.2520212010818911E-7</v>
          </cell>
          <cell r="G857">
            <v>7.2520212010818911E-7</v>
          </cell>
          <cell r="H857">
            <v>0</v>
          </cell>
          <cell r="I857">
            <v>0</v>
          </cell>
          <cell r="J857">
            <v>7.2520212010818911E-7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>
            <v>0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>
            <v>0</v>
          </cell>
          <cell r="AM857">
            <v>0</v>
          </cell>
          <cell r="AN857">
            <v>0</v>
          </cell>
          <cell r="AO857">
            <v>0</v>
          </cell>
          <cell r="AP857">
            <v>0</v>
          </cell>
          <cell r="AQ857">
            <v>0</v>
          </cell>
          <cell r="AR857">
            <v>0</v>
          </cell>
        </row>
        <row r="858">
          <cell r="B858" t="str">
            <v xml:space="preserve">            D+2 MONTH</v>
          </cell>
          <cell r="D858">
            <v>11963</v>
          </cell>
          <cell r="F858">
            <v>1.377078248072106E-5</v>
          </cell>
          <cell r="G858">
            <v>1.377078248072106E-5</v>
          </cell>
          <cell r="H858">
            <v>0</v>
          </cell>
          <cell r="I858">
            <v>0</v>
          </cell>
          <cell r="J858">
            <v>1.3045580360612871E-5</v>
          </cell>
          <cell r="K858">
            <v>7.2520212010818911E-7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>
            <v>0</v>
          </cell>
          <cell r="AM858">
            <v>0</v>
          </cell>
          <cell r="AN858">
            <v>0</v>
          </cell>
          <cell r="AO858">
            <v>0</v>
          </cell>
          <cell r="AP858">
            <v>0</v>
          </cell>
          <cell r="AQ858">
            <v>0</v>
          </cell>
          <cell r="AR858">
            <v>0</v>
          </cell>
        </row>
        <row r="859">
          <cell r="B859" t="str">
            <v xml:space="preserve">              GY1-1420</v>
          </cell>
          <cell r="C859" t="str">
            <v>Preparation of Monthly Invoice for D+2 Month</v>
          </cell>
          <cell r="D859">
            <v>10703</v>
          </cell>
          <cell r="E859">
            <v>1</v>
          </cell>
          <cell r="F859">
            <v>1.2320378240504681E-5</v>
          </cell>
          <cell r="G859">
            <v>1.2320378240504681E-5</v>
          </cell>
          <cell r="H859">
            <v>0</v>
          </cell>
          <cell r="I859">
            <v>0</v>
          </cell>
          <cell r="J859">
            <v>1.2320378240504681E-5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>
            <v>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>
            <v>0</v>
          </cell>
          <cell r="AM859">
            <v>0</v>
          </cell>
          <cell r="AN859">
            <v>0</v>
          </cell>
          <cell r="AO859">
            <v>0</v>
          </cell>
          <cell r="AP859">
            <v>0</v>
          </cell>
          <cell r="AQ859">
            <v>0</v>
          </cell>
          <cell r="AR859">
            <v>0</v>
          </cell>
        </row>
        <row r="860">
          <cell r="B860" t="str">
            <v xml:space="preserve">              GY1-1490</v>
          </cell>
          <cell r="C860" t="str">
            <v>Submission of invoice for D+2 Month</v>
          </cell>
          <cell r="D860">
            <v>630</v>
          </cell>
          <cell r="E860">
            <v>1</v>
          </cell>
          <cell r="F860">
            <v>7.2520212010818911E-7</v>
          </cell>
          <cell r="G860">
            <v>7.2520212010818911E-7</v>
          </cell>
          <cell r="H860">
            <v>0</v>
          </cell>
          <cell r="I860">
            <v>0</v>
          </cell>
          <cell r="J860">
            <v>7.2520212010818911E-7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>
            <v>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>
            <v>0</v>
          </cell>
          <cell r="AM860">
            <v>0</v>
          </cell>
          <cell r="AN860">
            <v>0</v>
          </cell>
          <cell r="AO860">
            <v>0</v>
          </cell>
          <cell r="AP860">
            <v>0</v>
          </cell>
          <cell r="AQ860">
            <v>0</v>
          </cell>
          <cell r="AR860">
            <v>0</v>
          </cell>
        </row>
        <row r="861">
          <cell r="B861" t="str">
            <v xml:space="preserve">              GY1-1660</v>
          </cell>
          <cell r="C861" t="str">
            <v>Receipt of Payment for D+2 Month</v>
          </cell>
          <cell r="D861">
            <v>630</v>
          </cell>
          <cell r="E861">
            <v>1</v>
          </cell>
          <cell r="F861">
            <v>7.2520212010818911E-7</v>
          </cell>
          <cell r="G861">
            <v>7.2520212010818911E-7</v>
          </cell>
          <cell r="H861">
            <v>0</v>
          </cell>
          <cell r="I861">
            <v>0</v>
          </cell>
          <cell r="J861">
            <v>0</v>
          </cell>
          <cell r="K861">
            <v>7.2520212010818911E-7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>
            <v>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>
            <v>0</v>
          </cell>
          <cell r="AM861">
            <v>0</v>
          </cell>
          <cell r="AN861">
            <v>0</v>
          </cell>
          <cell r="AO861">
            <v>0</v>
          </cell>
          <cell r="AP861">
            <v>0</v>
          </cell>
          <cell r="AQ861">
            <v>0</v>
          </cell>
          <cell r="AR861">
            <v>0</v>
          </cell>
        </row>
        <row r="862">
          <cell r="B862" t="str">
            <v xml:space="preserve">            D+3 MONTH</v>
          </cell>
          <cell r="D862">
            <v>11334</v>
          </cell>
          <cell r="F862">
            <v>1.3046731475089231E-5</v>
          </cell>
          <cell r="G862">
            <v>1.3046731475089231E-5</v>
          </cell>
          <cell r="H862">
            <v>0</v>
          </cell>
          <cell r="I862">
            <v>0</v>
          </cell>
          <cell r="J862">
            <v>0</v>
          </cell>
          <cell r="K862">
            <v>1.2321529354981042E-5</v>
          </cell>
          <cell r="L862">
            <v>7.2520212010818911E-7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>
            <v>0</v>
          </cell>
          <cell r="AM862">
            <v>0</v>
          </cell>
          <cell r="AN862">
            <v>0</v>
          </cell>
          <cell r="AO862">
            <v>0</v>
          </cell>
          <cell r="AP862">
            <v>0</v>
          </cell>
          <cell r="AQ862">
            <v>0</v>
          </cell>
          <cell r="AR862">
            <v>0</v>
          </cell>
        </row>
        <row r="863">
          <cell r="B863" t="str">
            <v xml:space="preserve">              GY1-1580</v>
          </cell>
          <cell r="C863" t="str">
            <v>Preparation of Monthly Invoice for D+3 Month</v>
          </cell>
          <cell r="D863">
            <v>10074</v>
          </cell>
          <cell r="E863">
            <v>1</v>
          </cell>
          <cell r="F863">
            <v>1.1596327234872853E-5</v>
          </cell>
          <cell r="G863">
            <v>1.1596327234872853E-5</v>
          </cell>
          <cell r="H863">
            <v>0</v>
          </cell>
          <cell r="I863">
            <v>0</v>
          </cell>
          <cell r="J863">
            <v>0</v>
          </cell>
          <cell r="K863">
            <v>1.1596327234872853E-5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>
            <v>0</v>
          </cell>
          <cell r="AM863">
            <v>0</v>
          </cell>
          <cell r="AN863">
            <v>0</v>
          </cell>
          <cell r="AO863">
            <v>0</v>
          </cell>
          <cell r="AP863">
            <v>0</v>
          </cell>
          <cell r="AQ863">
            <v>0</v>
          </cell>
          <cell r="AR863">
            <v>0</v>
          </cell>
        </row>
        <row r="864">
          <cell r="B864" t="str">
            <v xml:space="preserve">              GY1-1690</v>
          </cell>
          <cell r="C864" t="str">
            <v>Submission of invoice for D+3 Month</v>
          </cell>
          <cell r="D864">
            <v>630</v>
          </cell>
          <cell r="E864">
            <v>1</v>
          </cell>
          <cell r="F864">
            <v>7.2520212010818911E-7</v>
          </cell>
          <cell r="G864">
            <v>7.2520212010818911E-7</v>
          </cell>
          <cell r="H864">
            <v>0</v>
          </cell>
          <cell r="I864">
            <v>0</v>
          </cell>
          <cell r="J864">
            <v>0</v>
          </cell>
          <cell r="K864">
            <v>7.2520212010818911E-7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>
            <v>0</v>
          </cell>
          <cell r="AM864">
            <v>0</v>
          </cell>
          <cell r="AN864">
            <v>0</v>
          </cell>
          <cell r="AO864">
            <v>0</v>
          </cell>
          <cell r="AP864">
            <v>0</v>
          </cell>
          <cell r="AQ864">
            <v>0</v>
          </cell>
          <cell r="AR864">
            <v>0</v>
          </cell>
        </row>
        <row r="865">
          <cell r="B865" t="str">
            <v xml:space="preserve">              GY1-2050</v>
          </cell>
          <cell r="C865" t="str">
            <v>Receipt of Payment for D+3 Month</v>
          </cell>
          <cell r="D865">
            <v>630</v>
          </cell>
          <cell r="E865">
            <v>1</v>
          </cell>
          <cell r="F865">
            <v>7.2520212010818911E-7</v>
          </cell>
          <cell r="G865">
            <v>7.2520212010818911E-7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7.2520212010818911E-7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>
            <v>0</v>
          </cell>
          <cell r="AM865">
            <v>0</v>
          </cell>
          <cell r="AN865">
            <v>0</v>
          </cell>
          <cell r="AO865">
            <v>0</v>
          </cell>
          <cell r="AP865">
            <v>0</v>
          </cell>
          <cell r="AQ865">
            <v>0</v>
          </cell>
          <cell r="AR865">
            <v>0</v>
          </cell>
        </row>
        <row r="866">
          <cell r="B866" t="str">
            <v xml:space="preserve">            D+4 MONTH</v>
          </cell>
          <cell r="D866">
            <v>11334</v>
          </cell>
          <cell r="F866">
            <v>1.3046731475089231E-5</v>
          </cell>
          <cell r="G866">
            <v>1.3046731475089231E-5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1.2321529354981042E-5</v>
          </cell>
          <cell r="M866">
            <v>7.2520212010818911E-7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>
            <v>0</v>
          </cell>
          <cell r="AM866">
            <v>0</v>
          </cell>
          <cell r="AN866">
            <v>0</v>
          </cell>
          <cell r="AO866">
            <v>0</v>
          </cell>
          <cell r="AP866">
            <v>0</v>
          </cell>
          <cell r="AQ866">
            <v>0</v>
          </cell>
          <cell r="AR866">
            <v>0</v>
          </cell>
        </row>
        <row r="867">
          <cell r="B867" t="str">
            <v xml:space="preserve">              GY1-2000</v>
          </cell>
          <cell r="C867" t="str">
            <v>Preparation of Monthly Invoice for D+4 Month</v>
          </cell>
          <cell r="D867">
            <v>10074</v>
          </cell>
          <cell r="E867">
            <v>1</v>
          </cell>
          <cell r="F867">
            <v>1.1596327234872853E-5</v>
          </cell>
          <cell r="G867">
            <v>1.1596327234872853E-5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1.1596327234872853E-5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>
            <v>0</v>
          </cell>
          <cell r="AM867">
            <v>0</v>
          </cell>
          <cell r="AN867">
            <v>0</v>
          </cell>
          <cell r="AO867">
            <v>0</v>
          </cell>
          <cell r="AP867">
            <v>0</v>
          </cell>
          <cell r="AQ867">
            <v>0</v>
          </cell>
          <cell r="AR867">
            <v>0</v>
          </cell>
        </row>
        <row r="868">
          <cell r="B868" t="str">
            <v xml:space="preserve">              GY1-2140</v>
          </cell>
          <cell r="C868" t="str">
            <v>Submission of invoice for D+4 Month</v>
          </cell>
          <cell r="D868">
            <v>630</v>
          </cell>
          <cell r="E868">
            <v>1</v>
          </cell>
          <cell r="F868">
            <v>7.2520212010818911E-7</v>
          </cell>
          <cell r="G868">
            <v>7.2520212010818911E-7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7.2520212010818911E-7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>
            <v>0</v>
          </cell>
          <cell r="AM868">
            <v>0</v>
          </cell>
          <cell r="AN868">
            <v>0</v>
          </cell>
          <cell r="AO868">
            <v>0</v>
          </cell>
          <cell r="AP868">
            <v>0</v>
          </cell>
          <cell r="AQ868">
            <v>0</v>
          </cell>
          <cell r="AR868">
            <v>0</v>
          </cell>
        </row>
        <row r="869">
          <cell r="B869" t="str">
            <v xml:space="preserve">              GY1-2250</v>
          </cell>
          <cell r="C869" t="str">
            <v>Receipt of Payment for D+4 Month</v>
          </cell>
          <cell r="D869">
            <v>630</v>
          </cell>
          <cell r="E869">
            <v>1</v>
          </cell>
          <cell r="F869">
            <v>7.2520212010818911E-7</v>
          </cell>
          <cell r="G869">
            <v>7.2520212010818911E-7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7.2520212010818911E-7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>
            <v>0</v>
          </cell>
          <cell r="AM869">
            <v>0</v>
          </cell>
          <cell r="AN869">
            <v>0</v>
          </cell>
          <cell r="AO869">
            <v>0</v>
          </cell>
          <cell r="AP869">
            <v>0</v>
          </cell>
          <cell r="AQ869">
            <v>0</v>
          </cell>
          <cell r="AR869">
            <v>0</v>
          </cell>
        </row>
        <row r="870">
          <cell r="B870" t="str">
            <v xml:space="preserve">            D+5 MONTH</v>
          </cell>
          <cell r="D870">
            <v>11334</v>
          </cell>
          <cell r="F870">
            <v>1.3046731475089231E-5</v>
          </cell>
          <cell r="G870">
            <v>1.3046731475089231E-5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1.2321529354981042E-5</v>
          </cell>
          <cell r="N870">
            <v>7.2520212010818911E-7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>
            <v>0</v>
          </cell>
          <cell r="AM870">
            <v>0</v>
          </cell>
          <cell r="AN870">
            <v>0</v>
          </cell>
          <cell r="AO870">
            <v>0</v>
          </cell>
          <cell r="AP870">
            <v>0</v>
          </cell>
          <cell r="AQ870">
            <v>0</v>
          </cell>
          <cell r="AR870">
            <v>0</v>
          </cell>
        </row>
        <row r="871">
          <cell r="B871" t="str">
            <v xml:space="preserve">              GY1-2180</v>
          </cell>
          <cell r="C871" t="str">
            <v>Preparation of Monthly Invoice for D+5 Month</v>
          </cell>
          <cell r="D871">
            <v>10074</v>
          </cell>
          <cell r="E871">
            <v>1</v>
          </cell>
          <cell r="F871">
            <v>1.1596327234872853E-5</v>
          </cell>
          <cell r="G871">
            <v>1.1596327234872853E-5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1.1596327234872853E-5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>
            <v>0</v>
          </cell>
          <cell r="AM871">
            <v>0</v>
          </cell>
          <cell r="AN871">
            <v>0</v>
          </cell>
          <cell r="AO871">
            <v>0</v>
          </cell>
          <cell r="AP871">
            <v>0</v>
          </cell>
          <cell r="AQ871">
            <v>0</v>
          </cell>
          <cell r="AR871">
            <v>0</v>
          </cell>
        </row>
        <row r="872">
          <cell r="B872" t="str">
            <v xml:space="preserve">              GY1-2280</v>
          </cell>
          <cell r="C872" t="str">
            <v>Submission of invoice for D+5 Month</v>
          </cell>
          <cell r="D872">
            <v>630</v>
          </cell>
          <cell r="E872">
            <v>1</v>
          </cell>
          <cell r="F872">
            <v>7.2520212010818911E-7</v>
          </cell>
          <cell r="G872">
            <v>7.2520212010818911E-7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7.2520212010818911E-7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>
            <v>0</v>
          </cell>
          <cell r="AM872">
            <v>0</v>
          </cell>
          <cell r="AN872">
            <v>0</v>
          </cell>
          <cell r="AO872">
            <v>0</v>
          </cell>
          <cell r="AP872">
            <v>0</v>
          </cell>
          <cell r="AQ872">
            <v>0</v>
          </cell>
          <cell r="AR872">
            <v>0</v>
          </cell>
        </row>
        <row r="873">
          <cell r="B873" t="str">
            <v xml:space="preserve">              GY1-2320</v>
          </cell>
          <cell r="C873" t="str">
            <v>Receipt of Payment for D+5 Month</v>
          </cell>
          <cell r="D873">
            <v>630</v>
          </cell>
          <cell r="E873">
            <v>1</v>
          </cell>
          <cell r="F873">
            <v>7.2520212010818911E-7</v>
          </cell>
          <cell r="G873">
            <v>7.2520212010818911E-7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7.2520212010818911E-7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>
            <v>0</v>
          </cell>
          <cell r="AM873">
            <v>0</v>
          </cell>
          <cell r="AN873">
            <v>0</v>
          </cell>
          <cell r="AO873">
            <v>0</v>
          </cell>
          <cell r="AP873">
            <v>0</v>
          </cell>
          <cell r="AQ873">
            <v>0</v>
          </cell>
          <cell r="AR873">
            <v>0</v>
          </cell>
        </row>
        <row r="874">
          <cell r="B874" t="str">
            <v xml:space="preserve">            D+6 MONTH</v>
          </cell>
          <cell r="D874">
            <v>11334</v>
          </cell>
          <cell r="F874">
            <v>1.3046731475089231E-5</v>
          </cell>
          <cell r="G874">
            <v>1.3046731475089231E-5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1.2321529354981042E-5</v>
          </cell>
          <cell r="O874">
            <v>7.2520212010818911E-7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>
            <v>0</v>
          </cell>
          <cell r="AM874">
            <v>0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  <cell r="AR874">
            <v>0</v>
          </cell>
        </row>
        <row r="875">
          <cell r="B875" t="str">
            <v xml:space="preserve">              GY1-2310</v>
          </cell>
          <cell r="C875" t="str">
            <v>Preparation of Monthly Invoice for D+6 Month</v>
          </cell>
          <cell r="D875">
            <v>10074</v>
          </cell>
          <cell r="E875">
            <v>1</v>
          </cell>
          <cell r="F875">
            <v>1.1596327234872853E-5</v>
          </cell>
          <cell r="G875">
            <v>1.1596327234872853E-5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1.1596327234872853E-5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>
            <v>0</v>
          </cell>
          <cell r="AM875">
            <v>0</v>
          </cell>
          <cell r="AN875">
            <v>0</v>
          </cell>
          <cell r="AO875">
            <v>0</v>
          </cell>
          <cell r="AP875">
            <v>0</v>
          </cell>
          <cell r="AQ875">
            <v>0</v>
          </cell>
          <cell r="AR875">
            <v>0</v>
          </cell>
        </row>
        <row r="876">
          <cell r="B876" t="str">
            <v xml:space="preserve">              GY1-2360</v>
          </cell>
          <cell r="C876" t="str">
            <v>Submission of invoice for D+6 Month</v>
          </cell>
          <cell r="D876">
            <v>630</v>
          </cell>
          <cell r="E876">
            <v>1</v>
          </cell>
          <cell r="F876">
            <v>7.2520212010818911E-7</v>
          </cell>
          <cell r="G876">
            <v>7.2520212010818911E-7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7.2520212010818911E-7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>
            <v>0</v>
          </cell>
          <cell r="AM876">
            <v>0</v>
          </cell>
          <cell r="AN876">
            <v>0</v>
          </cell>
          <cell r="AO876">
            <v>0</v>
          </cell>
          <cell r="AP876">
            <v>0</v>
          </cell>
          <cell r="AQ876">
            <v>0</v>
          </cell>
          <cell r="AR876">
            <v>0</v>
          </cell>
        </row>
        <row r="877">
          <cell r="B877" t="str">
            <v xml:space="preserve">              GY1-2430</v>
          </cell>
          <cell r="C877" t="str">
            <v>Receipt of Payment for D+6 Month</v>
          </cell>
          <cell r="D877">
            <v>630</v>
          </cell>
          <cell r="E877">
            <v>1</v>
          </cell>
          <cell r="F877">
            <v>7.2520212010818911E-7</v>
          </cell>
          <cell r="G877">
            <v>7.2520212010818911E-7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7.2520212010818911E-7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>
            <v>0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G877">
            <v>0</v>
          </cell>
          <cell r="AH877">
            <v>0</v>
          </cell>
          <cell r="AI877">
            <v>0</v>
          </cell>
          <cell r="AJ877">
            <v>0</v>
          </cell>
          <cell r="AK877">
            <v>0</v>
          </cell>
          <cell r="AL877">
            <v>0</v>
          </cell>
          <cell r="AM877">
            <v>0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  <cell r="AR877">
            <v>0</v>
          </cell>
        </row>
        <row r="878">
          <cell r="B878" t="str">
            <v xml:space="preserve">            D+7 MONTH</v>
          </cell>
          <cell r="D878">
            <v>11334</v>
          </cell>
          <cell r="F878">
            <v>1.3046731475089231E-5</v>
          </cell>
          <cell r="G878">
            <v>1.3046731475089231E-5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O878">
            <v>1.2321529354981042E-5</v>
          </cell>
          <cell r="P878">
            <v>7.2520212010818911E-7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>
            <v>0</v>
          </cell>
          <cell r="AM878">
            <v>0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  <cell r="AR878">
            <v>0</v>
          </cell>
        </row>
        <row r="879">
          <cell r="B879" t="str">
            <v xml:space="preserve">              GY1-2410</v>
          </cell>
          <cell r="C879" t="str">
            <v>Preparation of Monthly Invoice for D+7 Month</v>
          </cell>
          <cell r="D879">
            <v>10074</v>
          </cell>
          <cell r="E879">
            <v>1</v>
          </cell>
          <cell r="F879">
            <v>1.1596327234872853E-5</v>
          </cell>
          <cell r="G879">
            <v>1.1596327234872853E-5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1.1596327234872853E-5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>
            <v>0</v>
          </cell>
          <cell r="AM879">
            <v>0</v>
          </cell>
          <cell r="AN879">
            <v>0</v>
          </cell>
          <cell r="AO879">
            <v>0</v>
          </cell>
          <cell r="AP879">
            <v>0</v>
          </cell>
          <cell r="AQ879">
            <v>0</v>
          </cell>
          <cell r="AR879">
            <v>0</v>
          </cell>
        </row>
        <row r="880">
          <cell r="B880" t="str">
            <v xml:space="preserve">              GY1-2480</v>
          </cell>
          <cell r="C880" t="str">
            <v>Submission of invoice for D+7 Month</v>
          </cell>
          <cell r="D880">
            <v>630</v>
          </cell>
          <cell r="E880">
            <v>1</v>
          </cell>
          <cell r="F880">
            <v>7.2520212010818911E-7</v>
          </cell>
          <cell r="G880">
            <v>7.2520212010818911E-7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7.2520212010818911E-7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>
            <v>0</v>
          </cell>
          <cell r="AM880">
            <v>0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  <cell r="AR880">
            <v>0</v>
          </cell>
        </row>
        <row r="881">
          <cell r="B881" t="str">
            <v xml:space="preserve">              GY1-2520</v>
          </cell>
          <cell r="C881" t="str">
            <v>Receipt of Payment for D+7 Month</v>
          </cell>
          <cell r="D881">
            <v>630</v>
          </cell>
          <cell r="E881">
            <v>1</v>
          </cell>
          <cell r="F881">
            <v>7.2520212010818911E-7</v>
          </cell>
          <cell r="G881">
            <v>7.2520212010818911E-7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7.2520212010818911E-7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>
            <v>0</v>
          </cell>
          <cell r="AM881">
            <v>0</v>
          </cell>
          <cell r="AN881">
            <v>0</v>
          </cell>
          <cell r="AO881">
            <v>0</v>
          </cell>
          <cell r="AP881">
            <v>0</v>
          </cell>
          <cell r="AQ881">
            <v>0</v>
          </cell>
          <cell r="AR881">
            <v>0</v>
          </cell>
        </row>
        <row r="882">
          <cell r="B882" t="str">
            <v xml:space="preserve">            D+8 MONTH</v>
          </cell>
          <cell r="D882">
            <v>11334</v>
          </cell>
          <cell r="F882">
            <v>1.3046731475089231E-5</v>
          </cell>
          <cell r="G882">
            <v>1.3046731475089231E-5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  <cell r="O882">
            <v>0</v>
          </cell>
          <cell r="P882">
            <v>1.2321529354981042E-5</v>
          </cell>
          <cell r="Q882">
            <v>7.2520212010818911E-7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>
            <v>0</v>
          </cell>
          <cell r="AM882">
            <v>0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  <cell r="AR882">
            <v>0</v>
          </cell>
        </row>
        <row r="883">
          <cell r="B883" t="str">
            <v xml:space="preserve">              GY1-2510</v>
          </cell>
          <cell r="C883" t="str">
            <v>Preparation of Monthly Invoice for D+8 Month</v>
          </cell>
          <cell r="D883">
            <v>10074</v>
          </cell>
          <cell r="E883">
            <v>1</v>
          </cell>
          <cell r="F883">
            <v>1.1596327234872853E-5</v>
          </cell>
          <cell r="G883">
            <v>1.1596327234872853E-5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1.1596327234872853E-5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>
            <v>0</v>
          </cell>
          <cell r="AC883">
            <v>0</v>
          </cell>
          <cell r="AD883">
            <v>0</v>
          </cell>
          <cell r="AE883">
            <v>0</v>
          </cell>
          <cell r="AF883">
            <v>0</v>
          </cell>
          <cell r="AG883">
            <v>0</v>
          </cell>
          <cell r="AH883">
            <v>0</v>
          </cell>
          <cell r="AI883">
            <v>0</v>
          </cell>
          <cell r="AJ883">
            <v>0</v>
          </cell>
          <cell r="AK883">
            <v>0</v>
          </cell>
          <cell r="AL883">
            <v>0</v>
          </cell>
          <cell r="AM883">
            <v>0</v>
          </cell>
          <cell r="AN883">
            <v>0</v>
          </cell>
          <cell r="AO883">
            <v>0</v>
          </cell>
          <cell r="AP883">
            <v>0</v>
          </cell>
          <cell r="AQ883">
            <v>0</v>
          </cell>
          <cell r="AR883">
            <v>0</v>
          </cell>
        </row>
        <row r="884">
          <cell r="B884" t="str">
            <v xml:space="preserve">              GY1-2570</v>
          </cell>
          <cell r="C884" t="str">
            <v>Submission of invoice for D+8 Month</v>
          </cell>
          <cell r="D884">
            <v>630</v>
          </cell>
          <cell r="E884">
            <v>1</v>
          </cell>
          <cell r="F884">
            <v>7.2520212010818911E-7</v>
          </cell>
          <cell r="G884">
            <v>7.2520212010818911E-7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7.2520212010818911E-7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>
            <v>0</v>
          </cell>
          <cell r="AC884">
            <v>0</v>
          </cell>
          <cell r="AD884">
            <v>0</v>
          </cell>
          <cell r="AE884">
            <v>0</v>
          </cell>
          <cell r="AF884">
            <v>0</v>
          </cell>
          <cell r="AG884">
            <v>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>
            <v>0</v>
          </cell>
          <cell r="AM884">
            <v>0</v>
          </cell>
          <cell r="AN884">
            <v>0</v>
          </cell>
          <cell r="AO884">
            <v>0</v>
          </cell>
          <cell r="AP884">
            <v>0</v>
          </cell>
          <cell r="AQ884">
            <v>0</v>
          </cell>
          <cell r="AR884">
            <v>0</v>
          </cell>
        </row>
        <row r="885">
          <cell r="B885" t="str">
            <v xml:space="preserve">              GY1-2640</v>
          </cell>
          <cell r="C885" t="str">
            <v>Receipt of Payment for D+8 Month</v>
          </cell>
          <cell r="D885">
            <v>630</v>
          </cell>
          <cell r="E885">
            <v>1</v>
          </cell>
          <cell r="F885">
            <v>7.2520212010818911E-7</v>
          </cell>
          <cell r="G885">
            <v>7.2520212010818911E-7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7.2520212010818911E-7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>
            <v>0</v>
          </cell>
          <cell r="AC885">
            <v>0</v>
          </cell>
          <cell r="AD885">
            <v>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>
            <v>0</v>
          </cell>
          <cell r="AM885">
            <v>0</v>
          </cell>
          <cell r="AN885">
            <v>0</v>
          </cell>
          <cell r="AO885">
            <v>0</v>
          </cell>
          <cell r="AP885">
            <v>0</v>
          </cell>
          <cell r="AQ885">
            <v>0</v>
          </cell>
          <cell r="AR885">
            <v>0</v>
          </cell>
        </row>
        <row r="886">
          <cell r="B886" t="str">
            <v xml:space="preserve">            D+9 MONTH</v>
          </cell>
          <cell r="D886">
            <v>11963</v>
          </cell>
          <cell r="F886">
            <v>1.377078248072106E-5</v>
          </cell>
          <cell r="G886">
            <v>1.377078248072106E-5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1.3045580360612871E-5</v>
          </cell>
          <cell r="R886">
            <v>7.2520212010818911E-7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>
            <v>0</v>
          </cell>
          <cell r="AC886">
            <v>0</v>
          </cell>
          <cell r="AD886">
            <v>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>
            <v>0</v>
          </cell>
          <cell r="AM886">
            <v>0</v>
          </cell>
          <cell r="AN886">
            <v>0</v>
          </cell>
          <cell r="AO886">
            <v>0</v>
          </cell>
          <cell r="AP886">
            <v>0</v>
          </cell>
          <cell r="AQ886">
            <v>0</v>
          </cell>
          <cell r="AR886">
            <v>0</v>
          </cell>
        </row>
        <row r="887">
          <cell r="B887" t="str">
            <v xml:space="preserve">              GY1-2620</v>
          </cell>
          <cell r="C887" t="str">
            <v>Preparation of Monthly Invoice for D+9 Month</v>
          </cell>
          <cell r="D887">
            <v>10703</v>
          </cell>
          <cell r="E887">
            <v>1</v>
          </cell>
          <cell r="F887">
            <v>1.2320378240504681E-5</v>
          </cell>
          <cell r="G887">
            <v>1.2320378240504681E-5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1.2320378240504681E-5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>
            <v>0</v>
          </cell>
          <cell r="AC887">
            <v>0</v>
          </cell>
          <cell r="AD887">
            <v>0</v>
          </cell>
          <cell r="AE887">
            <v>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>
            <v>0</v>
          </cell>
          <cell r="AM887">
            <v>0</v>
          </cell>
          <cell r="AN887">
            <v>0</v>
          </cell>
          <cell r="AO887">
            <v>0</v>
          </cell>
          <cell r="AP887">
            <v>0</v>
          </cell>
          <cell r="AQ887">
            <v>0</v>
          </cell>
          <cell r="AR887">
            <v>0</v>
          </cell>
        </row>
        <row r="888">
          <cell r="B888" t="str">
            <v xml:space="preserve">              GY1-2680</v>
          </cell>
          <cell r="C888" t="str">
            <v>Submission of invoice for D+9 Month</v>
          </cell>
          <cell r="D888">
            <v>630</v>
          </cell>
          <cell r="E888">
            <v>1</v>
          </cell>
          <cell r="F888">
            <v>7.2520212010818911E-7</v>
          </cell>
          <cell r="G888">
            <v>7.2520212010818911E-7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7.2520212010818911E-7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>
            <v>0</v>
          </cell>
          <cell r="AC888">
            <v>0</v>
          </cell>
          <cell r="AD888">
            <v>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>
            <v>0</v>
          </cell>
          <cell r="AM888">
            <v>0</v>
          </cell>
          <cell r="AN888">
            <v>0</v>
          </cell>
          <cell r="AO888">
            <v>0</v>
          </cell>
          <cell r="AP888">
            <v>0</v>
          </cell>
          <cell r="AQ888">
            <v>0</v>
          </cell>
          <cell r="AR888">
            <v>0</v>
          </cell>
        </row>
        <row r="889">
          <cell r="B889" t="str">
            <v xml:space="preserve">              GY1-2800</v>
          </cell>
          <cell r="C889" t="str">
            <v>Receipt of Payment for D+9 Month</v>
          </cell>
          <cell r="D889">
            <v>630</v>
          </cell>
          <cell r="E889">
            <v>1</v>
          </cell>
          <cell r="F889">
            <v>7.2520212010818911E-7</v>
          </cell>
          <cell r="G889">
            <v>7.2520212010818911E-7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7.2520212010818911E-7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>
            <v>0</v>
          </cell>
          <cell r="AM889">
            <v>0</v>
          </cell>
          <cell r="AN889">
            <v>0</v>
          </cell>
          <cell r="AO889">
            <v>0</v>
          </cell>
          <cell r="AP889">
            <v>0</v>
          </cell>
          <cell r="AQ889">
            <v>0</v>
          </cell>
          <cell r="AR889">
            <v>0</v>
          </cell>
        </row>
        <row r="890">
          <cell r="B890" t="str">
            <v xml:space="preserve">            D+10 MONTH</v>
          </cell>
          <cell r="D890">
            <v>11334</v>
          </cell>
          <cell r="F890">
            <v>1.3046731475089231E-5</v>
          </cell>
          <cell r="G890">
            <v>1.3046731475089231E-5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1.2321529354981042E-5</v>
          </cell>
          <cell r="S890">
            <v>7.2520212010818911E-7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>
            <v>0</v>
          </cell>
          <cell r="AM890">
            <v>0</v>
          </cell>
          <cell r="AN890">
            <v>0</v>
          </cell>
          <cell r="AO890">
            <v>0</v>
          </cell>
          <cell r="AP890">
            <v>0</v>
          </cell>
          <cell r="AQ890">
            <v>0</v>
          </cell>
          <cell r="AR890">
            <v>0</v>
          </cell>
        </row>
        <row r="891">
          <cell r="B891" t="str">
            <v xml:space="preserve">              GY1-2750</v>
          </cell>
          <cell r="C891" t="str">
            <v>Preparation of Monthly Invoice for D+10 Month</v>
          </cell>
          <cell r="D891">
            <v>10074</v>
          </cell>
          <cell r="E891">
            <v>1</v>
          </cell>
          <cell r="F891">
            <v>1.1596327234872853E-5</v>
          </cell>
          <cell r="G891">
            <v>1.1596327234872853E-5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1.1596327234872853E-5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>
            <v>0</v>
          </cell>
          <cell r="AM891">
            <v>0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  <cell r="AR891">
            <v>0</v>
          </cell>
        </row>
        <row r="892">
          <cell r="B892" t="str">
            <v xml:space="preserve">              GY1-2840</v>
          </cell>
          <cell r="C892" t="str">
            <v>Submission of invoice for D+10 Month</v>
          </cell>
          <cell r="D892">
            <v>630</v>
          </cell>
          <cell r="E892">
            <v>1</v>
          </cell>
          <cell r="F892">
            <v>7.2520212010818911E-7</v>
          </cell>
          <cell r="G892">
            <v>7.2520212010818911E-7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7.2520212010818911E-7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>
            <v>0</v>
          </cell>
          <cell r="AM892">
            <v>0</v>
          </cell>
          <cell r="AN892">
            <v>0</v>
          </cell>
          <cell r="AO892">
            <v>0</v>
          </cell>
          <cell r="AP892">
            <v>0</v>
          </cell>
          <cell r="AQ892">
            <v>0</v>
          </cell>
          <cell r="AR892">
            <v>0</v>
          </cell>
        </row>
        <row r="893">
          <cell r="B893" t="str">
            <v xml:space="preserve">              GY1-3090</v>
          </cell>
          <cell r="C893" t="str">
            <v>Receipt of Payment for D+10 Month</v>
          </cell>
          <cell r="D893">
            <v>630</v>
          </cell>
          <cell r="E893">
            <v>1</v>
          </cell>
          <cell r="F893">
            <v>7.2520212010818911E-7</v>
          </cell>
          <cell r="G893">
            <v>7.2520212010818911E-7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7.2520212010818911E-7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>
            <v>0</v>
          </cell>
          <cell r="AM893">
            <v>0</v>
          </cell>
          <cell r="AN893">
            <v>0</v>
          </cell>
          <cell r="AO893">
            <v>0</v>
          </cell>
          <cell r="AP893">
            <v>0</v>
          </cell>
          <cell r="AQ893">
            <v>0</v>
          </cell>
          <cell r="AR893">
            <v>0</v>
          </cell>
        </row>
        <row r="894">
          <cell r="B894" t="str">
            <v xml:space="preserve">            D+11 MONTH</v>
          </cell>
          <cell r="D894">
            <v>11333</v>
          </cell>
          <cell r="F894">
            <v>1.3045580360612871E-5</v>
          </cell>
          <cell r="G894">
            <v>1.3045580360612871E-5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1.3045580360612871E-5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>
            <v>0</v>
          </cell>
          <cell r="AM894">
            <v>0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  <cell r="AR894">
            <v>0</v>
          </cell>
        </row>
        <row r="895">
          <cell r="B895" t="str">
            <v xml:space="preserve">              GY1-3070</v>
          </cell>
          <cell r="C895" t="str">
            <v>Preparation of Monthly Invoice for D+11 Month</v>
          </cell>
          <cell r="D895">
            <v>10703</v>
          </cell>
          <cell r="E895">
            <v>1</v>
          </cell>
          <cell r="F895">
            <v>1.2320378240504681E-5</v>
          </cell>
          <cell r="G895">
            <v>1.2320378240504681E-5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1.2320378240504681E-5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>
            <v>0</v>
          </cell>
          <cell r="AM895">
            <v>0</v>
          </cell>
          <cell r="AN895">
            <v>0</v>
          </cell>
          <cell r="AO895">
            <v>0</v>
          </cell>
          <cell r="AP895">
            <v>0</v>
          </cell>
          <cell r="AQ895">
            <v>0</v>
          </cell>
          <cell r="AR895">
            <v>0</v>
          </cell>
        </row>
        <row r="896">
          <cell r="B896" t="str">
            <v xml:space="preserve">              GY1-3650</v>
          </cell>
          <cell r="C896" t="str">
            <v>Submission of invoice for D+11 Month</v>
          </cell>
          <cell r="D896">
            <v>630</v>
          </cell>
          <cell r="E896">
            <v>1</v>
          </cell>
          <cell r="F896">
            <v>7.2520212010818911E-7</v>
          </cell>
          <cell r="G896">
            <v>7.2520212010818911E-7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7.2520212010818911E-7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>
            <v>0</v>
          </cell>
          <cell r="AM896">
            <v>0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  <cell r="AR896">
            <v>0</v>
          </cell>
        </row>
        <row r="897">
          <cell r="B897" t="str">
            <v xml:space="preserve">              GY1-3680</v>
          </cell>
          <cell r="C897" t="str">
            <v>Receipt of Payment for D+11 Month</v>
          </cell>
          <cell r="D897">
            <v>0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>
            <v>0</v>
          </cell>
          <cell r="AM897">
            <v>0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  <cell r="AR897">
            <v>0</v>
          </cell>
        </row>
        <row r="898">
          <cell r="B898" t="str">
            <v xml:space="preserve">            D+12 MONTH</v>
          </cell>
          <cell r="D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>
            <v>0</v>
          </cell>
          <cell r="AM898">
            <v>0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  <cell r="AR898">
            <v>0</v>
          </cell>
        </row>
        <row r="899">
          <cell r="B899" t="str">
            <v xml:space="preserve">              GY1-3700</v>
          </cell>
          <cell r="C899" t="str">
            <v>Submission of invoice for D+12 Month</v>
          </cell>
          <cell r="D899">
            <v>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>
            <v>0</v>
          </cell>
          <cell r="AM899">
            <v>0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  <cell r="AR899">
            <v>0</v>
          </cell>
        </row>
        <row r="900">
          <cell r="B900" t="str">
            <v xml:space="preserve">              GY1-3720</v>
          </cell>
          <cell r="C900" t="str">
            <v>Receipt of Payment for D+12 Month</v>
          </cell>
          <cell r="D900">
            <v>0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>
            <v>0</v>
          </cell>
          <cell r="AM900">
            <v>0</v>
          </cell>
          <cell r="AN900">
            <v>0</v>
          </cell>
          <cell r="AO900">
            <v>0</v>
          </cell>
          <cell r="AP900">
            <v>0</v>
          </cell>
          <cell r="AQ900">
            <v>0</v>
          </cell>
          <cell r="AR900">
            <v>0</v>
          </cell>
        </row>
        <row r="901">
          <cell r="B901" t="str">
            <v xml:space="preserve">          INVOICES FOR YEAR 2</v>
          </cell>
          <cell r="G901">
            <v>0</v>
          </cell>
        </row>
        <row r="902">
          <cell r="B902" t="str">
            <v xml:space="preserve">          INVOICES FOR YEAR 3</v>
          </cell>
          <cell r="G902">
            <v>0</v>
          </cell>
        </row>
        <row r="903">
          <cell r="B903" t="str">
            <v xml:space="preserve">        CORE CONSULTANCY EXPENSES</v>
          </cell>
          <cell r="D903">
            <v>78620690</v>
          </cell>
          <cell r="F903">
            <v>9.0501415551699715E-2</v>
          </cell>
          <cell r="G903">
            <v>9.0501415551699729E-2</v>
          </cell>
          <cell r="H903">
            <v>6.8471466129978722E-3</v>
          </cell>
          <cell r="I903">
            <v>7.4425502158659345E-3</v>
          </cell>
          <cell r="J903">
            <v>8.037954969848474E-3</v>
          </cell>
          <cell r="K903">
            <v>7.4425502158659345E-3</v>
          </cell>
          <cell r="L903">
            <v>7.1448489899891415E-3</v>
          </cell>
          <cell r="M903">
            <v>7.7402525928572047E-3</v>
          </cell>
          <cell r="N903">
            <v>7.1448489899891415E-3</v>
          </cell>
          <cell r="O903">
            <v>8.037954969848474E-3</v>
          </cell>
          <cell r="P903">
            <v>7.4425502158659345E-3</v>
          </cell>
          <cell r="Q903">
            <v>7.7402525928572047E-3</v>
          </cell>
          <cell r="R903">
            <v>7.7402525928572047E-3</v>
          </cell>
          <cell r="S903">
            <v>7.4425502158659345E-3</v>
          </cell>
          <cell r="T903">
            <v>2.977023769912698E-4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>
            <v>0</v>
          </cell>
          <cell r="AM903">
            <v>0</v>
          </cell>
          <cell r="AN903">
            <v>0</v>
          </cell>
          <cell r="AO903">
            <v>0</v>
          </cell>
          <cell r="AP903">
            <v>0</v>
          </cell>
          <cell r="AQ903">
            <v>0</v>
          </cell>
          <cell r="AR903">
            <v>0</v>
          </cell>
        </row>
        <row r="904">
          <cell r="B904" t="str">
            <v xml:space="preserve">          GY1-1000</v>
          </cell>
          <cell r="C904" t="str">
            <v>Core Consultancy Expenses</v>
          </cell>
          <cell r="D904">
            <v>78620690</v>
          </cell>
          <cell r="E904">
            <v>1</v>
          </cell>
          <cell r="F904">
            <v>9.0501415551699715E-2</v>
          </cell>
          <cell r="G904">
            <v>9.0501415551699729E-2</v>
          </cell>
          <cell r="H904">
            <v>6.8471466129978722E-3</v>
          </cell>
          <cell r="I904">
            <v>7.4425502158659345E-3</v>
          </cell>
          <cell r="J904">
            <v>8.037954969848474E-3</v>
          </cell>
          <cell r="K904">
            <v>7.4425502158659345E-3</v>
          </cell>
          <cell r="L904">
            <v>7.1448489899891415E-3</v>
          </cell>
          <cell r="M904">
            <v>7.7402525928572047E-3</v>
          </cell>
          <cell r="N904">
            <v>7.1448489899891415E-3</v>
          </cell>
          <cell r="O904">
            <v>8.037954969848474E-3</v>
          </cell>
          <cell r="P904">
            <v>7.4425502158659345E-3</v>
          </cell>
          <cell r="Q904">
            <v>7.7402525928572047E-3</v>
          </cell>
          <cell r="R904">
            <v>7.7402525928572047E-3</v>
          </cell>
          <cell r="S904">
            <v>7.4425502158659345E-3</v>
          </cell>
          <cell r="T904">
            <v>2.977023769912698E-4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>
            <v>0</v>
          </cell>
          <cell r="AM904">
            <v>0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  <cell r="AR904">
            <v>0</v>
          </cell>
        </row>
        <row r="905">
          <cell r="B905" t="str">
            <v xml:space="preserve">      GENERAL PRORAMME MANAGEMENT FOR YEAR 2</v>
          </cell>
          <cell r="D905">
            <v>201325871</v>
          </cell>
          <cell r="E905">
            <v>0.16286713539190042</v>
          </cell>
          <cell r="F905">
            <v>0.16286713539190042</v>
          </cell>
          <cell r="G905">
            <v>2.6340426894150192E-2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1.2528017168783816E-2</v>
          </cell>
          <cell r="U905">
            <v>1.3812409725366376E-2</v>
          </cell>
          <cell r="V905">
            <v>1.4096180329770296E-2</v>
          </cell>
          <cell r="W905">
            <v>1.5125388377730777E-2</v>
          </cell>
          <cell r="X905">
            <v>1.3919026929197928E-2</v>
          </cell>
          <cell r="Y905">
            <v>1.3198459425362064E-2</v>
          </cell>
          <cell r="Z905">
            <v>1.2943725410993557E-2</v>
          </cell>
          <cell r="AA905">
            <v>1.3977827323313279E-2</v>
          </cell>
          <cell r="AB905">
            <v>1.2943725449081903E-2</v>
          </cell>
          <cell r="AC905">
            <v>1.3461011552113928E-2</v>
          </cell>
          <cell r="AD905">
            <v>1.3332704887303743E-2</v>
          </cell>
          <cell r="AE905">
            <v>1.2563860779398183E-2</v>
          </cell>
          <cell r="AF905">
            <v>9.6479803348457536E-4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>
            <v>0</v>
          </cell>
          <cell r="AM905">
            <v>0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  <cell r="AR905">
            <v>0</v>
          </cell>
        </row>
        <row r="906">
          <cell r="B906" t="str">
            <v>ORGANIZATION&amp;GOVERNANCE</v>
          </cell>
        </row>
        <row r="907">
          <cell r="B907" t="str">
            <v>PROGRAMCONTROLS</v>
          </cell>
          <cell r="D907">
            <v>0</v>
          </cell>
          <cell r="E907">
            <v>5.4106086995699382E-2</v>
          </cell>
          <cell r="F907">
            <v>5.4106086995699382E-2</v>
          </cell>
          <cell r="G907">
            <v>9.3277845784501805E-3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4.3820301253287919E-3</v>
          </cell>
          <cell r="U907">
            <v>4.9457544531213886E-3</v>
          </cell>
          <cell r="V907">
            <v>5.1821198275676366E-3</v>
          </cell>
          <cell r="W907">
            <v>5.7953358504662152E-3</v>
          </cell>
          <cell r="X907">
            <v>5.3083335762206252E-3</v>
          </cell>
          <cell r="Y907">
            <v>4.2169685583011369E-3</v>
          </cell>
          <cell r="Z907">
            <v>3.9687574780044241E-3</v>
          </cell>
          <cell r="AA907">
            <v>4.2859056942033706E-3</v>
          </cell>
          <cell r="AB907">
            <v>3.9687575160927708E-3</v>
          </cell>
          <cell r="AC907">
            <v>4.126842720058534E-3</v>
          </cell>
          <cell r="AD907">
            <v>3.9992601062542234E-3</v>
          </cell>
          <cell r="AE907">
            <v>3.6695697560265692E-3</v>
          </cell>
          <cell r="AF907">
            <v>2.564513340537039E-4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>
            <v>0</v>
          </cell>
          <cell r="AM907">
            <v>0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  <cell r="AR907">
            <v>0</v>
          </cell>
        </row>
        <row r="908">
          <cell r="B908" t="str">
            <v>SCHEDULEMANAGEMENT</v>
          </cell>
          <cell r="D908">
            <v>0</v>
          </cell>
          <cell r="E908">
            <v>1.4428690453357745E-3</v>
          </cell>
          <cell r="F908">
            <v>1.4428690453357745E-3</v>
          </cell>
          <cell r="G908">
            <v>2.2782142821091178E-4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1.091644343510619E-4</v>
          </cell>
          <cell r="U908">
            <v>1.1865699385984988E-4</v>
          </cell>
          <cell r="V908">
            <v>1.1865699385984988E-4</v>
          </cell>
          <cell r="W908">
            <v>1.2340327361424388E-4</v>
          </cell>
          <cell r="X908">
            <v>1.1391071410545589E-4</v>
          </cell>
          <cell r="Y908">
            <v>1.1865699385984988E-4</v>
          </cell>
          <cell r="Z908">
            <v>1.1865699385984988E-4</v>
          </cell>
          <cell r="AA908">
            <v>1.2814955336863787E-4</v>
          </cell>
          <cell r="AB908">
            <v>1.1865699385984988E-4</v>
          </cell>
          <cell r="AC908">
            <v>1.2340327361424388E-4</v>
          </cell>
          <cell r="AD908">
            <v>1.2340327361424388E-4</v>
          </cell>
          <cell r="AE908">
            <v>1.1865699385984988E-4</v>
          </cell>
          <cell r="AF908">
            <v>9.492559508787991E-6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>
            <v>0</v>
          </cell>
          <cell r="AM908">
            <v>0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  <cell r="AR908">
            <v>0</v>
          </cell>
        </row>
        <row r="909">
          <cell r="B909" t="str">
            <v>GY2-1470</v>
          </cell>
          <cell r="C909" t="str">
            <v>Ensuring Implementation of Change Management Processes (wrt Schedule)</v>
          </cell>
          <cell r="D909">
            <v>0</v>
          </cell>
          <cell r="E909">
            <v>5.9914817845967909E-4</v>
          </cell>
          <cell r="F909">
            <v>5.9914817845967909E-4</v>
          </cell>
          <cell r="G909">
            <v>9.460234396731775E-5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4.533028981767309E-5</v>
          </cell>
          <cell r="U909">
            <v>4.927205414964466E-5</v>
          </cell>
          <cell r="V909">
            <v>4.927205414964466E-5</v>
          </cell>
          <cell r="W909">
            <v>5.1242936315630445E-5</v>
          </cell>
          <cell r="X909">
            <v>4.7301171983658875E-5</v>
          </cell>
          <cell r="Y909">
            <v>4.927205414964466E-5</v>
          </cell>
          <cell r="Z909">
            <v>4.927205414964466E-5</v>
          </cell>
          <cell r="AA909">
            <v>5.3213818481616237E-5</v>
          </cell>
          <cell r="AB909">
            <v>4.927205414964466E-5</v>
          </cell>
          <cell r="AC909">
            <v>5.1242936315630445E-5</v>
          </cell>
          <cell r="AD909">
            <v>5.1242936315630445E-5</v>
          </cell>
          <cell r="AE909">
            <v>4.927205414964466E-5</v>
          </cell>
          <cell r="AF909">
            <v>3.9417643319715726E-6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>
            <v>0</v>
          </cell>
          <cell r="AM909">
            <v>0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  <cell r="AR909">
            <v>0</v>
          </cell>
        </row>
        <row r="910">
          <cell r="B910" t="str">
            <v>GY2-1480</v>
          </cell>
          <cell r="C910" t="str">
            <v>Monitoring perceived viability of the Contractor Schedule &amp; Prepare alternatives</v>
          </cell>
          <cell r="D910">
            <v>0</v>
          </cell>
          <cell r="E910">
            <v>6.4499246361058422E-4</v>
          </cell>
          <cell r="F910">
            <v>6.4499246361058411E-4</v>
          </cell>
          <cell r="G910">
            <v>1.0184091530693435E-4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4.8798771917906042E-5</v>
          </cell>
          <cell r="U910">
            <v>5.3042143389028303E-5</v>
          </cell>
          <cell r="V910">
            <v>5.3042143389028303E-5</v>
          </cell>
          <cell r="W910">
            <v>5.5163829124589434E-5</v>
          </cell>
          <cell r="X910">
            <v>5.0920457653467173E-5</v>
          </cell>
          <cell r="Y910">
            <v>5.3042143389028303E-5</v>
          </cell>
          <cell r="Z910">
            <v>5.3042143389028303E-5</v>
          </cell>
          <cell r="AA910">
            <v>5.7285514860150571E-5</v>
          </cell>
          <cell r="AB910">
            <v>5.3042143389028303E-5</v>
          </cell>
          <cell r="AC910">
            <v>5.5163829124589434E-5</v>
          </cell>
          <cell r="AD910">
            <v>5.5163829124589434E-5</v>
          </cell>
          <cell r="AE910">
            <v>5.3042143389028303E-5</v>
          </cell>
          <cell r="AF910">
            <v>4.2433714711222644E-6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>
            <v>0</v>
          </cell>
          <cell r="AM910">
            <v>0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  <cell r="AR910">
            <v>0</v>
          </cell>
        </row>
        <row r="911">
          <cell r="B911" t="str">
            <v>GY2-2020</v>
          </cell>
          <cell r="C911" t="str">
            <v>Maintaining the Program Master Schedule</v>
          </cell>
          <cell r="D911">
            <v>0</v>
          </cell>
          <cell r="E911">
            <v>1.9872840326551122E-4</v>
          </cell>
          <cell r="F911">
            <v>1.9872840326551125E-4</v>
          </cell>
          <cell r="G911">
            <v>3.1378168936659668E-5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1.5035372615482756E-5</v>
          </cell>
          <cell r="U911">
            <v>1.6342796321176911E-5</v>
          </cell>
          <cell r="V911">
            <v>1.6342796321176911E-5</v>
          </cell>
          <cell r="W911">
            <v>1.6996508174023984E-5</v>
          </cell>
          <cell r="X911">
            <v>1.5689084468329831E-5</v>
          </cell>
          <cell r="Y911">
            <v>1.6342796321176911E-5</v>
          </cell>
          <cell r="Z911">
            <v>1.6342796321176911E-5</v>
          </cell>
          <cell r="AA911">
            <v>1.7650220026871064E-5</v>
          </cell>
          <cell r="AB911">
            <v>1.6342796321176911E-5</v>
          </cell>
          <cell r="AC911">
            <v>1.6996508174023984E-5</v>
          </cell>
          <cell r="AD911">
            <v>1.6996508174023984E-5</v>
          </cell>
          <cell r="AE911">
            <v>1.6342796321176911E-5</v>
          </cell>
          <cell r="AF911">
            <v>1.3074237056941527E-6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>
            <v>0</v>
          </cell>
          <cell r="AM911">
            <v>0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  <cell r="AR911">
            <v>0</v>
          </cell>
        </row>
        <row r="912">
          <cell r="B912" t="str">
            <v>COSTMANAGEMENT</v>
          </cell>
          <cell r="E912">
            <v>2.9380009901447922E-4</v>
          </cell>
          <cell r="F912">
            <v>2.9380009901447922E-4</v>
          </cell>
          <cell r="G912">
            <v>1.6701501525282956E-4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1.6701501525282956E-4</v>
          </cell>
          <cell r="V912">
            <v>5.9869924381374795E-5</v>
          </cell>
          <cell r="W912">
            <v>6.4391594135193084E-5</v>
          </cell>
          <cell r="X912">
            <v>2.5235652450817597E-6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>
            <v>0</v>
          </cell>
          <cell r="AM912">
            <v>0</v>
          </cell>
          <cell r="AN912">
            <v>0</v>
          </cell>
          <cell r="AO912">
            <v>0</v>
          </cell>
          <cell r="AP912">
            <v>0</v>
          </cell>
          <cell r="AQ912">
            <v>0</v>
          </cell>
          <cell r="AR912">
            <v>0</v>
          </cell>
        </row>
        <row r="913">
          <cell r="B913" t="str">
            <v>GY2-2340</v>
          </cell>
          <cell r="C913" t="str">
            <v>Preparing Costing for Design Submissions (For PPP Projects)</v>
          </cell>
          <cell r="D913">
            <v>0</v>
          </cell>
          <cell r="E913">
            <v>1.988273991105114E-4</v>
          </cell>
          <cell r="F913">
            <v>1.9882739911051138E-4</v>
          </cell>
          <cell r="G913">
            <v>1.6701501525282956E-4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1.6701501525282956E-4</v>
          </cell>
          <cell r="V913">
            <v>3.1812383857681826E-5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>
            <v>0</v>
          </cell>
          <cell r="AM913">
            <v>0</v>
          </cell>
          <cell r="AN913">
            <v>0</v>
          </cell>
          <cell r="AO913">
            <v>0</v>
          </cell>
          <cell r="AP913">
            <v>0</v>
          </cell>
          <cell r="AQ913">
            <v>0</v>
          </cell>
          <cell r="AR913">
            <v>0</v>
          </cell>
        </row>
        <row r="914">
          <cell r="B914" t="str">
            <v>GY2-2490</v>
          </cell>
          <cell r="C914" t="str">
            <v>Preparing Cash Flow Estimate</v>
          </cell>
          <cell r="D914">
            <v>0</v>
          </cell>
          <cell r="E914">
            <v>3.1883568776923834E-5</v>
          </cell>
          <cell r="F914">
            <v>3.1883568776923834E-5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2.8057540523692973E-5</v>
          </cell>
          <cell r="W914">
            <v>3.8260282532308607E-6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>
            <v>0</v>
          </cell>
          <cell r="AM914">
            <v>0</v>
          </cell>
          <cell r="AN914">
            <v>0</v>
          </cell>
          <cell r="AO914">
            <v>0</v>
          </cell>
          <cell r="AP914">
            <v>0</v>
          </cell>
          <cell r="AQ914">
            <v>0</v>
          </cell>
          <cell r="AR914">
            <v>0</v>
          </cell>
        </row>
        <row r="915">
          <cell r="B915" t="str">
            <v>GY2-2585</v>
          </cell>
          <cell r="C915" t="str">
            <v>Review estimates and forecast, code of accounts and cost distribiution ciriteria for the Programme on Regular Basis</v>
          </cell>
          <cell r="D915">
            <v>0</v>
          </cell>
          <cell r="E915" t="str">
            <v/>
          </cell>
        </row>
        <row r="916">
          <cell r="B916" t="str">
            <v>GY2-2580</v>
          </cell>
          <cell r="C916" t="str">
            <v>Prepare complete life-cycle cost analysis</v>
          </cell>
          <cell r="D916">
            <v>0</v>
          </cell>
          <cell r="E916">
            <v>6.3089131127043989E-5</v>
          </cell>
          <cell r="F916">
            <v>6.3089131127043989E-5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6.0565565881962227E-5</v>
          </cell>
          <cell r="X916">
            <v>2.5235652450817597E-6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>
            <v>0</v>
          </cell>
          <cell r="AM916">
            <v>0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  <cell r="AR916">
            <v>0</v>
          </cell>
        </row>
        <row r="918">
          <cell r="B918" t="str">
            <v>DOCUMENTCONTROL</v>
          </cell>
          <cell r="D918">
            <v>0</v>
          </cell>
          <cell r="E918">
            <v>1.7185333357691129E-4</v>
          </cell>
          <cell r="F918">
            <v>1.7185333357691126E-4</v>
          </cell>
          <cell r="G918">
            <v>2.7134736880564943E-5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1.3002061421937369E-5</v>
          </cell>
          <cell r="U918">
            <v>1.4132675458627573E-5</v>
          </cell>
          <cell r="V918">
            <v>1.4132675458627573E-5</v>
          </cell>
          <cell r="W918">
            <v>1.4697982476972675E-5</v>
          </cell>
          <cell r="X918">
            <v>1.3567368440282468E-5</v>
          </cell>
          <cell r="Y918">
            <v>1.4132675458627573E-5</v>
          </cell>
          <cell r="Z918">
            <v>1.4132675458627573E-5</v>
          </cell>
          <cell r="AA918">
            <v>1.5263289495317779E-5</v>
          </cell>
          <cell r="AB918">
            <v>1.4132675458627573E-5</v>
          </cell>
          <cell r="AC918">
            <v>1.4697982476972675E-5</v>
          </cell>
          <cell r="AD918">
            <v>1.4697982476972675E-5</v>
          </cell>
          <cell r="AE918">
            <v>1.4132675458627573E-5</v>
          </cell>
          <cell r="AF918">
            <v>1.1306140366902058E-6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>
            <v>0</v>
          </cell>
          <cell r="AM918">
            <v>0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  <cell r="AR918">
            <v>0</v>
          </cell>
        </row>
        <row r="919">
          <cell r="B919" t="str">
            <v>GY2-1710</v>
          </cell>
          <cell r="C919" t="str">
            <v>Training of Program Staff for Documentation Handling &amp; Control</v>
          </cell>
          <cell r="D919">
            <v>0</v>
          </cell>
          <cell r="E919">
            <v>1.7185333357691129E-4</v>
          </cell>
          <cell r="F919">
            <v>1.7185333357691126E-4</v>
          </cell>
          <cell r="G919">
            <v>2.7134736880564943E-5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1.3002061421937369E-5</v>
          </cell>
          <cell r="U919">
            <v>1.4132675458627573E-5</v>
          </cell>
          <cell r="V919">
            <v>1.4132675458627573E-5</v>
          </cell>
          <cell r="W919">
            <v>1.4697982476972675E-5</v>
          </cell>
          <cell r="X919">
            <v>1.3567368440282468E-5</v>
          </cell>
          <cell r="Y919">
            <v>1.4132675458627573E-5</v>
          </cell>
          <cell r="Z919">
            <v>1.4132675458627573E-5</v>
          </cell>
          <cell r="AA919">
            <v>1.5263289495317779E-5</v>
          </cell>
          <cell r="AB919">
            <v>1.4132675458627573E-5</v>
          </cell>
          <cell r="AC919">
            <v>1.4697982476972675E-5</v>
          </cell>
          <cell r="AD919">
            <v>1.4697982476972675E-5</v>
          </cell>
          <cell r="AE919">
            <v>1.4132675458627573E-5</v>
          </cell>
          <cell r="AF919">
            <v>1.1306140366902058E-6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>
            <v>0</v>
          </cell>
          <cell r="AM919">
            <v>0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  <cell r="AR919">
            <v>0</v>
          </cell>
        </row>
        <row r="920">
          <cell r="B920" t="str">
            <v>RISKMANAGEMENT</v>
          </cell>
          <cell r="D920">
            <v>0</v>
          </cell>
          <cell r="E920">
            <v>1.3709543195155154E-4</v>
          </cell>
          <cell r="F920">
            <v>1.3709543195155154E-4</v>
          </cell>
          <cell r="G920">
            <v>2.1646647150244982E-5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1.0372351759492387E-5</v>
          </cell>
          <cell r="U920">
            <v>1.1274295390752593E-5</v>
          </cell>
          <cell r="V920">
            <v>1.1274295390752593E-5</v>
          </cell>
          <cell r="W920">
            <v>1.1725267206382697E-5</v>
          </cell>
          <cell r="X920">
            <v>1.0823323575122491E-5</v>
          </cell>
          <cell r="Y920">
            <v>1.1274295390752593E-5</v>
          </cell>
          <cell r="Z920">
            <v>1.1274295390752593E-5</v>
          </cell>
          <cell r="AA920">
            <v>1.2176239022012801E-5</v>
          </cell>
          <cell r="AB920">
            <v>1.1274295390752593E-5</v>
          </cell>
          <cell r="AC920">
            <v>1.1725267206382697E-5</v>
          </cell>
          <cell r="AD920">
            <v>1.1725267206382697E-5</v>
          </cell>
          <cell r="AE920">
            <v>1.1274295390752593E-5</v>
          </cell>
          <cell r="AF920">
            <v>9.0194363126020755E-7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0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  <cell r="AR920">
            <v>0</v>
          </cell>
        </row>
        <row r="921">
          <cell r="B921" t="str">
            <v>GY2-3630</v>
          </cell>
          <cell r="C921" t="str">
            <v>Tracking &amp; Managing Significant Risks (Internal &amp; External) ie Risk identification, Analysis, Evaluation, Treatment</v>
          </cell>
          <cell r="D921">
            <v>0</v>
          </cell>
          <cell r="E921">
            <v>1.3709543195155154E-4</v>
          </cell>
          <cell r="F921">
            <v>1.3709543195155154E-4</v>
          </cell>
          <cell r="G921">
            <v>2.1646647150244982E-5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1.0372351759492387E-5</v>
          </cell>
          <cell r="U921">
            <v>1.1274295390752593E-5</v>
          </cell>
          <cell r="V921">
            <v>1.1274295390752593E-5</v>
          </cell>
          <cell r="W921">
            <v>1.1725267206382697E-5</v>
          </cell>
          <cell r="X921">
            <v>1.0823323575122491E-5</v>
          </cell>
          <cell r="Y921">
            <v>1.1274295390752593E-5</v>
          </cell>
          <cell r="Z921">
            <v>1.1274295390752593E-5</v>
          </cell>
          <cell r="AA921">
            <v>1.2176239022012801E-5</v>
          </cell>
          <cell r="AB921">
            <v>1.1274295390752593E-5</v>
          </cell>
          <cell r="AC921">
            <v>1.1725267206382697E-5</v>
          </cell>
          <cell r="AD921">
            <v>1.1725267206382697E-5</v>
          </cell>
          <cell r="AE921">
            <v>1.1274295390752593E-5</v>
          </cell>
          <cell r="AF921">
            <v>9.0194363126020755E-7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>
            <v>0</v>
          </cell>
          <cell r="AM921">
            <v>0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  <cell r="AR921">
            <v>0</v>
          </cell>
        </row>
        <row r="922">
          <cell r="B922" t="str">
            <v>SCOPE&amp;CHANGEMANAGEMENT</v>
          </cell>
          <cell r="D922">
            <v>0</v>
          </cell>
          <cell r="E922">
            <v>6.6581497338045114E-4</v>
          </cell>
          <cell r="F922">
            <v>6.6581497338045125E-4</v>
          </cell>
          <cell r="G922">
            <v>1.0512868000743967E-4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5.0374159170231495E-5</v>
          </cell>
          <cell r="U922">
            <v>5.4754520837208158E-5</v>
          </cell>
          <cell r="V922">
            <v>5.4754520837208158E-5</v>
          </cell>
          <cell r="W922">
            <v>5.6944701670696483E-5</v>
          </cell>
          <cell r="X922">
            <v>5.2564340003719827E-5</v>
          </cell>
          <cell r="Y922">
            <v>5.4754520837208158E-5</v>
          </cell>
          <cell r="Z922">
            <v>5.4754520837208158E-5</v>
          </cell>
          <cell r="AA922">
            <v>5.9134882504184808E-5</v>
          </cell>
          <cell r="AB922">
            <v>5.4754520837208158E-5</v>
          </cell>
          <cell r="AC922">
            <v>5.6944701670696483E-5</v>
          </cell>
          <cell r="AD922">
            <v>5.6944701670696483E-5</v>
          </cell>
          <cell r="AE922">
            <v>5.4754520837208158E-5</v>
          </cell>
          <cell r="AF922">
            <v>4.3803616669766519E-6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>
            <v>0</v>
          </cell>
          <cell r="AM922">
            <v>0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  <cell r="AR922">
            <v>0</v>
          </cell>
        </row>
        <row r="923">
          <cell r="B923" t="str">
            <v>GY2-2760</v>
          </cell>
          <cell r="C923" t="str">
            <v>Reviewing and Updating Internal Change Management Plan / System</v>
          </cell>
          <cell r="D923">
            <v>0</v>
          </cell>
          <cell r="E923">
            <v>1.1481791348307703E-4</v>
          </cell>
          <cell r="F923">
            <v>1.1481791348307704E-4</v>
          </cell>
          <cell r="G923">
            <v>1.812914423417006E-5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8.6868816122064859E-6</v>
          </cell>
          <cell r="U923">
            <v>9.4422626219635729E-6</v>
          </cell>
          <cell r="V923">
            <v>9.4422626219635729E-6</v>
          </cell>
          <cell r="W923">
            <v>9.8199531268421155E-6</v>
          </cell>
          <cell r="X923">
            <v>9.0645721170850285E-6</v>
          </cell>
          <cell r="Y923">
            <v>9.4422626219635729E-6</v>
          </cell>
          <cell r="Z923">
            <v>9.4422626219635729E-6</v>
          </cell>
          <cell r="AA923">
            <v>1.0197643631720656E-5</v>
          </cell>
          <cell r="AB923">
            <v>9.4422626219635729E-6</v>
          </cell>
          <cell r="AC923">
            <v>9.8199531268421155E-6</v>
          </cell>
          <cell r="AD923">
            <v>9.8199531268421155E-6</v>
          </cell>
          <cell r="AE923">
            <v>9.4422626219635729E-6</v>
          </cell>
          <cell r="AF923">
            <v>7.5538100975708571E-7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>
            <v>0</v>
          </cell>
          <cell r="AM923">
            <v>0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  <cell r="AR923">
            <v>0</v>
          </cell>
        </row>
        <row r="924">
          <cell r="B924" t="str">
            <v>GY2-2770</v>
          </cell>
          <cell r="C924" t="str">
            <v>Assessing any Change Request</v>
          </cell>
          <cell r="D924">
            <v>0</v>
          </cell>
          <cell r="E924">
            <v>1.1481791348307703E-4</v>
          </cell>
          <cell r="F924">
            <v>1.1481791348307704E-4</v>
          </cell>
          <cell r="G924">
            <v>1.812914423417006E-5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8.6868816122064859E-6</v>
          </cell>
          <cell r="U924">
            <v>9.4422626219635729E-6</v>
          </cell>
          <cell r="V924">
            <v>9.4422626219635729E-6</v>
          </cell>
          <cell r="W924">
            <v>9.8199531268421155E-6</v>
          </cell>
          <cell r="X924">
            <v>9.0645721170850285E-6</v>
          </cell>
          <cell r="Y924">
            <v>9.4422626219635729E-6</v>
          </cell>
          <cell r="Z924">
            <v>9.4422626219635729E-6</v>
          </cell>
          <cell r="AA924">
            <v>1.0197643631720656E-5</v>
          </cell>
          <cell r="AB924">
            <v>9.4422626219635729E-6</v>
          </cell>
          <cell r="AC924">
            <v>9.8199531268421155E-6</v>
          </cell>
          <cell r="AD924">
            <v>9.8199531268421155E-6</v>
          </cell>
          <cell r="AE924">
            <v>9.4422626219635729E-6</v>
          </cell>
          <cell r="AF924">
            <v>7.5538100975708571E-7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>
            <v>0</v>
          </cell>
          <cell r="AM924">
            <v>0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  <cell r="AR924">
            <v>0</v>
          </cell>
        </row>
        <row r="925">
          <cell r="B925" t="str">
            <v>GY2-2780</v>
          </cell>
          <cell r="C925" t="str">
            <v>Monitoring Changes &amp; Its Processing</v>
          </cell>
          <cell r="D925">
            <v>0</v>
          </cell>
          <cell r="E925">
            <v>1.9497461895684099E-4</v>
          </cell>
          <cell r="F925">
            <v>1.9497461895684099E-4</v>
          </cell>
          <cell r="G925">
            <v>3.0785466151080156E-5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1.4751369197392574E-5</v>
          </cell>
          <cell r="U925">
            <v>1.6034096953687584E-5</v>
          </cell>
          <cell r="V925">
            <v>1.6034096953687584E-5</v>
          </cell>
          <cell r="W925">
            <v>1.6675460831835083E-5</v>
          </cell>
          <cell r="X925">
            <v>1.5392733075540078E-5</v>
          </cell>
          <cell r="Y925">
            <v>1.6034096953687584E-5</v>
          </cell>
          <cell r="Z925">
            <v>1.6034096953687584E-5</v>
          </cell>
          <cell r="AA925">
            <v>1.7316824709982588E-5</v>
          </cell>
          <cell r="AB925">
            <v>1.6034096953687584E-5</v>
          </cell>
          <cell r="AC925">
            <v>1.6675460831835083E-5</v>
          </cell>
          <cell r="AD925">
            <v>1.6675460831835083E-5</v>
          </cell>
          <cell r="AE925">
            <v>1.6034096953687584E-5</v>
          </cell>
          <cell r="AF925">
            <v>1.2827277562950064E-6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>
            <v>0</v>
          </cell>
          <cell r="AM925">
            <v>0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  <cell r="AR925">
            <v>0</v>
          </cell>
        </row>
        <row r="926">
          <cell r="B926" t="str">
            <v>GY2-2790</v>
          </cell>
          <cell r="C926" t="str">
            <v>Advising DMICDC on matters affecting the project budget</v>
          </cell>
          <cell r="D926">
            <v>0</v>
          </cell>
          <cell r="E926">
            <v>2.4120452745745612E-4</v>
          </cell>
          <cell r="F926">
            <v>2.4120452745745615E-4</v>
          </cell>
          <cell r="G926">
            <v>3.8084925388019383E-5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1.8249026748425954E-5</v>
          </cell>
          <cell r="U926">
            <v>1.9835898639593432E-5</v>
          </cell>
          <cell r="V926">
            <v>1.9835898639593432E-5</v>
          </cell>
          <cell r="W926">
            <v>2.0629334585177169E-5</v>
          </cell>
          <cell r="X926">
            <v>1.9042462694009692E-5</v>
          </cell>
          <cell r="Y926">
            <v>1.9835898639593432E-5</v>
          </cell>
          <cell r="Z926">
            <v>1.9835898639593432E-5</v>
          </cell>
          <cell r="AA926">
            <v>2.1422770530760906E-5</v>
          </cell>
          <cell r="AB926">
            <v>1.9835898639593432E-5</v>
          </cell>
          <cell r="AC926">
            <v>2.0629334585177169E-5</v>
          </cell>
          <cell r="AD926">
            <v>2.0629334585177169E-5</v>
          </cell>
          <cell r="AE926">
            <v>1.9835898639593432E-5</v>
          </cell>
          <cell r="AF926">
            <v>1.5868718911674745E-6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>
            <v>0</v>
          </cell>
          <cell r="AM926">
            <v>0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  <cell r="AR926">
            <v>0</v>
          </cell>
        </row>
        <row r="927">
          <cell r="B927" t="str">
            <v>PERFORMANCEMEASUREMENT</v>
          </cell>
          <cell r="D927">
            <v>0</v>
          </cell>
          <cell r="E927">
            <v>1.0206022684874352E-3</v>
          </cell>
          <cell r="F927">
            <v>1.0206022684874352E-3</v>
          </cell>
          <cell r="G927">
            <v>1.4806113021195583E-4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6.3440667856623563E-5</v>
          </cell>
          <cell r="U927">
            <v>8.4620462355332256E-5</v>
          </cell>
          <cell r="V927">
            <v>8.5598909660566765E-5</v>
          </cell>
          <cell r="W927">
            <v>8.8357199567376494E-5</v>
          </cell>
          <cell r="X927">
            <v>8.2840619753757049E-5</v>
          </cell>
          <cell r="Y927">
            <v>8.462046235533227E-5</v>
          </cell>
          <cell r="Z927">
            <v>8.5598909660566765E-5</v>
          </cell>
          <cell r="AA927">
            <v>9.2094440392004293E-5</v>
          </cell>
          <cell r="AB927">
            <v>8.5598947748913423E-5</v>
          </cell>
          <cell r="AC927">
            <v>8.8357808980923003E-5</v>
          </cell>
          <cell r="AD927">
            <v>8.7378752262141999E-5</v>
          </cell>
          <cell r="AE927">
            <v>8.6578508080278015E-5</v>
          </cell>
          <cell r="AF927">
            <v>5.5165798136194396E-6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>
            <v>0</v>
          </cell>
          <cell r="AM927">
            <v>0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  <cell r="AR927">
            <v>0</v>
          </cell>
        </row>
        <row r="928">
          <cell r="B928" t="str">
            <v>GY2-1230</v>
          </cell>
          <cell r="C928" t="str">
            <v>Assisting DMICDC in Preparing Program Status Reports</v>
          </cell>
          <cell r="D928">
            <v>0</v>
          </cell>
          <cell r="E928">
            <v>2.7606602938572307E-4</v>
          </cell>
          <cell r="F928">
            <v>2.7606602938572302E-4</v>
          </cell>
          <cell r="G928">
            <v>4.358937306090364E-5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2.0886574591682996E-5</v>
          </cell>
          <cell r="U928">
            <v>2.2702798469220647E-5</v>
          </cell>
          <cell r="V928">
            <v>2.2702798469220647E-5</v>
          </cell>
          <cell r="W928">
            <v>2.3610910407989474E-5</v>
          </cell>
          <cell r="X928">
            <v>2.179468653045182E-5</v>
          </cell>
          <cell r="Y928">
            <v>2.2702798469220647E-5</v>
          </cell>
          <cell r="Z928">
            <v>2.2702798469220647E-5</v>
          </cell>
          <cell r="AA928">
            <v>2.4519022346758301E-5</v>
          </cell>
          <cell r="AB928">
            <v>2.2702798469220647E-5</v>
          </cell>
          <cell r="AC928">
            <v>2.3610910407989474E-5</v>
          </cell>
          <cell r="AD928">
            <v>2.3610910407989474E-5</v>
          </cell>
          <cell r="AE928">
            <v>2.2702798469220647E-5</v>
          </cell>
          <cell r="AF928">
            <v>1.8162238775376518E-6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>
            <v>0</v>
          </cell>
          <cell r="AM928">
            <v>0</v>
          </cell>
          <cell r="AN928">
            <v>0</v>
          </cell>
          <cell r="AO928">
            <v>0</v>
          </cell>
          <cell r="AP928">
            <v>0</v>
          </cell>
          <cell r="AQ928">
            <v>0</v>
          </cell>
          <cell r="AR928">
            <v>0</v>
          </cell>
        </row>
        <row r="929">
          <cell r="B929" t="str">
            <v>GY2-1830</v>
          </cell>
          <cell r="C929" t="str">
            <v>Tracking, Analyzing &amp; Reporting Project Cost, Schedule and Budget Information</v>
          </cell>
          <cell r="D929">
            <v>0</v>
          </cell>
          <cell r="E929">
            <v>3.640929045370027E-4</v>
          </cell>
          <cell r="F929">
            <v>3.640929045370027E-4</v>
          </cell>
          <cell r="G929">
            <v>5.7488353347947794E-5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  <cell r="Q929">
            <v>0</v>
          </cell>
          <cell r="R929">
            <v>0</v>
          </cell>
          <cell r="S929">
            <v>0</v>
          </cell>
          <cell r="T929">
            <v>2.7546502645891652E-5</v>
          </cell>
          <cell r="U929">
            <v>2.9941850702056142E-5</v>
          </cell>
          <cell r="V929">
            <v>2.9941850702056142E-5</v>
          </cell>
          <cell r="W929">
            <v>3.113952473013839E-5</v>
          </cell>
          <cell r="X929">
            <v>2.8744176673973897E-5</v>
          </cell>
          <cell r="Y929">
            <v>2.9941850702056142E-5</v>
          </cell>
          <cell r="Z929">
            <v>2.9941850702056142E-5</v>
          </cell>
          <cell r="AA929">
            <v>3.2337198758220635E-5</v>
          </cell>
          <cell r="AB929">
            <v>2.9941850702056142E-5</v>
          </cell>
          <cell r="AC929">
            <v>3.113952473013839E-5</v>
          </cell>
          <cell r="AD929">
            <v>3.113952473013839E-5</v>
          </cell>
          <cell r="AE929">
            <v>2.9941850702056142E-5</v>
          </cell>
          <cell r="AF929">
            <v>2.3953480561644913E-6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>
            <v>0</v>
          </cell>
          <cell r="AM929">
            <v>0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  <cell r="AR929">
            <v>0</v>
          </cell>
        </row>
        <row r="930">
          <cell r="B930" t="str">
            <v>GY2-2030</v>
          </cell>
          <cell r="C930" t="str">
            <v>Conducting Program Progress Review meetings</v>
          </cell>
          <cell r="D930">
            <v>0</v>
          </cell>
          <cell r="E930">
            <v>1.9836119774742912E-4</v>
          </cell>
          <cell r="F930">
            <v>1.9836119774742906E-4</v>
          </cell>
          <cell r="G930">
            <v>3.1320189118015124E-5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1.5007590619048913E-5</v>
          </cell>
          <cell r="U930">
            <v>1.6312598498966209E-5</v>
          </cell>
          <cell r="V930">
            <v>1.6312598498966209E-5</v>
          </cell>
          <cell r="W930">
            <v>1.6965102438924857E-5</v>
          </cell>
          <cell r="X930">
            <v>1.5660094559007562E-5</v>
          </cell>
          <cell r="Y930">
            <v>1.6312598498966209E-5</v>
          </cell>
          <cell r="Z930">
            <v>1.6312598498966209E-5</v>
          </cell>
          <cell r="AA930">
            <v>1.7617606378883508E-5</v>
          </cell>
          <cell r="AB930">
            <v>1.6312598498966209E-5</v>
          </cell>
          <cell r="AC930">
            <v>1.6965102438924857E-5</v>
          </cell>
          <cell r="AD930">
            <v>1.6965102438924857E-5</v>
          </cell>
          <cell r="AE930">
            <v>1.6312598498966209E-5</v>
          </cell>
          <cell r="AF930">
            <v>1.3050078799172968E-6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0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  <cell r="AR930">
            <v>0</v>
          </cell>
        </row>
        <row r="931">
          <cell r="B931" t="str">
            <v>MONTHLYPROGRESSREPORT</v>
          </cell>
          <cell r="D931">
            <v>0</v>
          </cell>
          <cell r="E931">
            <v>1.8208213681728043E-4</v>
          </cell>
          <cell r="F931">
            <v>1.8208213681728046E-4</v>
          </cell>
          <cell r="G931">
            <v>1.5663214685089268E-5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1.5663214685089268E-5</v>
          </cell>
          <cell r="V931">
            <v>1.664166199032377E-5</v>
          </cell>
          <cell r="W931">
            <v>1.664166199032377E-5</v>
          </cell>
          <cell r="X931">
            <v>1.664166199032377E-5</v>
          </cell>
          <cell r="Y931">
            <v>1.5663214685089271E-5</v>
          </cell>
          <cell r="Z931">
            <v>1.664166199032377E-5</v>
          </cell>
          <cell r="AA931">
            <v>1.7620612908141849E-5</v>
          </cell>
          <cell r="AB931">
            <v>1.6641700078670428E-5</v>
          </cell>
          <cell r="AC931">
            <v>1.6642271403870285E-5</v>
          </cell>
          <cell r="AD931">
            <v>1.5663214685089271E-5</v>
          </cell>
          <cell r="AE931">
            <v>1.762126041003502E-5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0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  <cell r="AR931">
            <v>0</v>
          </cell>
        </row>
        <row r="932">
          <cell r="B932" t="str">
            <v>GY2-1260</v>
          </cell>
          <cell r="C932" t="str">
            <v>Preparation of MPR for D+13 Month</v>
          </cell>
          <cell r="D932">
            <v>0</v>
          </cell>
          <cell r="E932">
            <v>1.4684767379854766E-5</v>
          </cell>
          <cell r="F932">
            <v>1.4684767379854766E-5</v>
          </cell>
          <cell r="G932">
            <v>1.4684767379854766E-5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1.4684767379854766E-5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0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  <cell r="AR932">
            <v>0</v>
          </cell>
        </row>
        <row r="933">
          <cell r="B933" t="str">
            <v>GY2-1300</v>
          </cell>
          <cell r="C933" t="str">
            <v>Submission of MPR for D+13 Month</v>
          </cell>
          <cell r="D933">
            <v>0</v>
          </cell>
          <cell r="E933">
            <v>9.7844730523450276E-7</v>
          </cell>
          <cell r="F933">
            <v>9.7844730523450276E-7</v>
          </cell>
          <cell r="G933">
            <v>9.7844730523450276E-7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9.7844730523450276E-7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>
            <v>0</v>
          </cell>
          <cell r="AM933">
            <v>0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  <cell r="AR933">
            <v>0</v>
          </cell>
        </row>
        <row r="934">
          <cell r="B934" t="str">
            <v>GY2-1410</v>
          </cell>
          <cell r="C934" t="str">
            <v>Preparation of MPR for D+14 Month</v>
          </cell>
          <cell r="D934">
            <v>0</v>
          </cell>
          <cell r="E934">
            <v>1.5663214685089268E-5</v>
          </cell>
          <cell r="F934">
            <v>1.5663214685089268E-5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1.5663214685089268E-5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>
            <v>0</v>
          </cell>
          <cell r="AM934">
            <v>0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  <cell r="AR934">
            <v>0</v>
          </cell>
        </row>
        <row r="935">
          <cell r="B935" t="str">
            <v>GY2-1450</v>
          </cell>
          <cell r="C935" t="str">
            <v>Submission of MPR for D+14 Month</v>
          </cell>
          <cell r="D935">
            <v>0</v>
          </cell>
          <cell r="E935">
            <v>9.7844730523450276E-7</v>
          </cell>
          <cell r="F935">
            <v>9.7844730523450276E-7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9.7844730523450276E-7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>
            <v>0</v>
          </cell>
          <cell r="AM935">
            <v>0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  <cell r="AR935">
            <v>0</v>
          </cell>
        </row>
        <row r="936">
          <cell r="B936" t="str">
            <v>GY2-1570</v>
          </cell>
          <cell r="C936" t="str">
            <v>Preparation of MPR for D+15 Month</v>
          </cell>
          <cell r="D936">
            <v>0</v>
          </cell>
          <cell r="E936">
            <v>1.5663214685089268E-5</v>
          </cell>
          <cell r="F936">
            <v>1.5663214685089268E-5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1.5663214685089268E-5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>
            <v>0</v>
          </cell>
          <cell r="AM936">
            <v>0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</v>
          </cell>
        </row>
        <row r="937">
          <cell r="B937" t="str">
            <v>GY2-1670</v>
          </cell>
          <cell r="C937" t="str">
            <v>Submission of MPR for D+15 Month</v>
          </cell>
          <cell r="D937">
            <v>0</v>
          </cell>
          <cell r="E937">
            <v>9.7844730523450276E-7</v>
          </cell>
          <cell r="F937">
            <v>9.7844730523450276E-7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9.7844730523450276E-7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>
            <v>0</v>
          </cell>
          <cell r="AM937">
            <v>0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</v>
          </cell>
        </row>
        <row r="938">
          <cell r="B938" t="str">
            <v>GY2-1990</v>
          </cell>
          <cell r="C938" t="str">
            <v>Preparation of MPR for D+16 Month</v>
          </cell>
          <cell r="D938">
            <v>0</v>
          </cell>
          <cell r="E938">
            <v>1.5663214685089268E-5</v>
          </cell>
          <cell r="F938">
            <v>1.5663214685089268E-5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1.5663214685089268E-5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>
            <v>0</v>
          </cell>
          <cell r="AM938">
            <v>0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</v>
          </cell>
        </row>
        <row r="939">
          <cell r="B939" t="str">
            <v>GY2-2130</v>
          </cell>
          <cell r="C939" t="str">
            <v>Submission of MPR for D+16 Month</v>
          </cell>
          <cell r="D939">
            <v>0</v>
          </cell>
          <cell r="E939">
            <v>9.7844730523450276E-7</v>
          </cell>
          <cell r="F939">
            <v>9.7844730523450276E-7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9.7844730523450276E-7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>
            <v>0</v>
          </cell>
          <cell r="AM939">
            <v>0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</v>
          </cell>
        </row>
        <row r="940">
          <cell r="B940" t="str">
            <v>GY2-2170</v>
          </cell>
          <cell r="C940" t="str">
            <v>Preparation of MPR for D+17 Month</v>
          </cell>
          <cell r="D940">
            <v>0</v>
          </cell>
          <cell r="E940">
            <v>1.4684767379854766E-5</v>
          </cell>
          <cell r="F940">
            <v>1.4684767379854768E-5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1.4684767379854768E-5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>
            <v>0</v>
          </cell>
          <cell r="AM940">
            <v>0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</v>
          </cell>
        </row>
        <row r="941">
          <cell r="B941" t="str">
            <v>GY2-2270</v>
          </cell>
          <cell r="C941" t="str">
            <v>Submission of MPR for D+17 Month</v>
          </cell>
          <cell r="D941">
            <v>0</v>
          </cell>
          <cell r="E941">
            <v>9.7844730523450276E-7</v>
          </cell>
          <cell r="F941">
            <v>9.7844730523450276E-7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9.7844730523450276E-7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>
            <v>0</v>
          </cell>
          <cell r="AM941">
            <v>0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</v>
          </cell>
        </row>
        <row r="942">
          <cell r="B942" t="str">
            <v>GY2-2300</v>
          </cell>
          <cell r="C942" t="str">
            <v>Preparation of MPR for D+18 Month</v>
          </cell>
          <cell r="D942">
            <v>0</v>
          </cell>
          <cell r="E942">
            <v>1.5663214685089268E-5</v>
          </cell>
          <cell r="F942">
            <v>1.5663214685089268E-5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1.5663214685089268E-5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>
            <v>0</v>
          </cell>
          <cell r="AM942">
            <v>0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</v>
          </cell>
        </row>
        <row r="943">
          <cell r="B943" t="str">
            <v>GY2-2350</v>
          </cell>
          <cell r="C943" t="str">
            <v>Submission of MPR for D+18 Month</v>
          </cell>
          <cell r="D943">
            <v>0</v>
          </cell>
          <cell r="E943">
            <v>9.7844730523450276E-7</v>
          </cell>
          <cell r="F943">
            <v>9.7844730523450276E-7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9.7844730523450276E-7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>
            <v>0</v>
          </cell>
          <cell r="AM943">
            <v>0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</v>
          </cell>
        </row>
        <row r="944">
          <cell r="B944" t="str">
            <v>GY2-2400</v>
          </cell>
          <cell r="C944" t="str">
            <v>Preparation of MPR for D+19 Month</v>
          </cell>
          <cell r="D944">
            <v>0</v>
          </cell>
          <cell r="E944">
            <v>1.5663214685089268E-5</v>
          </cell>
          <cell r="F944">
            <v>1.5663214685089268E-5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1.5663214685089268E-5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>
            <v>0</v>
          </cell>
          <cell r="AM944">
            <v>0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</v>
          </cell>
        </row>
        <row r="945">
          <cell r="B945" t="str">
            <v>GY2-2470</v>
          </cell>
          <cell r="C945" t="str">
            <v>Submission of MPR for D+19 Month</v>
          </cell>
          <cell r="D945">
            <v>0</v>
          </cell>
          <cell r="E945">
            <v>9.7844730523450276E-7</v>
          </cell>
          <cell r="F945">
            <v>9.7844730523450276E-7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9.7844730523450276E-7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>
            <v>0</v>
          </cell>
          <cell r="AM945">
            <v>0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  <cell r="AR945">
            <v>0</v>
          </cell>
        </row>
        <row r="946">
          <cell r="B946" t="str">
            <v>GY2-2500</v>
          </cell>
          <cell r="C946" t="str">
            <v>Preparation of MPR for D+20 Month</v>
          </cell>
          <cell r="D946">
            <v>0</v>
          </cell>
          <cell r="E946">
            <v>1.5663214685089268E-5</v>
          </cell>
          <cell r="F946">
            <v>1.5663214685089268E-5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9.7895091781807925E-7</v>
          </cell>
          <cell r="AB946">
            <v>1.4684263767271188E-5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>
            <v>0</v>
          </cell>
          <cell r="AM946">
            <v>0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</v>
          </cell>
        </row>
        <row r="947">
          <cell r="B947" t="str">
            <v>GY2-2560</v>
          </cell>
          <cell r="C947" t="str">
            <v>Submission of MPR for D+20 Month</v>
          </cell>
          <cell r="D947">
            <v>0</v>
          </cell>
          <cell r="E947">
            <v>9.7844730523450276E-7</v>
          </cell>
          <cell r="F947">
            <v>9.7844730523450276E-7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9.7844730523450276E-7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>
            <v>0</v>
          </cell>
          <cell r="AM947">
            <v>0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</v>
          </cell>
        </row>
        <row r="948">
          <cell r="B948" t="str">
            <v>GY2-2610</v>
          </cell>
          <cell r="C948" t="str">
            <v>Preparation of MPR for D+21 Month</v>
          </cell>
          <cell r="D948">
            <v>0</v>
          </cell>
          <cell r="E948">
            <v>1.6642813104800518E-5</v>
          </cell>
          <cell r="F948">
            <v>1.6642813104800518E-5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9.7898900616473647E-7</v>
          </cell>
          <cell r="AC948">
            <v>1.5663824098635784E-5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>
            <v>0</v>
          </cell>
          <cell r="AM948">
            <v>0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</v>
          </cell>
        </row>
        <row r="949">
          <cell r="B949" t="str">
            <v>GY2-2660</v>
          </cell>
          <cell r="C949" t="str">
            <v>Submission of MPR for D+21 Month</v>
          </cell>
          <cell r="D949">
            <v>0</v>
          </cell>
          <cell r="E949">
            <v>9.7844730523450276E-7</v>
          </cell>
          <cell r="F949">
            <v>9.7844730523450276E-7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9.7844730523450276E-7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>
            <v>0</v>
          </cell>
          <cell r="AM949">
            <v>0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</v>
          </cell>
        </row>
        <row r="950">
          <cell r="B950" t="str">
            <v>GY2-2740</v>
          </cell>
          <cell r="C950" t="str">
            <v>Preparation of MPR for D+22 Month</v>
          </cell>
          <cell r="D950">
            <v>0</v>
          </cell>
          <cell r="E950">
            <v>1.4684767379854766E-5</v>
          </cell>
          <cell r="F950">
            <v>1.4684767379854768E-5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1.4684767379854768E-5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>
            <v>0</v>
          </cell>
          <cell r="AM950">
            <v>0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</v>
          </cell>
        </row>
        <row r="951">
          <cell r="B951" t="str">
            <v>GY2-2830</v>
          </cell>
          <cell r="C951" t="str">
            <v>Submission of MPR for D+22 Month</v>
          </cell>
          <cell r="D951">
            <v>0</v>
          </cell>
          <cell r="E951">
            <v>9.7844730523450276E-7</v>
          </cell>
          <cell r="F951">
            <v>9.7844730523450276E-7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9.7844730523450276E-7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>
            <v>0</v>
          </cell>
          <cell r="AM951">
            <v>0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</v>
          </cell>
        </row>
        <row r="952">
          <cell r="B952" t="str">
            <v>GY2-3060</v>
          </cell>
          <cell r="C952" t="str">
            <v>Preparation of MPR for D+23 Month</v>
          </cell>
          <cell r="D952">
            <v>0</v>
          </cell>
          <cell r="E952">
            <v>1.6642813104800518E-5</v>
          </cell>
          <cell r="F952">
            <v>1.6642813104800518E-5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1.6642813104800518E-5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>
            <v>0</v>
          </cell>
          <cell r="AM952">
            <v>0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  <cell r="AR952">
            <v>0</v>
          </cell>
        </row>
        <row r="953">
          <cell r="B953" t="str">
            <v>GY2-3640</v>
          </cell>
          <cell r="C953" t="str">
            <v>Submission of MPR for D+23 Month</v>
          </cell>
          <cell r="D953">
            <v>0</v>
          </cell>
          <cell r="E953">
            <v>9.7844730523450276E-7</v>
          </cell>
          <cell r="F953">
            <v>9.7844730523450276E-7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9.7844730523450276E-7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>
            <v>0</v>
          </cell>
          <cell r="AM953">
            <v>0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</v>
          </cell>
        </row>
        <row r="954">
          <cell r="B954" t="str">
            <v>GY2-3660</v>
          </cell>
          <cell r="C954" t="str">
            <v>Preparation of MPR for D+24 Month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>
            <v>0</v>
          </cell>
          <cell r="AM954">
            <v>0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  <cell r="AR954">
            <v>0</v>
          </cell>
        </row>
        <row r="955">
          <cell r="B955" t="str">
            <v>GY2-3690</v>
          </cell>
          <cell r="C955" t="str">
            <v>Submission of MPR for D+24 Month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>
            <v>0</v>
          </cell>
          <cell r="AM955">
            <v>0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  <cell r="AR955">
            <v>0</v>
          </cell>
        </row>
        <row r="956">
          <cell r="B956" t="str">
            <v>INTERFACEMANAGEMENT</v>
          </cell>
          <cell r="D956">
            <v>0</v>
          </cell>
          <cell r="E956">
            <v>4.4923635303548001E-3</v>
          </cell>
          <cell r="F956">
            <v>4.4923635303548001E-3</v>
          </cell>
          <cell r="G956">
            <v>7.0932055742444215E-4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3.3988276709921185E-4</v>
          </cell>
          <cell r="U956">
            <v>3.6943779032523025E-4</v>
          </cell>
          <cell r="V956">
            <v>3.6943779032523025E-4</v>
          </cell>
          <cell r="W956">
            <v>3.8421530193823942E-4</v>
          </cell>
          <cell r="X956">
            <v>3.5466027871222102E-4</v>
          </cell>
          <cell r="Y956">
            <v>3.6943779032523025E-4</v>
          </cell>
          <cell r="Z956">
            <v>3.6943779032523025E-4</v>
          </cell>
          <cell r="AA956">
            <v>3.9899281355124864E-4</v>
          </cell>
          <cell r="AB956">
            <v>3.6943779032523025E-4</v>
          </cell>
          <cell r="AC956">
            <v>3.8421530193823942E-4</v>
          </cell>
          <cell r="AD956">
            <v>3.8421530193823942E-4</v>
          </cell>
          <cell r="AE956">
            <v>3.6943779032523025E-4</v>
          </cell>
          <cell r="AF956">
            <v>2.9555023226018423E-5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>
            <v>0</v>
          </cell>
          <cell r="AM956">
            <v>0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  <cell r="AR956">
            <v>0</v>
          </cell>
        </row>
        <row r="957">
          <cell r="B957" t="str">
            <v>GY2-2220</v>
          </cell>
          <cell r="C957" t="str">
            <v>Coordinating with the DMICDC regarding interface issues</v>
          </cell>
          <cell r="D957">
            <v>0</v>
          </cell>
          <cell r="E957">
            <v>1.4408396305132705E-3</v>
          </cell>
          <cell r="F957">
            <v>1.4408396305132702E-3</v>
          </cell>
          <cell r="G957">
            <v>2.27500994291569E-4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1.0901089309804349E-4</v>
          </cell>
          <cell r="U957">
            <v>1.1849010119352552E-4</v>
          </cell>
          <cell r="V957">
            <v>1.1849010119352552E-4</v>
          </cell>
          <cell r="W957">
            <v>1.2322970524126654E-4</v>
          </cell>
          <cell r="X957">
            <v>1.1375049714578451E-4</v>
          </cell>
          <cell r="Y957">
            <v>1.1849010119352552E-4</v>
          </cell>
          <cell r="Z957">
            <v>1.1849010119352552E-4</v>
          </cell>
          <cell r="AA957">
            <v>1.2796930928900759E-4</v>
          </cell>
          <cell r="AB957">
            <v>1.1849010119352552E-4</v>
          </cell>
          <cell r="AC957">
            <v>1.2322970524126654E-4</v>
          </cell>
          <cell r="AD957">
            <v>1.2322970524126654E-4</v>
          </cell>
          <cell r="AE957">
            <v>1.1849010119352552E-4</v>
          </cell>
          <cell r="AF957">
            <v>9.4792080954820423E-6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>
            <v>0</v>
          </cell>
          <cell r="AM957">
            <v>0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  <cell r="AR957">
            <v>0</v>
          </cell>
        </row>
        <row r="958">
          <cell r="B958" t="str">
            <v>GY2-2230</v>
          </cell>
          <cell r="C958" t="str">
            <v>Managing External interfaces with major stakeholders (Meetings)</v>
          </cell>
          <cell r="D958">
            <v>0</v>
          </cell>
          <cell r="E958">
            <v>1.5257619499207647E-3</v>
          </cell>
          <cell r="F958">
            <v>1.5257619499207647E-3</v>
          </cell>
          <cell r="G958">
            <v>2.4090978156643655E-4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1.1543593700058417E-4</v>
          </cell>
          <cell r="U958">
            <v>1.2547384456585236E-4</v>
          </cell>
          <cell r="V958">
            <v>1.2547384456585236E-4</v>
          </cell>
          <cell r="W958">
            <v>1.3049279834848645E-4</v>
          </cell>
          <cell r="X958">
            <v>1.2045489078321826E-4</v>
          </cell>
          <cell r="Y958">
            <v>1.2547384456585236E-4</v>
          </cell>
          <cell r="Z958">
            <v>1.2547384456585236E-4</v>
          </cell>
          <cell r="AA958">
            <v>1.3551175213112054E-4</v>
          </cell>
          <cell r="AB958">
            <v>1.2547384456585236E-4</v>
          </cell>
          <cell r="AC958">
            <v>1.3049279834848645E-4</v>
          </cell>
          <cell r="AD958">
            <v>1.3049279834848645E-4</v>
          </cell>
          <cell r="AE958">
            <v>1.2547384456585236E-4</v>
          </cell>
          <cell r="AF958">
            <v>1.003790756526819E-5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>
            <v>0</v>
          </cell>
          <cell r="AM958">
            <v>0</v>
          </cell>
          <cell r="AN958">
            <v>0</v>
          </cell>
          <cell r="AO958">
            <v>0</v>
          </cell>
          <cell r="AP958">
            <v>0</v>
          </cell>
          <cell r="AQ958">
            <v>0</v>
          </cell>
          <cell r="AR958">
            <v>0</v>
          </cell>
        </row>
        <row r="959">
          <cell r="B959" t="str">
            <v>GY2-2240</v>
          </cell>
          <cell r="C959" t="str">
            <v>Managing interface between DMICDC / SPV / GOI &amp; PPP Concessionaire</v>
          </cell>
          <cell r="D959">
            <v>0</v>
          </cell>
          <cell r="E959">
            <v>1.5257619499207647E-3</v>
          </cell>
          <cell r="F959">
            <v>1.5257619499207647E-3</v>
          </cell>
          <cell r="G959">
            <v>2.4090978156643655E-4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1.1543593700058417E-4</v>
          </cell>
          <cell r="U959">
            <v>1.2547384456585236E-4</v>
          </cell>
          <cell r="V959">
            <v>1.2547384456585236E-4</v>
          </cell>
          <cell r="W959">
            <v>1.3049279834848645E-4</v>
          </cell>
          <cell r="X959">
            <v>1.2045489078321826E-4</v>
          </cell>
          <cell r="Y959">
            <v>1.2547384456585236E-4</v>
          </cell>
          <cell r="Z959">
            <v>1.2547384456585236E-4</v>
          </cell>
          <cell r="AA959">
            <v>1.3551175213112054E-4</v>
          </cell>
          <cell r="AB959">
            <v>1.2547384456585236E-4</v>
          </cell>
          <cell r="AC959">
            <v>1.3049279834848645E-4</v>
          </cell>
          <cell r="AD959">
            <v>1.3049279834848645E-4</v>
          </cell>
          <cell r="AE959">
            <v>1.2547384456585236E-4</v>
          </cell>
          <cell r="AF959">
            <v>1.003790756526819E-5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>
            <v>0</v>
          </cell>
          <cell r="AM959">
            <v>0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  <cell r="AR959">
            <v>0</v>
          </cell>
        </row>
        <row r="960">
          <cell r="B960" t="str">
            <v>STAKEHOLDERMANAGEMENT</v>
          </cell>
          <cell r="D960">
            <v>0</v>
          </cell>
          <cell r="E960">
            <v>1.0300229893651285E-3</v>
          </cell>
          <cell r="F960">
            <v>1.0300229893651287E-3</v>
          </cell>
          <cell r="G960">
            <v>1.6263520884712558E-4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7.7929370905914332E-5</v>
          </cell>
          <cell r="U960">
            <v>8.4705837941211233E-5</v>
          </cell>
          <cell r="V960">
            <v>8.4705837941211233E-5</v>
          </cell>
          <cell r="W960">
            <v>8.8094071458859677E-5</v>
          </cell>
          <cell r="X960">
            <v>8.1317604423562776E-5</v>
          </cell>
          <cell r="Y960">
            <v>8.4705837941211233E-5</v>
          </cell>
          <cell r="Z960">
            <v>8.4705837941211233E-5</v>
          </cell>
          <cell r="AA960">
            <v>9.1482304976508121E-5</v>
          </cell>
          <cell r="AB960">
            <v>8.4705837941211233E-5</v>
          </cell>
          <cell r="AC960">
            <v>8.8094071458859677E-5</v>
          </cell>
          <cell r="AD960">
            <v>8.8094071458859677E-5</v>
          </cell>
          <cell r="AE960">
            <v>8.4705837941211233E-5</v>
          </cell>
          <cell r="AF960">
            <v>6.776467035296898E-6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>
            <v>0</v>
          </cell>
          <cell r="AM960">
            <v>0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</v>
          </cell>
        </row>
        <row r="961">
          <cell r="B961" t="str">
            <v>GY2-2010</v>
          </cell>
          <cell r="C961" t="str">
            <v>Implementation of stakeholder management and Coordination strategy</v>
          </cell>
          <cell r="D961">
            <v>0</v>
          </cell>
          <cell r="E961">
            <v>8.8579640323013255E-4</v>
          </cell>
          <cell r="F961">
            <v>8.8579640323013266E-4</v>
          </cell>
          <cell r="G961">
            <v>1.3986258998370516E-4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6.7017491033858714E-5</v>
          </cell>
          <cell r="U961">
            <v>7.2845098949846429E-5</v>
          </cell>
          <cell r="V961">
            <v>7.2845098949846429E-5</v>
          </cell>
          <cell r="W961">
            <v>7.575890290784028E-5</v>
          </cell>
          <cell r="X961">
            <v>6.9931294991852565E-5</v>
          </cell>
          <cell r="Y961">
            <v>7.2845098949846429E-5</v>
          </cell>
          <cell r="Z961">
            <v>7.2845098949846429E-5</v>
          </cell>
          <cell r="AA961">
            <v>7.8672706865834144E-5</v>
          </cell>
          <cell r="AB961">
            <v>7.2845098949846429E-5</v>
          </cell>
          <cell r="AC961">
            <v>7.575890290784028E-5</v>
          </cell>
          <cell r="AD961">
            <v>7.575890290784028E-5</v>
          </cell>
          <cell r="AE961">
            <v>7.2845098949846429E-5</v>
          </cell>
          <cell r="AF961">
            <v>5.827607915987714E-6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>
            <v>0</v>
          </cell>
          <cell r="AM961">
            <v>0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</v>
          </cell>
        </row>
        <row r="962">
          <cell r="B962" t="str">
            <v>GY2-2040</v>
          </cell>
          <cell r="C962" t="str">
            <v>Initiation of Contacts with all governments and non governmental activity</v>
          </cell>
          <cell r="D962">
            <v>0</v>
          </cell>
          <cell r="E962">
            <v>1.4422658613499594E-4</v>
          </cell>
          <cell r="F962">
            <v>1.4422658613499596E-4</v>
          </cell>
          <cell r="G962">
            <v>2.2772618863420411E-5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1.0911879872055612E-5</v>
          </cell>
          <cell r="U962">
            <v>1.1860738991364799E-5</v>
          </cell>
          <cell r="V962">
            <v>1.1860738991364799E-5</v>
          </cell>
          <cell r="W962">
            <v>1.233516855101939E-5</v>
          </cell>
          <cell r="X962">
            <v>1.1386309431710206E-5</v>
          </cell>
          <cell r="Y962">
            <v>1.1860738991364799E-5</v>
          </cell>
          <cell r="Z962">
            <v>1.1860738991364799E-5</v>
          </cell>
          <cell r="AA962">
            <v>1.2809598110673982E-5</v>
          </cell>
          <cell r="AB962">
            <v>1.1860738991364799E-5</v>
          </cell>
          <cell r="AC962">
            <v>1.233516855101939E-5</v>
          </cell>
          <cell r="AD962">
            <v>1.233516855101939E-5</v>
          </cell>
          <cell r="AE962">
            <v>1.1860738991364799E-5</v>
          </cell>
          <cell r="AF962">
            <v>9.4885911930918383E-7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>
            <v>0</v>
          </cell>
          <cell r="AM962">
            <v>0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</row>
        <row r="963">
          <cell r="B963" t="str">
            <v>COMMUNICATIONS</v>
          </cell>
          <cell r="D963">
            <v>0</v>
          </cell>
          <cell r="E963">
            <v>8.3027930313112693E-4</v>
          </cell>
          <cell r="F963">
            <v>8.3027930313112693E-4</v>
          </cell>
          <cell r="G963">
            <v>1.3109673207333582E-4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6.2817184118473416E-5</v>
          </cell>
          <cell r="U963">
            <v>6.8279547954862421E-5</v>
          </cell>
          <cell r="V963">
            <v>6.8279547954862421E-5</v>
          </cell>
          <cell r="W963">
            <v>7.1010729873056903E-5</v>
          </cell>
          <cell r="X963">
            <v>6.5548366036667912E-5</v>
          </cell>
          <cell r="Y963">
            <v>6.8279547954862421E-5</v>
          </cell>
          <cell r="Z963">
            <v>6.8279547954862421E-5</v>
          </cell>
          <cell r="AA963">
            <v>7.3741911791251413E-5</v>
          </cell>
          <cell r="AB963">
            <v>6.8279547954862421E-5</v>
          </cell>
          <cell r="AC963">
            <v>7.1010729873056903E-5</v>
          </cell>
          <cell r="AD963">
            <v>7.1010729873056903E-5</v>
          </cell>
          <cell r="AE963">
            <v>6.8279547954862421E-5</v>
          </cell>
          <cell r="AF963">
            <v>5.4623638363889932E-6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>
            <v>0</v>
          </cell>
          <cell r="AM963">
            <v>0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  <cell r="AR963">
            <v>0</v>
          </cell>
        </row>
        <row r="964">
          <cell r="B964" t="str">
            <v>GY2-1360</v>
          </cell>
          <cell r="C964" t="str">
            <v>Scheduling Status Review Meeting and its Documentation</v>
          </cell>
          <cell r="D964">
            <v>0</v>
          </cell>
          <cell r="E964">
            <v>2.5257063180085082E-4</v>
          </cell>
          <cell r="F964">
            <v>2.5257063180085076E-4</v>
          </cell>
          <cell r="G964">
            <v>3.9879573442239605E-5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1.9108962274406476E-5</v>
          </cell>
          <cell r="U964">
            <v>2.0770611167833128E-5</v>
          </cell>
          <cell r="V964">
            <v>2.0770611167833128E-5</v>
          </cell>
          <cell r="W964">
            <v>2.1601435614546451E-5</v>
          </cell>
          <cell r="X964">
            <v>1.9939786721119802E-5</v>
          </cell>
          <cell r="Y964">
            <v>2.0770611167833128E-5</v>
          </cell>
          <cell r="Z964">
            <v>2.0770611167833128E-5</v>
          </cell>
          <cell r="AA964">
            <v>2.2432260061259777E-5</v>
          </cell>
          <cell r="AB964">
            <v>2.0770611167833128E-5</v>
          </cell>
          <cell r="AC964">
            <v>2.1601435614546451E-5</v>
          </cell>
          <cell r="AD964">
            <v>2.1601435614546451E-5</v>
          </cell>
          <cell r="AE964">
            <v>2.0770611167833128E-5</v>
          </cell>
          <cell r="AF964">
            <v>1.6616488934266502E-6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>
            <v>0</v>
          </cell>
          <cell r="AM964">
            <v>0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  <cell r="AR964">
            <v>0</v>
          </cell>
        </row>
        <row r="965">
          <cell r="B965" t="str">
            <v>GY2-1380</v>
          </cell>
          <cell r="C965" t="str">
            <v>Providing DMICDC with responses to public queries</v>
          </cell>
          <cell r="D965">
            <v>0</v>
          </cell>
          <cell r="E965">
            <v>1.8698818671717394E-4</v>
          </cell>
          <cell r="F965">
            <v>1.8698818671717397E-4</v>
          </cell>
          <cell r="G965">
            <v>2.9524450534290624E-5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1.4147132547680924E-5</v>
          </cell>
          <cell r="U965">
            <v>1.5377317986609699E-5</v>
          </cell>
          <cell r="V965">
            <v>1.5377317986609699E-5</v>
          </cell>
          <cell r="W965">
            <v>1.5992410706074088E-5</v>
          </cell>
          <cell r="X965">
            <v>1.476222526714531E-5</v>
          </cell>
          <cell r="Y965">
            <v>1.5377317986609699E-5</v>
          </cell>
          <cell r="Z965">
            <v>1.5377317986609699E-5</v>
          </cell>
          <cell r="AA965">
            <v>1.6607503425538475E-5</v>
          </cell>
          <cell r="AB965">
            <v>1.5377317986609699E-5</v>
          </cell>
          <cell r="AC965">
            <v>1.5992410706074088E-5</v>
          </cell>
          <cell r="AD965">
            <v>1.5992410706074088E-5</v>
          </cell>
          <cell r="AE965">
            <v>1.5377317986609699E-5</v>
          </cell>
          <cell r="AF965">
            <v>1.2301854389287759E-6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>
            <v>0</v>
          </cell>
          <cell r="AM965">
            <v>0</v>
          </cell>
          <cell r="AN965">
            <v>0</v>
          </cell>
          <cell r="AO965">
            <v>0</v>
          </cell>
          <cell r="AP965">
            <v>0</v>
          </cell>
          <cell r="AQ965">
            <v>0</v>
          </cell>
          <cell r="AR965">
            <v>0</v>
          </cell>
        </row>
        <row r="966">
          <cell r="B966" t="str">
            <v>GY2-1430</v>
          </cell>
          <cell r="C966" t="str">
            <v>Delivery &amp; Distribution of information / communication to various Stakeholders</v>
          </cell>
          <cell r="D966">
            <v>0</v>
          </cell>
          <cell r="E966">
            <v>3.9072048461310214E-4</v>
          </cell>
          <cell r="F966">
            <v>3.9072048461310214E-4</v>
          </cell>
          <cell r="G966">
            <v>6.1692708096805601E-5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2.9561089296386014E-5</v>
          </cell>
          <cell r="U966">
            <v>3.2131618800419584E-5</v>
          </cell>
          <cell r="V966">
            <v>3.2131618800419584E-5</v>
          </cell>
          <cell r="W966">
            <v>3.3416883552436367E-5</v>
          </cell>
          <cell r="X966">
            <v>3.0846354048402801E-5</v>
          </cell>
          <cell r="Y966">
            <v>3.2131618800419584E-5</v>
          </cell>
          <cell r="Z966">
            <v>3.2131618800419584E-5</v>
          </cell>
          <cell r="AA966">
            <v>3.4702148304453151E-5</v>
          </cell>
          <cell r="AB966">
            <v>3.2131618800419584E-5</v>
          </cell>
          <cell r="AC966">
            <v>3.3416883552436367E-5</v>
          </cell>
          <cell r="AD966">
            <v>3.3416883552436367E-5</v>
          </cell>
          <cell r="AE966">
            <v>3.2131618800419584E-5</v>
          </cell>
          <cell r="AF966">
            <v>2.5705295040335667E-6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>
            <v>0</v>
          </cell>
          <cell r="AM966">
            <v>0</v>
          </cell>
          <cell r="AN966">
            <v>0</v>
          </cell>
          <cell r="AO966">
            <v>0</v>
          </cell>
          <cell r="AP966">
            <v>0</v>
          </cell>
          <cell r="AQ966">
            <v>0</v>
          </cell>
          <cell r="AR966">
            <v>0</v>
          </cell>
        </row>
        <row r="967">
          <cell r="B967" t="str">
            <v>DELIVERYSYSTEMS</v>
          </cell>
          <cell r="D967">
            <v>0</v>
          </cell>
          <cell r="E967">
            <v>4.402138602110172E-2</v>
          </cell>
          <cell r="F967">
            <v>4.402138602110172E-2</v>
          </cell>
          <cell r="G967">
            <v>7.6279244423913296E-3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3.6550471286458455E-3</v>
          </cell>
          <cell r="U967">
            <v>3.972877313745485E-3</v>
          </cell>
          <cell r="V967">
            <v>4.3154093317579528E-3</v>
          </cell>
          <cell r="W967">
            <v>4.8924957285251935E-3</v>
          </cell>
          <cell r="X967">
            <v>4.530577395924754E-3</v>
          </cell>
          <cell r="Y967">
            <v>3.4111064341780625E-3</v>
          </cell>
          <cell r="Z967">
            <v>3.1619169065761153E-3</v>
          </cell>
          <cell r="AA967">
            <v>3.4148702591022045E-3</v>
          </cell>
          <cell r="AB967">
            <v>3.1619169065761153E-3</v>
          </cell>
          <cell r="AC967">
            <v>3.2883935828391594E-3</v>
          </cell>
          <cell r="AD967">
            <v>3.1617900257536295E-3</v>
          </cell>
          <cell r="AE967">
            <v>2.8617495861785491E-3</v>
          </cell>
          <cell r="AF967">
            <v>1.9323542129866508E-4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>
            <v>0</v>
          </cell>
          <cell r="AM967">
            <v>0</v>
          </cell>
          <cell r="AN967">
            <v>0</v>
          </cell>
          <cell r="AO967">
            <v>0</v>
          </cell>
          <cell r="AP967">
            <v>0</v>
          </cell>
          <cell r="AQ967">
            <v>0</v>
          </cell>
          <cell r="AR967">
            <v>0</v>
          </cell>
        </row>
        <row r="968">
          <cell r="B968" t="str">
            <v>PLANNING(REVIEWOFEXISTINGMASTERPLAN)(D+5MONTH)</v>
          </cell>
        </row>
        <row r="969">
          <cell r="B969" t="str">
            <v>SITECONTROL/MAPPING</v>
          </cell>
        </row>
        <row r="970">
          <cell r="B970" t="str">
            <v>DESIGNMANAGEMENT</v>
          </cell>
          <cell r="D970">
            <v>0</v>
          </cell>
          <cell r="E970">
            <v>3.4159550018117997E-2</v>
          </cell>
          <cell r="F970">
            <v>3.4159550018117997E-2</v>
          </cell>
          <cell r="G970">
            <v>6.9811375730664147E-3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3.3451284204276573E-3</v>
          </cell>
          <cell r="U970">
            <v>3.6360091526387583E-3</v>
          </cell>
          <cell r="V970">
            <v>3.7018430023232343E-3</v>
          </cell>
          <cell r="W970">
            <v>3.9131172181132599E-3</v>
          </cell>
          <cell r="X970">
            <v>3.6121082013353166E-3</v>
          </cell>
          <cell r="Y970">
            <v>2.4543676898140651E-3</v>
          </cell>
          <cell r="Z970">
            <v>2.2051781622121178E-3</v>
          </cell>
          <cell r="AA970">
            <v>2.3815924151890872E-3</v>
          </cell>
          <cell r="AB970">
            <v>2.2051781622121178E-3</v>
          </cell>
          <cell r="AC970">
            <v>2.2933852887006023E-3</v>
          </cell>
          <cell r="AD970">
            <v>2.1667817316150719E-3</v>
          </cell>
          <cell r="AE970">
            <v>2.0785746051265874E-3</v>
          </cell>
          <cell r="AF970">
            <v>1.6628596841012698E-4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>
            <v>0</v>
          </cell>
          <cell r="AM970">
            <v>0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  <cell r="AR970">
            <v>0</v>
          </cell>
        </row>
        <row r="971">
          <cell r="B971" t="str">
            <v>GY2-1920</v>
          </cell>
          <cell r="C971" t="str">
            <v>Design coordination between project related consultants, government agencies and stakeholders</v>
          </cell>
          <cell r="D971">
            <v>0</v>
          </cell>
          <cell r="E971">
            <v>6.2897516611244769E-3</v>
          </cell>
          <cell r="F971">
            <v>6.2897516611244752E-3</v>
          </cell>
          <cell r="G971">
            <v>9.9311868333544365E-4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4.7586936909823344E-4</v>
          </cell>
          <cell r="U971">
            <v>5.1724931423721026E-4</v>
          </cell>
          <cell r="V971">
            <v>5.1724931423721026E-4</v>
          </cell>
          <cell r="W971">
            <v>5.379392868066987E-4</v>
          </cell>
          <cell r="X971">
            <v>4.9655934166772183E-4</v>
          </cell>
          <cell r="Y971">
            <v>5.1724931423721026E-4</v>
          </cell>
          <cell r="Z971">
            <v>5.1724931423721026E-4</v>
          </cell>
          <cell r="AA971">
            <v>5.5862925937618713E-4</v>
          </cell>
          <cell r="AB971">
            <v>5.1724931423721026E-4</v>
          </cell>
          <cell r="AC971">
            <v>5.379392868066987E-4</v>
          </cell>
          <cell r="AD971">
            <v>5.379392868066987E-4</v>
          </cell>
          <cell r="AE971">
            <v>5.1724931423721026E-4</v>
          </cell>
          <cell r="AF971">
            <v>4.1379945138976819E-5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>
            <v>0</v>
          </cell>
          <cell r="AM971">
            <v>0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  <cell r="AR971">
            <v>0</v>
          </cell>
        </row>
        <row r="972">
          <cell r="B972" t="str">
            <v>GY2-1930</v>
          </cell>
          <cell r="C972" t="str">
            <v>Monitoring the Design Schedule &amp; Managing any Changes &amp; Delay</v>
          </cell>
          <cell r="D972">
            <v>0</v>
          </cell>
          <cell r="E972">
            <v>6.7184105766621898E-4</v>
          </cell>
          <cell r="F972">
            <v>6.7184105766621887E-4</v>
          </cell>
          <cell r="G972">
            <v>1.0608016699992931E-4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5.0830080020799462E-5</v>
          </cell>
          <cell r="U972">
            <v>5.5250086979129853E-5</v>
          </cell>
          <cell r="V972">
            <v>5.5250086979129853E-5</v>
          </cell>
          <cell r="W972">
            <v>5.7460090458295045E-5</v>
          </cell>
          <cell r="X972">
            <v>5.3040083499964661E-5</v>
          </cell>
          <cell r="Y972">
            <v>5.5250086979129853E-5</v>
          </cell>
          <cell r="Z972">
            <v>5.5250086979129853E-5</v>
          </cell>
          <cell r="AA972">
            <v>5.9670093937460237E-5</v>
          </cell>
          <cell r="AB972">
            <v>5.5250086979129853E-5</v>
          </cell>
          <cell r="AC972">
            <v>5.7460090458295045E-5</v>
          </cell>
          <cell r="AD972">
            <v>5.7460090458295045E-5</v>
          </cell>
          <cell r="AE972">
            <v>5.5250086979129853E-5</v>
          </cell>
          <cell r="AF972">
            <v>4.4200069583303878E-6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>
            <v>0</v>
          </cell>
          <cell r="AM972">
            <v>0</v>
          </cell>
          <cell r="AN972">
            <v>0</v>
          </cell>
          <cell r="AO972">
            <v>0</v>
          </cell>
          <cell r="AP972">
            <v>0</v>
          </cell>
          <cell r="AQ972">
            <v>0</v>
          </cell>
          <cell r="AR972">
            <v>0</v>
          </cell>
        </row>
        <row r="973">
          <cell r="B973" t="str">
            <v>GY2-1940</v>
          </cell>
          <cell r="C973" t="str">
            <v>Initiating &amp; conducting all Design Value Engineering Workshop</v>
          </cell>
          <cell r="D973">
            <v>0</v>
          </cell>
          <cell r="E973">
            <v>7.7811010437629068E-3</v>
          </cell>
          <cell r="F973">
            <v>7.7811010437629068E-3</v>
          </cell>
          <cell r="G973">
            <v>1.2285949016467748E-3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5.8870172370574622E-4</v>
          </cell>
          <cell r="U973">
            <v>6.3989317794102855E-4</v>
          </cell>
          <cell r="V973">
            <v>6.3989317794102855E-4</v>
          </cell>
          <cell r="W973">
            <v>6.6548890505866961E-4</v>
          </cell>
          <cell r="X973">
            <v>6.1429745082338739E-4</v>
          </cell>
          <cell r="Y973">
            <v>6.3989317794102855E-4</v>
          </cell>
          <cell r="Z973">
            <v>6.3989317794102855E-4</v>
          </cell>
          <cell r="AA973">
            <v>6.9108463217631077E-4</v>
          </cell>
          <cell r="AB973">
            <v>6.3989317794102855E-4</v>
          </cell>
          <cell r="AC973">
            <v>6.6548890505866961E-4</v>
          </cell>
          <cell r="AD973">
            <v>6.6548890505866961E-4</v>
          </cell>
          <cell r="AE973">
            <v>6.3989317794102855E-4</v>
          </cell>
          <cell r="AF973">
            <v>5.119145423528228E-5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>
            <v>0</v>
          </cell>
          <cell r="AM973">
            <v>0</v>
          </cell>
          <cell r="AN973">
            <v>0</v>
          </cell>
          <cell r="AO973">
            <v>0</v>
          </cell>
          <cell r="AP973">
            <v>0</v>
          </cell>
          <cell r="AQ973">
            <v>0</v>
          </cell>
          <cell r="AR973">
            <v>0</v>
          </cell>
        </row>
        <row r="974">
          <cell r="B974" t="str">
            <v>GY2-1950</v>
          </cell>
          <cell r="C974" t="str">
            <v>Implementing a Stage Review Process to provide benefits of controlling Quality, Cost &amp; Schedule</v>
          </cell>
          <cell r="D974">
            <v>0</v>
          </cell>
          <cell r="E974">
            <v>8.0033881559095094E-4</v>
          </cell>
          <cell r="F974">
            <v>8.0033881559095094E-4</v>
          </cell>
          <cell r="G974">
            <v>1.2636928667225541E-4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6.0551949863789054E-5</v>
          </cell>
          <cell r="U974">
            <v>6.5817336808466354E-5</v>
          </cell>
          <cell r="V974">
            <v>6.5817336808466354E-5</v>
          </cell>
          <cell r="W974">
            <v>6.8450030280805014E-5</v>
          </cell>
          <cell r="X974">
            <v>6.3184643336127707E-5</v>
          </cell>
          <cell r="Y974">
            <v>6.5817336808466354E-5</v>
          </cell>
          <cell r="Z974">
            <v>6.5817336808466354E-5</v>
          </cell>
          <cell r="AA974">
            <v>7.1082723753143674E-5</v>
          </cell>
          <cell r="AB974">
            <v>6.5817336808466354E-5</v>
          </cell>
          <cell r="AC974">
            <v>6.8450030280805014E-5</v>
          </cell>
          <cell r="AD974">
            <v>6.8450030280805014E-5</v>
          </cell>
          <cell r="AE974">
            <v>6.5817336808466354E-5</v>
          </cell>
          <cell r="AF974">
            <v>5.2653869446773092E-6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>
            <v>0</v>
          </cell>
          <cell r="AM974">
            <v>0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  <cell r="AR974">
            <v>0</v>
          </cell>
        </row>
        <row r="975">
          <cell r="B975" t="str">
            <v>GY2-1960</v>
          </cell>
          <cell r="C975" t="str">
            <v>Technical review and approval of Consultants and Contractors Designs</v>
          </cell>
          <cell r="D975">
            <v>0</v>
          </cell>
          <cell r="E975">
            <v>9.3752161713128758E-3</v>
          </cell>
          <cell r="F975">
            <v>9.3752161713128741E-3</v>
          </cell>
          <cell r="G975">
            <v>1.4802972902072961E-3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7.093091182243294E-4</v>
          </cell>
          <cell r="U975">
            <v>7.7098817198296673E-4</v>
          </cell>
          <cell r="V975">
            <v>7.7098817198296673E-4</v>
          </cell>
          <cell r="W975">
            <v>8.0182769886228539E-4</v>
          </cell>
          <cell r="X975">
            <v>7.4014864510364806E-4</v>
          </cell>
          <cell r="Y975">
            <v>7.7098817198296673E-4</v>
          </cell>
          <cell r="Z975">
            <v>7.7098817198296673E-4</v>
          </cell>
          <cell r="AA975">
            <v>8.3266722574160416E-4</v>
          </cell>
          <cell r="AB975">
            <v>7.7098817198296673E-4</v>
          </cell>
          <cell r="AC975">
            <v>8.0182769886228539E-4</v>
          </cell>
          <cell r="AD975">
            <v>8.0182769886228539E-4</v>
          </cell>
          <cell r="AE975">
            <v>7.7098817198296673E-4</v>
          </cell>
          <cell r="AF975">
            <v>6.1679053758637343E-5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>
            <v>0</v>
          </cell>
          <cell r="AM975">
            <v>0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  <cell r="AR975">
            <v>0</v>
          </cell>
        </row>
        <row r="976">
          <cell r="B976" t="str">
            <v>GY2-1970</v>
          </cell>
          <cell r="C976" t="str">
            <v>Supervising and Overseeing the work of all bidders, contractors, vendors &amp; Supplier</v>
          </cell>
          <cell r="D976">
            <v>0</v>
          </cell>
          <cell r="E976">
            <v>3.5721844888187272E-4</v>
          </cell>
          <cell r="F976">
            <v>3.5721844888187272E-4</v>
          </cell>
          <cell r="G976">
            <v>5.6402912981348325E-5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2.7026395803562741E-5</v>
          </cell>
          <cell r="U976">
            <v>2.9376517177785584E-5</v>
          </cell>
          <cell r="V976">
            <v>2.9376517177785584E-5</v>
          </cell>
          <cell r="W976">
            <v>3.0551577864897012E-5</v>
          </cell>
          <cell r="X976">
            <v>2.8201456490674162E-5</v>
          </cell>
          <cell r="Y976">
            <v>2.9376517177785584E-5</v>
          </cell>
          <cell r="Z976">
            <v>2.9376517177785584E-5</v>
          </cell>
          <cell r="AA976">
            <v>3.172663855200843E-5</v>
          </cell>
          <cell r="AB976">
            <v>2.9376517177785584E-5</v>
          </cell>
          <cell r="AC976">
            <v>3.0551577864897012E-5</v>
          </cell>
          <cell r="AD976">
            <v>3.0551577864897012E-5</v>
          </cell>
          <cell r="AE976">
            <v>2.9376517177785584E-5</v>
          </cell>
          <cell r="AF976">
            <v>2.3501213742228467E-6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>
            <v>0</v>
          </cell>
          <cell r="AM976">
            <v>0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  <cell r="AR976">
            <v>0</v>
          </cell>
        </row>
        <row r="977">
          <cell r="B977" t="str">
            <v>GY2-2210</v>
          </cell>
          <cell r="C977" t="str">
            <v>Reviewing &amp; ensuring Costructability of the proposed Designs</v>
          </cell>
          <cell r="D977">
            <v>0</v>
          </cell>
          <cell r="E977">
            <v>7.9117675013618272E-3</v>
          </cell>
          <cell r="F977">
            <v>7.9117675013618272E-3</v>
          </cell>
          <cell r="G977">
            <v>2.9902743312233675E-3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1.4328397837111971E-3</v>
          </cell>
          <cell r="U977">
            <v>1.5574345475121707E-3</v>
          </cell>
          <cell r="V977">
            <v>1.5574345475121707E-3</v>
          </cell>
          <cell r="W977">
            <v>1.6197319294126576E-3</v>
          </cell>
          <cell r="X977">
            <v>1.4951371656116838E-3</v>
          </cell>
          <cell r="Y977">
            <v>2.491895276019473E-4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>
            <v>0</v>
          </cell>
          <cell r="AM977">
            <v>0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  <cell r="AR977">
            <v>0</v>
          </cell>
        </row>
        <row r="978">
          <cell r="B978" t="str">
            <v>GY2-2890</v>
          </cell>
          <cell r="C978" t="str">
            <v>Providing Design Coordination between PPP Concessionaires and all Stakeholders</v>
          </cell>
          <cell r="D978">
            <v>0</v>
          </cell>
          <cell r="E978">
            <v>9.4370206586838717E-4</v>
          </cell>
          <cell r="F978">
            <v>9.4370206586838706E-4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6.3896494043172054E-5</v>
          </cell>
          <cell r="W978">
            <v>1.2779298808634411E-4</v>
          </cell>
          <cell r="X978">
            <v>1.1796275823354838E-4</v>
          </cell>
          <cell r="Y978">
            <v>1.2287787315994625E-4</v>
          </cell>
          <cell r="Z978">
            <v>1.2287787315994625E-4</v>
          </cell>
          <cell r="AA978">
            <v>1.3270810301274196E-4</v>
          </cell>
          <cell r="AB978">
            <v>1.2287787315994625E-4</v>
          </cell>
          <cell r="AC978">
            <v>1.2779298808634411E-4</v>
          </cell>
          <cell r="AD978">
            <v>4.9151149263978496E-6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>
            <v>0</v>
          </cell>
          <cell r="AM978">
            <v>0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  <cell r="AR978">
            <v>0</v>
          </cell>
        </row>
        <row r="979">
          <cell r="B979" t="str">
            <v>GY2-2900</v>
          </cell>
          <cell r="C979" t="str">
            <v>Coordinating Design &amp; Design issues between contractors</v>
          </cell>
          <cell r="D979">
            <v>0</v>
          </cell>
          <cell r="E979">
            <v>2.8613252548487096E-5</v>
          </cell>
          <cell r="F979">
            <v>2.8613252548487096E-5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1.937355641303814E-6</v>
          </cell>
          <cell r="W979">
            <v>3.874711282607628E-6</v>
          </cell>
          <cell r="X979">
            <v>3.576656568560887E-6</v>
          </cell>
          <cell r="Y979">
            <v>3.7256839255842573E-6</v>
          </cell>
          <cell r="Z979">
            <v>3.7256839255842573E-6</v>
          </cell>
          <cell r="AA979">
            <v>4.0237386396309974E-6</v>
          </cell>
          <cell r="AB979">
            <v>3.7256839255842573E-6</v>
          </cell>
          <cell r="AC979">
            <v>3.874711282607628E-6</v>
          </cell>
          <cell r="AD979">
            <v>1.490273570233703E-7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>
            <v>0</v>
          </cell>
          <cell r="AM979">
            <v>0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  <cell r="AR979">
            <v>0</v>
          </cell>
        </row>
        <row r="980">
          <cell r="B980" t="str">
            <v>GY2-3750</v>
          </cell>
          <cell r="C980" t="str">
            <v>Putting forward Value Engineering Ideas</v>
          </cell>
          <cell r="D980">
            <v>0</v>
          </cell>
          <cell r="E980" t="str">
            <v/>
          </cell>
        </row>
        <row r="981">
          <cell r="B981" t="str">
            <v>GY2-3760</v>
          </cell>
          <cell r="C981" t="str">
            <v>Obtaining Third Party independent firms to perform the Reviews</v>
          </cell>
          <cell r="D981">
            <v>0</v>
          </cell>
          <cell r="E981" t="str">
            <v/>
          </cell>
        </row>
        <row r="982">
          <cell r="B982" t="str">
            <v>PERMITS&amp;APPROVALS</v>
          </cell>
          <cell r="D982">
            <v>0</v>
          </cell>
          <cell r="E982">
            <v>2.2028509384864709E-3</v>
          </cell>
          <cell r="F982">
            <v>2.2028509384864709E-3</v>
          </cell>
          <cell r="G982">
            <v>3.4781856923470593E-4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1.6666306442496325E-4</v>
          </cell>
          <cell r="U982">
            <v>1.8115550480974268E-4</v>
          </cell>
          <cell r="V982">
            <v>1.8115550480974268E-4</v>
          </cell>
          <cell r="W982">
            <v>1.8840172500213237E-4</v>
          </cell>
          <cell r="X982">
            <v>1.7390928461735297E-4</v>
          </cell>
          <cell r="Y982">
            <v>1.8115550480974268E-4</v>
          </cell>
          <cell r="Z982">
            <v>1.8115550480974268E-4</v>
          </cell>
          <cell r="AA982">
            <v>1.9564794519452206E-4</v>
          </cell>
          <cell r="AB982">
            <v>1.8115550480974268E-4</v>
          </cell>
          <cell r="AC982">
            <v>1.8840172500213237E-4</v>
          </cell>
          <cell r="AD982">
            <v>1.8840172500213237E-4</v>
          </cell>
          <cell r="AE982">
            <v>1.8115550480974268E-4</v>
          </cell>
          <cell r="AF982">
            <v>1.4492440384779414E-5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>
            <v>0</v>
          </cell>
          <cell r="AM982">
            <v>0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  <cell r="AR982">
            <v>0</v>
          </cell>
        </row>
        <row r="983">
          <cell r="B983" t="str">
            <v>GY2-1600</v>
          </cell>
          <cell r="C983" t="str">
            <v>Ensuring the Process for obtaining the approval</v>
          </cell>
          <cell r="D983">
            <v>0</v>
          </cell>
          <cell r="E983">
            <v>3.0680884371619114E-4</v>
          </cell>
          <cell r="F983">
            <v>3.068088437161912E-4</v>
          </cell>
          <cell r="G983">
            <v>4.8443501639398603E-5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2.3212511202211828E-5</v>
          </cell>
          <cell r="U983">
            <v>2.5230990437186774E-5</v>
          </cell>
          <cell r="V983">
            <v>2.5230990437186774E-5</v>
          </cell>
          <cell r="W983">
            <v>2.6240230054674244E-5</v>
          </cell>
          <cell r="X983">
            <v>2.4221750819699301E-5</v>
          </cell>
          <cell r="Y983">
            <v>2.5230990437186774E-5</v>
          </cell>
          <cell r="Z983">
            <v>2.5230990437186774E-5</v>
          </cell>
          <cell r="AA983">
            <v>2.7249469672161714E-5</v>
          </cell>
          <cell r="AB983">
            <v>2.5230990437186774E-5</v>
          </cell>
          <cell r="AC983">
            <v>2.6240230054674244E-5</v>
          </cell>
          <cell r="AD983">
            <v>2.6240230054674244E-5</v>
          </cell>
          <cell r="AE983">
            <v>2.5230990437186774E-5</v>
          </cell>
          <cell r="AF983">
            <v>2.0184792349749418E-6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>
            <v>0</v>
          </cell>
          <cell r="AM983">
            <v>0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  <cell r="AR983">
            <v>0</v>
          </cell>
        </row>
        <row r="984">
          <cell r="B984" t="str">
            <v>GY2-1610</v>
          </cell>
          <cell r="C984" t="str">
            <v>Assisting DMICDC and Speciality 3rd Party Consultant in Approval Process</v>
          </cell>
          <cell r="D984">
            <v>0</v>
          </cell>
          <cell r="E984">
            <v>7.3778380158111745E-4</v>
          </cell>
          <cell r="F984">
            <v>7.3778380158111745E-4</v>
          </cell>
          <cell r="G984">
            <v>1.1649217919701855E-4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5.5819169198571388E-5</v>
          </cell>
          <cell r="U984">
            <v>6.0673009998447166E-5</v>
          </cell>
          <cell r="V984">
            <v>6.0673009998447166E-5</v>
          </cell>
          <cell r="W984">
            <v>6.3099930398385044E-5</v>
          </cell>
          <cell r="X984">
            <v>5.8246089598509267E-5</v>
          </cell>
          <cell r="Y984">
            <v>6.0673009998447166E-5</v>
          </cell>
          <cell r="Z984">
            <v>6.0673009998447166E-5</v>
          </cell>
          <cell r="AA984">
            <v>6.5526850798322929E-5</v>
          </cell>
          <cell r="AB984">
            <v>6.0673009998447166E-5</v>
          </cell>
          <cell r="AC984">
            <v>6.3099930398385044E-5</v>
          </cell>
          <cell r="AD984">
            <v>6.3099930398385044E-5</v>
          </cell>
          <cell r="AE984">
            <v>6.0673009998447166E-5</v>
          </cell>
          <cell r="AF984">
            <v>4.8538407998757731E-6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>
            <v>0</v>
          </cell>
          <cell r="AM984">
            <v>0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  <cell r="AR984">
            <v>0</v>
          </cell>
        </row>
        <row r="985">
          <cell r="B985" t="str">
            <v>GY2-1720</v>
          </cell>
          <cell r="C985" t="str">
            <v>Preparing Monthly updates on Status of environmental and other regulatory approvals</v>
          </cell>
          <cell r="D985">
            <v>0</v>
          </cell>
          <cell r="E985">
            <v>1.1582582931891623E-3</v>
          </cell>
          <cell r="F985">
            <v>1.1582582931891623E-3</v>
          </cell>
          <cell r="G985">
            <v>1.8288288839828879E-4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8.7631384024180038E-5</v>
          </cell>
          <cell r="U985">
            <v>9.5251504374108749E-5</v>
          </cell>
          <cell r="V985">
            <v>9.5251504374108749E-5</v>
          </cell>
          <cell r="W985">
            <v>9.9061564549073091E-5</v>
          </cell>
          <cell r="X985">
            <v>9.1441444199144394E-5</v>
          </cell>
          <cell r="Y985">
            <v>9.5251504374108749E-5</v>
          </cell>
          <cell r="Z985">
            <v>9.5251504374108749E-5</v>
          </cell>
          <cell r="AA985">
            <v>1.0287162472403743E-4</v>
          </cell>
          <cell r="AB985">
            <v>9.5251504374108749E-5</v>
          </cell>
          <cell r="AC985">
            <v>9.9061564549073091E-5</v>
          </cell>
          <cell r="AD985">
            <v>9.9061564549073091E-5</v>
          </cell>
          <cell r="AE985">
            <v>9.5251504374108749E-5</v>
          </cell>
          <cell r="AF985">
            <v>7.6201203499286998E-6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>
            <v>0</v>
          </cell>
          <cell r="AM985">
            <v>0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  <cell r="AR985">
            <v>0</v>
          </cell>
        </row>
        <row r="986">
          <cell r="B986" t="str">
            <v>PROCUREMENT&amp;SUPPLYCHAINMANAGEMENT</v>
          </cell>
          <cell r="D986">
            <v>0</v>
          </cell>
          <cell r="E986">
            <v>6.8210658145839631E-3</v>
          </cell>
          <cell r="F986">
            <v>6.8210658145839631E-3</v>
          </cell>
          <cell r="G986">
            <v>2.9896830009020858E-4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  <cell r="Q986">
            <v>0</v>
          </cell>
          <cell r="R986">
            <v>0</v>
          </cell>
          <cell r="S986">
            <v>0</v>
          </cell>
          <cell r="T986">
            <v>1.4325564379322496E-4</v>
          </cell>
          <cell r="U986">
            <v>1.5571265629698365E-4</v>
          </cell>
          <cell r="V986">
            <v>3.89440606680704E-4</v>
          </cell>
          <cell r="W986">
            <v>6.9787464653054635E-4</v>
          </cell>
          <cell r="X986">
            <v>6.5861947408354167E-4</v>
          </cell>
          <cell r="Y986">
            <v>6.8606195217035598E-4</v>
          </cell>
          <cell r="Z986">
            <v>6.8606195217035598E-4</v>
          </cell>
          <cell r="AA986">
            <v>7.4094690834398437E-4</v>
          </cell>
          <cell r="AB986">
            <v>6.8606195217035598E-4</v>
          </cell>
          <cell r="AC986">
            <v>7.1350443025717017E-4</v>
          </cell>
          <cell r="AD986">
            <v>7.1350443025717017E-4</v>
          </cell>
          <cell r="AE986">
            <v>5.3756414932581173E-4</v>
          </cell>
          <cell r="AF986">
            <v>1.245701250375869E-5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>
            <v>0</v>
          </cell>
          <cell r="AM986">
            <v>0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  <cell r="AR986">
            <v>0</v>
          </cell>
        </row>
        <row r="987">
          <cell r="B987" t="str">
            <v>PROCUREMENTMANAGEMENT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>
            <v>0</v>
          </cell>
          <cell r="AM987">
            <v>0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  <cell r="AR987">
            <v>0</v>
          </cell>
        </row>
        <row r="988">
          <cell r="B988" t="str">
            <v>SELECTIONOFEPCCONTRACTORFORPHASEIDEVELOPMENT</v>
          </cell>
        </row>
        <row r="989">
          <cell r="B989" t="str">
            <v>SELECTIONOFPPPCONCESSIONAIREFORPHASEI&amp;IIDEVELOPMENT</v>
          </cell>
        </row>
        <row r="990">
          <cell r="B990" t="str">
            <v>SUPPLYCHAINMANAGEMENT</v>
          </cell>
          <cell r="D990">
            <v>0</v>
          </cell>
          <cell r="E990">
            <v>1.8934659005713211E-3</v>
          </cell>
          <cell r="F990">
            <v>1.8934659005713213E-3</v>
          </cell>
          <cell r="G990">
            <v>2.9896830009020858E-4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  <cell r="Q990">
            <v>0</v>
          </cell>
          <cell r="R990">
            <v>0</v>
          </cell>
          <cell r="S990">
            <v>0</v>
          </cell>
          <cell r="T990">
            <v>1.4325564379322496E-4</v>
          </cell>
          <cell r="U990">
            <v>1.5571265629698365E-4</v>
          </cell>
          <cell r="V990">
            <v>1.5571265629698365E-4</v>
          </cell>
          <cell r="W990">
            <v>1.6194116254886299E-4</v>
          </cell>
          <cell r="X990">
            <v>1.4948415004510429E-4</v>
          </cell>
          <cell r="Y990">
            <v>1.5571265629698365E-4</v>
          </cell>
          <cell r="Z990">
            <v>1.5571265629698365E-4</v>
          </cell>
          <cell r="AA990">
            <v>1.6816966880074235E-4</v>
          </cell>
          <cell r="AB990">
            <v>1.5571265629698365E-4</v>
          </cell>
          <cell r="AC990">
            <v>1.6194116254886299E-4</v>
          </cell>
          <cell r="AD990">
            <v>1.6194116254886299E-4</v>
          </cell>
          <cell r="AE990">
            <v>1.5571265629698365E-4</v>
          </cell>
          <cell r="AF990">
            <v>1.245701250375869E-5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>
            <v>0</v>
          </cell>
          <cell r="AM990">
            <v>0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  <cell r="AR990">
            <v>0</v>
          </cell>
        </row>
        <row r="991">
          <cell r="B991" t="str">
            <v>GY2-2380</v>
          </cell>
          <cell r="C991" t="str">
            <v>Undertaking a Supply Chain Analysis &amp; Recommendations by inputs from PMs, Bidders, Contractors &amp; Suppliers</v>
          </cell>
          <cell r="D991">
            <v>0</v>
          </cell>
          <cell r="E991">
            <v>3.216271403753485E-4</v>
          </cell>
          <cell r="F991">
            <v>3.216271403753485E-4</v>
          </cell>
          <cell r="G991">
            <v>5.0783232690844503E-5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  <cell r="Q991">
            <v>0</v>
          </cell>
          <cell r="R991">
            <v>0</v>
          </cell>
          <cell r="S991">
            <v>0</v>
          </cell>
          <cell r="T991">
            <v>2.4333632331029659E-5</v>
          </cell>
          <cell r="U991">
            <v>2.6449600359814844E-5</v>
          </cell>
          <cell r="V991">
            <v>2.6449600359814844E-5</v>
          </cell>
          <cell r="W991">
            <v>2.7507584374207437E-5</v>
          </cell>
          <cell r="X991">
            <v>2.5391616345422251E-5</v>
          </cell>
          <cell r="Y991">
            <v>2.6449600359814844E-5</v>
          </cell>
          <cell r="Z991">
            <v>2.6449600359814844E-5</v>
          </cell>
          <cell r="AA991">
            <v>2.8565568388600029E-5</v>
          </cell>
          <cell r="AB991">
            <v>2.6449600359814844E-5</v>
          </cell>
          <cell r="AC991">
            <v>2.7507584374207437E-5</v>
          </cell>
          <cell r="AD991">
            <v>2.7507584374207437E-5</v>
          </cell>
          <cell r="AE991">
            <v>2.6449600359814844E-5</v>
          </cell>
          <cell r="AF991">
            <v>2.1159680287851875E-6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>
            <v>0</v>
          </cell>
          <cell r="AM991">
            <v>0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  <cell r="AR991">
            <v>0</v>
          </cell>
        </row>
        <row r="992">
          <cell r="B992" t="str">
            <v>GY2-2420</v>
          </cell>
          <cell r="C992" t="str">
            <v>Meeting PMs, Bidders, Contractors, Suppliers &amp; Supervision Bidders to discuss Potential Issues, Conflicts or Problems</v>
          </cell>
          <cell r="D992">
            <v>0</v>
          </cell>
          <cell r="E992">
            <v>3.068226570899121E-4</v>
          </cell>
          <cell r="F992">
            <v>3.0682265708991205E-4</v>
          </cell>
          <cell r="G992">
            <v>4.844568269840718E-5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  <cell r="Q992">
            <v>0</v>
          </cell>
          <cell r="R992">
            <v>0</v>
          </cell>
          <cell r="S992">
            <v>0</v>
          </cell>
          <cell r="T992">
            <v>2.3213556292986772E-5</v>
          </cell>
          <cell r="U992">
            <v>2.5232126405420404E-5</v>
          </cell>
          <cell r="V992">
            <v>2.5232126405420404E-5</v>
          </cell>
          <cell r="W992">
            <v>2.6241411461637221E-5</v>
          </cell>
          <cell r="X992">
            <v>2.4222841349203586E-5</v>
          </cell>
          <cell r="Y992">
            <v>2.5232126405420404E-5</v>
          </cell>
          <cell r="Z992">
            <v>2.5232126405420404E-5</v>
          </cell>
          <cell r="AA992">
            <v>2.7250696517854039E-5</v>
          </cell>
          <cell r="AB992">
            <v>2.5232126405420404E-5</v>
          </cell>
          <cell r="AC992">
            <v>2.6241411461637221E-5</v>
          </cell>
          <cell r="AD992">
            <v>2.6241411461637221E-5</v>
          </cell>
          <cell r="AE992">
            <v>2.5232126405420404E-5</v>
          </cell>
          <cell r="AF992">
            <v>2.0185701124336322E-6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>
            <v>0</v>
          </cell>
          <cell r="AM992">
            <v>0</v>
          </cell>
          <cell r="AN992">
            <v>0</v>
          </cell>
          <cell r="AO992">
            <v>0</v>
          </cell>
          <cell r="AP992">
            <v>0</v>
          </cell>
          <cell r="AQ992">
            <v>0</v>
          </cell>
          <cell r="AR992">
            <v>0</v>
          </cell>
        </row>
        <row r="993">
          <cell r="B993" t="str">
            <v>GY2-2440</v>
          </cell>
          <cell r="C993" t="str">
            <v>Forecasting /Analyzing / Assessing Impact on Supply Chain</v>
          </cell>
          <cell r="D993">
            <v>0</v>
          </cell>
          <cell r="E993">
            <v>2.9201932491895244E-4</v>
          </cell>
          <cell r="F993">
            <v>2.920193249189525E-4</v>
          </cell>
          <cell r="G993">
            <v>4.6108314460887227E-5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  <cell r="Q993">
            <v>0</v>
          </cell>
          <cell r="R993">
            <v>0</v>
          </cell>
          <cell r="S993">
            <v>0</v>
          </cell>
          <cell r="T993">
            <v>2.2093567345841798E-5</v>
          </cell>
          <cell r="U993">
            <v>2.4014747115045429E-5</v>
          </cell>
          <cell r="V993">
            <v>2.4014747115045429E-5</v>
          </cell>
          <cell r="W993">
            <v>2.4975336999647251E-5</v>
          </cell>
          <cell r="X993">
            <v>2.3054157230443614E-5</v>
          </cell>
          <cell r="Y993">
            <v>2.4014747115045429E-5</v>
          </cell>
          <cell r="Z993">
            <v>2.4014747115045429E-5</v>
          </cell>
          <cell r="AA993">
            <v>2.5935926884249066E-5</v>
          </cell>
          <cell r="AB993">
            <v>2.4014747115045429E-5</v>
          </cell>
          <cell r="AC993">
            <v>2.4975336999647251E-5</v>
          </cell>
          <cell r="AD993">
            <v>2.4975336999647251E-5</v>
          </cell>
          <cell r="AE993">
            <v>2.4014747115045429E-5</v>
          </cell>
          <cell r="AF993">
            <v>1.9211797692036345E-6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>
            <v>0</v>
          </cell>
          <cell r="AM993">
            <v>0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  <cell r="AR993">
            <v>0</v>
          </cell>
        </row>
        <row r="994">
          <cell r="B994" t="str">
            <v>GY2-2450</v>
          </cell>
          <cell r="C994" t="str">
            <v>Recommending Mitigation tools to ease to avoid delays, interruptions on local supply chain</v>
          </cell>
          <cell r="D994">
            <v>0</v>
          </cell>
          <cell r="E994">
            <v>4.9921417516093393E-4</v>
          </cell>
          <cell r="F994">
            <v>4.9921417516093382E-4</v>
          </cell>
          <cell r="G994">
            <v>7.88232908148843E-5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3.7769493515465396E-5</v>
          </cell>
          <cell r="U994">
            <v>4.1053797299418911E-5</v>
          </cell>
          <cell r="V994">
            <v>4.1053797299418911E-5</v>
          </cell>
          <cell r="W994">
            <v>4.2695949191395666E-5</v>
          </cell>
          <cell r="X994">
            <v>3.941164540744215E-5</v>
          </cell>
          <cell r="Y994">
            <v>4.1053797299418911E-5</v>
          </cell>
          <cell r="Z994">
            <v>4.1053797299418911E-5</v>
          </cell>
          <cell r="AA994">
            <v>4.4338101083372421E-5</v>
          </cell>
          <cell r="AB994">
            <v>4.1053797299418911E-5</v>
          </cell>
          <cell r="AC994">
            <v>4.2695949191395666E-5</v>
          </cell>
          <cell r="AD994">
            <v>4.2695949191395666E-5</v>
          </cell>
          <cell r="AE994">
            <v>4.1053797299418911E-5</v>
          </cell>
          <cell r="AF994">
            <v>3.2843037839535125E-6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>
            <v>0</v>
          </cell>
          <cell r="AM994">
            <v>0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  <cell r="AR994">
            <v>0</v>
          </cell>
        </row>
        <row r="995">
          <cell r="B995" t="str">
            <v>GY2-2460</v>
          </cell>
          <cell r="C995" t="str">
            <v>Developing Strategic Sourcing Solutions &amp; Value Buying</v>
          </cell>
          <cell r="D995">
            <v>0</v>
          </cell>
          <cell r="E995">
            <v>4.7378260302617409E-4</v>
          </cell>
          <cell r="F995">
            <v>4.737826030261742E-4</v>
          </cell>
          <cell r="G995">
            <v>7.4807779425185394E-5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3.5845394307901333E-5</v>
          </cell>
          <cell r="U995">
            <v>3.8962385117284055E-5</v>
          </cell>
          <cell r="V995">
            <v>3.8962385117284055E-5</v>
          </cell>
          <cell r="W995">
            <v>4.052088052197542E-5</v>
          </cell>
          <cell r="X995">
            <v>3.7403889712592697E-5</v>
          </cell>
          <cell r="Y995">
            <v>3.8962385117284055E-5</v>
          </cell>
          <cell r="Z995">
            <v>3.8962385117284055E-5</v>
          </cell>
          <cell r="AA995">
            <v>4.2079375926666778E-5</v>
          </cell>
          <cell r="AB995">
            <v>3.8962385117284055E-5</v>
          </cell>
          <cell r="AC995">
            <v>4.052088052197542E-5</v>
          </cell>
          <cell r="AD995">
            <v>4.052088052197542E-5</v>
          </cell>
          <cell r="AE995">
            <v>3.8962385117284055E-5</v>
          </cell>
          <cell r="AF995">
            <v>3.1169908093827242E-6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>
            <v>0</v>
          </cell>
          <cell r="AM995">
            <v>0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  <cell r="AR995">
            <v>0</v>
          </cell>
        </row>
        <row r="996">
          <cell r="B996" t="str">
            <v>TENDERINGADMINISTRATION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>
            <v>0</v>
          </cell>
          <cell r="AM996">
            <v>0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  <cell r="AR996">
            <v>0</v>
          </cell>
        </row>
        <row r="997">
          <cell r="B997" t="str">
            <v>SITELOGISTICS</v>
          </cell>
        </row>
        <row r="998">
          <cell r="B998" t="str">
            <v>CONSTRUCTIONPROGRAMMANAGEMENT</v>
          </cell>
        </row>
        <row r="999">
          <cell r="B999" t="str">
            <v>EXHIBITIONHALL1</v>
          </cell>
          <cell r="D999">
            <v>0</v>
          </cell>
          <cell r="E999">
            <v>1.6636171174269692E-3</v>
          </cell>
          <cell r="F999">
            <v>1.6636171174269692E-3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8.5313698329588167E-5</v>
          </cell>
          <cell r="W999">
            <v>1.8484634638077434E-4</v>
          </cell>
          <cell r="X999">
            <v>1.7062739665917633E-4</v>
          </cell>
          <cell r="Y999">
            <v>1.7773687151997534E-4</v>
          </cell>
          <cell r="Z999">
            <v>1.7773687151997534E-4</v>
          </cell>
          <cell r="AA999">
            <v>1.9195582124157339E-4</v>
          </cell>
          <cell r="AB999">
            <v>1.7773687151997534E-4</v>
          </cell>
          <cell r="AC999">
            <v>1.8484634638077434E-4</v>
          </cell>
          <cell r="AD999">
            <v>1.8484634638077434E-4</v>
          </cell>
          <cell r="AE999">
            <v>1.2797054749438225E-4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>
            <v>0</v>
          </cell>
          <cell r="AM999">
            <v>0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  <cell r="AR999">
            <v>0</v>
          </cell>
        </row>
        <row r="1000">
          <cell r="B1000" t="str">
            <v>PLANNING&amp;CONTROLS</v>
          </cell>
          <cell r="D1000">
            <v>0</v>
          </cell>
          <cell r="E1000">
            <v>9.3025704877998828E-4</v>
          </cell>
          <cell r="F1000">
            <v>9.3025704877998838E-4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4.7705489681025036E-5</v>
          </cell>
          <cell r="W1000">
            <v>1.0336189430888758E-4</v>
          </cell>
          <cell r="X1000">
            <v>9.5410979362050072E-5</v>
          </cell>
          <cell r="Y1000">
            <v>9.938643683546884E-5</v>
          </cell>
          <cell r="Z1000">
            <v>9.938643683546884E-5</v>
          </cell>
          <cell r="AA1000">
            <v>1.0733735178230636E-4</v>
          </cell>
          <cell r="AB1000">
            <v>9.938643683546884E-5</v>
          </cell>
          <cell r="AC1000">
            <v>1.0336189430888758E-4</v>
          </cell>
          <cell r="AD1000">
            <v>1.0336189430888758E-4</v>
          </cell>
          <cell r="AE1000">
            <v>7.1558234521537574E-5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>
            <v>0</v>
          </cell>
          <cell r="AM1000">
            <v>0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  <cell r="AR1000">
            <v>0</v>
          </cell>
        </row>
        <row r="1001">
          <cell r="B1001" t="str">
            <v>GY2-3170</v>
          </cell>
          <cell r="C1001" t="str">
            <v>Overall Supervision &amp; Monitoring of Construction Work Package</v>
          </cell>
          <cell r="D1001">
            <v>0</v>
          </cell>
          <cell r="E1001">
            <v>6.970113268147574E-5</v>
          </cell>
          <cell r="F1001">
            <v>6.970113268147574E-5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3.5744170605884991E-6</v>
          </cell>
          <cell r="W1001">
            <v>7.7445702979417487E-6</v>
          </cell>
          <cell r="X1001">
            <v>7.1488341211769982E-6</v>
          </cell>
          <cell r="Y1001">
            <v>7.4467022095593739E-6</v>
          </cell>
          <cell r="Z1001">
            <v>7.4467022095593739E-6</v>
          </cell>
          <cell r="AA1001">
            <v>8.0424383863241243E-6</v>
          </cell>
          <cell r="AB1001">
            <v>7.4467022095593739E-6</v>
          </cell>
          <cell r="AC1001">
            <v>7.7445702979417487E-6</v>
          </cell>
          <cell r="AD1001">
            <v>7.7445702979417487E-6</v>
          </cell>
          <cell r="AE1001">
            <v>5.3616255908827493E-6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>
            <v>0</v>
          </cell>
          <cell r="AM1001">
            <v>0</v>
          </cell>
          <cell r="AN1001">
            <v>0</v>
          </cell>
          <cell r="AO1001">
            <v>0</v>
          </cell>
          <cell r="AP1001">
            <v>0</v>
          </cell>
          <cell r="AQ1001">
            <v>0</v>
          </cell>
          <cell r="AR1001">
            <v>0</v>
          </cell>
        </row>
        <row r="1002">
          <cell r="B1002" t="str">
            <v>GY2-3180</v>
          </cell>
          <cell r="C1002" t="str">
            <v>Management of Site Infrastructure</v>
          </cell>
          <cell r="D1002">
            <v>0</v>
          </cell>
          <cell r="E1002">
            <v>1.095711336980666E-4</v>
          </cell>
          <cell r="F1002">
            <v>1.095711336980666E-4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5.6190324973367485E-6</v>
          </cell>
          <cell r="W1002">
            <v>1.2174570410896289E-5</v>
          </cell>
          <cell r="X1002">
            <v>1.1238064994673497E-5</v>
          </cell>
          <cell r="Y1002">
            <v>1.1706317702784893E-5</v>
          </cell>
          <cell r="Z1002">
            <v>1.1706317702784893E-5</v>
          </cell>
          <cell r="AA1002">
            <v>1.2642823119007685E-5</v>
          </cell>
          <cell r="AB1002">
            <v>1.1706317702784893E-5</v>
          </cell>
          <cell r="AC1002">
            <v>1.2174570410896289E-5</v>
          </cell>
          <cell r="AD1002">
            <v>1.2174570410896289E-5</v>
          </cell>
          <cell r="AE1002">
            <v>8.428548746005124E-6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>
            <v>0</v>
          </cell>
          <cell r="AM1002">
            <v>0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  <cell r="AR1002">
            <v>0</v>
          </cell>
        </row>
        <row r="1003">
          <cell r="B1003" t="str">
            <v>GY2-3190</v>
          </cell>
          <cell r="C1003" t="str">
            <v>Work Scope Coordination</v>
          </cell>
          <cell r="D1003">
            <v>0</v>
          </cell>
          <cell r="E1003">
            <v>6.970113268147574E-5</v>
          </cell>
          <cell r="F1003">
            <v>6.970113268147574E-5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3.5744170605884991E-6</v>
          </cell>
          <cell r="W1003">
            <v>7.7445702979417487E-6</v>
          </cell>
          <cell r="X1003">
            <v>7.1488341211769982E-6</v>
          </cell>
          <cell r="Y1003">
            <v>7.4467022095593739E-6</v>
          </cell>
          <cell r="Z1003">
            <v>7.4467022095593739E-6</v>
          </cell>
          <cell r="AA1003">
            <v>8.0424383863241243E-6</v>
          </cell>
          <cell r="AB1003">
            <v>7.4467022095593739E-6</v>
          </cell>
          <cell r="AC1003">
            <v>7.7445702979417487E-6</v>
          </cell>
          <cell r="AD1003">
            <v>7.7445702979417487E-6</v>
          </cell>
          <cell r="AE1003">
            <v>5.3616255908827493E-6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>
            <v>0</v>
          </cell>
          <cell r="AM1003">
            <v>0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  <cell r="AR1003">
            <v>0</v>
          </cell>
        </row>
        <row r="1004">
          <cell r="B1004" t="str">
            <v>GY2-3200</v>
          </cell>
          <cell r="C1004" t="str">
            <v>Workforce Management</v>
          </cell>
          <cell r="D1004">
            <v>0</v>
          </cell>
          <cell r="E1004">
            <v>4.4628708263460786E-5</v>
          </cell>
          <cell r="F1004">
            <v>4.4628708263460786E-5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2.2886517058185017E-6</v>
          </cell>
          <cell r="W1004">
            <v>4.9587453626067539E-6</v>
          </cell>
          <cell r="X1004">
            <v>4.5773034116370035E-6</v>
          </cell>
          <cell r="Y1004">
            <v>4.7680243871218783E-6</v>
          </cell>
          <cell r="Z1004">
            <v>4.7680243871218783E-6</v>
          </cell>
          <cell r="AA1004">
            <v>5.1494663380916287E-6</v>
          </cell>
          <cell r="AB1004">
            <v>4.7680243871218783E-6</v>
          </cell>
          <cell r="AC1004">
            <v>4.9587453626067539E-6</v>
          </cell>
          <cell r="AD1004">
            <v>4.9587453626067539E-6</v>
          </cell>
          <cell r="AE1004">
            <v>3.432977558727753E-6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>
            <v>0</v>
          </cell>
          <cell r="AM1004">
            <v>0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  <cell r="AR1004">
            <v>0</v>
          </cell>
        </row>
        <row r="1005">
          <cell r="B1005" t="str">
            <v>GY2-3210</v>
          </cell>
          <cell r="C1005" t="str">
            <v>Document Management Practices</v>
          </cell>
          <cell r="D1005">
            <v>0</v>
          </cell>
          <cell r="E1005">
            <v>7.2187539951248106E-5</v>
          </cell>
          <cell r="F1005">
            <v>7.218753995124812E-5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3.7019251257050309E-6</v>
          </cell>
          <cell r="W1005">
            <v>8.0208377723609001E-6</v>
          </cell>
          <cell r="X1005">
            <v>7.4038502514100618E-6</v>
          </cell>
          <cell r="Y1005">
            <v>7.712344011885481E-6</v>
          </cell>
          <cell r="Z1005">
            <v>7.712344011885481E-6</v>
          </cell>
          <cell r="AA1005">
            <v>8.3293315328363193E-6</v>
          </cell>
          <cell r="AB1005">
            <v>7.712344011885481E-6</v>
          </cell>
          <cell r="AC1005">
            <v>8.0208377723609001E-6</v>
          </cell>
          <cell r="AD1005">
            <v>8.0208377723609001E-6</v>
          </cell>
          <cell r="AE1005">
            <v>5.5528876885575468E-6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>
            <v>0</v>
          </cell>
          <cell r="AM1005">
            <v>0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  <cell r="AR1005">
            <v>0</v>
          </cell>
        </row>
        <row r="1006">
          <cell r="B1006" t="str">
            <v>GY2-3220</v>
          </cell>
          <cell r="C1006" t="str">
            <v>Schedule &amp; Progress Management</v>
          </cell>
          <cell r="D1006">
            <v>0</v>
          </cell>
          <cell r="E1006">
            <v>3.9158612269961544E-5</v>
          </cell>
          <cell r="F1006">
            <v>3.9158612269961544E-5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2.0081339625621305E-6</v>
          </cell>
          <cell r="W1006">
            <v>4.3509569188846159E-6</v>
          </cell>
          <cell r="X1006">
            <v>4.016267925124261E-6</v>
          </cell>
          <cell r="Y1006">
            <v>4.183612422004438E-6</v>
          </cell>
          <cell r="Z1006">
            <v>4.183612422004438E-6</v>
          </cell>
          <cell r="AA1006">
            <v>4.5183014157647938E-6</v>
          </cell>
          <cell r="AB1006">
            <v>4.183612422004438E-6</v>
          </cell>
          <cell r="AC1006">
            <v>4.3509569188846159E-6</v>
          </cell>
          <cell r="AD1006">
            <v>4.3509569188846159E-6</v>
          </cell>
          <cell r="AE1006">
            <v>3.0122009438431957E-6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>
            <v>0</v>
          </cell>
          <cell r="AM1006">
            <v>0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  <cell r="AR1006">
            <v>0</v>
          </cell>
        </row>
        <row r="1007">
          <cell r="B1007" t="str">
            <v>GY2-3230</v>
          </cell>
          <cell r="C1007" t="str">
            <v>Material Management Process</v>
          </cell>
          <cell r="D1007">
            <v>0</v>
          </cell>
          <cell r="E1007">
            <v>1.095711336980666E-4</v>
          </cell>
          <cell r="F1007">
            <v>1.095711336980666E-4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5.6190324973367485E-6</v>
          </cell>
          <cell r="W1007">
            <v>1.2174570410896289E-5</v>
          </cell>
          <cell r="X1007">
            <v>1.1238064994673497E-5</v>
          </cell>
          <cell r="Y1007">
            <v>1.1706317702784893E-5</v>
          </cell>
          <cell r="Z1007">
            <v>1.1706317702784893E-5</v>
          </cell>
          <cell r="AA1007">
            <v>1.2642823119007685E-5</v>
          </cell>
          <cell r="AB1007">
            <v>1.1706317702784893E-5</v>
          </cell>
          <cell r="AC1007">
            <v>1.2174570410896289E-5</v>
          </cell>
          <cell r="AD1007">
            <v>1.2174570410896289E-5</v>
          </cell>
          <cell r="AE1007">
            <v>8.428548746005124E-6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>
            <v>0</v>
          </cell>
          <cell r="AM1007">
            <v>0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  <cell r="AR1007">
            <v>0</v>
          </cell>
        </row>
        <row r="1008">
          <cell r="B1008" t="str">
            <v>GY2-3240</v>
          </cell>
          <cell r="C1008" t="str">
            <v>Financial Management</v>
          </cell>
          <cell r="D1008">
            <v>0</v>
          </cell>
          <cell r="E1008">
            <v>9.4894424119549054E-5</v>
          </cell>
          <cell r="F1008">
            <v>9.4894424119549068E-5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4.8663807240794386E-6</v>
          </cell>
          <cell r="W1008">
            <v>1.0543824902172117E-5</v>
          </cell>
          <cell r="X1008">
            <v>9.7327614481588773E-6</v>
          </cell>
          <cell r="Y1008">
            <v>1.0138293175165497E-5</v>
          </cell>
          <cell r="Z1008">
            <v>1.0138293175165497E-5</v>
          </cell>
          <cell r="AA1008">
            <v>1.0949356629178736E-5</v>
          </cell>
          <cell r="AB1008">
            <v>1.0138293175165497E-5</v>
          </cell>
          <cell r="AC1008">
            <v>1.0543824902172117E-5</v>
          </cell>
          <cell r="AD1008">
            <v>1.0543824902172117E-5</v>
          </cell>
          <cell r="AE1008">
            <v>7.2995710861191579E-6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>
            <v>0</v>
          </cell>
          <cell r="AM1008">
            <v>0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  <cell r="AR1008">
            <v>0</v>
          </cell>
        </row>
        <row r="1009">
          <cell r="B1009" t="str">
            <v>GY2-3250</v>
          </cell>
          <cell r="C1009" t="str">
            <v>Final Sign off on all Construction Related Design (GFCs) etc..</v>
          </cell>
          <cell r="D1009">
            <v>0</v>
          </cell>
          <cell r="E1009">
            <v>2.6646458353518074E-4</v>
          </cell>
          <cell r="F1009">
            <v>2.6646458353518068E-4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1.3664850437701575E-5</v>
          </cell>
          <cell r="W1009">
            <v>2.9607175948353414E-5</v>
          </cell>
          <cell r="X1009">
            <v>2.7329700875403151E-5</v>
          </cell>
          <cell r="Y1009">
            <v>2.8468438411878286E-5</v>
          </cell>
          <cell r="Z1009">
            <v>2.8468438411878286E-5</v>
          </cell>
          <cell r="AA1009">
            <v>3.0745913484828549E-5</v>
          </cell>
          <cell r="AB1009">
            <v>2.8468438411878286E-5</v>
          </cell>
          <cell r="AC1009">
            <v>2.9607175948353414E-5</v>
          </cell>
          <cell r="AD1009">
            <v>2.9607175948353414E-5</v>
          </cell>
          <cell r="AE1009">
            <v>2.0497275656552364E-5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>
            <v>0</v>
          </cell>
          <cell r="AM1009">
            <v>0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  <cell r="AR1009">
            <v>0</v>
          </cell>
        </row>
        <row r="1010">
          <cell r="B1010" t="str">
            <v>GY2-3280</v>
          </cell>
          <cell r="C1010" t="str">
            <v>Determine EOT, Compensation &amp; Relief from Penalties</v>
          </cell>
          <cell r="D1010">
            <v>0</v>
          </cell>
          <cell r="E1010">
            <v>5.4378647881503424E-5</v>
          </cell>
          <cell r="F1010">
            <v>5.4378647881503424E-5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2.7886486093078676E-6</v>
          </cell>
          <cell r="W1010">
            <v>6.0420719868337133E-6</v>
          </cell>
          <cell r="X1010">
            <v>5.5772972186157352E-6</v>
          </cell>
          <cell r="Y1010">
            <v>5.8096846027247251E-6</v>
          </cell>
          <cell r="Z1010">
            <v>5.8096846027247251E-6</v>
          </cell>
          <cell r="AA1010">
            <v>6.2744593709427032E-6</v>
          </cell>
          <cell r="AB1010">
            <v>5.8096846027247251E-6</v>
          </cell>
          <cell r="AC1010">
            <v>6.0420719868337133E-6</v>
          </cell>
          <cell r="AD1010">
            <v>6.0420719868337133E-6</v>
          </cell>
          <cell r="AE1010">
            <v>4.1829729139618016E-6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>
            <v>0</v>
          </cell>
          <cell r="AM1010">
            <v>0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  <cell r="AR1010">
            <v>0</v>
          </cell>
        </row>
        <row r="1011">
          <cell r="B1011" t="str">
            <v>CONSTRUCTIONDESIGN&amp;DETAILS</v>
          </cell>
          <cell r="D1011">
            <v>0</v>
          </cell>
          <cell r="E1011">
            <v>2.6646458353518074E-4</v>
          </cell>
          <cell r="F1011">
            <v>2.6646458353518068E-4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1.3664850437701575E-5</v>
          </cell>
          <cell r="W1011">
            <v>2.9607175948353414E-5</v>
          </cell>
          <cell r="X1011">
            <v>2.7329700875403151E-5</v>
          </cell>
          <cell r="Y1011">
            <v>2.8468438411878286E-5</v>
          </cell>
          <cell r="Z1011">
            <v>2.8468438411878286E-5</v>
          </cell>
          <cell r="AA1011">
            <v>3.0745913484828549E-5</v>
          </cell>
          <cell r="AB1011">
            <v>2.8468438411878286E-5</v>
          </cell>
          <cell r="AC1011">
            <v>2.9607175948353414E-5</v>
          </cell>
          <cell r="AD1011">
            <v>2.9607175948353414E-5</v>
          </cell>
          <cell r="AE1011">
            <v>2.0497275656552364E-5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>
            <v>0</v>
          </cell>
          <cell r="AM1011">
            <v>0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  <cell r="AR1011">
            <v>0</v>
          </cell>
        </row>
        <row r="1012">
          <cell r="B1012" t="str">
            <v>GY2-3260</v>
          </cell>
          <cell r="C1012" t="str">
            <v>Reviewing Design Documents &amp; Preparing Details</v>
          </cell>
          <cell r="D1012">
            <v>0</v>
          </cell>
          <cell r="E1012">
            <v>2.6646458353518074E-4</v>
          </cell>
          <cell r="F1012">
            <v>2.6646458353518068E-4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1.3664850437701575E-5</v>
          </cell>
          <cell r="W1012">
            <v>2.9607175948353414E-5</v>
          </cell>
          <cell r="X1012">
            <v>2.7329700875403151E-5</v>
          </cell>
          <cell r="Y1012">
            <v>2.8468438411878286E-5</v>
          </cell>
          <cell r="Z1012">
            <v>2.8468438411878286E-5</v>
          </cell>
          <cell r="AA1012">
            <v>3.0745913484828549E-5</v>
          </cell>
          <cell r="AB1012">
            <v>2.8468438411878286E-5</v>
          </cell>
          <cell r="AC1012">
            <v>2.9607175948353414E-5</v>
          </cell>
          <cell r="AD1012">
            <v>2.9607175948353414E-5</v>
          </cell>
          <cell r="AE1012">
            <v>2.0497275656552364E-5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>
            <v>0</v>
          </cell>
          <cell r="AM1012">
            <v>0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  <cell r="AR1012">
            <v>0</v>
          </cell>
        </row>
        <row r="1013">
          <cell r="B1013" t="str">
            <v>CONSTRUCTIONPROCUREMENT&amp;CONTRACTSMANAGEMENT</v>
          </cell>
          <cell r="D1013">
            <v>0</v>
          </cell>
          <cell r="E1013">
            <v>1.0999359271103256E-4</v>
          </cell>
          <cell r="F1013">
            <v>1.0999359271103256E-4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5.6406970621042331E-6</v>
          </cell>
          <cell r="W1013">
            <v>1.2221510301225838E-5</v>
          </cell>
          <cell r="X1013">
            <v>1.1281394124208466E-5</v>
          </cell>
          <cell r="Y1013">
            <v>1.1751452212717152E-5</v>
          </cell>
          <cell r="Z1013">
            <v>1.1751452212717152E-5</v>
          </cell>
          <cell r="AA1013">
            <v>1.2691568389734524E-5</v>
          </cell>
          <cell r="AB1013">
            <v>1.1751452212717152E-5</v>
          </cell>
          <cell r="AC1013">
            <v>1.2221510301225838E-5</v>
          </cell>
          <cell r="AD1013">
            <v>1.2221510301225838E-5</v>
          </cell>
          <cell r="AE1013">
            <v>8.4610455931563501E-6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>
            <v>0</v>
          </cell>
          <cell r="AM1013">
            <v>0</v>
          </cell>
          <cell r="AN1013">
            <v>0</v>
          </cell>
          <cell r="AO1013">
            <v>0</v>
          </cell>
          <cell r="AP1013">
            <v>0</v>
          </cell>
          <cell r="AQ1013">
            <v>0</v>
          </cell>
          <cell r="AR1013">
            <v>0</v>
          </cell>
        </row>
        <row r="1014">
          <cell r="B1014" t="str">
            <v>GY2-3270</v>
          </cell>
          <cell r="C1014" t="str">
            <v>Monitoring site availability, Land Acquisitions and Permits</v>
          </cell>
          <cell r="D1014">
            <v>0</v>
          </cell>
          <cell r="E1014">
            <v>2.5072424418014947E-5</v>
          </cell>
          <cell r="F1014">
            <v>2.5072424418014947E-5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1.2857653547699971E-6</v>
          </cell>
          <cell r="W1014">
            <v>2.7858249353349939E-6</v>
          </cell>
          <cell r="X1014">
            <v>2.5715307095399943E-6</v>
          </cell>
          <cell r="Y1014">
            <v>2.6786778224374943E-6</v>
          </cell>
          <cell r="Z1014">
            <v>2.6786778224374943E-6</v>
          </cell>
          <cell r="AA1014">
            <v>2.8929720482324939E-6</v>
          </cell>
          <cell r="AB1014">
            <v>2.6786778224374943E-6</v>
          </cell>
          <cell r="AC1014">
            <v>2.7858249353349939E-6</v>
          </cell>
          <cell r="AD1014">
            <v>2.7858249353349939E-6</v>
          </cell>
          <cell r="AE1014">
            <v>1.9286480321549958E-6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>
            <v>0</v>
          </cell>
          <cell r="AM1014">
            <v>0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  <cell r="AR1014">
            <v>0</v>
          </cell>
        </row>
        <row r="1015">
          <cell r="B1015" t="str">
            <v>GY2-3290</v>
          </cell>
          <cell r="C1015" t="str">
            <v>Supervision, Administration &amp; Management of Construction Contracts</v>
          </cell>
          <cell r="D1015">
            <v>0</v>
          </cell>
          <cell r="E1015">
            <v>8.4921168293017606E-5</v>
          </cell>
          <cell r="F1015">
            <v>8.4921168293017606E-5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4.3549317073342362E-6</v>
          </cell>
          <cell r="W1015">
            <v>9.4356853658908443E-6</v>
          </cell>
          <cell r="X1015">
            <v>8.7098634146684724E-6</v>
          </cell>
          <cell r="Y1015">
            <v>9.0727743902796575E-6</v>
          </cell>
          <cell r="Z1015">
            <v>9.0727743902796575E-6</v>
          </cell>
          <cell r="AA1015">
            <v>9.7985963415020312E-6</v>
          </cell>
          <cell r="AB1015">
            <v>9.0727743902796575E-6</v>
          </cell>
          <cell r="AC1015">
            <v>9.4356853658908443E-6</v>
          </cell>
          <cell r="AD1015">
            <v>9.4356853658908443E-6</v>
          </cell>
          <cell r="AE1015">
            <v>6.5323975610013547E-6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>
            <v>0</v>
          </cell>
          <cell r="AM1015">
            <v>0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  <cell r="AR1015">
            <v>0</v>
          </cell>
        </row>
        <row r="1016">
          <cell r="B1016" t="str">
            <v>CONSTRUCTIONQA/QCMANAGEMENT</v>
          </cell>
          <cell r="D1016">
            <v>0</v>
          </cell>
          <cell r="E1016">
            <v>3.416818567892256E-4</v>
          </cell>
          <cell r="F1016">
            <v>3.416818567892256E-4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1.7522146502011568E-5</v>
          </cell>
          <cell r="W1016">
            <v>3.7964650754358404E-5</v>
          </cell>
          <cell r="X1016">
            <v>3.5044293004023136E-5</v>
          </cell>
          <cell r="Y1016">
            <v>3.6504471879190766E-5</v>
          </cell>
          <cell r="Z1016">
            <v>3.6504471879190766E-5</v>
          </cell>
          <cell r="AA1016">
            <v>3.9424829629526028E-5</v>
          </cell>
          <cell r="AB1016">
            <v>3.6504471879190766E-5</v>
          </cell>
          <cell r="AC1016">
            <v>3.7964650754358404E-5</v>
          </cell>
          <cell r="AD1016">
            <v>3.7964650754358404E-5</v>
          </cell>
          <cell r="AE1016">
            <v>2.628321975301735E-5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>
            <v>0</v>
          </cell>
          <cell r="AM1016">
            <v>0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  <cell r="AR1016">
            <v>0</v>
          </cell>
        </row>
        <row r="1017">
          <cell r="B1017" t="str">
            <v>GY2-3100</v>
          </cell>
          <cell r="C1017" t="str">
            <v>Ensuring Quality Control of Works, including Test Reports for Material &amp; Construction</v>
          </cell>
          <cell r="D1017">
            <v>0</v>
          </cell>
          <cell r="E1017">
            <v>2.5072424418014947E-5</v>
          </cell>
          <cell r="F1017">
            <v>2.5072424418014947E-5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1.2857653547699971E-6</v>
          </cell>
          <cell r="W1017">
            <v>2.7858249353349939E-6</v>
          </cell>
          <cell r="X1017">
            <v>2.5715307095399943E-6</v>
          </cell>
          <cell r="Y1017">
            <v>2.6786778224374943E-6</v>
          </cell>
          <cell r="Z1017">
            <v>2.6786778224374943E-6</v>
          </cell>
          <cell r="AA1017">
            <v>2.8929720482324939E-6</v>
          </cell>
          <cell r="AB1017">
            <v>2.6786778224374943E-6</v>
          </cell>
          <cell r="AC1017">
            <v>2.7858249353349939E-6</v>
          </cell>
          <cell r="AD1017">
            <v>2.7858249353349939E-6</v>
          </cell>
          <cell r="AE1017">
            <v>1.9286480321549958E-6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>
            <v>0</v>
          </cell>
          <cell r="AM1017">
            <v>0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  <cell r="AR1017">
            <v>0</v>
          </cell>
        </row>
        <row r="1018">
          <cell r="B1018" t="str">
            <v>GY2-3130</v>
          </cell>
          <cell r="C1018" t="str">
            <v>Reviewing &amp; Recommending Quality Assurance Programme (Test Checks, RFIs)</v>
          </cell>
          <cell r="D1018">
            <v>0</v>
          </cell>
          <cell r="E1018">
            <v>2.5072424418014947E-5</v>
          </cell>
          <cell r="F1018">
            <v>2.5072424418014947E-5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1.2857653547699971E-6</v>
          </cell>
          <cell r="W1018">
            <v>2.7858249353349939E-6</v>
          </cell>
          <cell r="X1018">
            <v>2.5715307095399943E-6</v>
          </cell>
          <cell r="Y1018">
            <v>2.6786778224374943E-6</v>
          </cell>
          <cell r="Z1018">
            <v>2.6786778224374943E-6</v>
          </cell>
          <cell r="AA1018">
            <v>2.8929720482324939E-6</v>
          </cell>
          <cell r="AB1018">
            <v>2.6786778224374943E-6</v>
          </cell>
          <cell r="AC1018">
            <v>2.7858249353349939E-6</v>
          </cell>
          <cell r="AD1018">
            <v>2.7858249353349939E-6</v>
          </cell>
          <cell r="AE1018">
            <v>1.9286480321549958E-6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>
            <v>0</v>
          </cell>
          <cell r="AM1018">
            <v>0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  <cell r="AR1018">
            <v>0</v>
          </cell>
        </row>
        <row r="1019">
          <cell r="B1019" t="str">
            <v>GY2-3310</v>
          </cell>
          <cell r="C1019" t="str">
            <v>Reviewing As Built Drawings &amp; Completion Records</v>
          </cell>
          <cell r="D1019">
            <v>0</v>
          </cell>
          <cell r="E1019">
            <v>2.9153700795319569E-4</v>
          </cell>
          <cell r="F1019">
            <v>2.9153700795319569E-4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1.4950615792471572E-5</v>
          </cell>
          <cell r="W1019">
            <v>3.2393000883688413E-5</v>
          </cell>
          <cell r="X1019">
            <v>2.9901231584943144E-5</v>
          </cell>
          <cell r="Y1019">
            <v>3.1147116234315777E-5</v>
          </cell>
          <cell r="Z1019">
            <v>3.1147116234315777E-5</v>
          </cell>
          <cell r="AA1019">
            <v>3.3638885533061042E-5</v>
          </cell>
          <cell r="AB1019">
            <v>3.1147116234315777E-5</v>
          </cell>
          <cell r="AC1019">
            <v>3.2393000883688413E-5</v>
          </cell>
          <cell r="AD1019">
            <v>3.2393000883688413E-5</v>
          </cell>
          <cell r="AE1019">
            <v>2.2425923688707359E-5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>
            <v>0</v>
          </cell>
          <cell r="AM1019">
            <v>0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  <cell r="AR1019">
            <v>0</v>
          </cell>
        </row>
        <row r="1020">
          <cell r="B1020" t="str">
            <v>CONSTRUCTIONINVOICEMANAGEMENT</v>
          </cell>
          <cell r="D1020">
            <v>0</v>
          </cell>
          <cell r="E1020">
            <v>1.5220035611541876E-5</v>
          </cell>
          <cell r="F1020">
            <v>1.5220035611541878E-5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7.8051464674573719E-7</v>
          </cell>
          <cell r="W1020">
            <v>1.6911150679490974E-6</v>
          </cell>
          <cell r="X1020">
            <v>1.5610292934914744E-6</v>
          </cell>
          <cell r="Y1020">
            <v>1.626072180720286E-6</v>
          </cell>
          <cell r="Z1020">
            <v>1.626072180720286E-6</v>
          </cell>
          <cell r="AA1020">
            <v>1.7561579551779088E-6</v>
          </cell>
          <cell r="AB1020">
            <v>1.626072180720286E-6</v>
          </cell>
          <cell r="AC1020">
            <v>1.6911150679490974E-6</v>
          </cell>
          <cell r="AD1020">
            <v>1.6911150679490974E-6</v>
          </cell>
          <cell r="AE1020">
            <v>1.1707719701186058E-6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>
            <v>0</v>
          </cell>
          <cell r="AM1020">
            <v>0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  <cell r="AR1020">
            <v>0</v>
          </cell>
        </row>
        <row r="1021">
          <cell r="B1021" t="str">
            <v>GY2-3300</v>
          </cell>
          <cell r="C1021" t="str">
            <v>Certifications of the Bills for Payments</v>
          </cell>
          <cell r="D1021">
            <v>0</v>
          </cell>
          <cell r="E1021">
            <v>1.5220035611541876E-5</v>
          </cell>
          <cell r="F1021">
            <v>1.5220035611541878E-5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7.8051464674573719E-7</v>
          </cell>
          <cell r="W1021">
            <v>1.6911150679490974E-6</v>
          </cell>
          <cell r="X1021">
            <v>1.5610292934914744E-6</v>
          </cell>
          <cell r="Y1021">
            <v>1.626072180720286E-6</v>
          </cell>
          <cell r="Z1021">
            <v>1.626072180720286E-6</v>
          </cell>
          <cell r="AA1021">
            <v>1.7561579551779088E-6</v>
          </cell>
          <cell r="AB1021">
            <v>1.626072180720286E-6</v>
          </cell>
          <cell r="AC1021">
            <v>1.6911150679490974E-6</v>
          </cell>
          <cell r="AD1021">
            <v>1.6911150679490974E-6</v>
          </cell>
          <cell r="AE1021">
            <v>1.1707719701186058E-6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>
            <v>0</v>
          </cell>
          <cell r="AM1021">
            <v>0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  <cell r="AR1021">
            <v>0</v>
          </cell>
        </row>
        <row r="1022">
          <cell r="B1022" t="str">
            <v>CONVENTIONCENTRE</v>
          </cell>
          <cell r="D1022">
            <v>0</v>
          </cell>
          <cell r="E1022">
            <v>1.6319913982928366E-3</v>
          </cell>
          <cell r="F1022">
            <v>1.6319913982928366E-3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6.9077317182346593E-5</v>
          </cell>
          <cell r="W1022">
            <v>1.7241269955250364E-4</v>
          </cell>
          <cell r="X1022">
            <v>1.7026547529281466E-4</v>
          </cell>
          <cell r="Y1022">
            <v>1.7735987009668191E-4</v>
          </cell>
          <cell r="Z1022">
            <v>1.7735987009668191E-4</v>
          </cell>
          <cell r="AA1022">
            <v>1.9154865970441652E-4</v>
          </cell>
          <cell r="AB1022">
            <v>1.7735987009668191E-4</v>
          </cell>
          <cell r="AC1022">
            <v>1.8445426490054919E-4</v>
          </cell>
          <cell r="AD1022">
            <v>1.8445426490054919E-4</v>
          </cell>
          <cell r="AE1022">
            <v>1.2769910646961099E-4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>
            <v>0</v>
          </cell>
          <cell r="AM1022">
            <v>0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  <cell r="AR1022">
            <v>0</v>
          </cell>
        </row>
        <row r="1023">
          <cell r="B1023" t="str">
            <v>PLANNING&amp;CONTROLS</v>
          </cell>
          <cell r="D1023">
            <v>0</v>
          </cell>
          <cell r="E1023">
            <v>9.3025704877998828E-4</v>
          </cell>
          <cell r="F1023">
            <v>9.3025704877998838E-4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4.7705489681025036E-5</v>
          </cell>
          <cell r="W1023">
            <v>1.0336189430888758E-4</v>
          </cell>
          <cell r="X1023">
            <v>9.5410979362050072E-5</v>
          </cell>
          <cell r="Y1023">
            <v>9.938643683546884E-5</v>
          </cell>
          <cell r="Z1023">
            <v>9.938643683546884E-5</v>
          </cell>
          <cell r="AA1023">
            <v>1.0733735178230636E-4</v>
          </cell>
          <cell r="AB1023">
            <v>9.938643683546884E-5</v>
          </cell>
          <cell r="AC1023">
            <v>1.0336189430888758E-4</v>
          </cell>
          <cell r="AD1023">
            <v>1.0336189430888758E-4</v>
          </cell>
          <cell r="AE1023">
            <v>7.1558234521537574E-5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>
            <v>0</v>
          </cell>
          <cell r="AM1023">
            <v>0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  <cell r="AR1023">
            <v>0</v>
          </cell>
        </row>
        <row r="1024">
          <cell r="B1024" t="str">
            <v>GY2-3320</v>
          </cell>
          <cell r="C1024" t="str">
            <v>Overall Supervision &amp; Monitoring of Construction Work Package</v>
          </cell>
          <cell r="D1024">
            <v>0</v>
          </cell>
          <cell r="E1024">
            <v>6.970113268147574E-5</v>
          </cell>
          <cell r="F1024">
            <v>6.970113268147574E-5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3.5744170605884991E-6</v>
          </cell>
          <cell r="W1024">
            <v>7.7445702979417487E-6</v>
          </cell>
          <cell r="X1024">
            <v>7.1488341211769982E-6</v>
          </cell>
          <cell r="Y1024">
            <v>7.4467022095593739E-6</v>
          </cell>
          <cell r="Z1024">
            <v>7.4467022095593739E-6</v>
          </cell>
          <cell r="AA1024">
            <v>8.0424383863241243E-6</v>
          </cell>
          <cell r="AB1024">
            <v>7.4467022095593739E-6</v>
          </cell>
          <cell r="AC1024">
            <v>7.7445702979417487E-6</v>
          </cell>
          <cell r="AD1024">
            <v>7.7445702979417487E-6</v>
          </cell>
          <cell r="AE1024">
            <v>5.3616255908827493E-6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>
            <v>0</v>
          </cell>
          <cell r="AM1024">
            <v>0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  <cell r="AR1024">
            <v>0</v>
          </cell>
        </row>
        <row r="1025">
          <cell r="B1025" t="str">
            <v>GY2-3330</v>
          </cell>
          <cell r="C1025" t="str">
            <v>Management of Site Infrastructure</v>
          </cell>
          <cell r="D1025">
            <v>0</v>
          </cell>
          <cell r="E1025">
            <v>1.095711336980666E-4</v>
          </cell>
          <cell r="F1025">
            <v>1.095711336980666E-4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5.6190324973367485E-6</v>
          </cell>
          <cell r="W1025">
            <v>1.2174570410896289E-5</v>
          </cell>
          <cell r="X1025">
            <v>1.1238064994673497E-5</v>
          </cell>
          <cell r="Y1025">
            <v>1.1706317702784893E-5</v>
          </cell>
          <cell r="Z1025">
            <v>1.1706317702784893E-5</v>
          </cell>
          <cell r="AA1025">
            <v>1.2642823119007685E-5</v>
          </cell>
          <cell r="AB1025">
            <v>1.1706317702784893E-5</v>
          </cell>
          <cell r="AC1025">
            <v>1.2174570410896289E-5</v>
          </cell>
          <cell r="AD1025">
            <v>1.2174570410896289E-5</v>
          </cell>
          <cell r="AE1025">
            <v>8.428548746005124E-6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>
            <v>0</v>
          </cell>
          <cell r="AM1025">
            <v>0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  <cell r="AR1025">
            <v>0</v>
          </cell>
        </row>
        <row r="1026">
          <cell r="B1026" t="str">
            <v>GY2-3340</v>
          </cell>
          <cell r="C1026" t="str">
            <v>Work Scope Coordination</v>
          </cell>
          <cell r="D1026">
            <v>0</v>
          </cell>
          <cell r="E1026">
            <v>6.970113268147574E-5</v>
          </cell>
          <cell r="F1026">
            <v>6.970113268147574E-5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3.5744170605884991E-6</v>
          </cell>
          <cell r="W1026">
            <v>7.7445702979417487E-6</v>
          </cell>
          <cell r="X1026">
            <v>7.1488341211769982E-6</v>
          </cell>
          <cell r="Y1026">
            <v>7.4467022095593739E-6</v>
          </cell>
          <cell r="Z1026">
            <v>7.4467022095593739E-6</v>
          </cell>
          <cell r="AA1026">
            <v>8.0424383863241243E-6</v>
          </cell>
          <cell r="AB1026">
            <v>7.4467022095593739E-6</v>
          </cell>
          <cell r="AC1026">
            <v>7.7445702979417487E-6</v>
          </cell>
          <cell r="AD1026">
            <v>7.7445702979417487E-6</v>
          </cell>
          <cell r="AE1026">
            <v>5.3616255908827493E-6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>
            <v>0</v>
          </cell>
          <cell r="AM1026">
            <v>0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  <cell r="AR1026">
            <v>0</v>
          </cell>
        </row>
        <row r="1027">
          <cell r="B1027" t="str">
            <v>GY2-3350</v>
          </cell>
          <cell r="C1027" t="str">
            <v>Workforce Management</v>
          </cell>
          <cell r="D1027">
            <v>0</v>
          </cell>
          <cell r="E1027">
            <v>4.4628708263460786E-5</v>
          </cell>
          <cell r="F1027">
            <v>4.4628708263460786E-5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2.2886517058185017E-6</v>
          </cell>
          <cell r="W1027">
            <v>4.9587453626067539E-6</v>
          </cell>
          <cell r="X1027">
            <v>4.5773034116370035E-6</v>
          </cell>
          <cell r="Y1027">
            <v>4.7680243871218783E-6</v>
          </cell>
          <cell r="Z1027">
            <v>4.7680243871218783E-6</v>
          </cell>
          <cell r="AA1027">
            <v>5.1494663380916287E-6</v>
          </cell>
          <cell r="AB1027">
            <v>4.7680243871218783E-6</v>
          </cell>
          <cell r="AC1027">
            <v>4.9587453626067539E-6</v>
          </cell>
          <cell r="AD1027">
            <v>4.9587453626067539E-6</v>
          </cell>
          <cell r="AE1027">
            <v>3.432977558727753E-6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>
            <v>0</v>
          </cell>
          <cell r="AM1027">
            <v>0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  <cell r="AR1027">
            <v>0</v>
          </cell>
        </row>
        <row r="1028">
          <cell r="B1028" t="str">
            <v>GY2-3360</v>
          </cell>
          <cell r="C1028" t="str">
            <v>Document Management Practices</v>
          </cell>
          <cell r="D1028">
            <v>0</v>
          </cell>
          <cell r="E1028">
            <v>7.2187539951248106E-5</v>
          </cell>
          <cell r="F1028">
            <v>7.218753995124812E-5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3.7019251257050309E-6</v>
          </cell>
          <cell r="W1028">
            <v>8.0208377723609001E-6</v>
          </cell>
          <cell r="X1028">
            <v>7.4038502514100618E-6</v>
          </cell>
          <cell r="Y1028">
            <v>7.712344011885481E-6</v>
          </cell>
          <cell r="Z1028">
            <v>7.712344011885481E-6</v>
          </cell>
          <cell r="AA1028">
            <v>8.3293315328363193E-6</v>
          </cell>
          <cell r="AB1028">
            <v>7.712344011885481E-6</v>
          </cell>
          <cell r="AC1028">
            <v>8.0208377723609001E-6</v>
          </cell>
          <cell r="AD1028">
            <v>8.0208377723609001E-6</v>
          </cell>
          <cell r="AE1028">
            <v>5.5528876885575468E-6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>
            <v>0</v>
          </cell>
          <cell r="AM1028">
            <v>0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  <cell r="AR1028">
            <v>0</v>
          </cell>
        </row>
        <row r="1029">
          <cell r="B1029" t="str">
            <v>GY2-3370</v>
          </cell>
          <cell r="C1029" t="str">
            <v>Schedule &amp; Progress Management</v>
          </cell>
          <cell r="D1029">
            <v>0</v>
          </cell>
          <cell r="E1029">
            <v>3.9158612269961544E-5</v>
          </cell>
          <cell r="F1029">
            <v>3.9158612269961544E-5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2.0081339625621305E-6</v>
          </cell>
          <cell r="W1029">
            <v>4.3509569188846159E-6</v>
          </cell>
          <cell r="X1029">
            <v>4.016267925124261E-6</v>
          </cell>
          <cell r="Y1029">
            <v>4.183612422004438E-6</v>
          </cell>
          <cell r="Z1029">
            <v>4.183612422004438E-6</v>
          </cell>
          <cell r="AA1029">
            <v>4.5183014157647938E-6</v>
          </cell>
          <cell r="AB1029">
            <v>4.183612422004438E-6</v>
          </cell>
          <cell r="AC1029">
            <v>4.3509569188846159E-6</v>
          </cell>
          <cell r="AD1029">
            <v>4.3509569188846159E-6</v>
          </cell>
          <cell r="AE1029">
            <v>3.0122009438431957E-6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>
            <v>0</v>
          </cell>
          <cell r="AM1029">
            <v>0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  <cell r="AR1029">
            <v>0</v>
          </cell>
        </row>
        <row r="1030">
          <cell r="B1030" t="str">
            <v>GY2-3380</v>
          </cell>
          <cell r="C1030" t="str">
            <v>Material Management Process</v>
          </cell>
          <cell r="D1030">
            <v>0</v>
          </cell>
          <cell r="E1030">
            <v>1.095711336980666E-4</v>
          </cell>
          <cell r="F1030">
            <v>1.095711336980666E-4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5.6190324973367485E-6</v>
          </cell>
          <cell r="W1030">
            <v>1.2174570410896289E-5</v>
          </cell>
          <cell r="X1030">
            <v>1.1238064994673497E-5</v>
          </cell>
          <cell r="Y1030">
            <v>1.1706317702784893E-5</v>
          </cell>
          <cell r="Z1030">
            <v>1.1706317702784893E-5</v>
          </cell>
          <cell r="AA1030">
            <v>1.2642823119007685E-5</v>
          </cell>
          <cell r="AB1030">
            <v>1.1706317702784893E-5</v>
          </cell>
          <cell r="AC1030">
            <v>1.2174570410896289E-5</v>
          </cell>
          <cell r="AD1030">
            <v>1.2174570410896289E-5</v>
          </cell>
          <cell r="AE1030">
            <v>8.428548746005124E-6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>
            <v>0</v>
          </cell>
          <cell r="AM1030">
            <v>0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  <cell r="AR1030">
            <v>0</v>
          </cell>
        </row>
        <row r="1031">
          <cell r="B1031" t="str">
            <v>GY2-3390</v>
          </cell>
          <cell r="C1031" t="str">
            <v>Financial Management</v>
          </cell>
          <cell r="D1031">
            <v>0</v>
          </cell>
          <cell r="E1031">
            <v>9.4894424119549054E-5</v>
          </cell>
          <cell r="F1031">
            <v>9.4894424119549068E-5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4.8663807240794386E-6</v>
          </cell>
          <cell r="W1031">
            <v>1.0543824902172117E-5</v>
          </cell>
          <cell r="X1031">
            <v>9.7327614481588773E-6</v>
          </cell>
          <cell r="Y1031">
            <v>1.0138293175165497E-5</v>
          </cell>
          <cell r="Z1031">
            <v>1.0138293175165497E-5</v>
          </cell>
          <cell r="AA1031">
            <v>1.0949356629178736E-5</v>
          </cell>
          <cell r="AB1031">
            <v>1.0138293175165497E-5</v>
          </cell>
          <cell r="AC1031">
            <v>1.0543824902172117E-5</v>
          </cell>
          <cell r="AD1031">
            <v>1.0543824902172117E-5</v>
          </cell>
          <cell r="AE1031">
            <v>7.2995710861191579E-6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>
            <v>0</v>
          </cell>
          <cell r="AM1031">
            <v>0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  <cell r="AR1031">
            <v>0</v>
          </cell>
        </row>
        <row r="1032">
          <cell r="B1032" t="str">
            <v>GY2-3400</v>
          </cell>
          <cell r="C1032" t="str">
            <v>Final Sign off on all Construction Related Design (GFCs) etc..</v>
          </cell>
          <cell r="D1032">
            <v>0</v>
          </cell>
          <cell r="E1032">
            <v>2.6646458353518074E-4</v>
          </cell>
          <cell r="F1032">
            <v>2.6646458353518068E-4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1.3664850437701575E-5</v>
          </cell>
          <cell r="W1032">
            <v>2.9607175948353414E-5</v>
          </cell>
          <cell r="X1032">
            <v>2.7329700875403151E-5</v>
          </cell>
          <cell r="Y1032">
            <v>2.8468438411878286E-5</v>
          </cell>
          <cell r="Z1032">
            <v>2.8468438411878286E-5</v>
          </cell>
          <cell r="AA1032">
            <v>3.0745913484828549E-5</v>
          </cell>
          <cell r="AB1032">
            <v>2.8468438411878286E-5</v>
          </cell>
          <cell r="AC1032">
            <v>2.9607175948353414E-5</v>
          </cell>
          <cell r="AD1032">
            <v>2.9607175948353414E-5</v>
          </cell>
          <cell r="AE1032">
            <v>2.0497275656552364E-5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>
            <v>0</v>
          </cell>
          <cell r="AM1032">
            <v>0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  <cell r="AR1032">
            <v>0</v>
          </cell>
        </row>
        <row r="1033">
          <cell r="B1033" t="str">
            <v>GY2-3430</v>
          </cell>
          <cell r="C1033" t="str">
            <v>Determine EOT, Compensation &amp; Relief from Penalties</v>
          </cell>
          <cell r="D1033">
            <v>0</v>
          </cell>
          <cell r="E1033">
            <v>5.4378647881503424E-5</v>
          </cell>
          <cell r="F1033">
            <v>5.4378647881503424E-5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2.7886486093078676E-6</v>
          </cell>
          <cell r="W1033">
            <v>6.0420719868337133E-6</v>
          </cell>
          <cell r="X1033">
            <v>5.5772972186157352E-6</v>
          </cell>
          <cell r="Y1033">
            <v>5.8096846027247251E-6</v>
          </cell>
          <cell r="Z1033">
            <v>5.8096846027247251E-6</v>
          </cell>
          <cell r="AA1033">
            <v>6.2744593709427032E-6</v>
          </cell>
          <cell r="AB1033">
            <v>5.8096846027247251E-6</v>
          </cell>
          <cell r="AC1033">
            <v>6.0420719868337133E-6</v>
          </cell>
          <cell r="AD1033">
            <v>6.0420719868337133E-6</v>
          </cell>
          <cell r="AE1033">
            <v>4.1829729139618016E-6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>
            <v>0</v>
          </cell>
          <cell r="AM1033">
            <v>0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  <cell r="AR1033">
            <v>0</v>
          </cell>
        </row>
        <row r="1034">
          <cell r="B1034" t="str">
            <v>CONSTRUCTIONDESIGN&amp;DETAILS</v>
          </cell>
          <cell r="D1034">
            <v>0</v>
          </cell>
          <cell r="E1034">
            <v>2.6646458353518074E-4</v>
          </cell>
          <cell r="F1034">
            <v>2.6646458353518068E-4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1.3664850437701575E-5</v>
          </cell>
          <cell r="W1034">
            <v>2.9607175948353414E-5</v>
          </cell>
          <cell r="X1034">
            <v>2.7329700875403151E-5</v>
          </cell>
          <cell r="Y1034">
            <v>2.8468438411878286E-5</v>
          </cell>
          <cell r="Z1034">
            <v>2.8468438411878286E-5</v>
          </cell>
          <cell r="AA1034">
            <v>3.0745913484828549E-5</v>
          </cell>
          <cell r="AB1034">
            <v>2.8468438411878286E-5</v>
          </cell>
          <cell r="AC1034">
            <v>2.9607175948353414E-5</v>
          </cell>
          <cell r="AD1034">
            <v>2.9607175948353414E-5</v>
          </cell>
          <cell r="AE1034">
            <v>2.0497275656552364E-5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>
            <v>0</v>
          </cell>
          <cell r="AM1034">
            <v>0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  <cell r="AR1034">
            <v>0</v>
          </cell>
        </row>
        <row r="1035">
          <cell r="B1035" t="str">
            <v>GY2-3410</v>
          </cell>
          <cell r="C1035" t="str">
            <v>Reviewing Design Documents &amp; Preparing Details</v>
          </cell>
          <cell r="D1035">
            <v>0</v>
          </cell>
          <cell r="E1035">
            <v>2.6646458353518074E-4</v>
          </cell>
          <cell r="F1035">
            <v>2.6646458353518068E-4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1.3664850437701575E-5</v>
          </cell>
          <cell r="W1035">
            <v>2.9607175948353414E-5</v>
          </cell>
          <cell r="X1035">
            <v>2.7329700875403151E-5</v>
          </cell>
          <cell r="Y1035">
            <v>2.8468438411878286E-5</v>
          </cell>
          <cell r="Z1035">
            <v>2.8468438411878286E-5</v>
          </cell>
          <cell r="AA1035">
            <v>3.0745913484828549E-5</v>
          </cell>
          <cell r="AB1035">
            <v>2.8468438411878286E-5</v>
          </cell>
          <cell r="AC1035">
            <v>2.9607175948353414E-5</v>
          </cell>
          <cell r="AD1035">
            <v>2.9607175948353414E-5</v>
          </cell>
          <cell r="AE1035">
            <v>2.0497275656552364E-5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>
            <v>0</v>
          </cell>
          <cell r="AM1035">
            <v>0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  <cell r="AR1035">
            <v>0</v>
          </cell>
        </row>
        <row r="1036">
          <cell r="B1036" t="str">
            <v>CONSTRUCTIONPROCUREMENT&amp;CONTRACTSMANAGEMENT</v>
          </cell>
          <cell r="D1036">
            <v>0</v>
          </cell>
          <cell r="E1036">
            <v>1.0999359271103256E-4</v>
          </cell>
          <cell r="F1036">
            <v>1.0999359271103256E-4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5.6406970621042331E-6</v>
          </cell>
          <cell r="W1036">
            <v>1.2221510301225838E-5</v>
          </cell>
          <cell r="X1036">
            <v>1.1281394124208466E-5</v>
          </cell>
          <cell r="Y1036">
            <v>1.1751452212717152E-5</v>
          </cell>
          <cell r="Z1036">
            <v>1.1751452212717152E-5</v>
          </cell>
          <cell r="AA1036">
            <v>1.2691568389734524E-5</v>
          </cell>
          <cell r="AB1036">
            <v>1.1751452212717152E-5</v>
          </cell>
          <cell r="AC1036">
            <v>1.2221510301225838E-5</v>
          </cell>
          <cell r="AD1036">
            <v>1.2221510301225838E-5</v>
          </cell>
          <cell r="AE1036">
            <v>8.4610455931563501E-6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>
            <v>0</v>
          </cell>
          <cell r="AM1036">
            <v>0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  <cell r="AR1036">
            <v>0</v>
          </cell>
        </row>
        <row r="1037">
          <cell r="B1037" t="str">
            <v>GY2-3420</v>
          </cell>
          <cell r="C1037" t="str">
            <v>Monitoring site availability, Land Acquisitions and Permits</v>
          </cell>
          <cell r="D1037">
            <v>0</v>
          </cell>
          <cell r="E1037">
            <v>2.5072424418014947E-5</v>
          </cell>
          <cell r="F1037">
            <v>2.5072424418014947E-5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1.2857653547699971E-6</v>
          </cell>
          <cell r="W1037">
            <v>2.7858249353349939E-6</v>
          </cell>
          <cell r="X1037">
            <v>2.5715307095399943E-6</v>
          </cell>
          <cell r="Y1037">
            <v>2.6786778224374943E-6</v>
          </cell>
          <cell r="Z1037">
            <v>2.6786778224374943E-6</v>
          </cell>
          <cell r="AA1037">
            <v>2.8929720482324939E-6</v>
          </cell>
          <cell r="AB1037">
            <v>2.6786778224374943E-6</v>
          </cell>
          <cell r="AC1037">
            <v>2.7858249353349939E-6</v>
          </cell>
          <cell r="AD1037">
            <v>2.7858249353349939E-6</v>
          </cell>
          <cell r="AE1037">
            <v>1.9286480321549958E-6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>
            <v>0</v>
          </cell>
          <cell r="AM1037">
            <v>0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  <cell r="AR1037">
            <v>0</v>
          </cell>
        </row>
        <row r="1038">
          <cell r="B1038" t="str">
            <v>GY2-3440</v>
          </cell>
          <cell r="C1038" t="str">
            <v>Supervision, Administration &amp; Management of Construction Contracts</v>
          </cell>
          <cell r="D1038">
            <v>0</v>
          </cell>
          <cell r="E1038">
            <v>8.4921168293017606E-5</v>
          </cell>
          <cell r="F1038">
            <v>8.4921168293017606E-5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4.3549317073342362E-6</v>
          </cell>
          <cell r="W1038">
            <v>9.4356853658908443E-6</v>
          </cell>
          <cell r="X1038">
            <v>8.7098634146684724E-6</v>
          </cell>
          <cell r="Y1038">
            <v>9.0727743902796575E-6</v>
          </cell>
          <cell r="Z1038">
            <v>9.0727743902796575E-6</v>
          </cell>
          <cell r="AA1038">
            <v>9.7985963415020312E-6</v>
          </cell>
          <cell r="AB1038">
            <v>9.0727743902796575E-6</v>
          </cell>
          <cell r="AC1038">
            <v>9.4356853658908443E-6</v>
          </cell>
          <cell r="AD1038">
            <v>9.4356853658908443E-6</v>
          </cell>
          <cell r="AE1038">
            <v>6.5323975610013547E-6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>
            <v>0</v>
          </cell>
          <cell r="AM1038">
            <v>0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  <cell r="AR1038">
            <v>0</v>
          </cell>
        </row>
        <row r="1039">
          <cell r="B1039" t="str">
            <v>CONSTRUCTIONQA/QCMANAGEMENT</v>
          </cell>
          <cell r="D1039">
            <v>0</v>
          </cell>
          <cell r="E1039">
            <v>3.1005613765509296E-4</v>
          </cell>
          <cell r="F1039">
            <v>3.1005613765509296E-4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1.2857653547699971E-6</v>
          </cell>
          <cell r="W1039">
            <v>2.5531003926087699E-5</v>
          </cell>
          <cell r="X1039">
            <v>3.4682371637661459E-5</v>
          </cell>
          <cell r="Y1039">
            <v>3.6127470455897351E-5</v>
          </cell>
          <cell r="Z1039">
            <v>3.6127470455897351E-5</v>
          </cell>
          <cell r="AA1039">
            <v>3.9017668092369143E-5</v>
          </cell>
          <cell r="AB1039">
            <v>3.6127470455897351E-5</v>
          </cell>
          <cell r="AC1039">
            <v>3.7572569274133244E-5</v>
          </cell>
          <cell r="AD1039">
            <v>3.7572569274133244E-5</v>
          </cell>
          <cell r="AE1039">
            <v>2.6011778728246094E-5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>
            <v>0</v>
          </cell>
          <cell r="AM1039">
            <v>0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  <cell r="AR1039">
            <v>0</v>
          </cell>
        </row>
        <row r="1040">
          <cell r="B1040" t="str">
            <v>GY2-3140</v>
          </cell>
          <cell r="C1040" t="str">
            <v>Reviewing &amp; Recommending Quality Assurance Programme (Test Checks, RFIs)</v>
          </cell>
          <cell r="D1040">
            <v>0</v>
          </cell>
          <cell r="E1040">
            <v>2.5072424418014947E-5</v>
          </cell>
          <cell r="F1040">
            <v>2.5072424418014947E-5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1.2857653547699971E-6</v>
          </cell>
          <cell r="W1040">
            <v>2.7858249353349939E-6</v>
          </cell>
          <cell r="X1040">
            <v>2.5715307095399943E-6</v>
          </cell>
          <cell r="Y1040">
            <v>2.6786778224374943E-6</v>
          </cell>
          <cell r="Z1040">
            <v>2.6786778224374943E-6</v>
          </cell>
          <cell r="AA1040">
            <v>2.8929720482324939E-6</v>
          </cell>
          <cell r="AB1040">
            <v>2.6786778224374943E-6</v>
          </cell>
          <cell r="AC1040">
            <v>2.7858249353349939E-6</v>
          </cell>
          <cell r="AD1040">
            <v>2.7858249353349939E-6</v>
          </cell>
          <cell r="AE1040">
            <v>1.9286480321549958E-6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>
            <v>0</v>
          </cell>
          <cell r="AM1040">
            <v>0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  <cell r="AR1040">
            <v>0</v>
          </cell>
        </row>
        <row r="1041">
          <cell r="B1041" t="str">
            <v>GY2-3150</v>
          </cell>
          <cell r="C1041" t="str">
            <v>Ensuring Quality Control of Works, including Test Reports for Material &amp; Construction</v>
          </cell>
          <cell r="D1041">
            <v>0</v>
          </cell>
          <cell r="E1041">
            <v>2.5072424418014947E-5</v>
          </cell>
          <cell r="F1041">
            <v>2.5072424418014947E-5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2.0010855169307704E-6</v>
          </cell>
          <cell r="X1041">
            <v>2.825061906255205E-6</v>
          </cell>
          <cell r="Y1041">
            <v>2.9427728190158384E-6</v>
          </cell>
          <cell r="Z1041">
            <v>2.9427728190158384E-6</v>
          </cell>
          <cell r="AA1041">
            <v>3.1781946445371057E-6</v>
          </cell>
          <cell r="AB1041">
            <v>2.9427728190158384E-6</v>
          </cell>
          <cell r="AC1041">
            <v>3.0604837317764723E-6</v>
          </cell>
          <cell r="AD1041">
            <v>3.0604837317764723E-6</v>
          </cell>
          <cell r="AE1041">
            <v>2.1187964296914042E-6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>
            <v>0</v>
          </cell>
          <cell r="AM1041">
            <v>0</v>
          </cell>
          <cell r="AN1041">
            <v>0</v>
          </cell>
          <cell r="AO1041">
            <v>0</v>
          </cell>
          <cell r="AP1041">
            <v>0</v>
          </cell>
          <cell r="AQ1041">
            <v>0</v>
          </cell>
          <cell r="AR1041">
            <v>0</v>
          </cell>
        </row>
        <row r="1042">
          <cell r="B1042" t="str">
            <v>GY2-3460</v>
          </cell>
          <cell r="C1042" t="str">
            <v>Reviewing As Built Drawings Drawings &amp; Completion Records</v>
          </cell>
          <cell r="D1042">
            <v>0</v>
          </cell>
          <cell r="E1042">
            <v>2.5991128881906305E-4</v>
          </cell>
          <cell r="F1042">
            <v>2.5991128881906305E-4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2.0744093473821934E-5</v>
          </cell>
          <cell r="X1042">
            <v>2.9285779021866256E-5</v>
          </cell>
          <cell r="Y1042">
            <v>3.050601981444402E-5</v>
          </cell>
          <cell r="Z1042">
            <v>3.050601981444402E-5</v>
          </cell>
          <cell r="AA1042">
            <v>3.2946501399599539E-5</v>
          </cell>
          <cell r="AB1042">
            <v>3.050601981444402E-5</v>
          </cell>
          <cell r="AC1042">
            <v>3.1726260607021776E-5</v>
          </cell>
          <cell r="AD1042">
            <v>3.1726260607021776E-5</v>
          </cell>
          <cell r="AE1042">
            <v>2.1964334266399694E-5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>
            <v>0</v>
          </cell>
          <cell r="AM1042">
            <v>0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  <cell r="AR1042">
            <v>0</v>
          </cell>
        </row>
        <row r="1043">
          <cell r="B1043" t="str">
            <v>CONSTRUCTIONINVOICEMANAGEMENT</v>
          </cell>
          <cell r="D1043">
            <v>0</v>
          </cell>
          <cell r="E1043">
            <v>1.5220035611541876E-5</v>
          </cell>
          <cell r="F1043">
            <v>1.5220035611541878E-5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7.8051464674573719E-7</v>
          </cell>
          <cell r="W1043">
            <v>1.6911150679490974E-6</v>
          </cell>
          <cell r="X1043">
            <v>1.5610292934914744E-6</v>
          </cell>
          <cell r="Y1043">
            <v>1.626072180720286E-6</v>
          </cell>
          <cell r="Z1043">
            <v>1.626072180720286E-6</v>
          </cell>
          <cell r="AA1043">
            <v>1.7561579551779088E-6</v>
          </cell>
          <cell r="AB1043">
            <v>1.626072180720286E-6</v>
          </cell>
          <cell r="AC1043">
            <v>1.6911150679490974E-6</v>
          </cell>
          <cell r="AD1043">
            <v>1.6911150679490974E-6</v>
          </cell>
          <cell r="AE1043">
            <v>1.1707719701186058E-6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>
            <v>0</v>
          </cell>
          <cell r="AM1043">
            <v>0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  <cell r="AR1043">
            <v>0</v>
          </cell>
        </row>
        <row r="1044">
          <cell r="B1044" t="str">
            <v>GY2-3450</v>
          </cell>
          <cell r="C1044" t="str">
            <v>Certifications of the Bills for Payments</v>
          </cell>
          <cell r="D1044">
            <v>0</v>
          </cell>
          <cell r="E1044">
            <v>1.5220035611541876E-5</v>
          </cell>
          <cell r="F1044">
            <v>1.5220035611541878E-5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7.8051464674573719E-7</v>
          </cell>
          <cell r="W1044">
            <v>1.6911150679490974E-6</v>
          </cell>
          <cell r="X1044">
            <v>1.5610292934914744E-6</v>
          </cell>
          <cell r="Y1044">
            <v>1.626072180720286E-6</v>
          </cell>
          <cell r="Z1044">
            <v>1.626072180720286E-6</v>
          </cell>
          <cell r="AA1044">
            <v>1.7561579551779088E-6</v>
          </cell>
          <cell r="AB1044">
            <v>1.626072180720286E-6</v>
          </cell>
          <cell r="AC1044">
            <v>1.6911150679490974E-6</v>
          </cell>
          <cell r="AD1044">
            <v>1.6911150679490974E-6</v>
          </cell>
          <cell r="AE1044">
            <v>1.1707719701186058E-6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>
            <v>0</v>
          </cell>
          <cell r="AM1044">
            <v>0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  <cell r="AR1044">
            <v>0</v>
          </cell>
        </row>
        <row r="1045">
          <cell r="B1045" t="str">
            <v>TRUNKSERVICES</v>
          </cell>
          <cell r="D1045">
            <v>0</v>
          </cell>
          <cell r="E1045">
            <v>1.6319913982928366E-3</v>
          </cell>
          <cell r="F1045">
            <v>1.6319913982928366E-3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7.9336934871785577E-5</v>
          </cell>
          <cell r="W1045">
            <v>1.7867443804840536E-4</v>
          </cell>
          <cell r="X1045">
            <v>1.6824245208644638E-4</v>
          </cell>
          <cell r="Y1045">
            <v>1.75252554256715E-4</v>
          </cell>
          <cell r="Z1045">
            <v>1.75252554256715E-4</v>
          </cell>
          <cell r="AA1045">
            <v>1.8927275859725222E-4</v>
          </cell>
          <cell r="AB1045">
            <v>1.75252554256715E-4</v>
          </cell>
          <cell r="AC1045">
            <v>1.8226265642698358E-4</v>
          </cell>
          <cell r="AD1045">
            <v>1.8226265642698358E-4</v>
          </cell>
          <cell r="AE1045">
            <v>1.2618183906483479E-4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>
            <v>0</v>
          </cell>
          <cell r="AM1045">
            <v>0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  <cell r="AR1045">
            <v>0</v>
          </cell>
        </row>
        <row r="1046">
          <cell r="B1046" t="str">
            <v>PLANNING&amp;CONTROLS</v>
          </cell>
          <cell r="D1046">
            <v>0</v>
          </cell>
          <cell r="E1046">
            <v>9.3025704877998828E-4</v>
          </cell>
          <cell r="F1046">
            <v>9.3025704877998838E-4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4.7705489681025036E-5</v>
          </cell>
          <cell r="W1046">
            <v>1.0336189430888758E-4</v>
          </cell>
          <cell r="X1046">
            <v>9.5410979362050072E-5</v>
          </cell>
          <cell r="Y1046">
            <v>9.938643683546884E-5</v>
          </cell>
          <cell r="Z1046">
            <v>9.938643683546884E-5</v>
          </cell>
          <cell r="AA1046">
            <v>1.0733735178230636E-4</v>
          </cell>
          <cell r="AB1046">
            <v>9.938643683546884E-5</v>
          </cell>
          <cell r="AC1046">
            <v>1.0336189430888758E-4</v>
          </cell>
          <cell r="AD1046">
            <v>1.0336189430888758E-4</v>
          </cell>
          <cell r="AE1046">
            <v>7.1558234521537574E-5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>
            <v>0</v>
          </cell>
          <cell r="AM1046">
            <v>0</v>
          </cell>
          <cell r="AN1046">
            <v>0</v>
          </cell>
          <cell r="AO1046">
            <v>0</v>
          </cell>
          <cell r="AP1046">
            <v>0</v>
          </cell>
          <cell r="AQ1046">
            <v>0</v>
          </cell>
          <cell r="AR1046">
            <v>0</v>
          </cell>
        </row>
        <row r="1047">
          <cell r="B1047" t="str">
            <v>GY2-3470</v>
          </cell>
          <cell r="C1047" t="str">
            <v>Overall Supervision &amp; Monitoring of Construction Work Package</v>
          </cell>
          <cell r="D1047">
            <v>0</v>
          </cell>
          <cell r="E1047">
            <v>6.970113268147574E-5</v>
          </cell>
          <cell r="F1047">
            <v>6.970113268147574E-5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3.5744170605884991E-6</v>
          </cell>
          <cell r="W1047">
            <v>7.7445702979417487E-6</v>
          </cell>
          <cell r="X1047">
            <v>7.1488341211769982E-6</v>
          </cell>
          <cell r="Y1047">
            <v>7.4467022095593739E-6</v>
          </cell>
          <cell r="Z1047">
            <v>7.4467022095593739E-6</v>
          </cell>
          <cell r="AA1047">
            <v>8.0424383863241243E-6</v>
          </cell>
          <cell r="AB1047">
            <v>7.4467022095593739E-6</v>
          </cell>
          <cell r="AC1047">
            <v>7.7445702979417487E-6</v>
          </cell>
          <cell r="AD1047">
            <v>7.7445702979417487E-6</v>
          </cell>
          <cell r="AE1047">
            <v>5.3616255908827493E-6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>
            <v>0</v>
          </cell>
          <cell r="AM1047">
            <v>0</v>
          </cell>
          <cell r="AN1047">
            <v>0</v>
          </cell>
          <cell r="AO1047">
            <v>0</v>
          </cell>
          <cell r="AP1047">
            <v>0</v>
          </cell>
          <cell r="AQ1047">
            <v>0</v>
          </cell>
          <cell r="AR1047">
            <v>0</v>
          </cell>
        </row>
        <row r="1048">
          <cell r="B1048" t="str">
            <v>GY2-3480</v>
          </cell>
          <cell r="C1048" t="str">
            <v>Management of Site Infrastructure</v>
          </cell>
          <cell r="D1048">
            <v>0</v>
          </cell>
          <cell r="E1048">
            <v>1.095711336980666E-4</v>
          </cell>
          <cell r="F1048">
            <v>1.095711336980666E-4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5.6190324973367485E-6</v>
          </cell>
          <cell r="W1048">
            <v>1.2174570410896289E-5</v>
          </cell>
          <cell r="X1048">
            <v>1.1238064994673497E-5</v>
          </cell>
          <cell r="Y1048">
            <v>1.1706317702784893E-5</v>
          </cell>
          <cell r="Z1048">
            <v>1.1706317702784893E-5</v>
          </cell>
          <cell r="AA1048">
            <v>1.2642823119007685E-5</v>
          </cell>
          <cell r="AB1048">
            <v>1.1706317702784893E-5</v>
          </cell>
          <cell r="AC1048">
            <v>1.2174570410896289E-5</v>
          </cell>
          <cell r="AD1048">
            <v>1.2174570410896289E-5</v>
          </cell>
          <cell r="AE1048">
            <v>8.428548746005124E-6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>
            <v>0</v>
          </cell>
          <cell r="AM1048">
            <v>0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  <cell r="AR1048">
            <v>0</v>
          </cell>
        </row>
        <row r="1049">
          <cell r="B1049" t="str">
            <v>GY2-3490</v>
          </cell>
          <cell r="C1049" t="str">
            <v>Work Scope Coordination</v>
          </cell>
          <cell r="D1049">
            <v>0</v>
          </cell>
          <cell r="E1049">
            <v>6.970113268147574E-5</v>
          </cell>
          <cell r="F1049">
            <v>6.970113268147574E-5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3.5744170605884991E-6</v>
          </cell>
          <cell r="W1049">
            <v>7.7445702979417487E-6</v>
          </cell>
          <cell r="X1049">
            <v>7.1488341211769982E-6</v>
          </cell>
          <cell r="Y1049">
            <v>7.4467022095593739E-6</v>
          </cell>
          <cell r="Z1049">
            <v>7.4467022095593739E-6</v>
          </cell>
          <cell r="AA1049">
            <v>8.0424383863241243E-6</v>
          </cell>
          <cell r="AB1049">
            <v>7.4467022095593739E-6</v>
          </cell>
          <cell r="AC1049">
            <v>7.7445702979417487E-6</v>
          </cell>
          <cell r="AD1049">
            <v>7.7445702979417487E-6</v>
          </cell>
          <cell r="AE1049">
            <v>5.3616255908827493E-6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>
            <v>0</v>
          </cell>
          <cell r="AM1049">
            <v>0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  <cell r="AR1049">
            <v>0</v>
          </cell>
        </row>
        <row r="1050">
          <cell r="B1050" t="str">
            <v>GY2-3500</v>
          </cell>
          <cell r="C1050" t="str">
            <v>Workforce Management</v>
          </cell>
          <cell r="D1050">
            <v>0</v>
          </cell>
          <cell r="E1050">
            <v>4.4628708263460786E-5</v>
          </cell>
          <cell r="F1050">
            <v>4.4628708263460786E-5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2.2886517058185017E-6</v>
          </cell>
          <cell r="W1050">
            <v>4.9587453626067539E-6</v>
          </cell>
          <cell r="X1050">
            <v>4.5773034116370035E-6</v>
          </cell>
          <cell r="Y1050">
            <v>4.7680243871218783E-6</v>
          </cell>
          <cell r="Z1050">
            <v>4.7680243871218783E-6</v>
          </cell>
          <cell r="AA1050">
            <v>5.1494663380916287E-6</v>
          </cell>
          <cell r="AB1050">
            <v>4.7680243871218783E-6</v>
          </cell>
          <cell r="AC1050">
            <v>4.9587453626067539E-6</v>
          </cell>
          <cell r="AD1050">
            <v>4.9587453626067539E-6</v>
          </cell>
          <cell r="AE1050">
            <v>3.432977558727753E-6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>
            <v>0</v>
          </cell>
          <cell r="AM1050">
            <v>0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  <cell r="AR1050">
            <v>0</v>
          </cell>
        </row>
        <row r="1051">
          <cell r="B1051" t="str">
            <v>GY2-3510</v>
          </cell>
          <cell r="C1051" t="str">
            <v>Document Management Practices</v>
          </cell>
          <cell r="D1051">
            <v>0</v>
          </cell>
          <cell r="E1051">
            <v>7.2187539951248106E-5</v>
          </cell>
          <cell r="F1051">
            <v>7.218753995124812E-5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3.7019251257050309E-6</v>
          </cell>
          <cell r="W1051">
            <v>8.0208377723609001E-6</v>
          </cell>
          <cell r="X1051">
            <v>7.4038502514100618E-6</v>
          </cell>
          <cell r="Y1051">
            <v>7.712344011885481E-6</v>
          </cell>
          <cell r="Z1051">
            <v>7.712344011885481E-6</v>
          </cell>
          <cell r="AA1051">
            <v>8.3293315328363193E-6</v>
          </cell>
          <cell r="AB1051">
            <v>7.712344011885481E-6</v>
          </cell>
          <cell r="AC1051">
            <v>8.0208377723609001E-6</v>
          </cell>
          <cell r="AD1051">
            <v>8.0208377723609001E-6</v>
          </cell>
          <cell r="AE1051">
            <v>5.5528876885575468E-6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>
            <v>0</v>
          </cell>
          <cell r="AM1051">
            <v>0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  <cell r="AR1051">
            <v>0</v>
          </cell>
        </row>
        <row r="1052">
          <cell r="B1052" t="str">
            <v>GY2-3520</v>
          </cell>
          <cell r="C1052" t="str">
            <v>Schedule &amp; Progress Management</v>
          </cell>
          <cell r="D1052">
            <v>0</v>
          </cell>
          <cell r="E1052">
            <v>3.9158612269961544E-5</v>
          </cell>
          <cell r="F1052">
            <v>3.9158612269961544E-5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2.0081339625621305E-6</v>
          </cell>
          <cell r="W1052">
            <v>4.3509569188846159E-6</v>
          </cell>
          <cell r="X1052">
            <v>4.016267925124261E-6</v>
          </cell>
          <cell r="Y1052">
            <v>4.183612422004438E-6</v>
          </cell>
          <cell r="Z1052">
            <v>4.183612422004438E-6</v>
          </cell>
          <cell r="AA1052">
            <v>4.5183014157647938E-6</v>
          </cell>
          <cell r="AB1052">
            <v>4.183612422004438E-6</v>
          </cell>
          <cell r="AC1052">
            <v>4.3509569188846159E-6</v>
          </cell>
          <cell r="AD1052">
            <v>4.3509569188846159E-6</v>
          </cell>
          <cell r="AE1052">
            <v>3.0122009438431957E-6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>
            <v>0</v>
          </cell>
          <cell r="AM1052">
            <v>0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  <cell r="AR1052">
            <v>0</v>
          </cell>
        </row>
        <row r="1053">
          <cell r="B1053" t="str">
            <v>GY2-3530</v>
          </cell>
          <cell r="C1053" t="str">
            <v>Material Management Process</v>
          </cell>
          <cell r="D1053">
            <v>0</v>
          </cell>
          <cell r="E1053">
            <v>1.095711336980666E-4</v>
          </cell>
          <cell r="F1053">
            <v>1.095711336980666E-4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5.6190324973367485E-6</v>
          </cell>
          <cell r="W1053">
            <v>1.2174570410896289E-5</v>
          </cell>
          <cell r="X1053">
            <v>1.1238064994673497E-5</v>
          </cell>
          <cell r="Y1053">
            <v>1.1706317702784893E-5</v>
          </cell>
          <cell r="Z1053">
            <v>1.1706317702784893E-5</v>
          </cell>
          <cell r="AA1053">
            <v>1.2642823119007685E-5</v>
          </cell>
          <cell r="AB1053">
            <v>1.1706317702784893E-5</v>
          </cell>
          <cell r="AC1053">
            <v>1.2174570410896289E-5</v>
          </cell>
          <cell r="AD1053">
            <v>1.2174570410896289E-5</v>
          </cell>
          <cell r="AE1053">
            <v>8.428548746005124E-6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>
            <v>0</v>
          </cell>
          <cell r="AM1053">
            <v>0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  <cell r="AR1053">
            <v>0</v>
          </cell>
        </row>
        <row r="1054">
          <cell r="B1054" t="str">
            <v>GY2-3540</v>
          </cell>
          <cell r="C1054" t="str">
            <v>Financial Management</v>
          </cell>
          <cell r="D1054">
            <v>0</v>
          </cell>
          <cell r="E1054">
            <v>9.4894424119549054E-5</v>
          </cell>
          <cell r="F1054">
            <v>9.4894424119549068E-5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4.8663807240794386E-6</v>
          </cell>
          <cell r="W1054">
            <v>1.0543824902172117E-5</v>
          </cell>
          <cell r="X1054">
            <v>9.7327614481588773E-6</v>
          </cell>
          <cell r="Y1054">
            <v>1.0138293175165497E-5</v>
          </cell>
          <cell r="Z1054">
            <v>1.0138293175165497E-5</v>
          </cell>
          <cell r="AA1054">
            <v>1.0949356629178736E-5</v>
          </cell>
          <cell r="AB1054">
            <v>1.0138293175165497E-5</v>
          </cell>
          <cell r="AC1054">
            <v>1.0543824902172117E-5</v>
          </cell>
          <cell r="AD1054">
            <v>1.0543824902172117E-5</v>
          </cell>
          <cell r="AE1054">
            <v>7.2995710861191579E-6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>
            <v>0</v>
          </cell>
          <cell r="AM1054">
            <v>0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  <cell r="AR1054">
            <v>0</v>
          </cell>
        </row>
        <row r="1055">
          <cell r="B1055" t="str">
            <v>GY2-3550</v>
          </cell>
          <cell r="C1055" t="str">
            <v>Final Sign off on all Construction Related Design (GFCs) etc..</v>
          </cell>
          <cell r="D1055">
            <v>0</v>
          </cell>
          <cell r="E1055">
            <v>2.6646458353518074E-4</v>
          </cell>
          <cell r="F1055">
            <v>2.6646458353518068E-4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1.3664850437701575E-5</v>
          </cell>
          <cell r="W1055">
            <v>2.9607175948353414E-5</v>
          </cell>
          <cell r="X1055">
            <v>2.7329700875403151E-5</v>
          </cell>
          <cell r="Y1055">
            <v>2.8468438411878286E-5</v>
          </cell>
          <cell r="Z1055">
            <v>2.8468438411878286E-5</v>
          </cell>
          <cell r="AA1055">
            <v>3.0745913484828549E-5</v>
          </cell>
          <cell r="AB1055">
            <v>2.8468438411878286E-5</v>
          </cell>
          <cell r="AC1055">
            <v>2.9607175948353414E-5</v>
          </cell>
          <cell r="AD1055">
            <v>2.9607175948353414E-5</v>
          </cell>
          <cell r="AE1055">
            <v>2.0497275656552364E-5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>
            <v>0</v>
          </cell>
          <cell r="AM1055">
            <v>0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  <cell r="AR1055">
            <v>0</v>
          </cell>
        </row>
        <row r="1056">
          <cell r="B1056" t="str">
            <v>GY2-3580</v>
          </cell>
          <cell r="C1056" t="str">
            <v>Determine EOT, Compensation &amp; Relief from Penalties</v>
          </cell>
          <cell r="D1056">
            <v>0</v>
          </cell>
          <cell r="E1056">
            <v>5.4378647881503424E-5</v>
          </cell>
          <cell r="F1056">
            <v>5.4378647881503424E-5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2.7886486093078676E-6</v>
          </cell>
          <cell r="W1056">
            <v>6.0420719868337133E-6</v>
          </cell>
          <cell r="X1056">
            <v>5.5772972186157352E-6</v>
          </cell>
          <cell r="Y1056">
            <v>5.8096846027247251E-6</v>
          </cell>
          <cell r="Z1056">
            <v>5.8096846027247251E-6</v>
          </cell>
          <cell r="AA1056">
            <v>6.2744593709427032E-6</v>
          </cell>
          <cell r="AB1056">
            <v>5.8096846027247251E-6</v>
          </cell>
          <cell r="AC1056">
            <v>6.0420719868337133E-6</v>
          </cell>
          <cell r="AD1056">
            <v>6.0420719868337133E-6</v>
          </cell>
          <cell r="AE1056">
            <v>4.1829729139618016E-6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>
            <v>0</v>
          </cell>
          <cell r="AM1056">
            <v>0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  <cell r="AR1056">
            <v>0</v>
          </cell>
        </row>
        <row r="1057">
          <cell r="B1057" t="str">
            <v>CONSTRUCTIONDESIGN&amp;DETAILS</v>
          </cell>
          <cell r="D1057">
            <v>0</v>
          </cell>
          <cell r="E1057">
            <v>2.6646458353518074E-4</v>
          </cell>
          <cell r="F1057">
            <v>2.6646458353518068E-4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1.3664850437701575E-5</v>
          </cell>
          <cell r="W1057">
            <v>2.9607175948353414E-5</v>
          </cell>
          <cell r="X1057">
            <v>2.7329700875403151E-5</v>
          </cell>
          <cell r="Y1057">
            <v>2.8468438411878286E-5</v>
          </cell>
          <cell r="Z1057">
            <v>2.8468438411878286E-5</v>
          </cell>
          <cell r="AA1057">
            <v>3.0745913484828549E-5</v>
          </cell>
          <cell r="AB1057">
            <v>2.8468438411878286E-5</v>
          </cell>
          <cell r="AC1057">
            <v>2.9607175948353414E-5</v>
          </cell>
          <cell r="AD1057">
            <v>2.9607175948353414E-5</v>
          </cell>
          <cell r="AE1057">
            <v>2.0497275656552364E-5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>
            <v>0</v>
          </cell>
          <cell r="AM1057">
            <v>0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  <cell r="AR1057">
            <v>0</v>
          </cell>
        </row>
        <row r="1058">
          <cell r="B1058" t="str">
            <v>GY2-3560</v>
          </cell>
          <cell r="C1058" t="str">
            <v>Reviewing Design Documents &amp; Preparing Details</v>
          </cell>
          <cell r="D1058">
            <v>0</v>
          </cell>
          <cell r="E1058">
            <v>2.6646458353518074E-4</v>
          </cell>
          <cell r="F1058">
            <v>2.6646458353518068E-4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1.3664850437701575E-5</v>
          </cell>
          <cell r="W1058">
            <v>2.9607175948353414E-5</v>
          </cell>
          <cell r="X1058">
            <v>2.7329700875403151E-5</v>
          </cell>
          <cell r="Y1058">
            <v>2.8468438411878286E-5</v>
          </cell>
          <cell r="Z1058">
            <v>2.8468438411878286E-5</v>
          </cell>
          <cell r="AA1058">
            <v>3.0745913484828549E-5</v>
          </cell>
          <cell r="AB1058">
            <v>2.8468438411878286E-5</v>
          </cell>
          <cell r="AC1058">
            <v>2.9607175948353414E-5</v>
          </cell>
          <cell r="AD1058">
            <v>2.9607175948353414E-5</v>
          </cell>
          <cell r="AE1058">
            <v>2.0497275656552364E-5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>
            <v>0</v>
          </cell>
          <cell r="AM1058">
            <v>0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  <cell r="AR1058">
            <v>0</v>
          </cell>
        </row>
        <row r="1059">
          <cell r="B1059" t="str">
            <v>CONSTRUCTIONPROCUREMENT&amp;CONTRACTSMANAGEMENT</v>
          </cell>
          <cell r="D1059">
            <v>0</v>
          </cell>
          <cell r="E1059">
            <v>1.0999359271103256E-4</v>
          </cell>
          <cell r="F1059">
            <v>1.0999359271103256E-4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1.2857653547699971E-6</v>
          </cell>
          <cell r="W1059">
            <v>9.5635707615382754E-6</v>
          </cell>
          <cell r="X1059">
            <v>1.2140113052415217E-5</v>
          </cell>
          <cell r="Y1059">
            <v>1.2645951096265852E-5</v>
          </cell>
          <cell r="Z1059">
            <v>1.2645951096265852E-5</v>
          </cell>
          <cell r="AA1059">
            <v>1.365762718396712E-5</v>
          </cell>
          <cell r="AB1059">
            <v>1.2645951096265852E-5</v>
          </cell>
          <cell r="AC1059">
            <v>1.3151789140116485E-5</v>
          </cell>
          <cell r="AD1059">
            <v>1.3151789140116485E-5</v>
          </cell>
          <cell r="AE1059">
            <v>9.1050847893114126E-6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>
            <v>0</v>
          </cell>
          <cell r="AM1059">
            <v>0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  <cell r="AR1059">
            <v>0</v>
          </cell>
        </row>
        <row r="1060">
          <cell r="B1060" t="str">
            <v>GY2-3570</v>
          </cell>
          <cell r="C1060" t="str">
            <v>Monitoring site availability, Land Acquisitions and Permits</v>
          </cell>
          <cell r="D1060">
            <v>0</v>
          </cell>
          <cell r="E1060">
            <v>2.5072424418014947E-5</v>
          </cell>
          <cell r="F1060">
            <v>2.5072424418014947E-5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1.2857653547699971E-6</v>
          </cell>
          <cell r="W1060">
            <v>2.7858249353349939E-6</v>
          </cell>
          <cell r="X1060">
            <v>2.5715307095399943E-6</v>
          </cell>
          <cell r="Y1060">
            <v>2.6786778224374943E-6</v>
          </cell>
          <cell r="Z1060">
            <v>2.6786778224374943E-6</v>
          </cell>
          <cell r="AA1060">
            <v>2.8929720482324939E-6</v>
          </cell>
          <cell r="AB1060">
            <v>2.6786778224374943E-6</v>
          </cell>
          <cell r="AC1060">
            <v>2.7858249353349939E-6</v>
          </cell>
          <cell r="AD1060">
            <v>2.7858249353349939E-6</v>
          </cell>
          <cell r="AE1060">
            <v>1.9286480321549958E-6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>
            <v>0</v>
          </cell>
          <cell r="AM1060">
            <v>0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  <cell r="AR1060">
            <v>0</v>
          </cell>
        </row>
        <row r="1061">
          <cell r="B1061" t="str">
            <v>GY2-3590</v>
          </cell>
          <cell r="C1061" t="str">
            <v>Supervision, Administration &amp; Management of Construction Contracts</v>
          </cell>
          <cell r="D1061">
            <v>0</v>
          </cell>
          <cell r="E1061">
            <v>8.4921168293017606E-5</v>
          </cell>
          <cell r="F1061">
            <v>8.4921168293017606E-5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6.7777458262032823E-6</v>
          </cell>
          <cell r="X1061">
            <v>9.5685823428752229E-6</v>
          </cell>
          <cell r="Y1061">
            <v>9.9672732738283569E-6</v>
          </cell>
          <cell r="Z1061">
            <v>9.9672732738283569E-6</v>
          </cell>
          <cell r="AA1061">
            <v>1.0764655135734627E-5</v>
          </cell>
          <cell r="AB1061">
            <v>9.9672732738283569E-6</v>
          </cell>
          <cell r="AC1061">
            <v>1.0365964204781491E-5</v>
          </cell>
          <cell r="AD1061">
            <v>1.0365964204781491E-5</v>
          </cell>
          <cell r="AE1061">
            <v>7.1764367571564172E-6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>
            <v>0</v>
          </cell>
          <cell r="AM1061">
            <v>0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  <cell r="AR1061">
            <v>0</v>
          </cell>
        </row>
        <row r="1062">
          <cell r="B1062" t="str">
            <v>CONSTRUCTIONQA/QCMANAGEMENT</v>
          </cell>
          <cell r="D1062">
            <v>0</v>
          </cell>
          <cell r="E1062">
            <v>3.1005613765509296E-4</v>
          </cell>
          <cell r="F1062">
            <v>3.1005613765509296E-4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1.5900314751543226E-5</v>
          </cell>
          <cell r="W1062">
            <v>3.4450681961676993E-5</v>
          </cell>
          <cell r="X1062">
            <v>3.1800629503086452E-5</v>
          </cell>
          <cell r="Y1062">
            <v>3.3125655732381722E-5</v>
          </cell>
          <cell r="Z1062">
            <v>3.3125655732381722E-5</v>
          </cell>
          <cell r="AA1062">
            <v>3.5775708190972264E-5</v>
          </cell>
          <cell r="AB1062">
            <v>3.3125655732381722E-5</v>
          </cell>
          <cell r="AC1062">
            <v>3.4450681961676993E-5</v>
          </cell>
          <cell r="AD1062">
            <v>3.4450681961676993E-5</v>
          </cell>
          <cell r="AE1062">
            <v>2.385047212731484E-5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>
            <v>0</v>
          </cell>
          <cell r="AM1062">
            <v>0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  <cell r="AR1062">
            <v>0</v>
          </cell>
        </row>
        <row r="1063">
          <cell r="B1063" t="str">
            <v>GY2-3110</v>
          </cell>
          <cell r="C1063" t="str">
            <v>Ensuring Quality Control of Works, including Test Reports for Material &amp; Construction</v>
          </cell>
          <cell r="D1063">
            <v>0</v>
          </cell>
          <cell r="E1063">
            <v>2.5072424418014947E-5</v>
          </cell>
          <cell r="F1063">
            <v>2.5072424418014947E-5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1.2857653547699971E-6</v>
          </cell>
          <cell r="W1063">
            <v>2.7858249353349939E-6</v>
          </cell>
          <cell r="X1063">
            <v>2.5715307095399943E-6</v>
          </cell>
          <cell r="Y1063">
            <v>2.6786778224374943E-6</v>
          </cell>
          <cell r="Z1063">
            <v>2.6786778224374943E-6</v>
          </cell>
          <cell r="AA1063">
            <v>2.8929720482324939E-6</v>
          </cell>
          <cell r="AB1063">
            <v>2.6786778224374943E-6</v>
          </cell>
          <cell r="AC1063">
            <v>2.7858249353349939E-6</v>
          </cell>
          <cell r="AD1063">
            <v>2.7858249353349939E-6</v>
          </cell>
          <cell r="AE1063">
            <v>1.9286480321549958E-6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>
            <v>0</v>
          </cell>
          <cell r="AM1063">
            <v>0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  <cell r="AR1063">
            <v>0</v>
          </cell>
        </row>
        <row r="1064">
          <cell r="B1064" t="str">
            <v>GY2-3160</v>
          </cell>
          <cell r="C1064" t="str">
            <v>Reviewing &amp; Recommending Quality Assurance Programme (Test Checks, RFIs)</v>
          </cell>
          <cell r="D1064">
            <v>0</v>
          </cell>
          <cell r="E1064">
            <v>2.5072424418014947E-5</v>
          </cell>
          <cell r="F1064">
            <v>2.5072424418014947E-5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1.2857653547699971E-6</v>
          </cell>
          <cell r="W1064">
            <v>2.7858249353349939E-6</v>
          </cell>
          <cell r="X1064">
            <v>2.5715307095399943E-6</v>
          </cell>
          <cell r="Y1064">
            <v>2.6786778224374943E-6</v>
          </cell>
          <cell r="Z1064">
            <v>2.6786778224374943E-6</v>
          </cell>
          <cell r="AA1064">
            <v>2.8929720482324939E-6</v>
          </cell>
          <cell r="AB1064">
            <v>2.6786778224374943E-6</v>
          </cell>
          <cell r="AC1064">
            <v>2.7858249353349939E-6</v>
          </cell>
          <cell r="AD1064">
            <v>2.7858249353349939E-6</v>
          </cell>
          <cell r="AE1064">
            <v>1.9286480321549958E-6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>
            <v>0</v>
          </cell>
          <cell r="AM1064">
            <v>0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  <cell r="AR1064">
            <v>0</v>
          </cell>
        </row>
        <row r="1065">
          <cell r="B1065" t="str">
            <v>GY2-3610</v>
          </cell>
          <cell r="C1065" t="str">
            <v>Reviewing As Built Drawings Drawings &amp; Completion Records</v>
          </cell>
          <cell r="D1065">
            <v>0</v>
          </cell>
          <cell r="E1065">
            <v>2.5991128881906305E-4</v>
          </cell>
          <cell r="F1065">
            <v>2.5991128881906305E-4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1.3328784042003232E-5</v>
          </cell>
          <cell r="W1065">
            <v>2.8879032091007005E-5</v>
          </cell>
          <cell r="X1065">
            <v>2.6657568084006464E-5</v>
          </cell>
          <cell r="Y1065">
            <v>2.7768300087506736E-5</v>
          </cell>
          <cell r="Z1065">
            <v>2.7768300087506736E-5</v>
          </cell>
          <cell r="AA1065">
            <v>2.9989764094507274E-5</v>
          </cell>
          <cell r="AB1065">
            <v>2.7768300087506736E-5</v>
          </cell>
          <cell r="AC1065">
            <v>2.8879032091007005E-5</v>
          </cell>
          <cell r="AD1065">
            <v>2.8879032091007005E-5</v>
          </cell>
          <cell r="AE1065">
            <v>1.999317606300485E-5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>
            <v>0</v>
          </cell>
          <cell r="AM1065">
            <v>0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  <cell r="AR1065">
            <v>0</v>
          </cell>
        </row>
        <row r="1066">
          <cell r="B1066" t="str">
            <v>CONSTRUCTIONINVOICEMANAGEMENT</v>
          </cell>
          <cell r="D1066">
            <v>0</v>
          </cell>
          <cell r="E1066">
            <v>1.5220035611541876E-5</v>
          </cell>
          <cell r="F1066">
            <v>1.5220035611541878E-5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7.8051464674573719E-7</v>
          </cell>
          <cell r="W1066">
            <v>1.6911150679490974E-6</v>
          </cell>
          <cell r="X1066">
            <v>1.5610292934914744E-6</v>
          </cell>
          <cell r="Y1066">
            <v>1.626072180720286E-6</v>
          </cell>
          <cell r="Z1066">
            <v>1.626072180720286E-6</v>
          </cell>
          <cell r="AA1066">
            <v>1.7561579551779088E-6</v>
          </cell>
          <cell r="AB1066">
            <v>1.626072180720286E-6</v>
          </cell>
          <cell r="AC1066">
            <v>1.6911150679490974E-6</v>
          </cell>
          <cell r="AD1066">
            <v>1.6911150679490974E-6</v>
          </cell>
          <cell r="AE1066">
            <v>1.1707719701186058E-6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>
            <v>0</v>
          </cell>
          <cell r="AM1066">
            <v>0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  <cell r="AR1066">
            <v>0</v>
          </cell>
        </row>
        <row r="1067">
          <cell r="B1067" t="str">
            <v>GY2-3600</v>
          </cell>
          <cell r="C1067" t="str">
            <v>Certifications of the Bills for Payments</v>
          </cell>
          <cell r="D1067">
            <v>0</v>
          </cell>
          <cell r="E1067">
            <v>1.5220035611541876E-5</v>
          </cell>
          <cell r="F1067">
            <v>1.5220035611541878E-5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7.8051464674573719E-7</v>
          </cell>
          <cell r="W1067">
            <v>1.6911150679490974E-6</v>
          </cell>
          <cell r="X1067">
            <v>1.5610292934914744E-6</v>
          </cell>
          <cell r="Y1067">
            <v>1.626072180720286E-6</v>
          </cell>
          <cell r="Z1067">
            <v>1.626072180720286E-6</v>
          </cell>
          <cell r="AA1067">
            <v>1.7561579551779088E-6</v>
          </cell>
          <cell r="AB1067">
            <v>1.626072180720286E-6</v>
          </cell>
          <cell r="AC1067">
            <v>1.6911150679490974E-6</v>
          </cell>
          <cell r="AD1067">
            <v>1.6911150679490974E-6</v>
          </cell>
          <cell r="AE1067">
            <v>1.1707719701186058E-6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>
            <v>0</v>
          </cell>
          <cell r="AM1067">
            <v>0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  <cell r="AR1067">
            <v>0</v>
          </cell>
        </row>
        <row r="1068">
          <cell r="B1068" t="str">
            <v>COMMISSIONING</v>
          </cell>
          <cell r="D1068">
            <v>0</v>
          </cell>
          <cell r="E1068">
            <v>8.379192499132932E-4</v>
          </cell>
          <cell r="F1068">
            <v>8.379192499132932E-4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4.2970217944271446E-5</v>
          </cell>
          <cell r="W1068">
            <v>9.3102138879254794E-5</v>
          </cell>
          <cell r="X1068">
            <v>8.5940435888542892E-5</v>
          </cell>
          <cell r="Y1068">
            <v>8.9521287383898836E-5</v>
          </cell>
          <cell r="Z1068">
            <v>8.9521287383898836E-5</v>
          </cell>
          <cell r="AA1068">
            <v>9.6682990374610751E-5</v>
          </cell>
          <cell r="AB1068">
            <v>8.9521287383898836E-5</v>
          </cell>
          <cell r="AC1068">
            <v>9.3102138879254794E-5</v>
          </cell>
          <cell r="AD1068">
            <v>9.3102138879254794E-5</v>
          </cell>
          <cell r="AE1068">
            <v>6.4455326916407172E-5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>
            <v>0</v>
          </cell>
          <cell r="AM1068">
            <v>0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  <cell r="AR1068">
            <v>0</v>
          </cell>
        </row>
        <row r="1069">
          <cell r="B1069" t="str">
            <v>GY2-3120</v>
          </cell>
          <cell r="C1069" t="str">
            <v>Assisting the Client to Manage Statutory Approvals</v>
          </cell>
          <cell r="D1069">
            <v>0</v>
          </cell>
          <cell r="E1069">
            <v>8.379192499132932E-4</v>
          </cell>
          <cell r="F1069">
            <v>8.379192499132932E-4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4.2970217944271446E-5</v>
          </cell>
          <cell r="W1069">
            <v>9.3102138879254794E-5</v>
          </cell>
          <cell r="X1069">
            <v>8.5940435888542892E-5</v>
          </cell>
          <cell r="Y1069">
            <v>8.9521287383898836E-5</v>
          </cell>
          <cell r="Z1069">
            <v>8.9521287383898836E-5</v>
          </cell>
          <cell r="AA1069">
            <v>9.6682990374610751E-5</v>
          </cell>
          <cell r="AB1069">
            <v>8.9521287383898836E-5</v>
          </cell>
          <cell r="AC1069">
            <v>9.3102138879254794E-5</v>
          </cell>
          <cell r="AD1069">
            <v>9.3102138879254794E-5</v>
          </cell>
          <cell r="AE1069">
            <v>6.4455326916407172E-5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>
            <v>0</v>
          </cell>
          <cell r="AM1069">
            <v>0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  <cell r="AR1069">
            <v>0</v>
          </cell>
        </row>
        <row r="1070">
          <cell r="B1070" t="str">
            <v>OPERATIONS&amp;MAINTENANCE(ACTIVATION)</v>
          </cell>
        </row>
        <row r="1071">
          <cell r="B1071" t="str">
            <v>CONTRACTMANAGEMENT</v>
          </cell>
          <cell r="D1071">
            <v>0</v>
          </cell>
          <cell r="E1071">
            <v>3.3209203719489835E-3</v>
          </cell>
          <cell r="F1071">
            <v>3.320920371948984E-3</v>
          </cell>
          <cell r="G1071">
            <v>4.2666766924785845E-4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2.0444492484793215E-4</v>
          </cell>
          <cell r="U1071">
            <v>2.2222274439992625E-4</v>
          </cell>
          <cell r="V1071">
            <v>2.5577179304364558E-4</v>
          </cell>
          <cell r="W1071">
            <v>3.0380125957064853E-4</v>
          </cell>
          <cell r="X1071">
            <v>2.8043193191136788E-4</v>
          </cell>
          <cell r="Y1071">
            <v>2.9211659574100821E-4</v>
          </cell>
          <cell r="Z1071">
            <v>2.9211659574100821E-4</v>
          </cell>
          <cell r="AA1071">
            <v>3.1548592340028886E-4</v>
          </cell>
          <cell r="AB1071">
            <v>2.9211659574100821E-4</v>
          </cell>
          <cell r="AC1071">
            <v>3.0380125957064853E-4</v>
          </cell>
          <cell r="AD1071">
            <v>3.0380125957064853E-4</v>
          </cell>
          <cell r="AE1071">
            <v>2.3703166885885902E-4</v>
          </cell>
          <cell r="AF1071">
            <v>1.7777819551994099E-5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>
            <v>0</v>
          </cell>
          <cell r="AM1071">
            <v>0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  <cell r="AR1071">
            <v>0</v>
          </cell>
        </row>
        <row r="1072">
          <cell r="B1072" t="str">
            <v>ECCCOMPLEX(CONTRACTSMANAGEMENT)</v>
          </cell>
          <cell r="D1072">
            <v>0</v>
          </cell>
          <cell r="E1072">
            <v>2.7022285719031031E-3</v>
          </cell>
          <cell r="F1072">
            <v>2.7022285719031031E-3</v>
          </cell>
          <cell r="G1072">
            <v>4.2666766924785845E-4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2.0444492484793215E-4</v>
          </cell>
          <cell r="U1072">
            <v>2.2222274439992625E-4</v>
          </cell>
          <cell r="V1072">
            <v>2.2222274439992625E-4</v>
          </cell>
          <cell r="W1072">
            <v>2.3111165417592327E-4</v>
          </cell>
          <cell r="X1072">
            <v>2.1333383462392923E-4</v>
          </cell>
          <cell r="Y1072">
            <v>2.2222274439992625E-4</v>
          </cell>
          <cell r="Z1072">
            <v>2.2222274439992625E-4</v>
          </cell>
          <cell r="AA1072">
            <v>2.4000056395192035E-4</v>
          </cell>
          <cell r="AB1072">
            <v>2.2222274439992625E-4</v>
          </cell>
          <cell r="AC1072">
            <v>2.3111165417592327E-4</v>
          </cell>
          <cell r="AD1072">
            <v>2.3111165417592327E-4</v>
          </cell>
          <cell r="AE1072">
            <v>2.2222274439992625E-4</v>
          </cell>
          <cell r="AF1072">
            <v>1.7777819551994099E-5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>
            <v>0</v>
          </cell>
          <cell r="AM1072">
            <v>0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  <cell r="AR1072">
            <v>0</v>
          </cell>
        </row>
        <row r="1073">
          <cell r="B1073" t="str">
            <v>GY2-1520</v>
          </cell>
          <cell r="C1073" t="str">
            <v>Coordinating Contract Dispute Resolutions</v>
          </cell>
          <cell r="D1073">
            <v>0</v>
          </cell>
          <cell r="E1073">
            <v>5.765863347154482E-4</v>
          </cell>
          <cell r="F1073">
            <v>5.7658633471544831E-4</v>
          </cell>
          <cell r="G1073">
            <v>9.1039947586649724E-5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4.362330821860299E-5</v>
          </cell>
          <cell r="U1073">
            <v>4.7416639368046728E-5</v>
          </cell>
          <cell r="V1073">
            <v>4.7416639368046728E-5</v>
          </cell>
          <cell r="W1073">
            <v>4.9313304942768594E-5</v>
          </cell>
          <cell r="X1073">
            <v>4.5519973793324862E-5</v>
          </cell>
          <cell r="Y1073">
            <v>4.7416639368046728E-5</v>
          </cell>
          <cell r="Z1073">
            <v>4.7416639368046728E-5</v>
          </cell>
          <cell r="AA1073">
            <v>5.1209970517490467E-5</v>
          </cell>
          <cell r="AB1073">
            <v>4.7416639368046728E-5</v>
          </cell>
          <cell r="AC1073">
            <v>4.9313304942768594E-5</v>
          </cell>
          <cell r="AD1073">
            <v>4.9313304942768594E-5</v>
          </cell>
          <cell r="AE1073">
            <v>4.7416639368046728E-5</v>
          </cell>
          <cell r="AF1073">
            <v>3.7933311494437381E-6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>
            <v>0</v>
          </cell>
          <cell r="AM1073">
            <v>0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  <cell r="AR1073">
            <v>0</v>
          </cell>
        </row>
        <row r="1074">
          <cell r="B1074" t="str">
            <v>GY2-1530</v>
          </cell>
          <cell r="C1074" t="str">
            <v>Performing Overall Assessment and Reporting of Prog. Anticipated Final Cost (AFC)</v>
          </cell>
          <cell r="D1074">
            <v>0</v>
          </cell>
          <cell r="E1074">
            <v>1.8302835291716607E-4</v>
          </cell>
          <cell r="F1074">
            <v>1.8302835291716604E-4</v>
          </cell>
          <cell r="G1074">
            <v>2.8899213618499906E-5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1.3847539858864538E-5</v>
          </cell>
          <cell r="U1074">
            <v>1.5051673759635366E-5</v>
          </cell>
          <cell r="V1074">
            <v>1.5051673759635366E-5</v>
          </cell>
          <cell r="W1074">
            <v>1.5653740710020782E-5</v>
          </cell>
          <cell r="X1074">
            <v>1.4449606809249953E-5</v>
          </cell>
          <cell r="Y1074">
            <v>1.5051673759635366E-5</v>
          </cell>
          <cell r="Z1074">
            <v>1.5051673759635366E-5</v>
          </cell>
          <cell r="AA1074">
            <v>1.6255807660406199E-5</v>
          </cell>
          <cell r="AB1074">
            <v>1.5051673759635366E-5</v>
          </cell>
          <cell r="AC1074">
            <v>1.5653740710020782E-5</v>
          </cell>
          <cell r="AD1074">
            <v>1.5653740710020782E-5</v>
          </cell>
          <cell r="AE1074">
            <v>1.5051673759635366E-5</v>
          </cell>
          <cell r="AF1074">
            <v>1.2041339007708294E-6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>
            <v>0</v>
          </cell>
          <cell r="AM1074">
            <v>0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  <cell r="AR1074">
            <v>0</v>
          </cell>
        </row>
        <row r="1075">
          <cell r="B1075" t="str">
            <v>GY2-1540</v>
          </cell>
          <cell r="C1075" t="str">
            <v>Managing Authority Delegation &amp; Reporting</v>
          </cell>
          <cell r="D1075">
            <v>0</v>
          </cell>
          <cell r="E1075">
            <v>7.9608314537041943E-4</v>
          </cell>
          <cell r="F1075">
            <v>7.9608314537041932E-4</v>
          </cell>
          <cell r="G1075">
            <v>1.2569733874269782E-4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6.022997481420937E-5</v>
          </cell>
          <cell r="U1075">
            <v>6.5467363928488435E-5</v>
          </cell>
          <cell r="V1075">
            <v>6.5467363928488435E-5</v>
          </cell>
          <cell r="W1075">
            <v>6.8086058485627974E-5</v>
          </cell>
          <cell r="X1075">
            <v>6.2848669371348909E-5</v>
          </cell>
          <cell r="Y1075">
            <v>6.5467363928488435E-5</v>
          </cell>
          <cell r="Z1075">
            <v>6.5467363928488435E-5</v>
          </cell>
          <cell r="AA1075">
            <v>7.0704753042767513E-5</v>
          </cell>
          <cell r="AB1075">
            <v>6.5467363928488435E-5</v>
          </cell>
          <cell r="AC1075">
            <v>6.8086058485627974E-5</v>
          </cell>
          <cell r="AD1075">
            <v>6.8086058485627974E-5</v>
          </cell>
          <cell r="AE1075">
            <v>6.5467363928488435E-5</v>
          </cell>
          <cell r="AF1075">
            <v>5.2373891142790755E-6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>
            <v>0</v>
          </cell>
          <cell r="AM1075">
            <v>0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  <cell r="AR1075">
            <v>0</v>
          </cell>
        </row>
        <row r="1076">
          <cell r="B1076" t="str">
            <v>GY2-1550</v>
          </cell>
          <cell r="C1076" t="str">
            <v>Providing Contractual and Commercial Advice and Supporting PMs</v>
          </cell>
          <cell r="D1076">
            <v>0</v>
          </cell>
          <cell r="E1076">
            <v>3.5044759352965E-4</v>
          </cell>
          <cell r="F1076">
            <v>3.5044759352964995E-4</v>
          </cell>
          <cell r="G1076">
            <v>5.5333830557313158E-5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2.6514127142045885E-5</v>
          </cell>
          <cell r="U1076">
            <v>2.881970341526727E-5</v>
          </cell>
          <cell r="V1076">
            <v>2.881970341526727E-5</v>
          </cell>
          <cell r="W1076">
            <v>2.9972491551877964E-5</v>
          </cell>
          <cell r="X1076">
            <v>2.7666915278656579E-5</v>
          </cell>
          <cell r="Y1076">
            <v>2.881970341526727E-5</v>
          </cell>
          <cell r="Z1076">
            <v>2.881970341526727E-5</v>
          </cell>
          <cell r="AA1076">
            <v>3.1125279688488655E-5</v>
          </cell>
          <cell r="AB1076">
            <v>2.881970341526727E-5</v>
          </cell>
          <cell r="AC1076">
            <v>2.9972491551877964E-5</v>
          </cell>
          <cell r="AD1076">
            <v>2.9972491551877964E-5</v>
          </cell>
          <cell r="AE1076">
            <v>2.881970341526727E-5</v>
          </cell>
          <cell r="AF1076">
            <v>2.3055762732213816E-6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>
            <v>0</v>
          </cell>
          <cell r="AM1076">
            <v>0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  <cell r="AR1076">
            <v>0</v>
          </cell>
        </row>
        <row r="1077">
          <cell r="B1077" t="str">
            <v>GY2-1560</v>
          </cell>
          <cell r="C1077" t="str">
            <v>Managing Compliance with Contract Administration, Standards, Procedures Tools</v>
          </cell>
          <cell r="D1077">
            <v>0</v>
          </cell>
          <cell r="E1077">
            <v>7.9608314537041943E-4</v>
          </cell>
          <cell r="F1077">
            <v>7.9608314537041932E-4</v>
          </cell>
          <cell r="G1077">
            <v>1.2569733874269782E-4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6.022997481420937E-5</v>
          </cell>
          <cell r="U1077">
            <v>6.5467363928488435E-5</v>
          </cell>
          <cell r="V1077">
            <v>6.5467363928488435E-5</v>
          </cell>
          <cell r="W1077">
            <v>6.8086058485627974E-5</v>
          </cell>
          <cell r="X1077">
            <v>6.2848669371348909E-5</v>
          </cell>
          <cell r="Y1077">
            <v>6.5467363928488435E-5</v>
          </cell>
          <cell r="Z1077">
            <v>6.5467363928488435E-5</v>
          </cell>
          <cell r="AA1077">
            <v>7.0704753042767513E-5</v>
          </cell>
          <cell r="AB1077">
            <v>6.5467363928488435E-5</v>
          </cell>
          <cell r="AC1077">
            <v>6.8086058485627974E-5</v>
          </cell>
          <cell r="AD1077">
            <v>6.8086058485627974E-5</v>
          </cell>
          <cell r="AE1077">
            <v>6.5467363928488435E-5</v>
          </cell>
          <cell r="AF1077">
            <v>5.2373891142790755E-6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>
            <v>0</v>
          </cell>
          <cell r="AM1077">
            <v>0</v>
          </cell>
          <cell r="AN1077">
            <v>0</v>
          </cell>
          <cell r="AO1077">
            <v>0</v>
          </cell>
          <cell r="AP1077">
            <v>0</v>
          </cell>
          <cell r="AQ1077">
            <v>0</v>
          </cell>
          <cell r="AR1077">
            <v>0</v>
          </cell>
        </row>
        <row r="1078">
          <cell r="B1078" t="str">
            <v>PROGRAMMANAGEMENT(CONTRACTSMANAGEMENT)</v>
          </cell>
          <cell r="D1078">
            <v>0</v>
          </cell>
          <cell r="E1078">
            <v>6.1869180004588066E-4</v>
          </cell>
          <cell r="F1078">
            <v>6.1869180004588077E-4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3.3549048643719329E-5</v>
          </cell>
          <cell r="W1078">
            <v>7.2689605394725231E-5</v>
          </cell>
          <cell r="X1078">
            <v>6.7098097287438658E-5</v>
          </cell>
          <cell r="Y1078">
            <v>6.9893851341081944E-5</v>
          </cell>
          <cell r="Z1078">
            <v>6.9893851341081944E-5</v>
          </cell>
          <cell r="AA1078">
            <v>7.548535944836849E-5</v>
          </cell>
          <cell r="AB1078">
            <v>6.9893851341081944E-5</v>
          </cell>
          <cell r="AC1078">
            <v>7.2689605394725231E-5</v>
          </cell>
          <cell r="AD1078">
            <v>7.2689605394725231E-5</v>
          </cell>
          <cell r="AE1078">
            <v>1.480892445893278E-5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>
            <v>0</v>
          </cell>
          <cell r="AM1078">
            <v>0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  <cell r="AR1078">
            <v>0</v>
          </cell>
        </row>
        <row r="1079">
          <cell r="B1079" t="str">
            <v>GY2-2110</v>
          </cell>
          <cell r="C1079" t="str">
            <v>Alerting, Analyzing, Resolution the DMICDC of any Actual, Perceived or Expected Departure from Contractual Requirements</v>
          </cell>
          <cell r="D1079">
            <v>0</v>
          </cell>
          <cell r="E1079">
            <v>1.3480471414282604E-4</v>
          </cell>
          <cell r="F1079">
            <v>1.3480471414282604E-4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6.9130622637346697E-6</v>
          </cell>
          <cell r="W1079">
            <v>1.4978301571425116E-5</v>
          </cell>
          <cell r="X1079">
            <v>1.3826124527469339E-5</v>
          </cell>
          <cell r="Y1079">
            <v>1.4402213049447227E-5</v>
          </cell>
          <cell r="Z1079">
            <v>1.4402213049447227E-5</v>
          </cell>
          <cell r="AA1079">
            <v>1.5554390093403005E-5</v>
          </cell>
          <cell r="AB1079">
            <v>1.4402213049447227E-5</v>
          </cell>
          <cell r="AC1079">
            <v>1.4978301571425116E-5</v>
          </cell>
          <cell r="AD1079">
            <v>1.4978301571425116E-5</v>
          </cell>
          <cell r="AE1079">
            <v>1.0369593395602004E-5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>
            <v>0</v>
          </cell>
          <cell r="AM1079">
            <v>0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  <cell r="AR1079">
            <v>0</v>
          </cell>
        </row>
        <row r="1080">
          <cell r="B1080" t="str">
            <v>GY2-2850</v>
          </cell>
          <cell r="C1080" t="str">
            <v>Providing Visibility to the Management in Changes, Invoicing, Claims, Valuations &amp; Payments, Notices, Early Warning, etc</v>
          </cell>
          <cell r="D1080">
            <v>0</v>
          </cell>
          <cell r="E1080">
            <v>2.5235192005026899E-4</v>
          </cell>
          <cell r="F1080">
            <v>2.5235192005026899E-4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1.389093137891389E-5</v>
          </cell>
          <cell r="W1080">
            <v>3.0097017987646762E-5</v>
          </cell>
          <cell r="X1080">
            <v>2.7781862757827779E-5</v>
          </cell>
          <cell r="Y1080">
            <v>2.8939440372737271E-5</v>
          </cell>
          <cell r="Z1080">
            <v>2.8939440372737271E-5</v>
          </cell>
          <cell r="AA1080">
            <v>3.125459560255625E-5</v>
          </cell>
          <cell r="AB1080">
            <v>2.8939440372737271E-5</v>
          </cell>
          <cell r="AC1080">
            <v>3.0097017987646762E-5</v>
          </cell>
          <cell r="AD1080">
            <v>3.0097017987646762E-5</v>
          </cell>
          <cell r="AE1080">
            <v>2.3151552298189813E-6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>
            <v>0</v>
          </cell>
          <cell r="AM1080">
            <v>0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  <cell r="AR1080">
            <v>0</v>
          </cell>
        </row>
        <row r="1081">
          <cell r="B1081" t="str">
            <v>GY2-2860</v>
          </cell>
          <cell r="C1081" t="str">
            <v>Assessing impact on Program, Contract Variations arising due to Changes or Change Request</v>
          </cell>
          <cell r="D1081">
            <v>0</v>
          </cell>
          <cell r="E1081">
            <v>5.9171888562675736E-5</v>
          </cell>
          <cell r="F1081">
            <v>5.9171888562675742E-5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3.2571681777619671E-6</v>
          </cell>
          <cell r="W1081">
            <v>7.0571977184842618E-6</v>
          </cell>
          <cell r="X1081">
            <v>6.5143363555239342E-6</v>
          </cell>
          <cell r="Y1081">
            <v>6.785767037004098E-6</v>
          </cell>
          <cell r="Z1081">
            <v>6.785767037004098E-6</v>
          </cell>
          <cell r="AA1081">
            <v>7.3286283999644256E-6</v>
          </cell>
          <cell r="AB1081">
            <v>6.785767037004098E-6</v>
          </cell>
          <cell r="AC1081">
            <v>7.0571977184842618E-6</v>
          </cell>
          <cell r="AD1081">
            <v>7.0571977184842618E-6</v>
          </cell>
          <cell r="AE1081">
            <v>5.4286136296032789E-7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>
            <v>0</v>
          </cell>
          <cell r="AM1081">
            <v>0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  <cell r="AR1081">
            <v>0</v>
          </cell>
        </row>
        <row r="1082">
          <cell r="B1082" t="str">
            <v>GY2-2870</v>
          </cell>
          <cell r="C1082" t="str">
            <v>Monitoring the  Program and Advise impact of Non Compliance wrt Contract</v>
          </cell>
          <cell r="D1082">
            <v>0</v>
          </cell>
          <cell r="E1082">
            <v>1.1319138872743426E-4</v>
          </cell>
          <cell r="F1082">
            <v>1.1319138872743427E-4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6.2307186455468395E-6</v>
          </cell>
          <cell r="W1082">
            <v>1.3499890398684819E-5</v>
          </cell>
          <cell r="X1082">
            <v>1.2461437291093679E-5</v>
          </cell>
          <cell r="Y1082">
            <v>1.2980663844889249E-5</v>
          </cell>
          <cell r="Z1082">
            <v>1.2980663844889249E-5</v>
          </cell>
          <cell r="AA1082">
            <v>1.4019116952480389E-5</v>
          </cell>
          <cell r="AB1082">
            <v>1.2980663844889249E-5</v>
          </cell>
          <cell r="AC1082">
            <v>1.3499890398684819E-5</v>
          </cell>
          <cell r="AD1082">
            <v>1.3499890398684819E-5</v>
          </cell>
          <cell r="AE1082">
            <v>1.03845310759114E-6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>
            <v>0</v>
          </cell>
          <cell r="AM1082">
            <v>0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  <cell r="AR1082">
            <v>0</v>
          </cell>
        </row>
        <row r="1083">
          <cell r="B1083" t="str">
            <v>GY2-2880</v>
          </cell>
          <cell r="C1083" t="str">
            <v>Development of Claims Management Process</v>
          </cell>
          <cell r="D1083">
            <v>0</v>
          </cell>
          <cell r="E1083">
            <v>5.9171888562675736E-5</v>
          </cell>
          <cell r="F1083">
            <v>5.9171888562675742E-5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3.2571681777619671E-6</v>
          </cell>
          <cell r="W1083">
            <v>7.0571977184842618E-6</v>
          </cell>
          <cell r="X1083">
            <v>6.5143363555239342E-6</v>
          </cell>
          <cell r="Y1083">
            <v>6.785767037004098E-6</v>
          </cell>
          <cell r="Z1083">
            <v>6.785767037004098E-6</v>
          </cell>
          <cell r="AA1083">
            <v>7.3286283999644256E-6</v>
          </cell>
          <cell r="AB1083">
            <v>6.785767037004098E-6</v>
          </cell>
          <cell r="AC1083">
            <v>7.0571977184842618E-6</v>
          </cell>
          <cell r="AD1083">
            <v>7.0571977184842618E-6</v>
          </cell>
          <cell r="AE1083">
            <v>5.4286136296032789E-7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>
            <v>0</v>
          </cell>
          <cell r="AM1083">
            <v>0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  <cell r="AR1083">
            <v>0</v>
          </cell>
        </row>
        <row r="1084">
          <cell r="B1084" t="str">
            <v>FINANCE&amp;INVESTMENTMANAGEMENT</v>
          </cell>
          <cell r="D1084">
            <v>0</v>
          </cell>
          <cell r="E1084">
            <v>8.57384595715076E-4</v>
          </cell>
          <cell r="F1084">
            <v>8.5738459571507611E-4</v>
          </cell>
          <cell r="G1084">
            <v>1.3537651511290674E-4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6.4867913491601143E-5</v>
          </cell>
          <cell r="U1084">
            <v>7.0508601621305599E-5</v>
          </cell>
          <cell r="V1084">
            <v>7.0508601621305599E-5</v>
          </cell>
          <cell r="W1084">
            <v>7.3328945686157814E-5</v>
          </cell>
          <cell r="X1084">
            <v>6.7688257556453371E-5</v>
          </cell>
          <cell r="Y1084">
            <v>7.0508601621305599E-5</v>
          </cell>
          <cell r="Z1084">
            <v>7.0508601621305599E-5</v>
          </cell>
          <cell r="AA1084">
            <v>7.6149289751010029E-5</v>
          </cell>
          <cell r="AB1084">
            <v>7.0508601621305599E-5</v>
          </cell>
          <cell r="AC1084">
            <v>7.3328945686157814E-5</v>
          </cell>
          <cell r="AD1084">
            <v>7.3328945686157814E-5</v>
          </cell>
          <cell r="AE1084">
            <v>7.0508601621305599E-5</v>
          </cell>
          <cell r="AF1084">
            <v>5.6406881297044473E-6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>
            <v>0</v>
          </cell>
          <cell r="AM1084">
            <v>0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  <cell r="AR1084">
            <v>0</v>
          </cell>
        </row>
        <row r="1085">
          <cell r="B1085" t="str">
            <v>GY2-2120</v>
          </cell>
          <cell r="C1085" t="str">
            <v>Monitor &amp; Control of the Programme/Project Cash Flow</v>
          </cell>
          <cell r="D1085">
            <v>0</v>
          </cell>
          <cell r="E1085">
            <v>3.3752288018474056E-4</v>
          </cell>
          <cell r="F1085">
            <v>3.3752288018474056E-4</v>
          </cell>
          <cell r="G1085">
            <v>5.3293086344959035E-5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2.553627054029287E-5</v>
          </cell>
          <cell r="U1085">
            <v>2.7756815804666164E-5</v>
          </cell>
          <cell r="V1085">
            <v>2.7756815804666164E-5</v>
          </cell>
          <cell r="W1085">
            <v>2.8867088436852812E-5</v>
          </cell>
          <cell r="X1085">
            <v>2.6646543172479521E-5</v>
          </cell>
          <cell r="Y1085">
            <v>2.7756815804666164E-5</v>
          </cell>
          <cell r="Z1085">
            <v>2.7756815804666164E-5</v>
          </cell>
          <cell r="AA1085">
            <v>2.9977361069039459E-5</v>
          </cell>
          <cell r="AB1085">
            <v>2.7756815804666164E-5</v>
          </cell>
          <cell r="AC1085">
            <v>2.8867088436852812E-5</v>
          </cell>
          <cell r="AD1085">
            <v>2.8867088436852812E-5</v>
          </cell>
          <cell r="AE1085">
            <v>2.7756815804666164E-5</v>
          </cell>
          <cell r="AF1085">
            <v>2.220545264373293E-6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>
            <v>0</v>
          </cell>
          <cell r="AM1085">
            <v>0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  <cell r="AR1085">
            <v>0</v>
          </cell>
        </row>
        <row r="1086">
          <cell r="B1086" t="str">
            <v>GY2-2160</v>
          </cell>
          <cell r="C1086" t="str">
            <v>Evaluation &amp; Forwarding all Documents to DMICDC for Payment Processing</v>
          </cell>
          <cell r="D1086">
            <v>0</v>
          </cell>
          <cell r="E1086">
            <v>2.6700790956820503E-4</v>
          </cell>
          <cell r="F1086">
            <v>2.6700790956820497E-4</v>
          </cell>
          <cell r="G1086">
            <v>4.215914361603237E-5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2.0201256316015513E-5</v>
          </cell>
          <cell r="U1086">
            <v>2.1957887300016861E-5</v>
          </cell>
          <cell r="V1086">
            <v>2.1957887300016861E-5</v>
          </cell>
          <cell r="W1086">
            <v>2.2836202792017536E-5</v>
          </cell>
          <cell r="X1086">
            <v>2.1079571808016185E-5</v>
          </cell>
          <cell r="Y1086">
            <v>2.1957887300016861E-5</v>
          </cell>
          <cell r="Z1086">
            <v>2.1957887300016861E-5</v>
          </cell>
          <cell r="AA1086">
            <v>2.3714518284018212E-5</v>
          </cell>
          <cell r="AB1086">
            <v>2.1957887300016861E-5</v>
          </cell>
          <cell r="AC1086">
            <v>2.2836202792017536E-5</v>
          </cell>
          <cell r="AD1086">
            <v>2.2836202792017536E-5</v>
          </cell>
          <cell r="AE1086">
            <v>2.1957887300016861E-5</v>
          </cell>
          <cell r="AF1086">
            <v>1.7566309840013489E-6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>
            <v>0</v>
          </cell>
          <cell r="AM1086">
            <v>0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  <cell r="AR1086">
            <v>0</v>
          </cell>
        </row>
        <row r="1087">
          <cell r="B1087" t="str">
            <v>GY2-2590</v>
          </cell>
          <cell r="C1087" t="str">
            <v>Establishing an Experienced and  thorough Commercial Group to assess Invoices and Variations</v>
          </cell>
          <cell r="D1087">
            <v>0</v>
          </cell>
          <cell r="E1087">
            <v>1.9263670545456888E-4</v>
          </cell>
          <cell r="F1087">
            <v>1.9263670545456891E-4</v>
          </cell>
          <cell r="G1087">
            <v>3.0416321913879296E-5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1.457448758373383E-5</v>
          </cell>
          <cell r="U1087">
            <v>1.5841834330145468E-5</v>
          </cell>
          <cell r="V1087">
            <v>1.5841834330145468E-5</v>
          </cell>
          <cell r="W1087">
            <v>1.6475507703351288E-5</v>
          </cell>
          <cell r="X1087">
            <v>1.520816095693965E-5</v>
          </cell>
          <cell r="Y1087">
            <v>1.5841834330145468E-5</v>
          </cell>
          <cell r="Z1087">
            <v>1.5841834330145468E-5</v>
          </cell>
          <cell r="AA1087">
            <v>1.7109181076557105E-5</v>
          </cell>
          <cell r="AB1087">
            <v>1.5841834330145468E-5</v>
          </cell>
          <cell r="AC1087">
            <v>1.6475507703351288E-5</v>
          </cell>
          <cell r="AD1087">
            <v>1.6475507703351288E-5</v>
          </cell>
          <cell r="AE1087">
            <v>1.5841834330145468E-5</v>
          </cell>
          <cell r="AF1087">
            <v>1.2673467464116373E-6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>
            <v>0</v>
          </cell>
          <cell r="AM1087">
            <v>0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  <cell r="AR1087">
            <v>0</v>
          </cell>
        </row>
        <row r="1088">
          <cell r="B1088" t="str">
            <v>GY2-2600</v>
          </cell>
          <cell r="C1088" t="str">
            <v>Preparation &amp; Submission of Monthly Financial Reports to DMICDC</v>
          </cell>
          <cell r="D1088">
            <v>0</v>
          </cell>
          <cell r="E1088">
            <v>6.0217100507561539E-5</v>
          </cell>
          <cell r="F1088">
            <v>6.0217100507561539E-5</v>
          </cell>
          <cell r="G1088">
            <v>9.5079632380360329E-6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4.5558990515589324E-6</v>
          </cell>
          <cell r="U1088">
            <v>4.9520641864771005E-6</v>
          </cell>
          <cell r="V1088">
            <v>4.9520641864771005E-6</v>
          </cell>
          <cell r="W1088">
            <v>5.1501467539361846E-6</v>
          </cell>
          <cell r="X1088">
            <v>4.7539816190180165E-6</v>
          </cell>
          <cell r="Y1088">
            <v>4.9520641864771005E-6</v>
          </cell>
          <cell r="Z1088">
            <v>4.9520641864771005E-6</v>
          </cell>
          <cell r="AA1088">
            <v>5.3482293213952678E-6</v>
          </cell>
          <cell r="AB1088">
            <v>4.9520641864771005E-6</v>
          </cell>
          <cell r="AC1088">
            <v>5.1501467539361846E-6</v>
          </cell>
          <cell r="AD1088">
            <v>5.1501467539361846E-6</v>
          </cell>
          <cell r="AE1088">
            <v>4.9520641864771005E-6</v>
          </cell>
          <cell r="AF1088">
            <v>3.96165134918168E-7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>
            <v>0</v>
          </cell>
          <cell r="AM1088">
            <v>0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  <cell r="AR1088">
            <v>0</v>
          </cell>
        </row>
        <row r="1089">
          <cell r="B1089" t="str">
            <v>HUMANRESOURCESANDORGANIZATIONALDEVELOPMENT</v>
          </cell>
          <cell r="D1089">
            <v>0</v>
          </cell>
          <cell r="E1089">
            <v>4.6705088556616078E-3</v>
          </cell>
          <cell r="F1089">
            <v>4.6705088556616078E-3</v>
          </cell>
          <cell r="G1089">
            <v>7.2541695466262282E-4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3.4759562410917343E-4</v>
          </cell>
          <cell r="U1089">
            <v>3.7782133055344939E-4</v>
          </cell>
          <cell r="V1089">
            <v>3.7782133055344939E-4</v>
          </cell>
          <cell r="W1089">
            <v>4.0017332400809534E-4</v>
          </cell>
          <cell r="X1089">
            <v>3.7185265446711103E-4</v>
          </cell>
          <cell r="Y1089">
            <v>3.873465150699073E-4</v>
          </cell>
          <cell r="Z1089">
            <v>3.873465150699073E-4</v>
          </cell>
          <cell r="AA1089">
            <v>4.1833423627549984E-4</v>
          </cell>
          <cell r="AB1089">
            <v>3.873465150699073E-4</v>
          </cell>
          <cell r="AC1089">
            <v>4.0284037567270357E-4</v>
          </cell>
          <cell r="AD1089">
            <v>4.0284037567270357E-4</v>
          </cell>
          <cell r="AE1089">
            <v>3.7896435269542432E-4</v>
          </cell>
          <cell r="AF1089">
            <v>3.0225706444275951E-5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>
            <v>0</v>
          </cell>
          <cell r="AM1089">
            <v>0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  <cell r="AR1089">
            <v>0</v>
          </cell>
        </row>
        <row r="1090">
          <cell r="B1090" t="str">
            <v>RESOURCEMANAGEMENT</v>
          </cell>
          <cell r="D1090">
            <v>0</v>
          </cell>
          <cell r="E1090">
            <v>2.0389391436846332E-3</v>
          </cell>
          <cell r="F1090">
            <v>2.0389391436846332E-3</v>
          </cell>
          <cell r="G1090">
            <v>3.0990594750836378E-4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1.4849659984775764E-4</v>
          </cell>
          <cell r="U1090">
            <v>1.6140934766060614E-4</v>
          </cell>
          <cell r="V1090">
            <v>1.6140934766060614E-4</v>
          </cell>
          <cell r="W1090">
            <v>1.7510486179953834E-4</v>
          </cell>
          <cell r="X1090">
            <v>1.6409715088998146E-4</v>
          </cell>
          <cell r="Y1090">
            <v>1.7093453217706403E-4</v>
          </cell>
          <cell r="Z1090">
            <v>1.7093453217706403E-4</v>
          </cell>
          <cell r="AA1090">
            <v>1.8460929475122911E-4</v>
          </cell>
          <cell r="AB1090">
            <v>1.7093453217706403E-4</v>
          </cell>
          <cell r="AC1090">
            <v>1.7777191346414657E-4</v>
          </cell>
          <cell r="AD1090">
            <v>1.7777191346414657E-4</v>
          </cell>
          <cell r="AE1090">
            <v>1.6255236980258108E-4</v>
          </cell>
          <cell r="AF1090">
            <v>1.2912747812848491E-5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>
            <v>0</v>
          </cell>
          <cell r="AM1090">
            <v>0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  <cell r="AR1090">
            <v>0</v>
          </cell>
        </row>
        <row r="1091">
          <cell r="B1091" t="str">
            <v>GY2-1100</v>
          </cell>
          <cell r="C1091" t="str">
            <v>Ensuring that the resources are available to meet the PMC needs</v>
          </cell>
          <cell r="D1091">
            <v>0</v>
          </cell>
          <cell r="E1091">
            <v>7.674595327916416E-4</v>
          </cell>
          <cell r="F1091">
            <v>7.6745953279164149E-4</v>
          </cell>
          <cell r="G1091">
            <v>1.211778209671013E-4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5.8064372546736046E-5</v>
          </cell>
          <cell r="U1091">
            <v>6.3113448420365256E-5</v>
          </cell>
          <cell r="V1091">
            <v>6.3113448420365256E-5</v>
          </cell>
          <cell r="W1091">
            <v>6.5637986357179874E-5</v>
          </cell>
          <cell r="X1091">
            <v>6.0588910483550658E-5</v>
          </cell>
          <cell r="Y1091">
            <v>6.3113448420365256E-5</v>
          </cell>
          <cell r="Z1091">
            <v>6.3113448420365256E-5</v>
          </cell>
          <cell r="AA1091">
            <v>6.8162524293994479E-5</v>
          </cell>
          <cell r="AB1091">
            <v>6.3113448420365256E-5</v>
          </cell>
          <cell r="AC1091">
            <v>6.5637986357179874E-5</v>
          </cell>
          <cell r="AD1091">
            <v>6.5637986357179874E-5</v>
          </cell>
          <cell r="AE1091">
            <v>6.3113448420365256E-5</v>
          </cell>
          <cell r="AF1091">
            <v>5.0490758736292207E-6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>
            <v>0</v>
          </cell>
          <cell r="AM1091">
            <v>0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  <cell r="AR1091">
            <v>0</v>
          </cell>
        </row>
        <row r="1092">
          <cell r="B1092" t="str">
            <v>GY2-1250</v>
          </cell>
          <cell r="C1092" t="str">
            <v>Monitoring &amp; Regularly report on changes caused by both PMC and the Contractors</v>
          </cell>
          <cell r="D1092">
            <v>0</v>
          </cell>
          <cell r="E1092">
            <v>1.195278134761329E-3</v>
          </cell>
          <cell r="F1092">
            <v>1.195278134761329E-3</v>
          </cell>
          <cell r="G1092">
            <v>1.8872812654126248E-4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9.0432227301021596E-5</v>
          </cell>
          <cell r="U1092">
            <v>9.8295899240240871E-5</v>
          </cell>
          <cell r="V1092">
            <v>9.8295899240240871E-5</v>
          </cell>
          <cell r="W1092">
            <v>1.022277352098505E-4</v>
          </cell>
          <cell r="X1092">
            <v>9.436406327063124E-5</v>
          </cell>
          <cell r="Y1092">
            <v>9.8295899240240871E-5</v>
          </cell>
          <cell r="Z1092">
            <v>9.8295899240240871E-5</v>
          </cell>
          <cell r="AA1092">
            <v>1.0615957117946013E-4</v>
          </cell>
          <cell r="AB1092">
            <v>9.8295899240240871E-5</v>
          </cell>
          <cell r="AC1092">
            <v>1.022277352098505E-4</v>
          </cell>
          <cell r="AD1092">
            <v>1.022277352098505E-4</v>
          </cell>
          <cell r="AE1092">
            <v>9.8295899240240871E-5</v>
          </cell>
          <cell r="AF1092">
            <v>7.8636719392192695E-6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>
            <v>0</v>
          </cell>
          <cell r="AM1092">
            <v>0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  <cell r="AR1092">
            <v>0</v>
          </cell>
        </row>
        <row r="1093">
          <cell r="B1093" t="str">
            <v>GY2-3010</v>
          </cell>
          <cell r="C1093" t="str">
            <v>Monitoring that Contractors / Concessionaire have adequate resource Plans in Place</v>
          </cell>
          <cell r="D1093">
            <v>0</v>
          </cell>
          <cell r="E1093">
            <v>7.6201476131663065E-5</v>
          </cell>
          <cell r="F1093">
            <v>7.6201476131663065E-5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7.239140232507992E-6</v>
          </cell>
          <cell r="X1093">
            <v>9.144177135799568E-6</v>
          </cell>
          <cell r="Y1093">
            <v>9.5251845164578832E-6</v>
          </cell>
          <cell r="Z1093">
            <v>9.5251845164578832E-6</v>
          </cell>
          <cell r="AA1093">
            <v>1.0287199277774514E-5</v>
          </cell>
          <cell r="AB1093">
            <v>9.5251845164578832E-6</v>
          </cell>
          <cell r="AC1093">
            <v>9.9061918971161984E-6</v>
          </cell>
          <cell r="AD1093">
            <v>9.9061918971161984E-6</v>
          </cell>
          <cell r="AE1093">
            <v>1.143022141974946E-6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>
            <v>0</v>
          </cell>
          <cell r="AM1093">
            <v>0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  <cell r="AR1093">
            <v>0</v>
          </cell>
        </row>
        <row r="1094">
          <cell r="B1094" t="str">
            <v>ORGANIZATIONALDEVELOPMENT</v>
          </cell>
          <cell r="D1094">
            <v>0</v>
          </cell>
          <cell r="E1094">
            <v>2.6315697119769742E-3</v>
          </cell>
          <cell r="F1094">
            <v>2.6315697119769742E-3</v>
          </cell>
          <cell r="G1094">
            <v>4.1551100715425898E-4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1.9909902426141579E-4</v>
          </cell>
          <cell r="U1094">
            <v>2.1641198289284325E-4</v>
          </cell>
          <cell r="V1094">
            <v>2.1641198289284325E-4</v>
          </cell>
          <cell r="W1094">
            <v>2.25068462208557E-4</v>
          </cell>
          <cell r="X1094">
            <v>2.0775550357712955E-4</v>
          </cell>
          <cell r="Y1094">
            <v>2.1641198289284325E-4</v>
          </cell>
          <cell r="Z1094">
            <v>2.1641198289284325E-4</v>
          </cell>
          <cell r="AA1094">
            <v>2.3372494152427073E-4</v>
          </cell>
          <cell r="AB1094">
            <v>2.1641198289284325E-4</v>
          </cell>
          <cell r="AC1094">
            <v>2.25068462208557E-4</v>
          </cell>
          <cell r="AD1094">
            <v>2.25068462208557E-4</v>
          </cell>
          <cell r="AE1094">
            <v>2.1641198289284325E-4</v>
          </cell>
          <cell r="AF1094">
            <v>1.731295863142746E-5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>
            <v>0</v>
          </cell>
          <cell r="AM1094">
            <v>0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  <cell r="AR1094">
            <v>0</v>
          </cell>
        </row>
        <row r="1095">
          <cell r="B1095" t="str">
            <v>GY2-1200</v>
          </cell>
          <cell r="C1095" t="str">
            <v>Monitor, Implement &amp; Address changes required to the PMC Organization resulting from the delivery of Programme</v>
          </cell>
          <cell r="D1095">
            <v>0</v>
          </cell>
          <cell r="E1095">
            <v>9.3341570690418064E-4</v>
          </cell>
          <cell r="F1095">
            <v>9.3341570690418075E-4</v>
          </cell>
          <cell r="G1095">
            <v>1.4738142740592324E-4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7.0620267298671558E-5</v>
          </cell>
          <cell r="U1095">
            <v>7.6761160107251695E-5</v>
          </cell>
          <cell r="V1095">
            <v>7.6761160107251695E-5</v>
          </cell>
          <cell r="W1095">
            <v>7.983160651154177E-5</v>
          </cell>
          <cell r="X1095">
            <v>7.3690713702961633E-5</v>
          </cell>
          <cell r="Y1095">
            <v>7.6761160107251695E-5</v>
          </cell>
          <cell r="Z1095">
            <v>7.6761160107251695E-5</v>
          </cell>
          <cell r="AA1095">
            <v>8.2902052915831832E-5</v>
          </cell>
          <cell r="AB1095">
            <v>7.6761160107251695E-5</v>
          </cell>
          <cell r="AC1095">
            <v>7.983160651154177E-5</v>
          </cell>
          <cell r="AD1095">
            <v>7.983160651154177E-5</v>
          </cell>
          <cell r="AE1095">
            <v>7.6761160107251695E-5</v>
          </cell>
          <cell r="AF1095">
            <v>6.1408928085801355E-6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>
            <v>0</v>
          </cell>
          <cell r="AM1095">
            <v>0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  <cell r="AR1095">
            <v>0</v>
          </cell>
        </row>
        <row r="1096">
          <cell r="B1096" t="str">
            <v>GY2-1210</v>
          </cell>
          <cell r="C1096" t="str">
            <v>Ensuring that any significant development of new business processes and procedure is adequately documented</v>
          </cell>
          <cell r="D1096">
            <v>0</v>
          </cell>
          <cell r="E1096">
            <v>7.1077174926978469E-4</v>
          </cell>
          <cell r="F1096">
            <v>7.1077174926978458E-4</v>
          </cell>
          <cell r="G1096">
            <v>1.1222711830575547E-4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5.3775494188174499E-5</v>
          </cell>
          <cell r="U1096">
            <v>5.845162411758098E-5</v>
          </cell>
          <cell r="V1096">
            <v>5.845162411758098E-5</v>
          </cell>
          <cell r="W1096">
            <v>6.0789689082284218E-5</v>
          </cell>
          <cell r="X1096">
            <v>5.611355915287773E-5</v>
          </cell>
          <cell r="Y1096">
            <v>5.845162411758098E-5</v>
          </cell>
          <cell r="Z1096">
            <v>5.845162411758098E-5</v>
          </cell>
          <cell r="AA1096">
            <v>6.3127754046987455E-5</v>
          </cell>
          <cell r="AB1096">
            <v>5.845162411758098E-5</v>
          </cell>
          <cell r="AC1096">
            <v>6.0789689082284218E-5</v>
          </cell>
          <cell r="AD1096">
            <v>6.0789689082284218E-5</v>
          </cell>
          <cell r="AE1096">
            <v>5.845162411758098E-5</v>
          </cell>
          <cell r="AF1096">
            <v>4.676129929406478E-6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>
            <v>0</v>
          </cell>
          <cell r="AM1096">
            <v>0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  <cell r="AR1096">
            <v>0</v>
          </cell>
        </row>
        <row r="1097">
          <cell r="B1097" t="str">
            <v>GY2-1220</v>
          </cell>
          <cell r="C1097" t="str">
            <v>Monitoring the development of any Related policy changes, Procedures, Forms, Staffing, Job description, remuneration,etc</v>
          </cell>
          <cell r="D1097">
            <v>0</v>
          </cell>
          <cell r="E1097">
            <v>9.8738225580300874E-4</v>
          </cell>
          <cell r="F1097">
            <v>9.8738225580300874E-4</v>
          </cell>
          <cell r="G1097">
            <v>1.5590246144258033E-4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7.4703262774569742E-5</v>
          </cell>
          <cell r="U1097">
            <v>8.1199198668010584E-5</v>
          </cell>
          <cell r="V1097">
            <v>8.1199198668010584E-5</v>
          </cell>
          <cell r="W1097">
            <v>8.4447166614731018E-5</v>
          </cell>
          <cell r="X1097">
            <v>7.7951230721290163E-5</v>
          </cell>
          <cell r="Y1097">
            <v>8.1199198668010584E-5</v>
          </cell>
          <cell r="Z1097">
            <v>8.1199198668010584E-5</v>
          </cell>
          <cell r="AA1097">
            <v>8.7695134561451438E-5</v>
          </cell>
          <cell r="AB1097">
            <v>8.1199198668010584E-5</v>
          </cell>
          <cell r="AC1097">
            <v>8.4447166614731018E-5</v>
          </cell>
          <cell r="AD1097">
            <v>8.4447166614731018E-5</v>
          </cell>
          <cell r="AE1097">
            <v>8.1199198668010584E-5</v>
          </cell>
          <cell r="AF1097">
            <v>6.4959358934408472E-6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>
            <v>0</v>
          </cell>
          <cell r="AM1097">
            <v>0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  <cell r="AR1097">
            <v>0</v>
          </cell>
        </row>
        <row r="1098">
          <cell r="B1098" t="str">
            <v>INFORMATION&amp;TECHNOLOGY(IT)MANAGEMENT</v>
          </cell>
          <cell r="D1098">
            <v>0</v>
          </cell>
          <cell r="E1098">
            <v>1.7494165860657441E-3</v>
          </cell>
          <cell r="F1098">
            <v>1.7494165860657441E-3</v>
          </cell>
          <cell r="G1098">
            <v>2.7622367148406489E-4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1.3235717591944773E-4</v>
          </cell>
          <cell r="U1098">
            <v>1.438664955646171E-4</v>
          </cell>
          <cell r="V1098">
            <v>1.438664955646171E-4</v>
          </cell>
          <cell r="W1098">
            <v>1.4962115538720179E-4</v>
          </cell>
          <cell r="X1098">
            <v>1.3811183574203244E-4</v>
          </cell>
          <cell r="Y1098">
            <v>1.438664955646171E-4</v>
          </cell>
          <cell r="Z1098">
            <v>1.438664955646171E-4</v>
          </cell>
          <cell r="AA1098">
            <v>1.553758152097865E-4</v>
          </cell>
          <cell r="AB1098">
            <v>1.438664955646171E-4</v>
          </cell>
          <cell r="AC1098">
            <v>1.4962115538720179E-4</v>
          </cell>
          <cell r="AD1098">
            <v>1.4962115538720179E-4</v>
          </cell>
          <cell r="AE1098">
            <v>1.438664955646171E-4</v>
          </cell>
          <cell r="AF1098">
            <v>1.1509319645169369E-5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>
            <v>0</v>
          </cell>
          <cell r="AM1098">
            <v>0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  <cell r="AR1098">
            <v>0</v>
          </cell>
        </row>
        <row r="1099">
          <cell r="B1099" t="str">
            <v>GY2-1370</v>
          </cell>
          <cell r="C1099" t="str">
            <v>Implementation of MIS</v>
          </cell>
          <cell r="D1099">
            <v>0</v>
          </cell>
          <cell r="E1099">
            <v>4.6402690783574774E-4</v>
          </cell>
          <cell r="F1099">
            <v>4.6402690783574774E-4</v>
          </cell>
          <cell r="G1099">
            <v>7.3267406500381223E-5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3.5107298948099336E-5</v>
          </cell>
          <cell r="U1099">
            <v>3.8160107552281887E-5</v>
          </cell>
          <cell r="V1099">
            <v>3.8160107552281887E-5</v>
          </cell>
          <cell r="W1099">
            <v>3.9686511854373162E-5</v>
          </cell>
          <cell r="X1099">
            <v>3.6633703250190611E-5</v>
          </cell>
          <cell r="Y1099">
            <v>3.8160107552281887E-5</v>
          </cell>
          <cell r="Z1099">
            <v>3.8160107552281887E-5</v>
          </cell>
          <cell r="AA1099">
            <v>4.1212916156464438E-5</v>
          </cell>
          <cell r="AB1099">
            <v>3.8160107552281887E-5</v>
          </cell>
          <cell r="AC1099">
            <v>3.9686511854373162E-5</v>
          </cell>
          <cell r="AD1099">
            <v>3.9686511854373162E-5</v>
          </cell>
          <cell r="AE1099">
            <v>3.8160107552281887E-5</v>
          </cell>
          <cell r="AF1099">
            <v>3.0528086041825509E-6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>
            <v>0</v>
          </cell>
          <cell r="AM1099">
            <v>0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  <cell r="AR1099">
            <v>0</v>
          </cell>
        </row>
        <row r="1100">
          <cell r="B1100" t="str">
            <v>GY2-1790</v>
          </cell>
          <cell r="C1100" t="str">
            <v>Maintaining Program &amp; Information Tools and Application information Management System for the PMC</v>
          </cell>
          <cell r="D1100">
            <v>0</v>
          </cell>
          <cell r="E1100">
            <v>3.7176393141004116E-4</v>
          </cell>
          <cell r="F1100">
            <v>3.7176393141004116E-4</v>
          </cell>
          <cell r="G1100">
            <v>5.8699568117374916E-5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2.8126876389575482E-5</v>
          </cell>
          <cell r="U1100">
            <v>3.0572691727799434E-5</v>
          </cell>
          <cell r="V1100">
            <v>3.0572691727799434E-5</v>
          </cell>
          <cell r="W1100">
            <v>3.1795599396911414E-5</v>
          </cell>
          <cell r="X1100">
            <v>2.9349784058687461E-5</v>
          </cell>
          <cell r="Y1100">
            <v>3.0572691727799434E-5</v>
          </cell>
          <cell r="Z1100">
            <v>3.0572691727799434E-5</v>
          </cell>
          <cell r="AA1100">
            <v>3.3018507066023394E-5</v>
          </cell>
          <cell r="AB1100">
            <v>3.0572691727799434E-5</v>
          </cell>
          <cell r="AC1100">
            <v>3.1795599396911414E-5</v>
          </cell>
          <cell r="AD1100">
            <v>3.1795599396911414E-5</v>
          </cell>
          <cell r="AE1100">
            <v>3.0572691727799434E-5</v>
          </cell>
          <cell r="AF1100">
            <v>2.445815338223955E-6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>
            <v>0</v>
          </cell>
          <cell r="AM1100">
            <v>0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  <cell r="AR1100">
            <v>0</v>
          </cell>
        </row>
        <row r="1101">
          <cell r="B1101" t="str">
            <v>GY2-1800</v>
          </cell>
          <cell r="C1101" t="str">
            <v>Establishing &amp; Managing the Information System for the Programme</v>
          </cell>
          <cell r="D1101">
            <v>0</v>
          </cell>
          <cell r="E1101">
            <v>3.7176393141004116E-4</v>
          </cell>
          <cell r="F1101">
            <v>3.7176393141004116E-4</v>
          </cell>
          <cell r="G1101">
            <v>5.8699568117374916E-5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2.8126876389575482E-5</v>
          </cell>
          <cell r="U1101">
            <v>3.0572691727799434E-5</v>
          </cell>
          <cell r="V1101">
            <v>3.0572691727799434E-5</v>
          </cell>
          <cell r="W1101">
            <v>3.1795599396911414E-5</v>
          </cell>
          <cell r="X1101">
            <v>2.9349784058687461E-5</v>
          </cell>
          <cell r="Y1101">
            <v>3.0572691727799434E-5</v>
          </cell>
          <cell r="Z1101">
            <v>3.0572691727799434E-5</v>
          </cell>
          <cell r="AA1101">
            <v>3.3018507066023394E-5</v>
          </cell>
          <cell r="AB1101">
            <v>3.0572691727799434E-5</v>
          </cell>
          <cell r="AC1101">
            <v>3.1795599396911414E-5</v>
          </cell>
          <cell r="AD1101">
            <v>3.1795599396911414E-5</v>
          </cell>
          <cell r="AE1101">
            <v>3.0572691727799434E-5</v>
          </cell>
          <cell r="AF1101">
            <v>2.445815338223955E-6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>
            <v>0</v>
          </cell>
          <cell r="AM1101">
            <v>0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  <cell r="AR1101">
            <v>0</v>
          </cell>
        </row>
        <row r="1102">
          <cell r="B1102" t="str">
            <v>GY2-1810</v>
          </cell>
          <cell r="C1102" t="str">
            <v>Ensuring that the Information is Kept and Knowledge is transmitted to the Program Team and to various Stakeholders</v>
          </cell>
          <cell r="D1102">
            <v>0</v>
          </cell>
          <cell r="E1102">
            <v>1.7009788399987292E-4</v>
          </cell>
          <cell r="F1102">
            <v>1.7009788399987297E-4</v>
          </cell>
          <cell r="G1102">
            <v>2.6857560631558881E-5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1.2869247802621964E-5</v>
          </cell>
          <cell r="U1102">
            <v>1.3988312828936917E-5</v>
          </cell>
          <cell r="V1102">
            <v>1.3988312828936917E-5</v>
          </cell>
          <cell r="W1102">
            <v>1.4547845342094396E-5</v>
          </cell>
          <cell r="X1102">
            <v>1.3428780315779442E-5</v>
          </cell>
          <cell r="Y1102">
            <v>1.3988312828936917E-5</v>
          </cell>
          <cell r="Z1102">
            <v>1.3988312828936917E-5</v>
          </cell>
          <cell r="AA1102">
            <v>1.5107377855251871E-5</v>
          </cell>
          <cell r="AB1102">
            <v>1.3988312828936917E-5</v>
          </cell>
          <cell r="AC1102">
            <v>1.4547845342094396E-5</v>
          </cell>
          <cell r="AD1102">
            <v>1.4547845342094396E-5</v>
          </cell>
          <cell r="AE1102">
            <v>1.3988312828936917E-5</v>
          </cell>
          <cell r="AF1102">
            <v>1.1190650263149533E-6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>
            <v>0</v>
          </cell>
          <cell r="AM1102">
            <v>0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  <cell r="AR1102">
            <v>0</v>
          </cell>
        </row>
        <row r="1103">
          <cell r="B1103" t="str">
            <v>GY2-1820</v>
          </cell>
          <cell r="C1103" t="str">
            <v>Training of DMICDC Staff in the Utilization of the Web Based system</v>
          </cell>
          <cell r="D1103">
            <v>0</v>
          </cell>
          <cell r="E1103">
            <v>3.7176393141004116E-4</v>
          </cell>
          <cell r="F1103">
            <v>3.7176393141004116E-4</v>
          </cell>
          <cell r="G1103">
            <v>5.8699568117374916E-5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2.8126876389575482E-5</v>
          </cell>
          <cell r="U1103">
            <v>3.0572691727799434E-5</v>
          </cell>
          <cell r="V1103">
            <v>3.0572691727799434E-5</v>
          </cell>
          <cell r="W1103">
            <v>3.1795599396911414E-5</v>
          </cell>
          <cell r="X1103">
            <v>2.9349784058687461E-5</v>
          </cell>
          <cell r="Y1103">
            <v>3.0572691727799434E-5</v>
          </cell>
          <cell r="Z1103">
            <v>3.0572691727799434E-5</v>
          </cell>
          <cell r="AA1103">
            <v>3.3018507066023394E-5</v>
          </cell>
          <cell r="AB1103">
            <v>3.0572691727799434E-5</v>
          </cell>
          <cell r="AC1103">
            <v>3.1795599396911414E-5</v>
          </cell>
          <cell r="AD1103">
            <v>3.1795599396911414E-5</v>
          </cell>
          <cell r="AE1103">
            <v>3.0572691727799434E-5</v>
          </cell>
          <cell r="AF1103">
            <v>2.445815338223955E-6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>
            <v>0</v>
          </cell>
          <cell r="AM1103">
            <v>0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  <cell r="AR1103">
            <v>0</v>
          </cell>
        </row>
        <row r="1104">
          <cell r="B1104" t="str">
            <v>MARKETING&amp;PROMOTION</v>
          </cell>
          <cell r="D1104">
            <v>0</v>
          </cell>
          <cell r="E1104">
            <v>2.6489561450337529E-4</v>
          </cell>
          <cell r="F1104">
            <v>2.6489561450337529E-4</v>
          </cell>
          <cell r="G1104">
            <v>4.1825623342638208E-5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2.0041444518347472E-5</v>
          </cell>
          <cell r="U1104">
            <v>2.1784178824290733E-5</v>
          </cell>
          <cell r="V1104">
            <v>2.1784178824290733E-5</v>
          </cell>
          <cell r="W1104">
            <v>2.2655545977262362E-5</v>
          </cell>
          <cell r="X1104">
            <v>2.0912811671319101E-5</v>
          </cell>
          <cell r="Y1104">
            <v>2.1784178824290733E-5</v>
          </cell>
          <cell r="Z1104">
            <v>2.1784178824290733E-5</v>
          </cell>
          <cell r="AA1104">
            <v>2.3526913130233988E-5</v>
          </cell>
          <cell r="AB1104">
            <v>2.1784178824290733E-5</v>
          </cell>
          <cell r="AC1104">
            <v>2.2655545977262362E-5</v>
          </cell>
          <cell r="AD1104">
            <v>2.2655545977262362E-5</v>
          </cell>
          <cell r="AE1104">
            <v>2.1784178824290733E-5</v>
          </cell>
          <cell r="AF1104">
            <v>1.7427343059432585E-6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>
            <v>0</v>
          </cell>
          <cell r="AM1104">
            <v>0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  <cell r="AR1104">
            <v>0</v>
          </cell>
        </row>
        <row r="1105">
          <cell r="B1105" t="str">
            <v>GY2-2700</v>
          </cell>
          <cell r="C1105" t="str">
            <v>Assisting the Client in Carrying out road Shows, Conference, meetings with Investor, etc.</v>
          </cell>
          <cell r="D1105">
            <v>0</v>
          </cell>
          <cell r="E1105">
            <v>2.6489561450337529E-4</v>
          </cell>
          <cell r="F1105">
            <v>2.6489561450337529E-4</v>
          </cell>
          <cell r="G1105">
            <v>4.1825623342638208E-5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2.0041444518347472E-5</v>
          </cell>
          <cell r="U1105">
            <v>2.1784178824290733E-5</v>
          </cell>
          <cell r="V1105">
            <v>2.1784178824290733E-5</v>
          </cell>
          <cell r="W1105">
            <v>2.2655545977262362E-5</v>
          </cell>
          <cell r="X1105">
            <v>2.0912811671319101E-5</v>
          </cell>
          <cell r="Y1105">
            <v>2.1784178824290733E-5</v>
          </cell>
          <cell r="Z1105">
            <v>2.1784178824290733E-5</v>
          </cell>
          <cell r="AA1105">
            <v>2.3526913130233988E-5</v>
          </cell>
          <cell r="AB1105">
            <v>2.1784178824290733E-5</v>
          </cell>
          <cell r="AC1105">
            <v>2.2655545977262362E-5</v>
          </cell>
          <cell r="AD1105">
            <v>2.2655545977262362E-5</v>
          </cell>
          <cell r="AE1105">
            <v>2.1784178824290733E-5</v>
          </cell>
          <cell r="AF1105">
            <v>1.7427343059432585E-6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>
            <v>0</v>
          </cell>
          <cell r="AM1105">
            <v>0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  <cell r="AR1105">
            <v>0</v>
          </cell>
        </row>
        <row r="1106">
          <cell r="B1106" t="str">
            <v>PROGRAMADMINISTRATION</v>
          </cell>
          <cell r="D1106">
            <v>0</v>
          </cell>
          <cell r="E1106">
            <v>1.9044878216861686E-3</v>
          </cell>
          <cell r="F1106">
            <v>1.9044878216861686E-3</v>
          </cell>
          <cell r="G1106">
            <v>2.6084084405152206E-4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1.2498623777468766E-4</v>
          </cell>
          <cell r="U1106">
            <v>1.358546062768344E-4</v>
          </cell>
          <cell r="V1106">
            <v>1.4826153446456213E-4</v>
          </cell>
          <cell r="W1106">
            <v>1.7058395020481303E-4</v>
          </cell>
          <cell r="X1106">
            <v>1.5746210788136587E-4</v>
          </cell>
          <cell r="Y1106">
            <v>1.6402302904308945E-4</v>
          </cell>
          <cell r="Z1106">
            <v>1.6402302904308945E-4</v>
          </cell>
          <cell r="AA1106">
            <v>1.7714487136653661E-4</v>
          </cell>
          <cell r="AB1106">
            <v>1.6402302904308945E-4</v>
          </cell>
          <cell r="AC1106">
            <v>1.7058395020481303E-4</v>
          </cell>
          <cell r="AD1106">
            <v>1.7058395020481303E-4</v>
          </cell>
          <cell r="AE1106">
            <v>1.4608915767632771E-4</v>
          </cell>
          <cell r="AF1106">
            <v>1.0868368502146754E-5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>
            <v>0</v>
          </cell>
          <cell r="AM1106">
            <v>0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  <cell r="AR1106">
            <v>0</v>
          </cell>
        </row>
        <row r="1107">
          <cell r="B1107" t="str">
            <v>CONTRACTORPROGRESS</v>
          </cell>
          <cell r="D1107">
            <v>0</v>
          </cell>
          <cell r="E1107">
            <v>9.9782056187814588E-5</v>
          </cell>
          <cell r="F1107">
            <v>9.9782056187814602E-5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5.4180302002433271E-6</v>
          </cell>
          <cell r="W1107">
            <v>1.173906543386054E-5</v>
          </cell>
          <cell r="X1107">
            <v>1.0836060400486654E-5</v>
          </cell>
          <cell r="Y1107">
            <v>1.1287562917173597E-5</v>
          </cell>
          <cell r="Z1107">
            <v>1.1287562917173597E-5</v>
          </cell>
          <cell r="AA1107">
            <v>1.2190567950547483E-5</v>
          </cell>
          <cell r="AB1107">
            <v>1.1287562917173597E-5</v>
          </cell>
          <cell r="AC1107">
            <v>1.173906543386054E-5</v>
          </cell>
          <cell r="AD1107">
            <v>1.173906543386054E-5</v>
          </cell>
          <cell r="AE1107">
            <v>2.2575125834347193E-6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>
            <v>0</v>
          </cell>
          <cell r="AM1107">
            <v>0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  <cell r="AR1107">
            <v>0</v>
          </cell>
        </row>
        <row r="1108">
          <cell r="B1108" t="str">
            <v>GY2-3030</v>
          </cell>
          <cell r="C1108" t="str">
            <v>Conducting Weekly Project Management Support Meeting</v>
          </cell>
          <cell r="D1108">
            <v>0</v>
          </cell>
          <cell r="E1108">
            <v>2.7410337920287035E-5</v>
          </cell>
          <cell r="F1108">
            <v>2.7410337920287042E-5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1.4883441404680745E-6</v>
          </cell>
          <cell r="W1108">
            <v>3.2247456376808278E-6</v>
          </cell>
          <cell r="X1108">
            <v>2.9766882809361489E-6</v>
          </cell>
          <cell r="Y1108">
            <v>3.1007169593084881E-6</v>
          </cell>
          <cell r="Z1108">
            <v>3.1007169593084881E-6</v>
          </cell>
          <cell r="AA1108">
            <v>3.348774316053167E-6</v>
          </cell>
          <cell r="AB1108">
            <v>3.1007169593084881E-6</v>
          </cell>
          <cell r="AC1108">
            <v>3.2247456376808278E-6</v>
          </cell>
          <cell r="AD1108">
            <v>3.2247456376808278E-6</v>
          </cell>
          <cell r="AE1108">
            <v>6.2014339186169769E-7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>
            <v>0</v>
          </cell>
          <cell r="AM1108">
            <v>0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  <cell r="AR1108">
            <v>0</v>
          </cell>
        </row>
        <row r="1109">
          <cell r="B1109" t="str">
            <v>GY2-3040</v>
          </cell>
          <cell r="C1109" t="str">
            <v>Maintaining Project Planning for Each Project</v>
          </cell>
          <cell r="D1109">
            <v>0</v>
          </cell>
          <cell r="E1109">
            <v>2.7410337920287035E-5</v>
          </cell>
          <cell r="F1109">
            <v>2.7410337920287042E-5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1.4883441404680745E-6</v>
          </cell>
          <cell r="W1109">
            <v>3.2247456376808278E-6</v>
          </cell>
          <cell r="X1109">
            <v>2.9766882809361489E-6</v>
          </cell>
          <cell r="Y1109">
            <v>3.1007169593084881E-6</v>
          </cell>
          <cell r="Z1109">
            <v>3.1007169593084881E-6</v>
          </cell>
          <cell r="AA1109">
            <v>3.348774316053167E-6</v>
          </cell>
          <cell r="AB1109">
            <v>3.1007169593084881E-6</v>
          </cell>
          <cell r="AC1109">
            <v>3.2247456376808278E-6</v>
          </cell>
          <cell r="AD1109">
            <v>3.2247456376808278E-6</v>
          </cell>
          <cell r="AE1109">
            <v>6.2014339186169769E-7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>
            <v>0</v>
          </cell>
          <cell r="AM1109">
            <v>0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  <cell r="AR1109">
            <v>0</v>
          </cell>
        </row>
        <row r="1110">
          <cell r="B1110" t="str">
            <v>GY2-3050</v>
          </cell>
          <cell r="C1110" t="str">
            <v>Facilitation of Periodic Coordination &amp; Review Meetings with Contractors</v>
          </cell>
          <cell r="D1110">
            <v>0</v>
          </cell>
          <cell r="E1110">
            <v>4.4961380347240518E-5</v>
          </cell>
          <cell r="F1110">
            <v>4.4961380347240525E-5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2.4413419193071777E-6</v>
          </cell>
          <cell r="W1110">
            <v>5.2895741584988844E-6</v>
          </cell>
          <cell r="X1110">
            <v>4.8826838386143554E-6</v>
          </cell>
          <cell r="Y1110">
            <v>5.0861289985566199E-6</v>
          </cell>
          <cell r="Z1110">
            <v>5.0861289985566199E-6</v>
          </cell>
          <cell r="AA1110">
            <v>5.4930193184411497E-6</v>
          </cell>
          <cell r="AB1110">
            <v>5.0861289985566199E-6</v>
          </cell>
          <cell r="AC1110">
            <v>5.2895741584988844E-6</v>
          </cell>
          <cell r="AD1110">
            <v>5.2895741584988844E-6</v>
          </cell>
          <cell r="AE1110">
            <v>1.0172257997113239E-6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>
            <v>0</v>
          </cell>
          <cell r="AM1110">
            <v>0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  <cell r="AR1110">
            <v>0</v>
          </cell>
        </row>
        <row r="1111">
          <cell r="B1111" t="str">
            <v>PROCESSIMPROVEMENTPROGRAM</v>
          </cell>
          <cell r="D1111">
            <v>0</v>
          </cell>
          <cell r="E1111">
            <v>1.5271375317204769E-4</v>
          </cell>
          <cell r="F1111">
            <v>1.5271375317204769E-4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6.9888979874844136E-6</v>
          </cell>
          <cell r="W1111">
            <v>1.7556094243044716E-5</v>
          </cell>
          <cell r="X1111">
            <v>1.62056254551182E-5</v>
          </cell>
          <cell r="Y1111">
            <v>1.6880859849081457E-5</v>
          </cell>
          <cell r="Z1111">
            <v>1.6880859849081457E-5</v>
          </cell>
          <cell r="AA1111">
            <v>1.8231328637007973E-5</v>
          </cell>
          <cell r="AB1111">
            <v>1.6880859849081457E-5</v>
          </cell>
          <cell r="AC1111">
            <v>1.7556094243044716E-5</v>
          </cell>
          <cell r="AD1111">
            <v>1.7556094243044716E-5</v>
          </cell>
          <cell r="AE1111">
            <v>7.9770388160585793E-6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>
            <v>0</v>
          </cell>
          <cell r="AM1111">
            <v>0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  <cell r="AR1111">
            <v>0</v>
          </cell>
        </row>
        <row r="1112">
          <cell r="B1112" t="str">
            <v>GY2-3020</v>
          </cell>
          <cell r="C1112" t="str">
            <v>Defining, Building and Implementing Project Management Practices</v>
          </cell>
          <cell r="D1112">
            <v>0</v>
          </cell>
          <cell r="E1112">
            <v>9.2840835893033351E-5</v>
          </cell>
          <cell r="F1112">
            <v>9.2840835893033338E-5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4.7610685073350433E-6</v>
          </cell>
          <cell r="W1112">
            <v>1.0315648432559261E-5</v>
          </cell>
          <cell r="X1112">
            <v>9.5221370146700866E-6</v>
          </cell>
          <cell r="Y1112">
            <v>9.918892723614674E-6</v>
          </cell>
          <cell r="Z1112">
            <v>9.918892723614674E-6</v>
          </cell>
          <cell r="AA1112">
            <v>1.0712404141503847E-5</v>
          </cell>
          <cell r="AB1112">
            <v>9.918892723614674E-6</v>
          </cell>
          <cell r="AC1112">
            <v>1.0315648432559261E-5</v>
          </cell>
          <cell r="AD1112">
            <v>1.0315648432559261E-5</v>
          </cell>
          <cell r="AE1112">
            <v>7.1416027610025654E-6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>
            <v>0</v>
          </cell>
          <cell r="AM1112">
            <v>0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  <cell r="AR1112">
            <v>0</v>
          </cell>
        </row>
        <row r="1113">
          <cell r="B1113" t="str">
            <v>GY2-3080</v>
          </cell>
          <cell r="C1113" t="str">
            <v>Overseeing the Implementation and Completion of each Stage &amp; Achievement of Milestones</v>
          </cell>
          <cell r="D1113">
            <v>0</v>
          </cell>
          <cell r="E1113">
            <v>5.9872917279014341E-5</v>
          </cell>
          <cell r="F1113">
            <v>5.9872917279014347E-5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2.2278294801493707E-6</v>
          </cell>
          <cell r="W1113">
            <v>7.240445810485455E-6</v>
          </cell>
          <cell r="X1113">
            <v>6.6834884404481127E-6</v>
          </cell>
          <cell r="Y1113">
            <v>6.9619671254667834E-6</v>
          </cell>
          <cell r="Z1113">
            <v>6.9619671254667834E-6</v>
          </cell>
          <cell r="AA1113">
            <v>7.5189244955041266E-6</v>
          </cell>
          <cell r="AB1113">
            <v>6.9619671254667834E-6</v>
          </cell>
          <cell r="AC1113">
            <v>7.240445810485455E-6</v>
          </cell>
          <cell r="AD1113">
            <v>7.240445810485455E-6</v>
          </cell>
          <cell r="AE1113">
            <v>8.3543605505601408E-7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>
            <v>0</v>
          </cell>
          <cell r="AM1113">
            <v>0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  <cell r="AR1113">
            <v>0</v>
          </cell>
        </row>
        <row r="1114">
          <cell r="B1114" t="str">
            <v>PROFESSIONALRESOURCES&amp;SUPPORTSERVICES</v>
          </cell>
          <cell r="D1114">
            <v>0</v>
          </cell>
          <cell r="E1114">
            <v>1.6519920123263063E-3</v>
          </cell>
          <cell r="F1114">
            <v>1.6519920123263063E-3</v>
          </cell>
          <cell r="G1114">
            <v>2.6084084405152206E-4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1.2498623777468766E-4</v>
          </cell>
          <cell r="U1114">
            <v>1.358546062768344E-4</v>
          </cell>
          <cell r="V1114">
            <v>1.358546062768344E-4</v>
          </cell>
          <cell r="W1114">
            <v>1.4128879052790778E-4</v>
          </cell>
          <cell r="X1114">
            <v>1.3042042202576103E-4</v>
          </cell>
          <cell r="Y1114">
            <v>1.358546062768344E-4</v>
          </cell>
          <cell r="Z1114">
            <v>1.358546062768344E-4</v>
          </cell>
          <cell r="AA1114">
            <v>1.4672297477898115E-4</v>
          </cell>
          <cell r="AB1114">
            <v>1.358546062768344E-4</v>
          </cell>
          <cell r="AC1114">
            <v>1.4128879052790778E-4</v>
          </cell>
          <cell r="AD1114">
            <v>1.4128879052790778E-4</v>
          </cell>
          <cell r="AE1114">
            <v>1.358546062768344E-4</v>
          </cell>
          <cell r="AF1114">
            <v>1.0868368502146754E-5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>
            <v>0</v>
          </cell>
          <cell r="AM1114">
            <v>0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  <cell r="AR1114">
            <v>0</v>
          </cell>
        </row>
        <row r="1115">
          <cell r="B1115" t="str">
            <v>GY2-1110</v>
          </cell>
          <cell r="C1115" t="str">
            <v>Providing Staff to perform Regular Project Management Practices</v>
          </cell>
          <cell r="D1115">
            <v>0</v>
          </cell>
          <cell r="E1115">
            <v>5.0891922131438352E-4</v>
          </cell>
          <cell r="F1115">
            <v>5.0891922131438342E-4</v>
          </cell>
          <cell r="G1115">
            <v>8.0355666523323715E-5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3.8503756875759279E-5</v>
          </cell>
          <cell r="U1115">
            <v>4.1851909647564436E-5</v>
          </cell>
          <cell r="V1115">
            <v>4.1851909647564436E-5</v>
          </cell>
          <cell r="W1115">
            <v>4.3525986033467015E-5</v>
          </cell>
          <cell r="X1115">
            <v>4.0177833261661858E-5</v>
          </cell>
          <cell r="Y1115">
            <v>4.1851909647564436E-5</v>
          </cell>
          <cell r="Z1115">
            <v>4.1851909647564436E-5</v>
          </cell>
          <cell r="AA1115">
            <v>4.5200062419369587E-5</v>
          </cell>
          <cell r="AB1115">
            <v>4.1851909647564436E-5</v>
          </cell>
          <cell r="AC1115">
            <v>4.3525986033467015E-5</v>
          </cell>
          <cell r="AD1115">
            <v>4.3525986033467015E-5</v>
          </cell>
          <cell r="AE1115">
            <v>4.1851909647564436E-5</v>
          </cell>
          <cell r="AF1115">
            <v>3.3481527718051547E-6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>
            <v>0</v>
          </cell>
          <cell r="AM1115">
            <v>0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  <cell r="AR1115">
            <v>0</v>
          </cell>
        </row>
        <row r="1116">
          <cell r="B1116" t="str">
            <v>GY2-1120</v>
          </cell>
          <cell r="C1116" t="str">
            <v>Maintaining documents for an internal DMICDC website focused on Project Management Manuals</v>
          </cell>
          <cell r="D1116">
            <v>0</v>
          </cell>
          <cell r="E1116">
            <v>2.3285319192866043E-4</v>
          </cell>
          <cell r="F1116">
            <v>2.328531919286604E-4</v>
          </cell>
          <cell r="G1116">
            <v>3.6766293462420061E-5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1.7617182284076282E-5</v>
          </cell>
          <cell r="U1116">
            <v>1.9149111178343783E-5</v>
          </cell>
          <cell r="V1116">
            <v>1.9149111178343783E-5</v>
          </cell>
          <cell r="W1116">
            <v>1.9915075625477534E-5</v>
          </cell>
          <cell r="X1116">
            <v>1.8383146731210034E-5</v>
          </cell>
          <cell r="Y1116">
            <v>1.9149111178343783E-5</v>
          </cell>
          <cell r="Z1116">
            <v>1.9149111178343783E-5</v>
          </cell>
          <cell r="AA1116">
            <v>2.068104007261129E-5</v>
          </cell>
          <cell r="AB1116">
            <v>1.9149111178343783E-5</v>
          </cell>
          <cell r="AC1116">
            <v>1.9915075625477534E-5</v>
          </cell>
          <cell r="AD1116">
            <v>1.9915075625477534E-5</v>
          </cell>
          <cell r="AE1116">
            <v>1.9149111178343783E-5</v>
          </cell>
          <cell r="AF1116">
            <v>1.5319288942675028E-6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>
            <v>0</v>
          </cell>
          <cell r="AM1116">
            <v>0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  <cell r="AR1116">
            <v>0</v>
          </cell>
        </row>
        <row r="1117">
          <cell r="B1117" t="str">
            <v>GY2-1130</v>
          </cell>
          <cell r="C1117" t="str">
            <v>Providing support &amp; Training in PMO Processes, Procedures, Tools &amp; Template to DMICDC Staff</v>
          </cell>
          <cell r="D1117">
            <v>0</v>
          </cell>
          <cell r="E1117">
            <v>5.0891922131438352E-4</v>
          </cell>
          <cell r="F1117">
            <v>5.0891922131438342E-4</v>
          </cell>
          <cell r="G1117">
            <v>8.0355666523323715E-5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3.8503756875759279E-5</v>
          </cell>
          <cell r="U1117">
            <v>4.1851909647564436E-5</v>
          </cell>
          <cell r="V1117">
            <v>4.1851909647564436E-5</v>
          </cell>
          <cell r="W1117">
            <v>4.3525986033467015E-5</v>
          </cell>
          <cell r="X1117">
            <v>4.0177833261661858E-5</v>
          </cell>
          <cell r="Y1117">
            <v>4.1851909647564436E-5</v>
          </cell>
          <cell r="Z1117">
            <v>4.1851909647564436E-5</v>
          </cell>
          <cell r="AA1117">
            <v>4.5200062419369587E-5</v>
          </cell>
          <cell r="AB1117">
            <v>4.1851909647564436E-5</v>
          </cell>
          <cell r="AC1117">
            <v>4.3525986033467015E-5</v>
          </cell>
          <cell r="AD1117">
            <v>4.3525986033467015E-5</v>
          </cell>
          <cell r="AE1117">
            <v>4.1851909647564436E-5</v>
          </cell>
          <cell r="AF1117">
            <v>3.3481527718051547E-6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>
            <v>0</v>
          </cell>
          <cell r="AM1117">
            <v>0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  <cell r="AR1117">
            <v>0</v>
          </cell>
        </row>
        <row r="1118">
          <cell r="B1118" t="str">
            <v>GY2-1140</v>
          </cell>
          <cell r="C1118" t="str">
            <v>Providing Consultant Services in Special Technology areas as necessary &amp; Requested</v>
          </cell>
          <cell r="D1118">
            <v>0</v>
          </cell>
          <cell r="E1118">
            <v>2.3285319192866043E-4</v>
          </cell>
          <cell r="F1118">
            <v>2.328531919286604E-4</v>
          </cell>
          <cell r="G1118">
            <v>3.6766293462420061E-5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1.7617182284076282E-5</v>
          </cell>
          <cell r="U1118">
            <v>1.9149111178343783E-5</v>
          </cell>
          <cell r="V1118">
            <v>1.9149111178343783E-5</v>
          </cell>
          <cell r="W1118">
            <v>1.9915075625477534E-5</v>
          </cell>
          <cell r="X1118">
            <v>1.8383146731210034E-5</v>
          </cell>
          <cell r="Y1118">
            <v>1.9149111178343783E-5</v>
          </cell>
          <cell r="Z1118">
            <v>1.9149111178343783E-5</v>
          </cell>
          <cell r="AA1118">
            <v>2.068104007261129E-5</v>
          </cell>
          <cell r="AB1118">
            <v>1.9149111178343783E-5</v>
          </cell>
          <cell r="AC1118">
            <v>1.9915075625477534E-5</v>
          </cell>
          <cell r="AD1118">
            <v>1.9915075625477534E-5</v>
          </cell>
          <cell r="AE1118">
            <v>1.9149111178343783E-5</v>
          </cell>
          <cell r="AF1118">
            <v>1.5319288942675028E-6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>
            <v>0</v>
          </cell>
          <cell r="AM1118">
            <v>0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  <cell r="AR1118">
            <v>0</v>
          </cell>
        </row>
        <row r="1119">
          <cell r="B1119" t="str">
            <v>GY2-1980</v>
          </cell>
          <cell r="C1119" t="str">
            <v>Supporting a Website for the ECC</v>
          </cell>
          <cell r="D1119">
            <v>0</v>
          </cell>
          <cell r="E1119">
            <v>1.6844718584021849E-4</v>
          </cell>
          <cell r="F1119">
            <v>1.6844718584021852E-4</v>
          </cell>
          <cell r="G1119">
            <v>2.6596924080034498E-5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1.274435945501653E-5</v>
          </cell>
          <cell r="U1119">
            <v>1.3852564625017968E-5</v>
          </cell>
          <cell r="V1119">
            <v>1.3852564625017968E-5</v>
          </cell>
          <cell r="W1119">
            <v>1.4406667210018687E-5</v>
          </cell>
          <cell r="X1119">
            <v>1.3298462040017249E-5</v>
          </cell>
          <cell r="Y1119">
            <v>1.3852564625017968E-5</v>
          </cell>
          <cell r="Z1119">
            <v>1.3852564625017968E-5</v>
          </cell>
          <cell r="AA1119">
            <v>1.4960769795019406E-5</v>
          </cell>
          <cell r="AB1119">
            <v>1.3852564625017968E-5</v>
          </cell>
          <cell r="AC1119">
            <v>1.4406667210018687E-5</v>
          </cell>
          <cell r="AD1119">
            <v>1.4406667210018687E-5</v>
          </cell>
          <cell r="AE1119">
            <v>1.3852564625017968E-5</v>
          </cell>
          <cell r="AF1119">
            <v>1.1082051700014374E-6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>
            <v>0</v>
          </cell>
          <cell r="AM1119">
            <v>0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  <cell r="AR1119">
            <v>0</v>
          </cell>
        </row>
        <row r="1120">
          <cell r="B1120" t="str">
            <v>PROGRAMASSURANCEFUNCTIONS</v>
          </cell>
          <cell r="D1120">
            <v>0</v>
          </cell>
          <cell r="E1120">
            <v>5.3470591226521969E-3</v>
          </cell>
          <cell r="F1120">
            <v>5.3470591226521969E-3</v>
          </cell>
          <cell r="G1120">
            <v>8.4427249305034683E-4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4.0454723625329124E-4</v>
          </cell>
          <cell r="U1120">
            <v>4.3972525679705559E-4</v>
          </cell>
          <cell r="V1120">
            <v>4.3972525679705559E-4</v>
          </cell>
          <cell r="W1120">
            <v>4.5731426706893788E-4</v>
          </cell>
          <cell r="X1120">
            <v>4.2213624652517342E-4</v>
          </cell>
          <cell r="Y1120">
            <v>4.3972525679705559E-4</v>
          </cell>
          <cell r="Z1120">
            <v>4.3972525679705559E-4</v>
          </cell>
          <cell r="AA1120">
            <v>4.7490327734082006E-4</v>
          </cell>
          <cell r="AB1120">
            <v>4.3972525679705559E-4</v>
          </cell>
          <cell r="AC1120">
            <v>4.5731426706893788E-4</v>
          </cell>
          <cell r="AD1120">
            <v>4.5731426706893788E-4</v>
          </cell>
          <cell r="AE1120">
            <v>4.3972525679705559E-4</v>
          </cell>
          <cell r="AF1120">
            <v>3.5178020543764451E-5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>
            <v>0</v>
          </cell>
          <cell r="AM1120">
            <v>0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  <cell r="AR1120">
            <v>0</v>
          </cell>
        </row>
        <row r="1121">
          <cell r="B1121" t="str">
            <v>QUALITYASSURANCE</v>
          </cell>
          <cell r="D1121">
            <v>0</v>
          </cell>
          <cell r="E1121">
            <v>1.067773788630029E-4</v>
          </cell>
          <cell r="F1121">
            <v>1.0677737886300288E-4</v>
          </cell>
          <cell r="G1121">
            <v>1.6859586136263615E-5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8.0785516902929818E-6</v>
          </cell>
          <cell r="U1121">
            <v>8.7810344459706335E-6</v>
          </cell>
          <cell r="V1121">
            <v>8.7810344459706335E-6</v>
          </cell>
          <cell r="W1121">
            <v>9.1322758238094576E-6</v>
          </cell>
          <cell r="X1121">
            <v>8.4297930681318077E-6</v>
          </cell>
          <cell r="Y1121">
            <v>8.7810344459706335E-6</v>
          </cell>
          <cell r="Z1121">
            <v>8.7810344459706335E-6</v>
          </cell>
          <cell r="AA1121">
            <v>9.4835172016482851E-6</v>
          </cell>
          <cell r="AB1121">
            <v>8.7810344459706335E-6</v>
          </cell>
          <cell r="AC1121">
            <v>9.1322758238094576E-6</v>
          </cell>
          <cell r="AD1121">
            <v>9.1322758238094576E-6</v>
          </cell>
          <cell r="AE1121">
            <v>8.7810344459706335E-6</v>
          </cell>
          <cell r="AF1121">
            <v>7.0248275567765067E-7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>
            <v>0</v>
          </cell>
          <cell r="AM1121">
            <v>0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  <cell r="AR1121">
            <v>0</v>
          </cell>
        </row>
        <row r="1122">
          <cell r="B1122" t="str">
            <v>GY2-2820</v>
          </cell>
          <cell r="C1122" t="str">
            <v>Overseeing &amp; Manage the Independent 3rd Party Consultants used for Quality Check &amp; Value Engineering</v>
          </cell>
          <cell r="D1122">
            <v>0</v>
          </cell>
          <cell r="E1122">
            <v>1.067773788630029E-4</v>
          </cell>
          <cell r="F1122">
            <v>1.0677737886300288E-4</v>
          </cell>
          <cell r="G1122">
            <v>1.6859586136263615E-5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8.0785516902929818E-6</v>
          </cell>
          <cell r="U1122">
            <v>8.7810344459706335E-6</v>
          </cell>
          <cell r="V1122">
            <v>8.7810344459706335E-6</v>
          </cell>
          <cell r="W1122">
            <v>9.1322758238094576E-6</v>
          </cell>
          <cell r="X1122">
            <v>8.4297930681318077E-6</v>
          </cell>
          <cell r="Y1122">
            <v>8.7810344459706335E-6</v>
          </cell>
          <cell r="Z1122">
            <v>8.7810344459706335E-6</v>
          </cell>
          <cell r="AA1122">
            <v>9.4835172016482851E-6</v>
          </cell>
          <cell r="AB1122">
            <v>8.7810344459706335E-6</v>
          </cell>
          <cell r="AC1122">
            <v>9.1322758238094576E-6</v>
          </cell>
          <cell r="AD1122">
            <v>9.1322758238094576E-6</v>
          </cell>
          <cell r="AE1122">
            <v>8.7810344459706335E-6</v>
          </cell>
          <cell r="AF1122">
            <v>7.0248275567765067E-7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>
            <v>0</v>
          </cell>
          <cell r="AM1122">
            <v>0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  <cell r="AR1122">
            <v>0</v>
          </cell>
        </row>
        <row r="1123">
          <cell r="B1123" t="str">
            <v>HEALTH&amp;SAFETY</v>
          </cell>
          <cell r="D1123">
            <v>0</v>
          </cell>
          <cell r="E1123">
            <v>1.0521186317462771E-4</v>
          </cell>
          <cell r="F1123">
            <v>1.0521186317462773E-4</v>
          </cell>
          <cell r="G1123">
            <v>1.6612399448625431E-5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7.9601080691330187E-6</v>
          </cell>
          <cell r="U1123">
            <v>8.6522913794924111E-6</v>
          </cell>
          <cell r="V1123">
            <v>8.6522913794924111E-6</v>
          </cell>
          <cell r="W1123">
            <v>8.9983830346721064E-6</v>
          </cell>
          <cell r="X1123">
            <v>8.306199724312714E-6</v>
          </cell>
          <cell r="Y1123">
            <v>8.6522913794924111E-6</v>
          </cell>
          <cell r="Z1123">
            <v>8.6522913794924111E-6</v>
          </cell>
          <cell r="AA1123">
            <v>9.3444746898518035E-6</v>
          </cell>
          <cell r="AB1123">
            <v>8.6522913794924111E-6</v>
          </cell>
          <cell r="AC1123">
            <v>8.9983830346721064E-6</v>
          </cell>
          <cell r="AD1123">
            <v>8.9983830346721064E-6</v>
          </cell>
          <cell r="AE1123">
            <v>8.6522913794924111E-6</v>
          </cell>
          <cell r="AF1123">
            <v>6.9218331035939283E-7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>
            <v>0</v>
          </cell>
          <cell r="AM1123">
            <v>0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  <cell r="AR1123">
            <v>0</v>
          </cell>
        </row>
        <row r="1124">
          <cell r="B1124" t="str">
            <v>GY2-2710</v>
          </cell>
          <cell r="C1124" t="str">
            <v>Delivering basic &amp; Specified health &amp; Safety Training across the Programme</v>
          </cell>
          <cell r="D1124">
            <v>0</v>
          </cell>
          <cell r="E1124">
            <v>5.2605931587313857E-5</v>
          </cell>
          <cell r="F1124">
            <v>5.2605931587313864E-5</v>
          </cell>
          <cell r="G1124">
            <v>8.3061997243127157E-6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3.9800540345665093E-6</v>
          </cell>
          <cell r="U1124">
            <v>4.3261456897462055E-6</v>
          </cell>
          <cell r="V1124">
            <v>4.3261456897462055E-6</v>
          </cell>
          <cell r="W1124">
            <v>4.4991915173360532E-6</v>
          </cell>
          <cell r="X1124">
            <v>4.153099862156357E-6</v>
          </cell>
          <cell r="Y1124">
            <v>4.3261456897462055E-6</v>
          </cell>
          <cell r="Z1124">
            <v>4.3261456897462055E-6</v>
          </cell>
          <cell r="AA1124">
            <v>4.6722373449259017E-6</v>
          </cell>
          <cell r="AB1124">
            <v>4.3261456897462055E-6</v>
          </cell>
          <cell r="AC1124">
            <v>4.4991915173360532E-6</v>
          </cell>
          <cell r="AD1124">
            <v>4.4991915173360532E-6</v>
          </cell>
          <cell r="AE1124">
            <v>4.3261456897462055E-6</v>
          </cell>
          <cell r="AF1124">
            <v>3.4609165517969642E-7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>
            <v>0</v>
          </cell>
          <cell r="AM1124">
            <v>0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  <cell r="AR1124">
            <v>0</v>
          </cell>
        </row>
        <row r="1125">
          <cell r="B1125" t="str">
            <v>GY2-2720</v>
          </cell>
          <cell r="C1125" t="str">
            <v>Implementation of a Program to Monitor &amp; Evaluate Health &amp; Safety Practices</v>
          </cell>
          <cell r="D1125">
            <v>0</v>
          </cell>
          <cell r="E1125">
            <v>5.2605931587313857E-5</v>
          </cell>
          <cell r="F1125">
            <v>5.2605931587313864E-5</v>
          </cell>
          <cell r="G1125">
            <v>8.3061997243127157E-6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3.9800540345665093E-6</v>
          </cell>
          <cell r="U1125">
            <v>4.3261456897462055E-6</v>
          </cell>
          <cell r="V1125">
            <v>4.3261456897462055E-6</v>
          </cell>
          <cell r="W1125">
            <v>4.4991915173360532E-6</v>
          </cell>
          <cell r="X1125">
            <v>4.153099862156357E-6</v>
          </cell>
          <cell r="Y1125">
            <v>4.3261456897462055E-6</v>
          </cell>
          <cell r="Z1125">
            <v>4.3261456897462055E-6</v>
          </cell>
          <cell r="AA1125">
            <v>4.6722373449259017E-6</v>
          </cell>
          <cell r="AB1125">
            <v>4.3261456897462055E-6</v>
          </cell>
          <cell r="AC1125">
            <v>4.4991915173360532E-6</v>
          </cell>
          <cell r="AD1125">
            <v>4.4991915173360532E-6</v>
          </cell>
          <cell r="AE1125">
            <v>4.3261456897462055E-6</v>
          </cell>
          <cell r="AF1125">
            <v>3.4609165517969642E-7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>
            <v>0</v>
          </cell>
          <cell r="AM1125">
            <v>0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  <cell r="AR1125">
            <v>0</v>
          </cell>
        </row>
        <row r="1126">
          <cell r="B1126" t="str">
            <v>SUSTAINABILITY&amp;ENVIRONMENT</v>
          </cell>
          <cell r="D1126">
            <v>0</v>
          </cell>
          <cell r="E1126">
            <v>1.5126519071450993E-3</v>
          </cell>
          <cell r="F1126">
            <v>1.5126519071450995E-3</v>
          </cell>
          <cell r="G1126">
            <v>2.3883977481238409E-4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1.1444405876426738E-4</v>
          </cell>
          <cell r="U1126">
            <v>1.2439571604811671E-4</v>
          </cell>
          <cell r="V1126">
            <v>1.2439571604811671E-4</v>
          </cell>
          <cell r="W1126">
            <v>1.2937154469004139E-4</v>
          </cell>
          <cell r="X1126">
            <v>1.1941988740619204E-4</v>
          </cell>
          <cell r="Y1126">
            <v>1.2439571604811671E-4</v>
          </cell>
          <cell r="Z1126">
            <v>1.2439571604811671E-4</v>
          </cell>
          <cell r="AA1126">
            <v>1.3434737333196603E-4</v>
          </cell>
          <cell r="AB1126">
            <v>1.2439571604811671E-4</v>
          </cell>
          <cell r="AC1126">
            <v>1.2937154469004139E-4</v>
          </cell>
          <cell r="AD1126">
            <v>1.2937154469004139E-4</v>
          </cell>
          <cell r="AE1126">
            <v>1.2439571604811671E-4</v>
          </cell>
          <cell r="AF1126">
            <v>9.951657283849337E-6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>
            <v>0</v>
          </cell>
          <cell r="AM1126">
            <v>0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  <cell r="AR1126">
            <v>0</v>
          </cell>
        </row>
        <row r="1127">
          <cell r="B1127" t="str">
            <v>GY2-1590</v>
          </cell>
          <cell r="C1127" t="str">
            <v>Monitor Progress against Environment Goals at the Project &amp; Programme Level</v>
          </cell>
          <cell r="D1127">
            <v>0</v>
          </cell>
          <cell r="E1127">
            <v>1.3080839001390532E-3</v>
          </cell>
          <cell r="F1127">
            <v>1.3080839001390534E-3</v>
          </cell>
          <cell r="G1127">
            <v>2.0653956317985051E-4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9.8966874023678371E-5</v>
          </cell>
          <cell r="U1127">
            <v>1.0757268915617213E-4</v>
          </cell>
          <cell r="V1127">
            <v>1.0757268915617213E-4</v>
          </cell>
          <cell r="W1127">
            <v>1.1187559672241903E-4</v>
          </cell>
          <cell r="X1127">
            <v>1.0326978158992524E-4</v>
          </cell>
          <cell r="Y1127">
            <v>1.0757268915617213E-4</v>
          </cell>
          <cell r="Z1127">
            <v>1.0757268915617213E-4</v>
          </cell>
          <cell r="AA1127">
            <v>1.1617850428866589E-4</v>
          </cell>
          <cell r="AB1127">
            <v>1.0757268915617213E-4</v>
          </cell>
          <cell r="AC1127">
            <v>1.1187559672241903E-4</v>
          </cell>
          <cell r="AD1127">
            <v>1.1187559672241903E-4</v>
          </cell>
          <cell r="AE1127">
            <v>1.0757268915617213E-4</v>
          </cell>
          <cell r="AF1127">
            <v>8.6058151324937703E-6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>
            <v>0</v>
          </cell>
          <cell r="AM1127">
            <v>0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  <cell r="AR1127">
            <v>0</v>
          </cell>
        </row>
        <row r="1128">
          <cell r="B1128" t="str">
            <v>GY2-2690</v>
          </cell>
          <cell r="C1128" t="str">
            <v>Implementation of framework that enables Program to define its sustainability and Env. Goals &amp; Strategy</v>
          </cell>
          <cell r="D1128">
            <v>0</v>
          </cell>
          <cell r="E1128">
            <v>2.0456800700604608E-4</v>
          </cell>
          <cell r="F1128">
            <v>2.0456800700604608E-4</v>
          </cell>
          <cell r="G1128">
            <v>3.2300211632533586E-5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1.5477184740589011E-5</v>
          </cell>
          <cell r="U1128">
            <v>1.6823026891944578E-5</v>
          </cell>
          <cell r="V1128">
            <v>1.6823026891944578E-5</v>
          </cell>
          <cell r="W1128">
            <v>1.7495947967622363E-5</v>
          </cell>
          <cell r="X1128">
            <v>1.6150105816266796E-5</v>
          </cell>
          <cell r="Y1128">
            <v>1.6823026891944578E-5</v>
          </cell>
          <cell r="Z1128">
            <v>1.6823026891944578E-5</v>
          </cell>
          <cell r="AA1128">
            <v>1.8168869043300145E-5</v>
          </cell>
          <cell r="AB1128">
            <v>1.6823026891944578E-5</v>
          </cell>
          <cell r="AC1128">
            <v>1.7495947967622363E-5</v>
          </cell>
          <cell r="AD1128">
            <v>1.7495947967622363E-5</v>
          </cell>
          <cell r="AE1128">
            <v>1.6823026891944578E-5</v>
          </cell>
          <cell r="AF1128">
            <v>1.3458421513555662E-6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>
            <v>0</v>
          </cell>
          <cell r="AM1128">
            <v>0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  <cell r="AR1128">
            <v>0</v>
          </cell>
        </row>
        <row r="1129">
          <cell r="B1129" t="str">
            <v>SECURITY</v>
          </cell>
          <cell r="D1129">
            <v>0</v>
          </cell>
          <cell r="E1129">
            <v>3.6224179734694667E-3</v>
          </cell>
          <cell r="F1129">
            <v>3.6224179734694667E-3</v>
          </cell>
          <cell r="G1129">
            <v>5.7196073265307367E-4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2.7406451772959782E-4</v>
          </cell>
          <cell r="U1129">
            <v>2.9789621492347585E-4</v>
          </cell>
          <cell r="V1129">
            <v>2.9789621492347585E-4</v>
          </cell>
          <cell r="W1129">
            <v>3.0981206352041492E-4</v>
          </cell>
          <cell r="X1129">
            <v>2.8598036632653684E-4</v>
          </cell>
          <cell r="Y1129">
            <v>2.9789621492347585E-4</v>
          </cell>
          <cell r="Z1129">
            <v>2.9789621492347585E-4</v>
          </cell>
          <cell r="AA1129">
            <v>3.2172791211735393E-4</v>
          </cell>
          <cell r="AB1129">
            <v>2.9789621492347585E-4</v>
          </cell>
          <cell r="AC1129">
            <v>3.0981206352041492E-4</v>
          </cell>
          <cell r="AD1129">
            <v>3.0981206352041492E-4</v>
          </cell>
          <cell r="AE1129">
            <v>2.9789621492347585E-4</v>
          </cell>
          <cell r="AF1129">
            <v>2.3831697193878072E-5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>
            <v>0</v>
          </cell>
          <cell r="AM1129">
            <v>0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  <cell r="AR1129">
            <v>0</v>
          </cell>
        </row>
        <row r="1130">
          <cell r="B1130" t="str">
            <v>GY2-1150</v>
          </cell>
          <cell r="C1130" t="str">
            <v>Implementation of Crisis Managment Response</v>
          </cell>
          <cell r="D1130">
            <v>0</v>
          </cell>
          <cell r="E1130">
            <v>5.705717615744479E-4</v>
          </cell>
          <cell r="F1130">
            <v>5.705717615744479E-4</v>
          </cell>
          <cell r="G1130">
            <v>9.0090278143333886E-5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4.3168258277014153E-5</v>
          </cell>
          <cell r="U1130">
            <v>4.6922019866319726E-5</v>
          </cell>
          <cell r="V1130">
            <v>4.6922019866319726E-5</v>
          </cell>
          <cell r="W1130">
            <v>4.8798900660972516E-5</v>
          </cell>
          <cell r="X1130">
            <v>4.5045139071666943E-5</v>
          </cell>
          <cell r="Y1130">
            <v>4.6922019866319726E-5</v>
          </cell>
          <cell r="Z1130">
            <v>4.6922019866319726E-5</v>
          </cell>
          <cell r="AA1130">
            <v>5.0675781455625306E-5</v>
          </cell>
          <cell r="AB1130">
            <v>4.6922019866319726E-5</v>
          </cell>
          <cell r="AC1130">
            <v>4.8798900660972516E-5</v>
          </cell>
          <cell r="AD1130">
            <v>4.8798900660972516E-5</v>
          </cell>
          <cell r="AE1130">
            <v>4.6922019866319726E-5</v>
          </cell>
          <cell r="AF1130">
            <v>3.7537615893055784E-6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>
            <v>0</v>
          </cell>
          <cell r="AM1130">
            <v>0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  <cell r="AR1130">
            <v>0</v>
          </cell>
        </row>
        <row r="1131">
          <cell r="B1131" t="str">
            <v>GY2-1160</v>
          </cell>
          <cell r="C1131" t="str">
            <v>Implementation of Business Continiuty</v>
          </cell>
          <cell r="D1131">
            <v>0</v>
          </cell>
          <cell r="E1131">
            <v>5.705717615744479E-4</v>
          </cell>
          <cell r="F1131">
            <v>5.705717615744479E-4</v>
          </cell>
          <cell r="G1131">
            <v>9.0090278143333886E-5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4.3168258277014153E-5</v>
          </cell>
          <cell r="U1131">
            <v>4.6922019866319726E-5</v>
          </cell>
          <cell r="V1131">
            <v>4.6922019866319726E-5</v>
          </cell>
          <cell r="W1131">
            <v>4.8798900660972516E-5</v>
          </cell>
          <cell r="X1131">
            <v>4.5045139071666943E-5</v>
          </cell>
          <cell r="Y1131">
            <v>4.6922019866319726E-5</v>
          </cell>
          <cell r="Z1131">
            <v>4.6922019866319726E-5</v>
          </cell>
          <cell r="AA1131">
            <v>5.0675781455625306E-5</v>
          </cell>
          <cell r="AB1131">
            <v>4.6922019866319726E-5</v>
          </cell>
          <cell r="AC1131">
            <v>4.8798900660972516E-5</v>
          </cell>
          <cell r="AD1131">
            <v>4.8798900660972516E-5</v>
          </cell>
          <cell r="AE1131">
            <v>4.6922019866319726E-5</v>
          </cell>
          <cell r="AF1131">
            <v>3.7537615893055784E-6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>
            <v>0</v>
          </cell>
          <cell r="AM1131">
            <v>0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  <cell r="AR1131">
            <v>0</v>
          </cell>
        </row>
        <row r="1132">
          <cell r="B1132" t="str">
            <v>GY2-1170</v>
          </cell>
          <cell r="C1132" t="str">
            <v>Implementation of Employee Protection</v>
          </cell>
          <cell r="D1132">
            <v>0</v>
          </cell>
          <cell r="E1132">
            <v>5.705717615744479E-4</v>
          </cell>
          <cell r="F1132">
            <v>5.705717615744479E-4</v>
          </cell>
          <cell r="G1132">
            <v>9.0090278143333886E-5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4.3168258277014153E-5</v>
          </cell>
          <cell r="U1132">
            <v>4.6922019866319726E-5</v>
          </cell>
          <cell r="V1132">
            <v>4.6922019866319726E-5</v>
          </cell>
          <cell r="W1132">
            <v>4.8798900660972516E-5</v>
          </cell>
          <cell r="X1132">
            <v>4.5045139071666943E-5</v>
          </cell>
          <cell r="Y1132">
            <v>4.6922019866319726E-5</v>
          </cell>
          <cell r="Z1132">
            <v>4.6922019866319726E-5</v>
          </cell>
          <cell r="AA1132">
            <v>5.0675781455625306E-5</v>
          </cell>
          <cell r="AB1132">
            <v>4.6922019866319726E-5</v>
          </cell>
          <cell r="AC1132">
            <v>4.8798900660972516E-5</v>
          </cell>
          <cell r="AD1132">
            <v>4.8798900660972516E-5</v>
          </cell>
          <cell r="AE1132">
            <v>4.6922019866319726E-5</v>
          </cell>
          <cell r="AF1132">
            <v>3.7537615893055784E-6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>
            <v>0</v>
          </cell>
          <cell r="AM1132">
            <v>0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  <cell r="AR1132">
            <v>0</v>
          </cell>
        </row>
        <row r="1133">
          <cell r="B1133" t="str">
            <v>GY2-1180</v>
          </cell>
          <cell r="C1133" t="str">
            <v>Implementation of Information Security</v>
          </cell>
          <cell r="D1133">
            <v>0</v>
          </cell>
          <cell r="E1133">
            <v>7.6955916559722707E-4</v>
          </cell>
          <cell r="F1133">
            <v>7.6955916559722707E-4</v>
          </cell>
          <cell r="G1133">
            <v>1.2150934193640427E-4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5.8223226344527046E-5</v>
          </cell>
          <cell r="U1133">
            <v>6.3286115591877233E-5</v>
          </cell>
          <cell r="V1133">
            <v>6.3286115591877233E-5</v>
          </cell>
          <cell r="W1133">
            <v>6.5817560215552316E-5</v>
          </cell>
          <cell r="X1133">
            <v>6.0754670968202129E-5</v>
          </cell>
          <cell r="Y1133">
            <v>6.3286115591877233E-5</v>
          </cell>
          <cell r="Z1133">
            <v>6.3286115591877233E-5</v>
          </cell>
          <cell r="AA1133">
            <v>6.83490048392274E-5</v>
          </cell>
          <cell r="AB1133">
            <v>6.3286115591877233E-5</v>
          </cell>
          <cell r="AC1133">
            <v>6.5817560215552316E-5</v>
          </cell>
          <cell r="AD1133">
            <v>6.5817560215552316E-5</v>
          </cell>
          <cell r="AE1133">
            <v>6.3286115591877233E-5</v>
          </cell>
          <cell r="AF1133">
            <v>5.0628892473501777E-6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>
            <v>0</v>
          </cell>
          <cell r="AM1133">
            <v>0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  <cell r="AR1133">
            <v>0</v>
          </cell>
        </row>
        <row r="1134">
          <cell r="B1134" t="str">
            <v>GY2-1190</v>
          </cell>
          <cell r="C1134" t="str">
            <v>Implementation of Programe Office Security</v>
          </cell>
          <cell r="D1134">
            <v>0</v>
          </cell>
          <cell r="E1134">
            <v>5.705717615744479E-4</v>
          </cell>
          <cell r="F1134">
            <v>5.705717615744479E-4</v>
          </cell>
          <cell r="G1134">
            <v>9.0090278143333886E-5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4.3168258277014153E-5</v>
          </cell>
          <cell r="U1134">
            <v>4.6922019866319726E-5</v>
          </cell>
          <cell r="V1134">
            <v>4.6922019866319726E-5</v>
          </cell>
          <cell r="W1134">
            <v>4.8798900660972516E-5</v>
          </cell>
          <cell r="X1134">
            <v>4.5045139071666943E-5</v>
          </cell>
          <cell r="Y1134">
            <v>4.6922019866319726E-5</v>
          </cell>
          <cell r="Z1134">
            <v>4.6922019866319726E-5</v>
          </cell>
          <cell r="AA1134">
            <v>5.0675781455625306E-5</v>
          </cell>
          <cell r="AB1134">
            <v>4.6922019866319726E-5</v>
          </cell>
          <cell r="AC1134">
            <v>4.8798900660972516E-5</v>
          </cell>
          <cell r="AD1134">
            <v>4.8798900660972516E-5</v>
          </cell>
          <cell r="AE1134">
            <v>4.6922019866319726E-5</v>
          </cell>
          <cell r="AF1134">
            <v>3.7537615893055784E-6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>
            <v>0</v>
          </cell>
          <cell r="AM1134">
            <v>0</v>
          </cell>
          <cell r="AN1134">
            <v>0</v>
          </cell>
          <cell r="AO1134">
            <v>0</v>
          </cell>
          <cell r="AP1134">
            <v>0</v>
          </cell>
          <cell r="AQ1134">
            <v>0</v>
          </cell>
          <cell r="AR1134">
            <v>0</v>
          </cell>
        </row>
        <row r="1135">
          <cell r="B1135" t="str">
            <v>GY2-1240</v>
          </cell>
          <cell r="C1135" t="str">
            <v>Implementation of Securities for Fcilities &amp; Job Sites</v>
          </cell>
          <cell r="D1135">
            <v>0</v>
          </cell>
          <cell r="E1135">
            <v>5.705717615744479E-4</v>
          </cell>
          <cell r="F1135">
            <v>5.705717615744479E-4</v>
          </cell>
          <cell r="G1135">
            <v>9.0090278143333886E-5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4.3168258277014153E-5</v>
          </cell>
          <cell r="U1135">
            <v>4.6922019866319726E-5</v>
          </cell>
          <cell r="V1135">
            <v>4.6922019866319726E-5</v>
          </cell>
          <cell r="W1135">
            <v>4.8798900660972516E-5</v>
          </cell>
          <cell r="X1135">
            <v>4.5045139071666943E-5</v>
          </cell>
          <cell r="Y1135">
            <v>4.6922019866319726E-5</v>
          </cell>
          <cell r="Z1135">
            <v>4.6922019866319726E-5</v>
          </cell>
          <cell r="AA1135">
            <v>5.0675781455625306E-5</v>
          </cell>
          <cell r="AB1135">
            <v>4.6922019866319726E-5</v>
          </cell>
          <cell r="AC1135">
            <v>4.8798900660972516E-5</v>
          </cell>
          <cell r="AD1135">
            <v>4.8798900660972516E-5</v>
          </cell>
          <cell r="AE1135">
            <v>4.6922019866319726E-5</v>
          </cell>
          <cell r="AF1135">
            <v>3.7537615893055784E-6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>
            <v>0</v>
          </cell>
          <cell r="AM1135">
            <v>0</v>
          </cell>
          <cell r="AN1135">
            <v>0</v>
          </cell>
          <cell r="AO1135">
            <v>0</v>
          </cell>
          <cell r="AP1135">
            <v>0</v>
          </cell>
          <cell r="AQ1135">
            <v>0</v>
          </cell>
          <cell r="AR1135">
            <v>0</v>
          </cell>
        </row>
        <row r="1136">
          <cell r="B1136" t="str">
            <v>WORKSHOPFORAPPROVALOFMANUALS&amp;PROCEDDURES</v>
          </cell>
        </row>
        <row r="1137">
          <cell r="B1137" t="str">
            <v>INVOICES</v>
          </cell>
          <cell r="D1137">
            <v>201325871</v>
          </cell>
          <cell r="E1137">
            <v>1.4496099717116017E-4</v>
          </cell>
          <cell r="F1137">
            <v>1.4496099717116017E-4</v>
          </cell>
          <cell r="G1137">
            <v>1.2321529359094254E-5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1.2321529359094254E-5</v>
          </cell>
          <cell r="V1137">
            <v>1.3770782485318064E-5</v>
          </cell>
          <cell r="W1137">
            <v>1.2321529359094254E-5</v>
          </cell>
          <cell r="X1137">
            <v>7.2489995280013251E-6</v>
          </cell>
          <cell r="Y1137">
            <v>1.9569665551238018E-5</v>
          </cell>
          <cell r="Z1137">
            <v>1.3046731479444533E-5</v>
          </cell>
          <cell r="AA1137">
            <v>1.3046731479444533E-5</v>
          </cell>
          <cell r="AB1137">
            <v>1.3046731479444533E-5</v>
          </cell>
          <cell r="AC1137">
            <v>1.3770782485318064E-5</v>
          </cell>
          <cell r="AD1137">
            <v>1.3046731479444533E-5</v>
          </cell>
          <cell r="AE1137">
            <v>1.3770782485318064E-5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>
            <v>0</v>
          </cell>
          <cell r="AM1137">
            <v>0</v>
          </cell>
          <cell r="AN1137">
            <v>0</v>
          </cell>
          <cell r="AO1137">
            <v>0</v>
          </cell>
          <cell r="AP1137">
            <v>0</v>
          </cell>
          <cell r="AQ1137">
            <v>0</v>
          </cell>
          <cell r="AR1137">
            <v>0</v>
          </cell>
        </row>
        <row r="1138">
          <cell r="B1138" t="str">
            <v>INVOICES FOR YEAR 2</v>
          </cell>
          <cell r="D1138">
            <v>125931</v>
          </cell>
          <cell r="E1138">
            <v>1.4496099717116017E-4</v>
          </cell>
          <cell r="F1138">
            <v>1.4496099717116017E-4</v>
          </cell>
          <cell r="G1138">
            <v>1.2321529359094254E-5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1.2321529359094254E-5</v>
          </cell>
          <cell r="V1138">
            <v>1.3770782485318064E-5</v>
          </cell>
          <cell r="W1138">
            <v>1.2321529359094254E-5</v>
          </cell>
          <cell r="X1138">
            <v>7.2489995280013251E-6</v>
          </cell>
          <cell r="Y1138">
            <v>1.9569665551238018E-5</v>
          </cell>
          <cell r="Z1138">
            <v>1.3046731479444533E-5</v>
          </cell>
          <cell r="AA1138">
            <v>1.3046731479444533E-5</v>
          </cell>
          <cell r="AB1138">
            <v>1.3046731479444533E-5</v>
          </cell>
          <cell r="AC1138">
            <v>1.3770782485318064E-5</v>
          </cell>
          <cell r="AD1138">
            <v>1.3046731479444533E-5</v>
          </cell>
          <cell r="AE1138">
            <v>1.3770782485318064E-5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>
            <v>0</v>
          </cell>
          <cell r="AM1138">
            <v>0</v>
          </cell>
          <cell r="AN1138">
            <v>0</v>
          </cell>
          <cell r="AO1138">
            <v>0</v>
          </cell>
          <cell r="AP1138">
            <v>0</v>
          </cell>
          <cell r="AQ1138">
            <v>0</v>
          </cell>
          <cell r="AR1138">
            <v>0</v>
          </cell>
        </row>
        <row r="1139">
          <cell r="B1139" t="str">
            <v>D+1MONTH</v>
          </cell>
          <cell r="D1139">
            <v>11334</v>
          </cell>
          <cell r="E1139">
            <v>1.3046731479444533E-5</v>
          </cell>
          <cell r="F1139">
            <v>1.3046731479444533E-5</v>
          </cell>
          <cell r="G1139">
            <v>1.2321529359094254E-5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1.2321529359094254E-5</v>
          </cell>
          <cell r="V1139">
            <v>7.2520212035027843E-7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>
            <v>0</v>
          </cell>
          <cell r="AM1139">
            <v>0</v>
          </cell>
          <cell r="AN1139">
            <v>0</v>
          </cell>
          <cell r="AO1139">
            <v>0</v>
          </cell>
          <cell r="AP1139">
            <v>0</v>
          </cell>
          <cell r="AQ1139">
            <v>0</v>
          </cell>
          <cell r="AR1139">
            <v>0</v>
          </cell>
        </row>
        <row r="1140">
          <cell r="B1140" t="str">
            <v>GY2-1270</v>
          </cell>
          <cell r="C1140" t="str">
            <v>Preparation of Monthly Invoice for D+1</v>
          </cell>
          <cell r="D1140">
            <v>10074</v>
          </cell>
          <cell r="E1140">
            <v>1.1596327238743976E-5</v>
          </cell>
          <cell r="F1140">
            <v>1.1596327238743976E-5</v>
          </cell>
          <cell r="G1140">
            <v>1.1596327238743976E-5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1.1596327238743976E-5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>
            <v>0</v>
          </cell>
          <cell r="AM1140">
            <v>0</v>
          </cell>
          <cell r="AN1140">
            <v>0</v>
          </cell>
          <cell r="AO1140">
            <v>0</v>
          </cell>
          <cell r="AP1140">
            <v>0</v>
          </cell>
          <cell r="AQ1140">
            <v>0</v>
          </cell>
          <cell r="AR1140">
            <v>0</v>
          </cell>
        </row>
        <row r="1141">
          <cell r="B1141" t="str">
            <v>GY2-1310</v>
          </cell>
          <cell r="C1141" t="str">
            <v>Submission of invoice for D+1 MONTH</v>
          </cell>
          <cell r="D1141">
            <v>630</v>
          </cell>
          <cell r="E1141">
            <v>7.2520212035027843E-7</v>
          </cell>
          <cell r="F1141">
            <v>7.2520212035027843E-7</v>
          </cell>
          <cell r="G1141">
            <v>7.2520212035027843E-7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7.2520212035027843E-7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>
            <v>0</v>
          </cell>
          <cell r="AM1141">
            <v>0</v>
          </cell>
          <cell r="AN1141">
            <v>0</v>
          </cell>
          <cell r="AO1141">
            <v>0</v>
          </cell>
          <cell r="AP1141">
            <v>0</v>
          </cell>
          <cell r="AQ1141">
            <v>0</v>
          </cell>
          <cell r="AR1141">
            <v>0</v>
          </cell>
        </row>
        <row r="1142">
          <cell r="B1142" t="str">
            <v>GY2-1440</v>
          </cell>
          <cell r="C1142" t="str">
            <v>Receipt of Payment for D+1 Month</v>
          </cell>
          <cell r="D1142">
            <v>630</v>
          </cell>
          <cell r="E1142">
            <v>7.2520212035027843E-7</v>
          </cell>
          <cell r="F1142">
            <v>7.2520212035027843E-7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7.2520212035027843E-7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>
            <v>0</v>
          </cell>
          <cell r="AM1142">
            <v>0</v>
          </cell>
          <cell r="AN1142">
            <v>0</v>
          </cell>
          <cell r="AO1142">
            <v>0</v>
          </cell>
          <cell r="AP1142">
            <v>0</v>
          </cell>
          <cell r="AQ1142">
            <v>0</v>
          </cell>
          <cell r="AR1142">
            <v>0</v>
          </cell>
        </row>
        <row r="1143">
          <cell r="B1143" t="str">
            <v>D+2MONTH</v>
          </cell>
          <cell r="D1143">
            <v>11963</v>
          </cell>
          <cell r="E1143">
            <v>1.3770782485318064E-5</v>
          </cell>
          <cell r="F1143">
            <v>1.3770782485318064E-5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1.3045580364967786E-5</v>
          </cell>
          <cell r="W1143">
            <v>7.2520212035027843E-7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>
            <v>0</v>
          </cell>
          <cell r="AM1143">
            <v>0</v>
          </cell>
          <cell r="AN1143">
            <v>0</v>
          </cell>
          <cell r="AO1143">
            <v>0</v>
          </cell>
          <cell r="AP1143">
            <v>0</v>
          </cell>
          <cell r="AQ1143">
            <v>0</v>
          </cell>
          <cell r="AR1143">
            <v>0</v>
          </cell>
        </row>
        <row r="1144">
          <cell r="B1144" t="str">
            <v>GY2-1420</v>
          </cell>
          <cell r="C1144" t="str">
            <v>Preparation of Monthly Invoice for D+2 Month</v>
          </cell>
          <cell r="D1144">
            <v>10703</v>
          </cell>
          <cell r="E1144">
            <v>1.2320378244617507E-5</v>
          </cell>
          <cell r="F1144">
            <v>1.2320378244617507E-5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1.2320378244617507E-5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>
            <v>0</v>
          </cell>
          <cell r="AM1144">
            <v>0</v>
          </cell>
          <cell r="AN1144">
            <v>0</v>
          </cell>
          <cell r="AO1144">
            <v>0</v>
          </cell>
          <cell r="AP1144">
            <v>0</v>
          </cell>
          <cell r="AQ1144">
            <v>0</v>
          </cell>
          <cell r="AR1144">
            <v>0</v>
          </cell>
        </row>
        <row r="1145">
          <cell r="B1145" t="str">
            <v>GY2-1490</v>
          </cell>
          <cell r="C1145" t="str">
            <v>Submission of invoice for D+2 Month</v>
          </cell>
          <cell r="D1145">
            <v>630</v>
          </cell>
          <cell r="E1145">
            <v>7.2520212035027843E-7</v>
          </cell>
          <cell r="F1145">
            <v>7.2520212035027843E-7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7.2520212035027843E-7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>
            <v>0</v>
          </cell>
          <cell r="AM1145">
            <v>0</v>
          </cell>
          <cell r="AN1145">
            <v>0</v>
          </cell>
          <cell r="AO1145">
            <v>0</v>
          </cell>
          <cell r="AP1145">
            <v>0</v>
          </cell>
          <cell r="AQ1145">
            <v>0</v>
          </cell>
          <cell r="AR1145">
            <v>0</v>
          </cell>
        </row>
        <row r="1146">
          <cell r="B1146" t="str">
            <v>GY2-1660</v>
          </cell>
          <cell r="C1146" t="str">
            <v>Receipt of Payment for D+2 Month</v>
          </cell>
          <cell r="D1146">
            <v>630</v>
          </cell>
          <cell r="E1146">
            <v>7.2520212035027843E-7</v>
          </cell>
          <cell r="F1146">
            <v>7.2520212035027843E-7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7.2520212035027843E-7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>
            <v>0</v>
          </cell>
          <cell r="AM1146">
            <v>0</v>
          </cell>
          <cell r="AN1146">
            <v>0</v>
          </cell>
          <cell r="AO1146">
            <v>0</v>
          </cell>
          <cell r="AP1146">
            <v>0</v>
          </cell>
          <cell r="AQ1146">
            <v>0</v>
          </cell>
          <cell r="AR1146">
            <v>0</v>
          </cell>
        </row>
        <row r="1147">
          <cell r="B1147" t="str">
            <v>D+3MONTH</v>
          </cell>
          <cell r="D1147">
            <v>11334</v>
          </cell>
          <cell r="E1147">
            <v>1.3046731479444533E-5</v>
          </cell>
          <cell r="F1147">
            <v>1.3046731479444533E-5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1.1596327238743976E-5</v>
          </cell>
          <cell r="X1147">
            <v>1.4504042407005569E-6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>
            <v>0</v>
          </cell>
          <cell r="AM1147">
            <v>0</v>
          </cell>
          <cell r="AN1147">
            <v>0</v>
          </cell>
          <cell r="AO1147">
            <v>0</v>
          </cell>
          <cell r="AP1147">
            <v>0</v>
          </cell>
          <cell r="AQ1147">
            <v>0</v>
          </cell>
          <cell r="AR1147">
            <v>0</v>
          </cell>
        </row>
        <row r="1148">
          <cell r="B1148" t="str">
            <v>GY2-1580</v>
          </cell>
          <cell r="C1148" t="str">
            <v>Preparation of Monthly Invoice for D+3 Month</v>
          </cell>
          <cell r="D1148">
            <v>10074</v>
          </cell>
          <cell r="E1148">
            <v>1.1596327238743976E-5</v>
          </cell>
          <cell r="F1148">
            <v>1.1596327238743976E-5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1.1596327238743976E-5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>
            <v>0</v>
          </cell>
          <cell r="AM1148">
            <v>0</v>
          </cell>
          <cell r="AN1148">
            <v>0</v>
          </cell>
          <cell r="AO1148">
            <v>0</v>
          </cell>
          <cell r="AP1148">
            <v>0</v>
          </cell>
          <cell r="AQ1148">
            <v>0</v>
          </cell>
          <cell r="AR1148">
            <v>0</v>
          </cell>
        </row>
        <row r="1149">
          <cell r="B1149" t="str">
            <v>GY2-1690</v>
          </cell>
          <cell r="C1149" t="str">
            <v>Submission of invoice for D+3 Month</v>
          </cell>
          <cell r="D1149">
            <v>630</v>
          </cell>
          <cell r="E1149">
            <v>7.2520212035027843E-7</v>
          </cell>
          <cell r="F1149">
            <v>7.2520212035027843E-7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7.2520212035027843E-7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>
            <v>0</v>
          </cell>
          <cell r="AM1149">
            <v>0</v>
          </cell>
          <cell r="AN1149">
            <v>0</v>
          </cell>
          <cell r="AO1149">
            <v>0</v>
          </cell>
          <cell r="AP1149">
            <v>0</v>
          </cell>
          <cell r="AQ1149">
            <v>0</v>
          </cell>
          <cell r="AR1149">
            <v>0</v>
          </cell>
        </row>
        <row r="1150">
          <cell r="B1150" t="str">
            <v>GY2-2050</v>
          </cell>
          <cell r="C1150" t="str">
            <v>Receipt of Payment for D+3 Month</v>
          </cell>
          <cell r="D1150">
            <v>630</v>
          </cell>
          <cell r="E1150">
            <v>7.2520212035027843E-7</v>
          </cell>
          <cell r="F1150">
            <v>7.2520212035027843E-7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7.2520212035027843E-7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>
            <v>0</v>
          </cell>
          <cell r="AM1150">
            <v>0</v>
          </cell>
          <cell r="AN1150">
            <v>0</v>
          </cell>
          <cell r="AO1150">
            <v>0</v>
          </cell>
          <cell r="AP1150">
            <v>0</v>
          </cell>
          <cell r="AQ1150">
            <v>0</v>
          </cell>
          <cell r="AR1150">
            <v>0</v>
          </cell>
        </row>
        <row r="1151">
          <cell r="B1151" t="str">
            <v>D+4MONTH</v>
          </cell>
          <cell r="D1151">
            <v>11334</v>
          </cell>
          <cell r="E1151">
            <v>1.3046731479444533E-5</v>
          </cell>
          <cell r="F1151">
            <v>1.3046731479444533E-5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5.7985952873007681E-6</v>
          </cell>
          <cell r="Y1151">
            <v>7.2481361921437645E-6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>
            <v>0</v>
          </cell>
          <cell r="AM1151">
            <v>0</v>
          </cell>
          <cell r="AN1151">
            <v>0</v>
          </cell>
          <cell r="AO1151">
            <v>0</v>
          </cell>
          <cell r="AP1151">
            <v>0</v>
          </cell>
          <cell r="AQ1151">
            <v>0</v>
          </cell>
          <cell r="AR1151">
            <v>0</v>
          </cell>
        </row>
        <row r="1152">
          <cell r="B1152" t="str">
            <v>GY2-2000</v>
          </cell>
          <cell r="C1152" t="str">
            <v>Preparation of Monthly Invoice for D+4 Month</v>
          </cell>
          <cell r="D1152">
            <v>10074</v>
          </cell>
          <cell r="E1152">
            <v>1.1596327238743976E-5</v>
          </cell>
          <cell r="F1152">
            <v>1.1596327238743976E-5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5.07339316695049E-6</v>
          </cell>
          <cell r="Y1152">
            <v>6.5229340717934864E-6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>
            <v>0</v>
          </cell>
          <cell r="AM1152">
            <v>0</v>
          </cell>
          <cell r="AN1152">
            <v>0</v>
          </cell>
          <cell r="AO1152">
            <v>0</v>
          </cell>
          <cell r="AP1152">
            <v>0</v>
          </cell>
          <cell r="AQ1152">
            <v>0</v>
          </cell>
          <cell r="AR1152">
            <v>0</v>
          </cell>
        </row>
        <row r="1153">
          <cell r="B1153" t="str">
            <v>GY2-2140</v>
          </cell>
          <cell r="C1153" t="str">
            <v>Submission of invoice for D+4 Month</v>
          </cell>
          <cell r="D1153">
            <v>630</v>
          </cell>
          <cell r="E1153">
            <v>7.2520212035027843E-7</v>
          </cell>
          <cell r="F1153">
            <v>7.2520212035027843E-7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7.2520212035027843E-7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>
            <v>0</v>
          </cell>
          <cell r="AM1153">
            <v>0</v>
          </cell>
          <cell r="AN1153">
            <v>0</v>
          </cell>
          <cell r="AO1153">
            <v>0</v>
          </cell>
          <cell r="AP1153">
            <v>0</v>
          </cell>
          <cell r="AQ1153">
            <v>0</v>
          </cell>
          <cell r="AR1153">
            <v>0</v>
          </cell>
        </row>
        <row r="1154">
          <cell r="B1154" t="str">
            <v>GY2-2250</v>
          </cell>
          <cell r="C1154" t="str">
            <v>Receipt of Payment for D+4 Month</v>
          </cell>
          <cell r="D1154">
            <v>630</v>
          </cell>
          <cell r="E1154">
            <v>7.2520212035027843E-7</v>
          </cell>
          <cell r="F1154">
            <v>7.2520212035027843E-7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7.2520212035027843E-7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>
            <v>0</v>
          </cell>
          <cell r="AM1154">
            <v>0</v>
          </cell>
          <cell r="AN1154">
            <v>0</v>
          </cell>
          <cell r="AO1154">
            <v>0</v>
          </cell>
          <cell r="AP1154">
            <v>0</v>
          </cell>
          <cell r="AQ1154">
            <v>0</v>
          </cell>
          <cell r="AR1154">
            <v>0</v>
          </cell>
        </row>
        <row r="1155">
          <cell r="B1155" t="str">
            <v>D+5MONTH</v>
          </cell>
          <cell r="D1155">
            <v>11334</v>
          </cell>
          <cell r="E1155">
            <v>1.3046731479444533E-5</v>
          </cell>
          <cell r="F1155">
            <v>1.3046731479444533E-5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1.2321529359094254E-5</v>
          </cell>
          <cell r="Z1155">
            <v>7.2520212035027843E-7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>
            <v>0</v>
          </cell>
          <cell r="AM1155">
            <v>0</v>
          </cell>
          <cell r="AN1155">
            <v>0</v>
          </cell>
          <cell r="AO1155">
            <v>0</v>
          </cell>
          <cell r="AP1155">
            <v>0</v>
          </cell>
          <cell r="AQ1155">
            <v>0</v>
          </cell>
          <cell r="AR1155">
            <v>0</v>
          </cell>
        </row>
        <row r="1156">
          <cell r="B1156" t="str">
            <v>GY2-2180</v>
          </cell>
          <cell r="C1156" t="str">
            <v>Preparation of Monthly Invoice for D+5 Month</v>
          </cell>
          <cell r="D1156">
            <v>10074</v>
          </cell>
          <cell r="E1156">
            <v>1.1596327238743976E-5</v>
          </cell>
          <cell r="F1156">
            <v>1.1596327238743976E-5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1.1596327238743976E-5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>
            <v>0</v>
          </cell>
          <cell r="AM1156">
            <v>0</v>
          </cell>
          <cell r="AN1156">
            <v>0</v>
          </cell>
          <cell r="AO1156">
            <v>0</v>
          </cell>
          <cell r="AP1156">
            <v>0</v>
          </cell>
          <cell r="AQ1156">
            <v>0</v>
          </cell>
          <cell r="AR1156">
            <v>0</v>
          </cell>
        </row>
        <row r="1157">
          <cell r="B1157" t="str">
            <v>GY2-2280</v>
          </cell>
          <cell r="C1157" t="str">
            <v>Submission of invoice for D+5 Month</v>
          </cell>
          <cell r="D1157">
            <v>630</v>
          </cell>
          <cell r="E1157">
            <v>7.2520212035027843E-7</v>
          </cell>
          <cell r="F1157">
            <v>7.2520212035027843E-7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7.2520212035027843E-7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>
            <v>0</v>
          </cell>
          <cell r="AM1157">
            <v>0</v>
          </cell>
          <cell r="AN1157">
            <v>0</v>
          </cell>
          <cell r="AO1157">
            <v>0</v>
          </cell>
          <cell r="AP1157">
            <v>0</v>
          </cell>
          <cell r="AQ1157">
            <v>0</v>
          </cell>
          <cell r="AR1157">
            <v>0</v>
          </cell>
        </row>
        <row r="1158">
          <cell r="B1158" t="str">
            <v>GY2-2320</v>
          </cell>
          <cell r="C1158" t="str">
            <v>Receipt of Payment for D+5 Month</v>
          </cell>
          <cell r="D1158">
            <v>630</v>
          </cell>
          <cell r="E1158">
            <v>7.2520212035027843E-7</v>
          </cell>
          <cell r="F1158">
            <v>7.2520212035027843E-7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7.2520212035027843E-7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>
            <v>0</v>
          </cell>
          <cell r="AM1158">
            <v>0</v>
          </cell>
          <cell r="AN1158">
            <v>0</v>
          </cell>
          <cell r="AO1158">
            <v>0</v>
          </cell>
          <cell r="AP1158">
            <v>0</v>
          </cell>
          <cell r="AQ1158">
            <v>0</v>
          </cell>
          <cell r="AR1158">
            <v>0</v>
          </cell>
        </row>
        <row r="1159">
          <cell r="B1159" t="str">
            <v>D+6MONTH</v>
          </cell>
          <cell r="D1159">
            <v>11334</v>
          </cell>
          <cell r="E1159">
            <v>1.3046731479444533E-5</v>
          </cell>
          <cell r="F1159">
            <v>1.3046731479444533E-5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1.2321529359094254E-5</v>
          </cell>
          <cell r="AA1159">
            <v>7.2520212035027843E-7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>
            <v>0</v>
          </cell>
          <cell r="AM1159">
            <v>0</v>
          </cell>
          <cell r="AN1159">
            <v>0</v>
          </cell>
          <cell r="AO1159">
            <v>0</v>
          </cell>
          <cell r="AP1159">
            <v>0</v>
          </cell>
          <cell r="AQ1159">
            <v>0</v>
          </cell>
          <cell r="AR1159">
            <v>0</v>
          </cell>
        </row>
        <row r="1160">
          <cell r="B1160" t="str">
            <v>GY2-2310</v>
          </cell>
          <cell r="C1160" t="str">
            <v>Preparation of Monthly Invoice for D+6 Month</v>
          </cell>
          <cell r="D1160">
            <v>10074</v>
          </cell>
          <cell r="E1160">
            <v>1.1596327238743976E-5</v>
          </cell>
          <cell r="F1160">
            <v>1.1596327238743976E-5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1.1596327238743976E-5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>
            <v>0</v>
          </cell>
          <cell r="AM1160">
            <v>0</v>
          </cell>
          <cell r="AN1160">
            <v>0</v>
          </cell>
          <cell r="AO1160">
            <v>0</v>
          </cell>
          <cell r="AP1160">
            <v>0</v>
          </cell>
          <cell r="AQ1160">
            <v>0</v>
          </cell>
          <cell r="AR1160">
            <v>0</v>
          </cell>
        </row>
        <row r="1161">
          <cell r="B1161" t="str">
            <v>GY2-2360</v>
          </cell>
          <cell r="C1161" t="str">
            <v>Submission of invoice for D+6 Month</v>
          </cell>
          <cell r="D1161">
            <v>630</v>
          </cell>
          <cell r="E1161">
            <v>7.2520212035027843E-7</v>
          </cell>
          <cell r="F1161">
            <v>7.2520212035027843E-7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7.2520212035027843E-7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>
            <v>0</v>
          </cell>
          <cell r="AM1161">
            <v>0</v>
          </cell>
          <cell r="AN1161">
            <v>0</v>
          </cell>
          <cell r="AO1161">
            <v>0</v>
          </cell>
          <cell r="AP1161">
            <v>0</v>
          </cell>
          <cell r="AQ1161">
            <v>0</v>
          </cell>
          <cell r="AR1161">
            <v>0</v>
          </cell>
        </row>
        <row r="1162">
          <cell r="B1162" t="str">
            <v>GY2-2430</v>
          </cell>
          <cell r="C1162" t="str">
            <v>Receipt of Payment for D+6 Month</v>
          </cell>
          <cell r="D1162">
            <v>630</v>
          </cell>
          <cell r="E1162">
            <v>7.2520212035027843E-7</v>
          </cell>
          <cell r="F1162">
            <v>7.2520212035027843E-7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7.2520212035027843E-7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>
            <v>0</v>
          </cell>
          <cell r="AM1162">
            <v>0</v>
          </cell>
          <cell r="AN1162">
            <v>0</v>
          </cell>
          <cell r="AO1162">
            <v>0</v>
          </cell>
          <cell r="AP1162">
            <v>0</v>
          </cell>
          <cell r="AQ1162">
            <v>0</v>
          </cell>
          <cell r="AR1162">
            <v>0</v>
          </cell>
        </row>
        <row r="1163">
          <cell r="B1163" t="str">
            <v>D+7MONTH</v>
          </cell>
          <cell r="D1163">
            <v>11334</v>
          </cell>
          <cell r="E1163">
            <v>1.3046731479444533E-5</v>
          </cell>
          <cell r="F1163">
            <v>1.3046731479444533E-5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1.2321529359094254E-5</v>
          </cell>
          <cell r="AB1163">
            <v>7.2520212035027843E-7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>
            <v>0</v>
          </cell>
          <cell r="AM1163">
            <v>0</v>
          </cell>
          <cell r="AN1163">
            <v>0</v>
          </cell>
          <cell r="AO1163">
            <v>0</v>
          </cell>
          <cell r="AP1163">
            <v>0</v>
          </cell>
          <cell r="AQ1163">
            <v>0</v>
          </cell>
          <cell r="AR1163">
            <v>0</v>
          </cell>
        </row>
        <row r="1164">
          <cell r="B1164" t="str">
            <v>GY2-2410</v>
          </cell>
          <cell r="C1164" t="str">
            <v>Preparation of Monthly Invoice for D+7 Month</v>
          </cell>
          <cell r="D1164">
            <v>10074</v>
          </cell>
          <cell r="E1164">
            <v>1.1596327238743976E-5</v>
          </cell>
          <cell r="F1164">
            <v>1.1596327238743976E-5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1.1596327238743976E-5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>
            <v>0</v>
          </cell>
          <cell r="AM1164">
            <v>0</v>
          </cell>
          <cell r="AN1164">
            <v>0</v>
          </cell>
          <cell r="AO1164">
            <v>0</v>
          </cell>
          <cell r="AP1164">
            <v>0</v>
          </cell>
          <cell r="AQ1164">
            <v>0</v>
          </cell>
          <cell r="AR1164">
            <v>0</v>
          </cell>
        </row>
        <row r="1165">
          <cell r="B1165" t="str">
            <v>GY2-2480</v>
          </cell>
          <cell r="C1165" t="str">
            <v>Submission of invoice for D+7 Month</v>
          </cell>
          <cell r="D1165">
            <v>630</v>
          </cell>
          <cell r="E1165">
            <v>7.2520212035027843E-7</v>
          </cell>
          <cell r="F1165">
            <v>7.2520212035027843E-7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7.2520212035027843E-7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>
            <v>0</v>
          </cell>
          <cell r="AM1165">
            <v>0</v>
          </cell>
          <cell r="AN1165">
            <v>0</v>
          </cell>
          <cell r="AO1165">
            <v>0</v>
          </cell>
          <cell r="AP1165">
            <v>0</v>
          </cell>
          <cell r="AQ1165">
            <v>0</v>
          </cell>
          <cell r="AR1165">
            <v>0</v>
          </cell>
        </row>
        <row r="1166">
          <cell r="B1166" t="str">
            <v>GY2-2520</v>
          </cell>
          <cell r="C1166" t="str">
            <v>Receipt of Payment for D+7 Month</v>
          </cell>
          <cell r="D1166">
            <v>630</v>
          </cell>
          <cell r="E1166">
            <v>7.2520212035027843E-7</v>
          </cell>
          <cell r="F1166">
            <v>7.2520212035027843E-7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7.2520212035027843E-7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>
            <v>0</v>
          </cell>
          <cell r="AM1166">
            <v>0</v>
          </cell>
          <cell r="AN1166">
            <v>0</v>
          </cell>
          <cell r="AO1166">
            <v>0</v>
          </cell>
          <cell r="AP1166">
            <v>0</v>
          </cell>
          <cell r="AQ1166">
            <v>0</v>
          </cell>
          <cell r="AR1166">
            <v>0</v>
          </cell>
        </row>
        <row r="1167">
          <cell r="B1167" t="str">
            <v>D+8MONTH</v>
          </cell>
          <cell r="D1167">
            <v>11334</v>
          </cell>
          <cell r="E1167">
            <v>1.3046731479444533E-5</v>
          </cell>
          <cell r="F1167">
            <v>1.3046731479444533E-5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1.2321529359094254E-5</v>
          </cell>
          <cell r="AC1167">
            <v>7.2520212035027843E-7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>
            <v>0</v>
          </cell>
          <cell r="AM1167">
            <v>0</v>
          </cell>
          <cell r="AN1167">
            <v>0</v>
          </cell>
          <cell r="AO1167">
            <v>0</v>
          </cell>
          <cell r="AP1167">
            <v>0</v>
          </cell>
          <cell r="AQ1167">
            <v>0</v>
          </cell>
          <cell r="AR1167">
            <v>0</v>
          </cell>
        </row>
        <row r="1168">
          <cell r="B1168" t="str">
            <v>GY2-2510</v>
          </cell>
          <cell r="C1168" t="str">
            <v>Preparation of Monthly Invoice for D+8 Month</v>
          </cell>
          <cell r="D1168">
            <v>10074</v>
          </cell>
          <cell r="E1168">
            <v>1.1596327238743976E-5</v>
          </cell>
          <cell r="F1168">
            <v>1.1596327238743976E-5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1.1596327238743976E-5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>
            <v>0</v>
          </cell>
          <cell r="AM1168">
            <v>0</v>
          </cell>
          <cell r="AN1168">
            <v>0</v>
          </cell>
          <cell r="AO1168">
            <v>0</v>
          </cell>
          <cell r="AP1168">
            <v>0</v>
          </cell>
          <cell r="AQ1168">
            <v>0</v>
          </cell>
          <cell r="AR1168">
            <v>0</v>
          </cell>
        </row>
        <row r="1169">
          <cell r="B1169" t="str">
            <v>GY2-2570</v>
          </cell>
          <cell r="C1169" t="str">
            <v>Submission of invoice for D+8 Month</v>
          </cell>
          <cell r="D1169">
            <v>630</v>
          </cell>
          <cell r="E1169">
            <v>7.2520212035027843E-7</v>
          </cell>
          <cell r="F1169">
            <v>7.2520212035027843E-7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7.2520212035027843E-7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>
            <v>0</v>
          </cell>
          <cell r="AM1169">
            <v>0</v>
          </cell>
          <cell r="AN1169">
            <v>0</v>
          </cell>
          <cell r="AO1169">
            <v>0</v>
          </cell>
          <cell r="AP1169">
            <v>0</v>
          </cell>
          <cell r="AQ1169">
            <v>0</v>
          </cell>
          <cell r="AR1169">
            <v>0</v>
          </cell>
        </row>
        <row r="1170">
          <cell r="B1170" t="str">
            <v>GY2-2640</v>
          </cell>
          <cell r="C1170" t="str">
            <v>Receipt of Payment for D+8 Month</v>
          </cell>
          <cell r="D1170">
            <v>630</v>
          </cell>
          <cell r="E1170">
            <v>7.2520212035027843E-7</v>
          </cell>
          <cell r="F1170">
            <v>7.2520212035027843E-7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7.2520212035027843E-7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>
            <v>0</v>
          </cell>
          <cell r="AM1170">
            <v>0</v>
          </cell>
          <cell r="AN1170">
            <v>0</v>
          </cell>
          <cell r="AO1170">
            <v>0</v>
          </cell>
          <cell r="AP1170">
            <v>0</v>
          </cell>
          <cell r="AQ1170">
            <v>0</v>
          </cell>
          <cell r="AR1170">
            <v>0</v>
          </cell>
        </row>
        <row r="1171">
          <cell r="B1171" t="str">
            <v>D+9MONTH</v>
          </cell>
          <cell r="D1171">
            <v>11963</v>
          </cell>
          <cell r="E1171">
            <v>1.3770782485318064E-5</v>
          </cell>
          <cell r="F1171">
            <v>1.3770782485318064E-5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1.3045580364967786E-5</v>
          </cell>
          <cell r="AD1171">
            <v>7.2520212035027843E-7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>
            <v>0</v>
          </cell>
          <cell r="AM1171">
            <v>0</v>
          </cell>
          <cell r="AN1171">
            <v>0</v>
          </cell>
          <cell r="AO1171">
            <v>0</v>
          </cell>
          <cell r="AP1171">
            <v>0</v>
          </cell>
          <cell r="AQ1171">
            <v>0</v>
          </cell>
          <cell r="AR1171">
            <v>0</v>
          </cell>
        </row>
        <row r="1172">
          <cell r="B1172" t="str">
            <v>GY2-2620</v>
          </cell>
          <cell r="C1172" t="str">
            <v>Preparation of Monthly Invoice for D+9 Month</v>
          </cell>
          <cell r="D1172">
            <v>10703</v>
          </cell>
          <cell r="E1172">
            <v>1.2320378244617507E-5</v>
          </cell>
          <cell r="F1172">
            <v>1.2320378244617507E-5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1.2320378244617507E-5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>
            <v>0</v>
          </cell>
          <cell r="AM1172">
            <v>0</v>
          </cell>
          <cell r="AN1172">
            <v>0</v>
          </cell>
          <cell r="AO1172">
            <v>0</v>
          </cell>
          <cell r="AP1172">
            <v>0</v>
          </cell>
          <cell r="AQ1172">
            <v>0</v>
          </cell>
          <cell r="AR1172">
            <v>0</v>
          </cell>
        </row>
        <row r="1173">
          <cell r="B1173" t="str">
            <v>GY2-2680</v>
          </cell>
          <cell r="C1173" t="str">
            <v>Submission of invoice for D+9 Month</v>
          </cell>
          <cell r="D1173">
            <v>630</v>
          </cell>
          <cell r="E1173">
            <v>7.2520212035027843E-7</v>
          </cell>
          <cell r="F1173">
            <v>7.2520212035027843E-7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7.2520212035027843E-7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>
            <v>0</v>
          </cell>
          <cell r="AM1173">
            <v>0</v>
          </cell>
          <cell r="AN1173">
            <v>0</v>
          </cell>
          <cell r="AO1173">
            <v>0</v>
          </cell>
          <cell r="AP1173">
            <v>0</v>
          </cell>
          <cell r="AQ1173">
            <v>0</v>
          </cell>
          <cell r="AR1173">
            <v>0</v>
          </cell>
        </row>
        <row r="1174">
          <cell r="B1174" t="str">
            <v>GY2-2800</v>
          </cell>
          <cell r="C1174" t="str">
            <v>Receipt of Payment for D+9 Month</v>
          </cell>
          <cell r="D1174">
            <v>630</v>
          </cell>
          <cell r="E1174">
            <v>7.2520212035027843E-7</v>
          </cell>
          <cell r="F1174">
            <v>7.2520212035027843E-7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7.2520212035027843E-7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>
            <v>0</v>
          </cell>
          <cell r="AM1174">
            <v>0</v>
          </cell>
          <cell r="AN1174">
            <v>0</v>
          </cell>
          <cell r="AO1174">
            <v>0</v>
          </cell>
          <cell r="AP1174">
            <v>0</v>
          </cell>
          <cell r="AQ1174">
            <v>0</v>
          </cell>
          <cell r="AR1174">
            <v>0</v>
          </cell>
        </row>
        <row r="1175">
          <cell r="B1175" t="str">
            <v>D+10MONTH</v>
          </cell>
          <cell r="D1175">
            <v>11334</v>
          </cell>
          <cell r="E1175">
            <v>1.3046731479444533E-5</v>
          </cell>
          <cell r="F1175">
            <v>1.3046731479444533E-5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1.2321529359094254E-5</v>
          </cell>
          <cell r="AE1175">
            <v>7.2520212035027843E-7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>
            <v>0</v>
          </cell>
          <cell r="AM1175">
            <v>0</v>
          </cell>
          <cell r="AN1175">
            <v>0</v>
          </cell>
          <cell r="AO1175">
            <v>0</v>
          </cell>
          <cell r="AP1175">
            <v>0</v>
          </cell>
          <cell r="AQ1175">
            <v>0</v>
          </cell>
          <cell r="AR1175">
            <v>0</v>
          </cell>
        </row>
        <row r="1176">
          <cell r="B1176" t="str">
            <v>GY2-2750</v>
          </cell>
          <cell r="C1176" t="str">
            <v>Preparation of Monthly Invoice for D+10 Month</v>
          </cell>
          <cell r="D1176">
            <v>10074</v>
          </cell>
          <cell r="E1176">
            <v>1.1596327238743976E-5</v>
          </cell>
          <cell r="F1176">
            <v>1.1596327238743976E-5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1.1596327238743976E-5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>
            <v>0</v>
          </cell>
          <cell r="AM1176">
            <v>0</v>
          </cell>
          <cell r="AN1176">
            <v>0</v>
          </cell>
          <cell r="AO1176">
            <v>0</v>
          </cell>
          <cell r="AP1176">
            <v>0</v>
          </cell>
          <cell r="AQ1176">
            <v>0</v>
          </cell>
          <cell r="AR1176">
            <v>0</v>
          </cell>
        </row>
        <row r="1177">
          <cell r="B1177" t="str">
            <v>GY2-2840</v>
          </cell>
          <cell r="C1177" t="str">
            <v>Submission of invoice for D+10 Month</v>
          </cell>
          <cell r="D1177">
            <v>630</v>
          </cell>
          <cell r="E1177">
            <v>7.2520212035027843E-7</v>
          </cell>
          <cell r="F1177">
            <v>7.2520212035027843E-7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7.2520212035027843E-7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>
            <v>0</v>
          </cell>
          <cell r="AM1177">
            <v>0</v>
          </cell>
          <cell r="AN1177">
            <v>0</v>
          </cell>
          <cell r="AO1177">
            <v>0</v>
          </cell>
          <cell r="AP1177">
            <v>0</v>
          </cell>
          <cell r="AQ1177">
            <v>0</v>
          </cell>
          <cell r="AR1177">
            <v>0</v>
          </cell>
        </row>
        <row r="1178">
          <cell r="B1178" t="str">
            <v>GY2-3090</v>
          </cell>
          <cell r="C1178" t="str">
            <v>Receipt of Payment for D+10 Month</v>
          </cell>
          <cell r="D1178">
            <v>630</v>
          </cell>
          <cell r="E1178">
            <v>7.2520212035027843E-7</v>
          </cell>
          <cell r="F1178">
            <v>7.2520212035027843E-7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7.2520212035027843E-7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>
            <v>0</v>
          </cell>
          <cell r="AM1178">
            <v>0</v>
          </cell>
          <cell r="AN1178">
            <v>0</v>
          </cell>
          <cell r="AO1178">
            <v>0</v>
          </cell>
          <cell r="AP1178">
            <v>0</v>
          </cell>
          <cell r="AQ1178">
            <v>0</v>
          </cell>
          <cell r="AR1178">
            <v>0</v>
          </cell>
        </row>
        <row r="1179">
          <cell r="B1179" t="str">
            <v>D+11MONTH</v>
          </cell>
          <cell r="D1179">
            <v>11333</v>
          </cell>
          <cell r="E1179">
            <v>1.3045580364967786E-5</v>
          </cell>
          <cell r="F1179">
            <v>1.3045580364967786E-5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1.3045580364967786E-5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>
            <v>0</v>
          </cell>
          <cell r="AM1179">
            <v>0</v>
          </cell>
          <cell r="AN1179">
            <v>0</v>
          </cell>
          <cell r="AO1179">
            <v>0</v>
          </cell>
          <cell r="AP1179">
            <v>0</v>
          </cell>
          <cell r="AQ1179">
            <v>0</v>
          </cell>
          <cell r="AR1179">
            <v>0</v>
          </cell>
        </row>
        <row r="1180">
          <cell r="B1180" t="str">
            <v>GY2-3070</v>
          </cell>
          <cell r="C1180" t="str">
            <v>Preparation of Monthly Invoice for D+11 Month</v>
          </cell>
          <cell r="D1180">
            <v>10703</v>
          </cell>
          <cell r="E1180">
            <v>1.2320378244617507E-5</v>
          </cell>
          <cell r="F1180">
            <v>1.2320378244617507E-5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1.2320378244617507E-5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>
            <v>0</v>
          </cell>
          <cell r="AM1180">
            <v>0</v>
          </cell>
          <cell r="AN1180">
            <v>0</v>
          </cell>
          <cell r="AO1180">
            <v>0</v>
          </cell>
          <cell r="AP1180">
            <v>0</v>
          </cell>
          <cell r="AQ1180">
            <v>0</v>
          </cell>
          <cell r="AR1180">
            <v>0</v>
          </cell>
        </row>
        <row r="1181">
          <cell r="B1181" t="str">
            <v>GY2-3650</v>
          </cell>
          <cell r="C1181" t="str">
            <v>Submission of invoice for D+11 Month</v>
          </cell>
          <cell r="D1181">
            <v>630</v>
          </cell>
          <cell r="E1181">
            <v>7.2520212035027843E-7</v>
          </cell>
          <cell r="F1181">
            <v>7.2520212035027843E-7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7.2520212035027843E-7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>
            <v>0</v>
          </cell>
          <cell r="AM1181">
            <v>0</v>
          </cell>
          <cell r="AN1181">
            <v>0</v>
          </cell>
          <cell r="AO1181">
            <v>0</v>
          </cell>
          <cell r="AP1181">
            <v>0</v>
          </cell>
          <cell r="AQ1181">
            <v>0</v>
          </cell>
          <cell r="AR1181">
            <v>0</v>
          </cell>
        </row>
        <row r="1182">
          <cell r="B1182" t="str">
            <v>GY2-3680</v>
          </cell>
          <cell r="C1182" t="str">
            <v>Receipt of Payment for D+11 Month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>
            <v>0</v>
          </cell>
          <cell r="AM1182">
            <v>0</v>
          </cell>
          <cell r="AN1182">
            <v>0</v>
          </cell>
          <cell r="AO1182">
            <v>0</v>
          </cell>
          <cell r="AP1182">
            <v>0</v>
          </cell>
          <cell r="AQ1182">
            <v>0</v>
          </cell>
          <cell r="AR1182">
            <v>0</v>
          </cell>
        </row>
        <row r="1183">
          <cell r="B1183" t="str">
            <v>D+12MONTH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>
            <v>0</v>
          </cell>
          <cell r="AM1183">
            <v>0</v>
          </cell>
          <cell r="AN1183">
            <v>0</v>
          </cell>
          <cell r="AO1183">
            <v>0</v>
          </cell>
          <cell r="AP1183">
            <v>0</v>
          </cell>
          <cell r="AQ1183">
            <v>0</v>
          </cell>
          <cell r="AR1183">
            <v>0</v>
          </cell>
        </row>
        <row r="1184">
          <cell r="B1184" t="str">
            <v>GY2-3695</v>
          </cell>
          <cell r="C1184" t="str">
            <v>Preparation of Monthly Invoice for D+12 Month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>
            <v>0</v>
          </cell>
          <cell r="AM1184">
            <v>0</v>
          </cell>
          <cell r="AN1184">
            <v>0</v>
          </cell>
          <cell r="AO1184">
            <v>0</v>
          </cell>
          <cell r="AP1184">
            <v>0</v>
          </cell>
          <cell r="AQ1184">
            <v>0</v>
          </cell>
          <cell r="AR1184">
            <v>0</v>
          </cell>
        </row>
        <row r="1185">
          <cell r="B1185" t="str">
            <v>GY2-3700</v>
          </cell>
          <cell r="C1185" t="str">
            <v>Submission of invoice for D+12 Month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>
            <v>0</v>
          </cell>
          <cell r="AM1185">
            <v>0</v>
          </cell>
          <cell r="AN1185">
            <v>0</v>
          </cell>
          <cell r="AO1185">
            <v>0</v>
          </cell>
          <cell r="AP1185">
            <v>0</v>
          </cell>
          <cell r="AQ1185">
            <v>0</v>
          </cell>
          <cell r="AR1185">
            <v>0</v>
          </cell>
        </row>
        <row r="1186">
          <cell r="B1186" t="str">
            <v>GY2-3720</v>
          </cell>
          <cell r="C1186" t="str">
            <v>Receipt of Payment for D+12 Month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>
            <v>0</v>
          </cell>
          <cell r="AM1186">
            <v>0</v>
          </cell>
          <cell r="AN1186">
            <v>0</v>
          </cell>
          <cell r="AO1186">
            <v>0</v>
          </cell>
          <cell r="AP1186">
            <v>0</v>
          </cell>
          <cell r="AQ1186">
            <v>0</v>
          </cell>
          <cell r="AR1186">
            <v>0</v>
          </cell>
        </row>
        <row r="1187">
          <cell r="B1187" t="str">
            <v>INVOICESFORYEAR2</v>
          </cell>
          <cell r="D1187">
            <v>201199940</v>
          </cell>
        </row>
        <row r="1188">
          <cell r="B1188" t="str">
            <v>CORECONSULTANCYEXPENSES</v>
          </cell>
          <cell r="D1188">
            <v>201199940</v>
          </cell>
          <cell r="E1188">
            <v>9.050141443079672E-2</v>
          </cell>
          <cell r="F1188">
            <v>9.050141443079672E-2</v>
          </cell>
          <cell r="G1188">
            <v>1.4289697015388956E-2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6.8471464865405415E-3</v>
          </cell>
          <cell r="U1188">
            <v>7.4425505288484147E-3</v>
          </cell>
          <cell r="V1188">
            <v>7.4425505288484147E-3</v>
          </cell>
          <cell r="W1188">
            <v>7.7402525500023505E-3</v>
          </cell>
          <cell r="X1188">
            <v>7.1448485076944773E-3</v>
          </cell>
          <cell r="Y1188">
            <v>7.4425505288484147E-3</v>
          </cell>
          <cell r="Z1188">
            <v>7.4425505288484147E-3</v>
          </cell>
          <cell r="AA1188">
            <v>8.0379545711562889E-3</v>
          </cell>
          <cell r="AB1188">
            <v>7.4425505288484147E-3</v>
          </cell>
          <cell r="AC1188">
            <v>7.7402525500023505E-3</v>
          </cell>
          <cell r="AD1188">
            <v>7.7402525500023505E-3</v>
          </cell>
          <cell r="AE1188">
            <v>7.4425505288484147E-3</v>
          </cell>
          <cell r="AF1188">
            <v>5.9540404230787314E-4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>
            <v>0</v>
          </cell>
          <cell r="AM1188">
            <v>0</v>
          </cell>
          <cell r="AN1188">
            <v>0</v>
          </cell>
          <cell r="AO1188">
            <v>0</v>
          </cell>
          <cell r="AP1188">
            <v>0</v>
          </cell>
          <cell r="AQ1188">
            <v>0</v>
          </cell>
          <cell r="AR1188">
            <v>0</v>
          </cell>
        </row>
        <row r="1189">
          <cell r="B1189" t="str">
            <v>GY2-1000</v>
          </cell>
          <cell r="C1189" t="str">
            <v>Core Consultancy Expenses</v>
          </cell>
          <cell r="D1189">
            <v>201199940</v>
          </cell>
          <cell r="E1189">
            <v>9.050141443079672E-2</v>
          </cell>
          <cell r="F1189">
            <v>9.050141443079672E-2</v>
          </cell>
          <cell r="G1189">
            <v>1.4289697015388956E-2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6.8471464865405415E-3</v>
          </cell>
          <cell r="U1189">
            <v>7.4425505288484147E-3</v>
          </cell>
          <cell r="V1189">
            <v>7.4425505288484147E-3</v>
          </cell>
          <cell r="W1189">
            <v>7.7402525500023505E-3</v>
          </cell>
          <cell r="X1189">
            <v>7.1448485076944773E-3</v>
          </cell>
          <cell r="Y1189">
            <v>7.4425505288484147E-3</v>
          </cell>
          <cell r="Z1189">
            <v>7.4425505288484147E-3</v>
          </cell>
          <cell r="AA1189">
            <v>8.0379545711562889E-3</v>
          </cell>
          <cell r="AB1189">
            <v>7.4425505288484147E-3</v>
          </cell>
          <cell r="AC1189">
            <v>7.7402525500023505E-3</v>
          </cell>
          <cell r="AD1189">
            <v>7.7402525500023505E-3</v>
          </cell>
          <cell r="AE1189">
            <v>7.4425505288484147E-3</v>
          </cell>
          <cell r="AF1189">
            <v>5.9540404230787314E-4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>
            <v>0</v>
          </cell>
          <cell r="AM1189">
            <v>0</v>
          </cell>
          <cell r="AN1189">
            <v>0</v>
          </cell>
          <cell r="AO1189">
            <v>0</v>
          </cell>
          <cell r="AP1189">
            <v>0</v>
          </cell>
          <cell r="AQ1189">
            <v>0</v>
          </cell>
          <cell r="AR1189">
            <v>0</v>
          </cell>
        </row>
        <row r="1190">
          <cell r="B1190" t="str">
            <v xml:space="preserve">      GENERAL PRORAMME MANAGEMENT FOR YEAR 3</v>
          </cell>
          <cell r="D1190">
            <v>201199940</v>
          </cell>
          <cell r="F1190">
            <v>0.23160416357720703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1.8528333086176563E-2</v>
          </cell>
          <cell r="AG1190">
            <v>1.8528333086176563E-2</v>
          </cell>
          <cell r="AH1190">
            <v>1.8528333086176563E-2</v>
          </cell>
          <cell r="AI1190">
            <v>1.8528333086176563E-2</v>
          </cell>
          <cell r="AJ1190">
            <v>2.0844374721948632E-2</v>
          </cell>
          <cell r="AK1190">
            <v>1.8528333086176563E-2</v>
          </cell>
          <cell r="AL1190">
            <v>1.8528333086176563E-2</v>
          </cell>
          <cell r="AM1190">
            <v>2.0844374721948632E-2</v>
          </cell>
          <cell r="AN1190">
            <v>1.8528333086176563E-2</v>
          </cell>
          <cell r="AO1190">
            <v>2.0844374721948632E-2</v>
          </cell>
          <cell r="AP1190">
            <v>1.8528333086176563E-2</v>
          </cell>
          <cell r="AQ1190">
            <v>2.0844374721948632E-2</v>
          </cell>
          <cell r="AR1190">
            <v>0</v>
          </cell>
        </row>
        <row r="1191">
          <cell r="B1191" t="str">
            <v xml:space="preserve">        ORGANIZATION &amp; GOVERNANCE</v>
          </cell>
          <cell r="G1191">
            <v>0</v>
          </cell>
        </row>
        <row r="1192">
          <cell r="B1192" t="str">
            <v xml:space="preserve">        PROGRAM CONTROLS</v>
          </cell>
          <cell r="D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>
            <v>0</v>
          </cell>
          <cell r="AM1192">
            <v>0</v>
          </cell>
          <cell r="AN1192">
            <v>0</v>
          </cell>
          <cell r="AO1192">
            <v>0</v>
          </cell>
          <cell r="AP1192">
            <v>0</v>
          </cell>
          <cell r="AQ1192">
            <v>0</v>
          </cell>
          <cell r="AR1192">
            <v>0</v>
          </cell>
        </row>
        <row r="1193">
          <cell r="B1193" t="str">
            <v xml:space="preserve">          SCHEDULE MANAGEMENT</v>
          </cell>
          <cell r="D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>
            <v>0</v>
          </cell>
          <cell r="AM1193">
            <v>0</v>
          </cell>
          <cell r="AN1193">
            <v>0</v>
          </cell>
          <cell r="AO1193">
            <v>0</v>
          </cell>
          <cell r="AP1193">
            <v>0</v>
          </cell>
          <cell r="AQ1193">
            <v>0</v>
          </cell>
          <cell r="AR1193">
            <v>0</v>
          </cell>
        </row>
        <row r="1194">
          <cell r="B1194" t="str">
            <v xml:space="preserve">            GY3-1470</v>
          </cell>
          <cell r="C1194" t="str">
            <v>Ensuring Implementation of Change Management Processes (wrt Schedule)</v>
          </cell>
          <cell r="D1194">
            <v>0</v>
          </cell>
          <cell r="E1194">
            <v>1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>
            <v>0</v>
          </cell>
          <cell r="AM1194">
            <v>0</v>
          </cell>
          <cell r="AN1194">
            <v>0</v>
          </cell>
          <cell r="AO1194">
            <v>0</v>
          </cell>
          <cell r="AP1194">
            <v>0</v>
          </cell>
          <cell r="AQ1194">
            <v>0</v>
          </cell>
          <cell r="AR1194">
            <v>0</v>
          </cell>
        </row>
        <row r="1195">
          <cell r="B1195" t="str">
            <v xml:space="preserve">            GY3-1480</v>
          </cell>
          <cell r="C1195" t="str">
            <v>Monitoring perceived viability of the Contractor Schedule &amp; Prepare alternatives</v>
          </cell>
          <cell r="D1195">
            <v>0</v>
          </cell>
          <cell r="E1195">
            <v>1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>
            <v>0</v>
          </cell>
          <cell r="AM1195">
            <v>0</v>
          </cell>
          <cell r="AN1195">
            <v>0</v>
          </cell>
          <cell r="AO1195">
            <v>0</v>
          </cell>
          <cell r="AP1195">
            <v>0</v>
          </cell>
          <cell r="AQ1195">
            <v>0</v>
          </cell>
          <cell r="AR1195">
            <v>0</v>
          </cell>
        </row>
        <row r="1196">
          <cell r="B1196" t="str">
            <v xml:space="preserve">            GY3-2020</v>
          </cell>
          <cell r="C1196" t="str">
            <v>Maintaining the Program Master Schedule</v>
          </cell>
          <cell r="D1196">
            <v>0</v>
          </cell>
          <cell r="E1196">
            <v>1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>
            <v>0</v>
          </cell>
          <cell r="AM1196">
            <v>0</v>
          </cell>
          <cell r="AN1196">
            <v>0</v>
          </cell>
          <cell r="AO1196">
            <v>0</v>
          </cell>
          <cell r="AP1196">
            <v>0</v>
          </cell>
          <cell r="AQ1196">
            <v>0</v>
          </cell>
          <cell r="AR1196">
            <v>0</v>
          </cell>
        </row>
        <row r="1197">
          <cell r="B1197" t="str">
            <v xml:space="preserve">          COST MANAGEMENT</v>
          </cell>
          <cell r="G1197">
            <v>0</v>
          </cell>
        </row>
        <row r="1198">
          <cell r="B1198" t="str">
            <v xml:space="preserve">          DOCUMENT CONTROL</v>
          </cell>
          <cell r="D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>
            <v>0</v>
          </cell>
          <cell r="AM1198">
            <v>0</v>
          </cell>
          <cell r="AN1198">
            <v>0</v>
          </cell>
          <cell r="AO1198">
            <v>0</v>
          </cell>
          <cell r="AP1198">
            <v>0</v>
          </cell>
          <cell r="AQ1198">
            <v>0</v>
          </cell>
          <cell r="AR1198">
            <v>0</v>
          </cell>
        </row>
        <row r="1199">
          <cell r="B1199" t="str">
            <v xml:space="preserve">            GY3-1710</v>
          </cell>
          <cell r="C1199" t="str">
            <v>Training of Program Staff for Documentation Handling &amp; Control</v>
          </cell>
          <cell r="D1199">
            <v>0</v>
          </cell>
          <cell r="E1199">
            <v>1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>
            <v>0</v>
          </cell>
          <cell r="AM1199">
            <v>0</v>
          </cell>
          <cell r="AN1199">
            <v>0</v>
          </cell>
          <cell r="AO1199">
            <v>0</v>
          </cell>
          <cell r="AP1199">
            <v>0</v>
          </cell>
          <cell r="AQ1199">
            <v>0</v>
          </cell>
          <cell r="AR1199">
            <v>0</v>
          </cell>
        </row>
        <row r="1200">
          <cell r="B1200" t="str">
            <v xml:space="preserve">          RISK MANAGEMENT</v>
          </cell>
          <cell r="D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>
            <v>0</v>
          </cell>
          <cell r="AM1200">
            <v>0</v>
          </cell>
          <cell r="AN1200">
            <v>0</v>
          </cell>
          <cell r="AO1200">
            <v>0</v>
          </cell>
          <cell r="AP1200">
            <v>0</v>
          </cell>
          <cell r="AQ1200">
            <v>0</v>
          </cell>
          <cell r="AR1200">
            <v>0</v>
          </cell>
        </row>
        <row r="1201">
          <cell r="B1201" t="str">
            <v xml:space="preserve">            GY3-3630</v>
          </cell>
          <cell r="C1201" t="str">
            <v>Tracking &amp; Managing Significant Risks (Internal &amp; External) ie Risk identification, Analysis, Evaluation, Treatment</v>
          </cell>
          <cell r="D1201">
            <v>0</v>
          </cell>
          <cell r="E1201">
            <v>1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>
            <v>0</v>
          </cell>
          <cell r="AM1201">
            <v>0</v>
          </cell>
          <cell r="AN1201">
            <v>0</v>
          </cell>
          <cell r="AO1201">
            <v>0</v>
          </cell>
          <cell r="AP1201">
            <v>0</v>
          </cell>
          <cell r="AQ1201">
            <v>0</v>
          </cell>
          <cell r="AR1201">
            <v>0</v>
          </cell>
        </row>
        <row r="1202">
          <cell r="B1202" t="str">
            <v xml:space="preserve">          SCOPE &amp; CHANGE MANAGEMENT</v>
          </cell>
          <cell r="D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>
            <v>0</v>
          </cell>
          <cell r="AM1202">
            <v>0</v>
          </cell>
          <cell r="AN1202">
            <v>0</v>
          </cell>
          <cell r="AO1202">
            <v>0</v>
          </cell>
          <cell r="AP1202">
            <v>0</v>
          </cell>
          <cell r="AQ1202">
            <v>0</v>
          </cell>
          <cell r="AR1202">
            <v>0</v>
          </cell>
        </row>
        <row r="1203">
          <cell r="B1203" t="str">
            <v xml:space="preserve">            GY3-2760</v>
          </cell>
          <cell r="C1203" t="str">
            <v>Reviewing and Updating Internal Change Management Plan / System</v>
          </cell>
          <cell r="D1203">
            <v>0</v>
          </cell>
          <cell r="E1203">
            <v>1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>
            <v>0</v>
          </cell>
          <cell r="AM1203">
            <v>0</v>
          </cell>
          <cell r="AN1203">
            <v>0</v>
          </cell>
          <cell r="AO1203">
            <v>0</v>
          </cell>
          <cell r="AP1203">
            <v>0</v>
          </cell>
          <cell r="AQ1203">
            <v>0</v>
          </cell>
          <cell r="AR1203">
            <v>0</v>
          </cell>
        </row>
        <row r="1204">
          <cell r="B1204" t="str">
            <v xml:space="preserve">            GY3-2770</v>
          </cell>
          <cell r="C1204" t="str">
            <v>Assessing any Change Request</v>
          </cell>
          <cell r="D1204">
            <v>0</v>
          </cell>
          <cell r="E1204">
            <v>1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>
            <v>0</v>
          </cell>
          <cell r="AM1204">
            <v>0</v>
          </cell>
          <cell r="AN1204">
            <v>0</v>
          </cell>
          <cell r="AO1204">
            <v>0</v>
          </cell>
          <cell r="AP1204">
            <v>0</v>
          </cell>
          <cell r="AQ1204">
            <v>0</v>
          </cell>
          <cell r="AR1204">
            <v>0</v>
          </cell>
        </row>
        <row r="1205">
          <cell r="B1205" t="str">
            <v xml:space="preserve">            GY3-2780</v>
          </cell>
          <cell r="C1205" t="str">
            <v>Monitoring Changes &amp; Its Processing</v>
          </cell>
          <cell r="D1205">
            <v>0</v>
          </cell>
          <cell r="E1205">
            <v>1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>
            <v>0</v>
          </cell>
          <cell r="AM1205">
            <v>0</v>
          </cell>
          <cell r="AN1205">
            <v>0</v>
          </cell>
          <cell r="AO1205">
            <v>0</v>
          </cell>
          <cell r="AP1205">
            <v>0</v>
          </cell>
          <cell r="AQ1205">
            <v>0</v>
          </cell>
          <cell r="AR1205">
            <v>0</v>
          </cell>
        </row>
        <row r="1206">
          <cell r="B1206" t="str">
            <v xml:space="preserve">            GY3-2790</v>
          </cell>
          <cell r="C1206" t="str">
            <v>Advising DMICDC on matters affecting the project budget</v>
          </cell>
          <cell r="D1206">
            <v>0</v>
          </cell>
          <cell r="E1206">
            <v>1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>
            <v>0</v>
          </cell>
          <cell r="AM1206">
            <v>0</v>
          </cell>
          <cell r="AN1206">
            <v>0</v>
          </cell>
          <cell r="AO1206">
            <v>0</v>
          </cell>
          <cell r="AP1206">
            <v>0</v>
          </cell>
          <cell r="AQ1206">
            <v>0</v>
          </cell>
          <cell r="AR1206">
            <v>0</v>
          </cell>
        </row>
        <row r="1207">
          <cell r="B1207" t="str">
            <v xml:space="preserve">          PERFORMANCE MEASUREMENT</v>
          </cell>
          <cell r="D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>
            <v>0</v>
          </cell>
          <cell r="AM1207">
            <v>0</v>
          </cell>
          <cell r="AN1207">
            <v>0</v>
          </cell>
          <cell r="AO1207">
            <v>0</v>
          </cell>
          <cell r="AP1207">
            <v>0</v>
          </cell>
          <cell r="AQ1207">
            <v>0</v>
          </cell>
          <cell r="AR1207">
            <v>0</v>
          </cell>
        </row>
        <row r="1208">
          <cell r="B1208" t="str">
            <v xml:space="preserve">            GY3-1230</v>
          </cell>
          <cell r="C1208" t="str">
            <v>Assisting DMICDC in Preparing Program Status Reports</v>
          </cell>
          <cell r="D1208">
            <v>0</v>
          </cell>
          <cell r="E1208">
            <v>1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>
            <v>0</v>
          </cell>
          <cell r="AM1208">
            <v>0</v>
          </cell>
          <cell r="AN1208">
            <v>0</v>
          </cell>
          <cell r="AO1208">
            <v>0</v>
          </cell>
          <cell r="AP1208">
            <v>0</v>
          </cell>
          <cell r="AQ1208">
            <v>0</v>
          </cell>
          <cell r="AR1208">
            <v>0</v>
          </cell>
        </row>
        <row r="1209">
          <cell r="B1209" t="str">
            <v xml:space="preserve">            GY3-1830</v>
          </cell>
          <cell r="C1209" t="str">
            <v>Tracking, Analyzing &amp; Reporting Project Cost, Schedule and Budget Information</v>
          </cell>
          <cell r="D1209">
            <v>0</v>
          </cell>
          <cell r="E1209">
            <v>1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>
            <v>0</v>
          </cell>
          <cell r="AM1209">
            <v>0</v>
          </cell>
          <cell r="AN1209">
            <v>0</v>
          </cell>
          <cell r="AO1209">
            <v>0</v>
          </cell>
          <cell r="AP1209">
            <v>0</v>
          </cell>
          <cell r="AQ1209">
            <v>0</v>
          </cell>
          <cell r="AR1209">
            <v>0</v>
          </cell>
        </row>
        <row r="1210">
          <cell r="B1210" t="str">
            <v xml:space="preserve">            GY3-2030</v>
          </cell>
          <cell r="C1210" t="str">
            <v>Conducting Program Progress Review meetings</v>
          </cell>
          <cell r="D1210">
            <v>0</v>
          </cell>
          <cell r="E1210">
            <v>1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>
            <v>0</v>
          </cell>
          <cell r="AM1210">
            <v>0</v>
          </cell>
          <cell r="AN1210">
            <v>0</v>
          </cell>
          <cell r="AO1210">
            <v>0</v>
          </cell>
          <cell r="AP1210">
            <v>0</v>
          </cell>
          <cell r="AQ1210">
            <v>0</v>
          </cell>
          <cell r="AR1210">
            <v>0</v>
          </cell>
        </row>
        <row r="1211">
          <cell r="B1211" t="str">
            <v xml:space="preserve">            MONTHLY PROGRESS REPORT</v>
          </cell>
          <cell r="D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>
            <v>0</v>
          </cell>
          <cell r="AM1211">
            <v>0</v>
          </cell>
          <cell r="AN1211">
            <v>0</v>
          </cell>
          <cell r="AO1211">
            <v>0</v>
          </cell>
          <cell r="AP1211">
            <v>0</v>
          </cell>
          <cell r="AQ1211">
            <v>0</v>
          </cell>
          <cell r="AR1211">
            <v>0</v>
          </cell>
        </row>
        <row r="1212">
          <cell r="B1212" t="str">
            <v xml:space="preserve">              GY3-1260</v>
          </cell>
          <cell r="C1212" t="str">
            <v>Preparation of MPR for D+25 Month</v>
          </cell>
          <cell r="D1212">
            <v>0</v>
          </cell>
          <cell r="E1212">
            <v>1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>
            <v>0</v>
          </cell>
          <cell r="AM1212">
            <v>0</v>
          </cell>
          <cell r="AN1212">
            <v>0</v>
          </cell>
          <cell r="AO1212">
            <v>0</v>
          </cell>
          <cell r="AP1212">
            <v>0</v>
          </cell>
          <cell r="AQ1212">
            <v>0</v>
          </cell>
          <cell r="AR1212">
            <v>0</v>
          </cell>
        </row>
        <row r="1213">
          <cell r="B1213" t="str">
            <v xml:space="preserve">              GY3-1300</v>
          </cell>
          <cell r="C1213" t="str">
            <v>Submission of MPR for D+25 Month</v>
          </cell>
          <cell r="D1213">
            <v>0</v>
          </cell>
          <cell r="E1213">
            <v>1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>
            <v>0</v>
          </cell>
          <cell r="AM1213">
            <v>0</v>
          </cell>
          <cell r="AN1213">
            <v>0</v>
          </cell>
          <cell r="AO1213">
            <v>0</v>
          </cell>
          <cell r="AP1213">
            <v>0</v>
          </cell>
          <cell r="AQ1213">
            <v>0</v>
          </cell>
          <cell r="AR1213">
            <v>0</v>
          </cell>
        </row>
        <row r="1214">
          <cell r="B1214" t="str">
            <v xml:space="preserve">              GY3-1410</v>
          </cell>
          <cell r="C1214" t="str">
            <v>Preparation of MPR for D+26 Month</v>
          </cell>
          <cell r="D1214">
            <v>0</v>
          </cell>
          <cell r="E1214">
            <v>1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>
            <v>0</v>
          </cell>
          <cell r="AM1214">
            <v>0</v>
          </cell>
          <cell r="AN1214">
            <v>0</v>
          </cell>
          <cell r="AO1214">
            <v>0</v>
          </cell>
          <cell r="AP1214">
            <v>0</v>
          </cell>
          <cell r="AQ1214">
            <v>0</v>
          </cell>
          <cell r="AR1214">
            <v>0</v>
          </cell>
        </row>
        <row r="1215">
          <cell r="B1215" t="str">
            <v xml:space="preserve">              GY3-1450</v>
          </cell>
          <cell r="C1215" t="str">
            <v>Submission of MPR for D+26 Month</v>
          </cell>
          <cell r="D1215">
            <v>0</v>
          </cell>
          <cell r="E1215">
            <v>1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>
            <v>0</v>
          </cell>
          <cell r="AM1215">
            <v>0</v>
          </cell>
          <cell r="AN1215">
            <v>0</v>
          </cell>
          <cell r="AO1215">
            <v>0</v>
          </cell>
          <cell r="AP1215">
            <v>0</v>
          </cell>
          <cell r="AQ1215">
            <v>0</v>
          </cell>
          <cell r="AR1215">
            <v>0</v>
          </cell>
        </row>
        <row r="1216">
          <cell r="B1216" t="str">
            <v xml:space="preserve">              GY3-1570</v>
          </cell>
          <cell r="C1216" t="str">
            <v>Preparation of MPR for D+27 Month</v>
          </cell>
          <cell r="D1216">
            <v>0</v>
          </cell>
          <cell r="E1216">
            <v>1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>
            <v>0</v>
          </cell>
          <cell r="AM1216">
            <v>0</v>
          </cell>
          <cell r="AN1216">
            <v>0</v>
          </cell>
          <cell r="AO1216">
            <v>0</v>
          </cell>
          <cell r="AP1216">
            <v>0</v>
          </cell>
          <cell r="AQ1216">
            <v>0</v>
          </cell>
          <cell r="AR1216">
            <v>0</v>
          </cell>
        </row>
        <row r="1217">
          <cell r="B1217" t="str">
            <v xml:space="preserve">              GY3-1670</v>
          </cell>
          <cell r="C1217" t="str">
            <v>Submission of MPR for D+27 Month</v>
          </cell>
          <cell r="D1217">
            <v>0</v>
          </cell>
          <cell r="E1217">
            <v>1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>
            <v>0</v>
          </cell>
          <cell r="AM1217">
            <v>0</v>
          </cell>
          <cell r="AN1217">
            <v>0</v>
          </cell>
          <cell r="AO1217">
            <v>0</v>
          </cell>
          <cell r="AP1217">
            <v>0</v>
          </cell>
          <cell r="AQ1217">
            <v>0</v>
          </cell>
          <cell r="AR1217">
            <v>0</v>
          </cell>
        </row>
        <row r="1218">
          <cell r="B1218" t="str">
            <v xml:space="preserve">              GY3-1990</v>
          </cell>
          <cell r="C1218" t="str">
            <v>Preparation of MPR for D+28 Month</v>
          </cell>
          <cell r="D1218">
            <v>0</v>
          </cell>
          <cell r="E1218">
            <v>1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>
            <v>0</v>
          </cell>
          <cell r="AM1218">
            <v>0</v>
          </cell>
          <cell r="AN1218">
            <v>0</v>
          </cell>
          <cell r="AO1218">
            <v>0</v>
          </cell>
          <cell r="AP1218">
            <v>0</v>
          </cell>
          <cell r="AQ1218">
            <v>0</v>
          </cell>
          <cell r="AR1218">
            <v>0</v>
          </cell>
        </row>
        <row r="1219">
          <cell r="B1219" t="str">
            <v xml:space="preserve">              GY3-2130</v>
          </cell>
          <cell r="C1219" t="str">
            <v>Submission of MPR for D+28 Month</v>
          </cell>
          <cell r="D1219">
            <v>0</v>
          </cell>
          <cell r="E1219">
            <v>1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>
            <v>0</v>
          </cell>
          <cell r="AM1219">
            <v>0</v>
          </cell>
          <cell r="AN1219">
            <v>0</v>
          </cell>
          <cell r="AO1219">
            <v>0</v>
          </cell>
          <cell r="AP1219">
            <v>0</v>
          </cell>
          <cell r="AQ1219">
            <v>0</v>
          </cell>
          <cell r="AR1219">
            <v>0</v>
          </cell>
        </row>
        <row r="1220">
          <cell r="B1220" t="str">
            <v xml:space="preserve">              GY3-2170</v>
          </cell>
          <cell r="C1220" t="str">
            <v>Preparation of MPR for D+29 Month</v>
          </cell>
          <cell r="D1220">
            <v>0</v>
          </cell>
          <cell r="E1220">
            <v>1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>
            <v>0</v>
          </cell>
          <cell r="AM1220">
            <v>0</v>
          </cell>
          <cell r="AN1220">
            <v>0</v>
          </cell>
          <cell r="AO1220">
            <v>0</v>
          </cell>
          <cell r="AP1220">
            <v>0</v>
          </cell>
          <cell r="AQ1220">
            <v>0</v>
          </cell>
          <cell r="AR1220">
            <v>0</v>
          </cell>
        </row>
        <row r="1221">
          <cell r="B1221" t="str">
            <v xml:space="preserve">              GY3-2270</v>
          </cell>
          <cell r="C1221" t="str">
            <v>Submission of MPR for D+29 Month</v>
          </cell>
          <cell r="D1221">
            <v>0</v>
          </cell>
          <cell r="E1221">
            <v>1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>
            <v>0</v>
          </cell>
          <cell r="AM1221">
            <v>0</v>
          </cell>
          <cell r="AN1221">
            <v>0</v>
          </cell>
          <cell r="AO1221">
            <v>0</v>
          </cell>
          <cell r="AP1221">
            <v>0</v>
          </cell>
          <cell r="AQ1221">
            <v>0</v>
          </cell>
          <cell r="AR1221">
            <v>0</v>
          </cell>
        </row>
        <row r="1222">
          <cell r="B1222" t="str">
            <v xml:space="preserve">              GY3-2300</v>
          </cell>
          <cell r="C1222" t="str">
            <v>Preparation of MPR for D+30 Month</v>
          </cell>
          <cell r="D1222">
            <v>0</v>
          </cell>
          <cell r="E1222">
            <v>1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>
            <v>0</v>
          </cell>
          <cell r="AM1222">
            <v>0</v>
          </cell>
          <cell r="AN1222">
            <v>0</v>
          </cell>
          <cell r="AO1222">
            <v>0</v>
          </cell>
          <cell r="AP1222">
            <v>0</v>
          </cell>
          <cell r="AQ1222">
            <v>0</v>
          </cell>
          <cell r="AR1222">
            <v>0</v>
          </cell>
        </row>
        <row r="1223">
          <cell r="B1223" t="str">
            <v xml:space="preserve">              GY3-2350</v>
          </cell>
          <cell r="C1223" t="str">
            <v>Submission of MPR for D+30 Month</v>
          </cell>
          <cell r="D1223">
            <v>0</v>
          </cell>
          <cell r="E1223">
            <v>1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>
            <v>0</v>
          </cell>
          <cell r="AM1223">
            <v>0</v>
          </cell>
          <cell r="AN1223">
            <v>0</v>
          </cell>
          <cell r="AO1223">
            <v>0</v>
          </cell>
          <cell r="AP1223">
            <v>0</v>
          </cell>
          <cell r="AQ1223">
            <v>0</v>
          </cell>
          <cell r="AR1223">
            <v>0</v>
          </cell>
        </row>
        <row r="1224">
          <cell r="B1224" t="str">
            <v xml:space="preserve">              GY3-2400</v>
          </cell>
          <cell r="C1224" t="str">
            <v>Preparation of MPR for D+31 Month</v>
          </cell>
          <cell r="D1224">
            <v>0</v>
          </cell>
          <cell r="E1224">
            <v>1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>
            <v>0</v>
          </cell>
          <cell r="AM1224">
            <v>0</v>
          </cell>
          <cell r="AN1224">
            <v>0</v>
          </cell>
          <cell r="AO1224">
            <v>0</v>
          </cell>
          <cell r="AP1224">
            <v>0</v>
          </cell>
          <cell r="AQ1224">
            <v>0</v>
          </cell>
          <cell r="AR1224">
            <v>0</v>
          </cell>
        </row>
        <row r="1225">
          <cell r="B1225" t="str">
            <v xml:space="preserve">              GY3-2470</v>
          </cell>
          <cell r="C1225" t="str">
            <v>Submission of MPR for D+31 Month</v>
          </cell>
          <cell r="D1225">
            <v>0</v>
          </cell>
          <cell r="E1225">
            <v>1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>
            <v>0</v>
          </cell>
          <cell r="AM1225">
            <v>0</v>
          </cell>
          <cell r="AN1225">
            <v>0</v>
          </cell>
          <cell r="AO1225">
            <v>0</v>
          </cell>
          <cell r="AP1225">
            <v>0</v>
          </cell>
          <cell r="AQ1225">
            <v>0</v>
          </cell>
          <cell r="AR1225">
            <v>0</v>
          </cell>
        </row>
        <row r="1226">
          <cell r="B1226" t="str">
            <v xml:space="preserve">              GY3-2500</v>
          </cell>
          <cell r="C1226" t="str">
            <v>Preparation of MPR for D+32 Month</v>
          </cell>
          <cell r="D1226">
            <v>0</v>
          </cell>
          <cell r="E1226">
            <v>1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>
            <v>0</v>
          </cell>
          <cell r="AM1226">
            <v>0</v>
          </cell>
          <cell r="AN1226">
            <v>0</v>
          </cell>
          <cell r="AO1226">
            <v>0</v>
          </cell>
          <cell r="AP1226">
            <v>0</v>
          </cell>
          <cell r="AQ1226">
            <v>0</v>
          </cell>
          <cell r="AR1226">
            <v>0</v>
          </cell>
        </row>
        <row r="1227">
          <cell r="B1227" t="str">
            <v xml:space="preserve">              GY3-2560</v>
          </cell>
          <cell r="C1227" t="str">
            <v>Submission of MPR for D+32 Month</v>
          </cell>
          <cell r="D1227">
            <v>0</v>
          </cell>
          <cell r="E1227">
            <v>1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>
            <v>0</v>
          </cell>
          <cell r="AM1227">
            <v>0</v>
          </cell>
          <cell r="AN1227">
            <v>0</v>
          </cell>
          <cell r="AO1227">
            <v>0</v>
          </cell>
          <cell r="AP1227">
            <v>0</v>
          </cell>
          <cell r="AQ1227">
            <v>0</v>
          </cell>
          <cell r="AR1227">
            <v>0</v>
          </cell>
        </row>
        <row r="1228">
          <cell r="B1228" t="str">
            <v xml:space="preserve">              GY3-2610</v>
          </cell>
          <cell r="C1228" t="str">
            <v>Preparation of MPR for D+33 Month</v>
          </cell>
          <cell r="D1228">
            <v>0</v>
          </cell>
          <cell r="E1228">
            <v>1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>
            <v>0</v>
          </cell>
          <cell r="AM1228">
            <v>0</v>
          </cell>
          <cell r="AN1228">
            <v>0</v>
          </cell>
          <cell r="AO1228">
            <v>0</v>
          </cell>
          <cell r="AP1228">
            <v>0</v>
          </cell>
          <cell r="AQ1228">
            <v>0</v>
          </cell>
          <cell r="AR1228">
            <v>0</v>
          </cell>
        </row>
        <row r="1229">
          <cell r="B1229" t="str">
            <v xml:space="preserve">              GY3-2660</v>
          </cell>
          <cell r="C1229" t="str">
            <v>Submission of MPR for D+33 Month</v>
          </cell>
          <cell r="D1229">
            <v>0</v>
          </cell>
          <cell r="E1229">
            <v>1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>
            <v>0</v>
          </cell>
          <cell r="AM1229">
            <v>0</v>
          </cell>
          <cell r="AN1229">
            <v>0</v>
          </cell>
          <cell r="AO1229">
            <v>0</v>
          </cell>
          <cell r="AP1229">
            <v>0</v>
          </cell>
          <cell r="AQ1229">
            <v>0</v>
          </cell>
          <cell r="AR1229">
            <v>0</v>
          </cell>
        </row>
        <row r="1230">
          <cell r="B1230" t="str">
            <v xml:space="preserve">              GY3-2740</v>
          </cell>
          <cell r="C1230" t="str">
            <v>Preparation of MPR for D+34 Month</v>
          </cell>
          <cell r="D1230">
            <v>0</v>
          </cell>
          <cell r="E1230">
            <v>1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0</v>
          </cell>
          <cell r="AA1230">
            <v>0</v>
          </cell>
          <cell r="AB1230">
            <v>0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G1230">
            <v>0</v>
          </cell>
          <cell r="AH1230">
            <v>0</v>
          </cell>
          <cell r="AI1230">
            <v>0</v>
          </cell>
          <cell r="AJ1230">
            <v>0</v>
          </cell>
          <cell r="AK1230">
            <v>0</v>
          </cell>
          <cell r="AL1230">
            <v>0</v>
          </cell>
          <cell r="AM1230">
            <v>0</v>
          </cell>
          <cell r="AN1230">
            <v>0</v>
          </cell>
          <cell r="AO1230">
            <v>0</v>
          </cell>
          <cell r="AP1230">
            <v>0</v>
          </cell>
          <cell r="AQ1230">
            <v>0</v>
          </cell>
          <cell r="AR1230">
            <v>0</v>
          </cell>
        </row>
        <row r="1231">
          <cell r="B1231" t="str">
            <v xml:space="preserve">              GY3-2830</v>
          </cell>
          <cell r="C1231" t="str">
            <v>Submission of MPR for D+34 Month</v>
          </cell>
          <cell r="D1231">
            <v>0</v>
          </cell>
          <cell r="E1231">
            <v>1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0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>
            <v>0</v>
          </cell>
          <cell r="AM1231">
            <v>0</v>
          </cell>
          <cell r="AN1231">
            <v>0</v>
          </cell>
          <cell r="AO1231">
            <v>0</v>
          </cell>
          <cell r="AP1231">
            <v>0</v>
          </cell>
          <cell r="AQ1231">
            <v>0</v>
          </cell>
          <cell r="AR1231">
            <v>0</v>
          </cell>
        </row>
        <row r="1232">
          <cell r="B1232" t="str">
            <v xml:space="preserve">              GY3-3060</v>
          </cell>
          <cell r="C1232" t="str">
            <v>Preparation of MPR for D+35 Month</v>
          </cell>
          <cell r="D1232">
            <v>0</v>
          </cell>
          <cell r="E1232">
            <v>1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0</v>
          </cell>
          <cell r="AA1232">
            <v>0</v>
          </cell>
          <cell r="AB1232">
            <v>0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G1232">
            <v>0</v>
          </cell>
          <cell r="AH1232">
            <v>0</v>
          </cell>
          <cell r="AI1232">
            <v>0</v>
          </cell>
          <cell r="AJ1232">
            <v>0</v>
          </cell>
          <cell r="AK1232">
            <v>0</v>
          </cell>
          <cell r="AL1232">
            <v>0</v>
          </cell>
          <cell r="AM1232">
            <v>0</v>
          </cell>
          <cell r="AN1232">
            <v>0</v>
          </cell>
          <cell r="AO1232">
            <v>0</v>
          </cell>
          <cell r="AP1232">
            <v>0</v>
          </cell>
          <cell r="AQ1232">
            <v>0</v>
          </cell>
          <cell r="AR1232">
            <v>0</v>
          </cell>
        </row>
        <row r="1233">
          <cell r="B1233" t="str">
            <v xml:space="preserve">              GY3-3640</v>
          </cell>
          <cell r="C1233" t="str">
            <v>Submission of MPR for D+35 Month</v>
          </cell>
          <cell r="D1233">
            <v>0</v>
          </cell>
          <cell r="E1233">
            <v>1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O1233">
            <v>0</v>
          </cell>
          <cell r="P1233">
            <v>0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0</v>
          </cell>
          <cell r="AA1233">
            <v>0</v>
          </cell>
          <cell r="AB1233">
            <v>0</v>
          </cell>
          <cell r="AC1233">
            <v>0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>
            <v>0</v>
          </cell>
          <cell r="AM1233">
            <v>0</v>
          </cell>
          <cell r="AN1233">
            <v>0</v>
          </cell>
          <cell r="AO1233">
            <v>0</v>
          </cell>
          <cell r="AP1233">
            <v>0</v>
          </cell>
          <cell r="AQ1233">
            <v>0</v>
          </cell>
          <cell r="AR1233">
            <v>0</v>
          </cell>
        </row>
        <row r="1234">
          <cell r="B1234" t="str">
            <v xml:space="preserve">          INTERFACE MANAGEMENT</v>
          </cell>
          <cell r="D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0</v>
          </cell>
          <cell r="AA1234">
            <v>0</v>
          </cell>
          <cell r="AB1234">
            <v>0</v>
          </cell>
          <cell r="AC1234">
            <v>0</v>
          </cell>
          <cell r="AD1234">
            <v>0</v>
          </cell>
          <cell r="AE1234">
            <v>0</v>
          </cell>
          <cell r="AF1234">
            <v>0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>
            <v>0</v>
          </cell>
          <cell r="AM1234">
            <v>0</v>
          </cell>
          <cell r="AN1234">
            <v>0</v>
          </cell>
          <cell r="AO1234">
            <v>0</v>
          </cell>
          <cell r="AP1234">
            <v>0</v>
          </cell>
          <cell r="AQ1234">
            <v>0</v>
          </cell>
          <cell r="AR1234">
            <v>0</v>
          </cell>
        </row>
        <row r="1235">
          <cell r="B1235" t="str">
            <v xml:space="preserve">            GY3-2220</v>
          </cell>
          <cell r="C1235" t="str">
            <v>Coordinating with the DMICDC regarding interface issues</v>
          </cell>
          <cell r="D1235">
            <v>0</v>
          </cell>
          <cell r="E1235">
            <v>1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O1235">
            <v>0</v>
          </cell>
          <cell r="P1235">
            <v>0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0</v>
          </cell>
          <cell r="AA1235">
            <v>0</v>
          </cell>
          <cell r="AB1235">
            <v>0</v>
          </cell>
          <cell r="AC1235">
            <v>0</v>
          </cell>
          <cell r="AD1235">
            <v>0</v>
          </cell>
          <cell r="AE1235">
            <v>0</v>
          </cell>
          <cell r="AF1235">
            <v>0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>
            <v>0</v>
          </cell>
          <cell r="AM1235">
            <v>0</v>
          </cell>
          <cell r="AN1235">
            <v>0</v>
          </cell>
          <cell r="AO1235">
            <v>0</v>
          </cell>
          <cell r="AP1235">
            <v>0</v>
          </cell>
          <cell r="AQ1235">
            <v>0</v>
          </cell>
          <cell r="AR1235">
            <v>0</v>
          </cell>
        </row>
        <row r="1236">
          <cell r="B1236" t="str">
            <v xml:space="preserve">            GY3-2230</v>
          </cell>
          <cell r="C1236" t="str">
            <v>Managing External interfaces with major stakeholders (Meetings)</v>
          </cell>
          <cell r="D1236">
            <v>0</v>
          </cell>
          <cell r="E1236">
            <v>1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O1236">
            <v>0</v>
          </cell>
          <cell r="P1236">
            <v>0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0</v>
          </cell>
          <cell r="AA1236">
            <v>0</v>
          </cell>
          <cell r="AB1236">
            <v>0</v>
          </cell>
          <cell r="AC1236">
            <v>0</v>
          </cell>
          <cell r="AD1236">
            <v>0</v>
          </cell>
          <cell r="AE1236">
            <v>0</v>
          </cell>
          <cell r="AF1236">
            <v>0</v>
          </cell>
          <cell r="AG1236">
            <v>0</v>
          </cell>
          <cell r="AH1236">
            <v>0</v>
          </cell>
          <cell r="AI1236">
            <v>0</v>
          </cell>
          <cell r="AJ1236">
            <v>0</v>
          </cell>
          <cell r="AK1236">
            <v>0</v>
          </cell>
          <cell r="AL1236">
            <v>0</v>
          </cell>
          <cell r="AM1236">
            <v>0</v>
          </cell>
          <cell r="AN1236">
            <v>0</v>
          </cell>
          <cell r="AO1236">
            <v>0</v>
          </cell>
          <cell r="AP1236">
            <v>0</v>
          </cell>
          <cell r="AQ1236">
            <v>0</v>
          </cell>
          <cell r="AR1236">
            <v>0</v>
          </cell>
        </row>
        <row r="1237">
          <cell r="B1237" t="str">
            <v xml:space="preserve">            GY3-2240</v>
          </cell>
          <cell r="C1237" t="str">
            <v>Managing interface between DMICDC / SPV / GOI &amp; PPP Concessionaire</v>
          </cell>
          <cell r="D1237">
            <v>0</v>
          </cell>
          <cell r="E1237">
            <v>1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O1237">
            <v>0</v>
          </cell>
          <cell r="P1237">
            <v>0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0</v>
          </cell>
          <cell r="AB1237">
            <v>0</v>
          </cell>
          <cell r="AC1237">
            <v>0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>
            <v>0</v>
          </cell>
          <cell r="AM1237">
            <v>0</v>
          </cell>
          <cell r="AN1237">
            <v>0</v>
          </cell>
          <cell r="AO1237">
            <v>0</v>
          </cell>
          <cell r="AP1237">
            <v>0</v>
          </cell>
          <cell r="AQ1237">
            <v>0</v>
          </cell>
          <cell r="AR1237">
            <v>0</v>
          </cell>
        </row>
        <row r="1238">
          <cell r="B1238" t="str">
            <v xml:space="preserve">          STAKEHOLDER MANAGEMENT</v>
          </cell>
          <cell r="D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O1238">
            <v>0</v>
          </cell>
          <cell r="P1238">
            <v>0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>
            <v>0</v>
          </cell>
          <cell r="AM1238">
            <v>0</v>
          </cell>
          <cell r="AN1238">
            <v>0</v>
          </cell>
          <cell r="AO1238">
            <v>0</v>
          </cell>
          <cell r="AP1238">
            <v>0</v>
          </cell>
          <cell r="AQ1238">
            <v>0</v>
          </cell>
          <cell r="AR1238">
            <v>0</v>
          </cell>
        </row>
        <row r="1239">
          <cell r="B1239" t="str">
            <v xml:space="preserve">            GY3-2010</v>
          </cell>
          <cell r="C1239" t="str">
            <v>Implementation of stakeholder management and Coordination strategy</v>
          </cell>
          <cell r="D1239">
            <v>0</v>
          </cell>
          <cell r="E1239">
            <v>1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  <cell r="P1239">
            <v>0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>
            <v>0</v>
          </cell>
          <cell r="AM1239">
            <v>0</v>
          </cell>
          <cell r="AN1239">
            <v>0</v>
          </cell>
          <cell r="AO1239">
            <v>0</v>
          </cell>
          <cell r="AP1239">
            <v>0</v>
          </cell>
          <cell r="AQ1239">
            <v>0</v>
          </cell>
          <cell r="AR1239">
            <v>0</v>
          </cell>
        </row>
        <row r="1240">
          <cell r="B1240" t="str">
            <v xml:space="preserve">            GY3-2040</v>
          </cell>
          <cell r="C1240" t="str">
            <v>Initiation of Contacts with all governments and non governmental activity</v>
          </cell>
          <cell r="D1240">
            <v>0</v>
          </cell>
          <cell r="E1240">
            <v>1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0</v>
          </cell>
          <cell r="AA1240">
            <v>0</v>
          </cell>
          <cell r="AB1240">
            <v>0</v>
          </cell>
          <cell r="AC1240">
            <v>0</v>
          </cell>
          <cell r="AD1240">
            <v>0</v>
          </cell>
          <cell r="AE1240">
            <v>0</v>
          </cell>
          <cell r="AF1240">
            <v>0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>
            <v>0</v>
          </cell>
          <cell r="AM1240">
            <v>0</v>
          </cell>
          <cell r="AN1240">
            <v>0</v>
          </cell>
          <cell r="AO1240">
            <v>0</v>
          </cell>
          <cell r="AP1240">
            <v>0</v>
          </cell>
          <cell r="AQ1240">
            <v>0</v>
          </cell>
          <cell r="AR1240">
            <v>0</v>
          </cell>
        </row>
        <row r="1241">
          <cell r="B1241" t="str">
            <v xml:space="preserve">          COMMUNICATIONS</v>
          </cell>
          <cell r="D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0</v>
          </cell>
          <cell r="AA1241">
            <v>0</v>
          </cell>
          <cell r="AB1241">
            <v>0</v>
          </cell>
          <cell r="AC1241">
            <v>0</v>
          </cell>
          <cell r="AD1241">
            <v>0</v>
          </cell>
          <cell r="AE1241">
            <v>0</v>
          </cell>
          <cell r="AF1241">
            <v>0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>
            <v>0</v>
          </cell>
          <cell r="AM1241">
            <v>0</v>
          </cell>
          <cell r="AN1241">
            <v>0</v>
          </cell>
          <cell r="AO1241">
            <v>0</v>
          </cell>
          <cell r="AP1241">
            <v>0</v>
          </cell>
          <cell r="AQ1241">
            <v>0</v>
          </cell>
          <cell r="AR1241">
            <v>0</v>
          </cell>
        </row>
        <row r="1242">
          <cell r="B1242" t="str">
            <v xml:space="preserve">            GY3-1360</v>
          </cell>
          <cell r="C1242" t="str">
            <v>Scheduling Status Review Meeting and its Documentation</v>
          </cell>
          <cell r="D1242">
            <v>0</v>
          </cell>
          <cell r="E1242">
            <v>1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0</v>
          </cell>
          <cell r="AA1242">
            <v>0</v>
          </cell>
          <cell r="AB1242">
            <v>0</v>
          </cell>
          <cell r="AC1242">
            <v>0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>
            <v>0</v>
          </cell>
          <cell r="AM1242">
            <v>0</v>
          </cell>
          <cell r="AN1242">
            <v>0</v>
          </cell>
          <cell r="AO1242">
            <v>0</v>
          </cell>
          <cell r="AP1242">
            <v>0</v>
          </cell>
          <cell r="AQ1242">
            <v>0</v>
          </cell>
          <cell r="AR1242">
            <v>0</v>
          </cell>
        </row>
        <row r="1243">
          <cell r="B1243" t="str">
            <v xml:space="preserve">            GY3-1380</v>
          </cell>
          <cell r="C1243" t="str">
            <v>Providing DMICDC with responses to public queries</v>
          </cell>
          <cell r="D1243">
            <v>0</v>
          </cell>
          <cell r="E1243">
            <v>1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0</v>
          </cell>
          <cell r="AA1243">
            <v>0</v>
          </cell>
          <cell r="AB1243">
            <v>0</v>
          </cell>
          <cell r="AC1243">
            <v>0</v>
          </cell>
          <cell r="AD1243">
            <v>0</v>
          </cell>
          <cell r="AE1243">
            <v>0</v>
          </cell>
          <cell r="AF1243">
            <v>0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>
            <v>0</v>
          </cell>
          <cell r="AM1243">
            <v>0</v>
          </cell>
          <cell r="AN1243">
            <v>0</v>
          </cell>
          <cell r="AO1243">
            <v>0</v>
          </cell>
          <cell r="AP1243">
            <v>0</v>
          </cell>
          <cell r="AQ1243">
            <v>0</v>
          </cell>
          <cell r="AR1243">
            <v>0</v>
          </cell>
        </row>
        <row r="1244">
          <cell r="B1244" t="str">
            <v xml:space="preserve">            GY3-1430</v>
          </cell>
          <cell r="C1244" t="str">
            <v>Delivery &amp; Distribution of information / communication to various Stakeholders</v>
          </cell>
          <cell r="D1244">
            <v>0</v>
          </cell>
          <cell r="E1244">
            <v>1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0</v>
          </cell>
          <cell r="AA1244">
            <v>0</v>
          </cell>
          <cell r="AB1244">
            <v>0</v>
          </cell>
          <cell r="AC1244">
            <v>0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>
            <v>0</v>
          </cell>
          <cell r="AM1244">
            <v>0</v>
          </cell>
          <cell r="AN1244">
            <v>0</v>
          </cell>
          <cell r="AO1244">
            <v>0</v>
          </cell>
          <cell r="AP1244">
            <v>0</v>
          </cell>
          <cell r="AQ1244">
            <v>0</v>
          </cell>
          <cell r="AR1244">
            <v>0</v>
          </cell>
        </row>
        <row r="1245">
          <cell r="B1245" t="str">
            <v xml:space="preserve">          DELIVERY SYSTEMS</v>
          </cell>
          <cell r="D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0</v>
          </cell>
          <cell r="AA1245">
            <v>0</v>
          </cell>
          <cell r="AB1245">
            <v>0</v>
          </cell>
          <cell r="AC1245">
            <v>0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>
            <v>0</v>
          </cell>
          <cell r="AM1245">
            <v>0</v>
          </cell>
          <cell r="AN1245">
            <v>0</v>
          </cell>
          <cell r="AO1245">
            <v>0</v>
          </cell>
          <cell r="AP1245">
            <v>0</v>
          </cell>
          <cell r="AQ1245">
            <v>0</v>
          </cell>
          <cell r="AR1245">
            <v>0</v>
          </cell>
        </row>
        <row r="1246">
          <cell r="B1246" t="str">
            <v xml:space="preserve">            PLANNING (REVIEW OF EXISTING MASTER PLAN) (D+5 MONTH)</v>
          </cell>
          <cell r="G1246">
            <v>0</v>
          </cell>
        </row>
        <row r="1247">
          <cell r="B1247" t="str">
            <v xml:space="preserve">            SITE CONTROL/MAPPING</v>
          </cell>
          <cell r="G1247">
            <v>0</v>
          </cell>
        </row>
        <row r="1248">
          <cell r="B1248" t="str">
            <v xml:space="preserve">            DESIGN MANAGEMENT</v>
          </cell>
          <cell r="D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0</v>
          </cell>
          <cell r="AA1248">
            <v>0</v>
          </cell>
          <cell r="AB1248">
            <v>0</v>
          </cell>
          <cell r="AC1248">
            <v>0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>
            <v>0</v>
          </cell>
          <cell r="AM1248">
            <v>0</v>
          </cell>
          <cell r="AN1248">
            <v>0</v>
          </cell>
          <cell r="AO1248">
            <v>0</v>
          </cell>
          <cell r="AP1248">
            <v>0</v>
          </cell>
          <cell r="AQ1248">
            <v>0</v>
          </cell>
          <cell r="AR1248">
            <v>0</v>
          </cell>
        </row>
        <row r="1249">
          <cell r="B1249" t="str">
            <v xml:space="preserve">              GY3-1920</v>
          </cell>
          <cell r="C1249" t="str">
            <v>Design coordination between project related consultants, government agencies and stakeholders</v>
          </cell>
          <cell r="D1249">
            <v>0</v>
          </cell>
          <cell r="E1249">
            <v>1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0</v>
          </cell>
          <cell r="AA1249">
            <v>0</v>
          </cell>
          <cell r="AB1249">
            <v>0</v>
          </cell>
          <cell r="AC1249">
            <v>0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>
            <v>0</v>
          </cell>
          <cell r="AM1249">
            <v>0</v>
          </cell>
          <cell r="AN1249">
            <v>0</v>
          </cell>
          <cell r="AO1249">
            <v>0</v>
          </cell>
          <cell r="AP1249">
            <v>0</v>
          </cell>
          <cell r="AQ1249">
            <v>0</v>
          </cell>
          <cell r="AR1249">
            <v>0</v>
          </cell>
        </row>
        <row r="1250">
          <cell r="B1250" t="str">
            <v xml:space="preserve">              GY3-1930</v>
          </cell>
          <cell r="C1250" t="str">
            <v>Monitoring the Design Schedule &amp; Managing any Changes &amp; Delay</v>
          </cell>
          <cell r="D1250">
            <v>0</v>
          </cell>
          <cell r="E1250">
            <v>1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  <cell r="P1250">
            <v>0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0</v>
          </cell>
          <cell r="AA1250">
            <v>0</v>
          </cell>
          <cell r="AB1250">
            <v>0</v>
          </cell>
          <cell r="AC1250">
            <v>0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>
            <v>0</v>
          </cell>
          <cell r="AM1250">
            <v>0</v>
          </cell>
          <cell r="AN1250">
            <v>0</v>
          </cell>
          <cell r="AO1250">
            <v>0</v>
          </cell>
          <cell r="AP1250">
            <v>0</v>
          </cell>
          <cell r="AQ1250">
            <v>0</v>
          </cell>
          <cell r="AR1250">
            <v>0</v>
          </cell>
        </row>
        <row r="1251">
          <cell r="B1251" t="str">
            <v xml:space="preserve">              GY3-1940</v>
          </cell>
          <cell r="C1251" t="str">
            <v>Initiating &amp; conducting all Design Value Engineering Workshop</v>
          </cell>
          <cell r="D1251">
            <v>0</v>
          </cell>
          <cell r="E1251">
            <v>1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0</v>
          </cell>
          <cell r="AA1251">
            <v>0</v>
          </cell>
          <cell r="AB1251">
            <v>0</v>
          </cell>
          <cell r="AC1251">
            <v>0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>
            <v>0</v>
          </cell>
          <cell r="AM1251">
            <v>0</v>
          </cell>
          <cell r="AN1251">
            <v>0</v>
          </cell>
          <cell r="AO1251">
            <v>0</v>
          </cell>
          <cell r="AP1251">
            <v>0</v>
          </cell>
          <cell r="AQ1251">
            <v>0</v>
          </cell>
          <cell r="AR1251">
            <v>0</v>
          </cell>
        </row>
        <row r="1252">
          <cell r="B1252" t="str">
            <v xml:space="preserve">              GY3-1950</v>
          </cell>
          <cell r="C1252" t="str">
            <v>Implementing a Stage Review Process to provide benefits of controlling Quality, Cost &amp; Schedule</v>
          </cell>
          <cell r="D1252">
            <v>0</v>
          </cell>
          <cell r="E1252">
            <v>1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0</v>
          </cell>
          <cell r="AA1252">
            <v>0</v>
          </cell>
          <cell r="AB1252">
            <v>0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>
            <v>0</v>
          </cell>
          <cell r="AM1252">
            <v>0</v>
          </cell>
          <cell r="AN1252">
            <v>0</v>
          </cell>
          <cell r="AO1252">
            <v>0</v>
          </cell>
          <cell r="AP1252">
            <v>0</v>
          </cell>
          <cell r="AQ1252">
            <v>0</v>
          </cell>
          <cell r="AR1252">
            <v>0</v>
          </cell>
        </row>
        <row r="1253">
          <cell r="B1253" t="str">
            <v xml:space="preserve">              GY3-1960</v>
          </cell>
          <cell r="C1253" t="str">
            <v>Technical review and approval of Consultants and Contractors Designs</v>
          </cell>
          <cell r="D1253">
            <v>0</v>
          </cell>
          <cell r="E1253">
            <v>1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  <cell r="P1253">
            <v>0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0</v>
          </cell>
          <cell r="AA1253">
            <v>0</v>
          </cell>
          <cell r="AB1253">
            <v>0</v>
          </cell>
          <cell r="AC1253">
            <v>0</v>
          </cell>
          <cell r="AD1253">
            <v>0</v>
          </cell>
          <cell r="AE1253">
            <v>0</v>
          </cell>
          <cell r="AF1253">
            <v>0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>
            <v>0</v>
          </cell>
          <cell r="AM1253">
            <v>0</v>
          </cell>
          <cell r="AN1253">
            <v>0</v>
          </cell>
          <cell r="AO1253">
            <v>0</v>
          </cell>
          <cell r="AP1253">
            <v>0</v>
          </cell>
          <cell r="AQ1253">
            <v>0</v>
          </cell>
          <cell r="AR1253">
            <v>0</v>
          </cell>
        </row>
        <row r="1254">
          <cell r="B1254" t="str">
            <v xml:space="preserve">              GY3-1970</v>
          </cell>
          <cell r="C1254" t="str">
            <v>Supervising and Overseeing the work of all bidders, contractors, vendors &amp; Supplier</v>
          </cell>
          <cell r="D1254">
            <v>0</v>
          </cell>
          <cell r="E1254">
            <v>1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0</v>
          </cell>
          <cell r="AA1254">
            <v>0</v>
          </cell>
          <cell r="AB1254">
            <v>0</v>
          </cell>
          <cell r="AC1254">
            <v>0</v>
          </cell>
          <cell r="AD1254">
            <v>0</v>
          </cell>
          <cell r="AE1254">
            <v>0</v>
          </cell>
          <cell r="AF1254">
            <v>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>
            <v>0</v>
          </cell>
          <cell r="AM1254">
            <v>0</v>
          </cell>
          <cell r="AN1254">
            <v>0</v>
          </cell>
          <cell r="AO1254">
            <v>0</v>
          </cell>
          <cell r="AP1254">
            <v>0</v>
          </cell>
          <cell r="AQ1254">
            <v>0</v>
          </cell>
          <cell r="AR1254">
            <v>0</v>
          </cell>
        </row>
        <row r="1255">
          <cell r="B1255" t="str">
            <v xml:space="preserve">              GY3-2890</v>
          </cell>
          <cell r="C1255" t="str">
            <v>Providing Design Coordination between PPP Concessionaires and all Stakeholders</v>
          </cell>
          <cell r="D1255">
            <v>0</v>
          </cell>
          <cell r="E1255">
            <v>1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0</v>
          </cell>
          <cell r="AA1255">
            <v>0</v>
          </cell>
          <cell r="AB1255">
            <v>0</v>
          </cell>
          <cell r="AC1255">
            <v>0</v>
          </cell>
          <cell r="AD1255">
            <v>0</v>
          </cell>
          <cell r="AE1255">
            <v>0</v>
          </cell>
          <cell r="AF1255">
            <v>0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>
            <v>0</v>
          </cell>
          <cell r="AM1255">
            <v>0</v>
          </cell>
          <cell r="AN1255">
            <v>0</v>
          </cell>
          <cell r="AO1255">
            <v>0</v>
          </cell>
          <cell r="AP1255">
            <v>0</v>
          </cell>
          <cell r="AQ1255">
            <v>0</v>
          </cell>
          <cell r="AR1255">
            <v>0</v>
          </cell>
        </row>
        <row r="1256">
          <cell r="B1256" t="str">
            <v xml:space="preserve">              GY3-2900</v>
          </cell>
          <cell r="C1256" t="str">
            <v>Coordinating Design &amp; Design issues between contractors</v>
          </cell>
          <cell r="D1256">
            <v>0</v>
          </cell>
          <cell r="E1256">
            <v>1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  <cell r="P1256">
            <v>0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0</v>
          </cell>
          <cell r="AA1256">
            <v>0</v>
          </cell>
          <cell r="AB1256">
            <v>0</v>
          </cell>
          <cell r="AC1256">
            <v>0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>
            <v>0</v>
          </cell>
          <cell r="AM1256">
            <v>0</v>
          </cell>
          <cell r="AN1256">
            <v>0</v>
          </cell>
          <cell r="AO1256">
            <v>0</v>
          </cell>
          <cell r="AP1256">
            <v>0</v>
          </cell>
          <cell r="AQ1256">
            <v>0</v>
          </cell>
          <cell r="AR1256">
            <v>0</v>
          </cell>
        </row>
        <row r="1257">
          <cell r="B1257" t="str">
            <v xml:space="preserve">              GY3-3750</v>
          </cell>
          <cell r="C1257" t="str">
            <v>Putting forward Value Engineering Ideas</v>
          </cell>
          <cell r="D1257">
            <v>0</v>
          </cell>
          <cell r="E1257">
            <v>1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0</v>
          </cell>
          <cell r="AA1257">
            <v>0</v>
          </cell>
          <cell r="AB1257">
            <v>0</v>
          </cell>
          <cell r="AC1257">
            <v>0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>
            <v>0</v>
          </cell>
          <cell r="AM1257">
            <v>0</v>
          </cell>
          <cell r="AN1257">
            <v>0</v>
          </cell>
          <cell r="AO1257">
            <v>0</v>
          </cell>
          <cell r="AP1257">
            <v>0</v>
          </cell>
          <cell r="AQ1257">
            <v>0</v>
          </cell>
          <cell r="AR1257">
            <v>0</v>
          </cell>
        </row>
        <row r="1258">
          <cell r="B1258" t="str">
            <v xml:space="preserve">              GY3-3760</v>
          </cell>
          <cell r="C1258" t="str">
            <v>Obtaining Third Party independent firms to perform the Reviews</v>
          </cell>
          <cell r="D1258">
            <v>0</v>
          </cell>
          <cell r="E1258">
            <v>1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  <cell r="P1258">
            <v>0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0</v>
          </cell>
          <cell r="AA1258">
            <v>0</v>
          </cell>
          <cell r="AB1258">
            <v>0</v>
          </cell>
          <cell r="AC1258">
            <v>0</v>
          </cell>
          <cell r="AD1258">
            <v>0</v>
          </cell>
          <cell r="AE1258">
            <v>0</v>
          </cell>
          <cell r="AF1258">
            <v>0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>
            <v>0</v>
          </cell>
          <cell r="AM1258">
            <v>0</v>
          </cell>
          <cell r="AN1258">
            <v>0</v>
          </cell>
          <cell r="AO1258">
            <v>0</v>
          </cell>
          <cell r="AP1258">
            <v>0</v>
          </cell>
          <cell r="AQ1258">
            <v>0</v>
          </cell>
          <cell r="AR1258">
            <v>0</v>
          </cell>
        </row>
        <row r="1259">
          <cell r="B1259" t="str">
            <v xml:space="preserve">            PERMITS &amp; APPROVALS</v>
          </cell>
          <cell r="D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  <cell r="P1259">
            <v>0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0</v>
          </cell>
          <cell r="AA1259">
            <v>0</v>
          </cell>
          <cell r="AB1259">
            <v>0</v>
          </cell>
          <cell r="AC1259">
            <v>0</v>
          </cell>
          <cell r="AD1259">
            <v>0</v>
          </cell>
          <cell r="AE1259">
            <v>0</v>
          </cell>
          <cell r="AF1259">
            <v>0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>
            <v>0</v>
          </cell>
          <cell r="AM1259">
            <v>0</v>
          </cell>
          <cell r="AN1259">
            <v>0</v>
          </cell>
          <cell r="AO1259">
            <v>0</v>
          </cell>
          <cell r="AP1259">
            <v>0</v>
          </cell>
          <cell r="AQ1259">
            <v>0</v>
          </cell>
          <cell r="AR1259">
            <v>0</v>
          </cell>
        </row>
        <row r="1260">
          <cell r="B1260" t="str">
            <v xml:space="preserve">              GY3-1600</v>
          </cell>
          <cell r="C1260" t="str">
            <v>Ensuring the Process for obtaining the approval</v>
          </cell>
          <cell r="D1260">
            <v>0</v>
          </cell>
          <cell r="E1260">
            <v>1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  <cell r="P1260">
            <v>0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0</v>
          </cell>
          <cell r="AA1260">
            <v>0</v>
          </cell>
          <cell r="AB1260">
            <v>0</v>
          </cell>
          <cell r="AC1260">
            <v>0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>
            <v>0</v>
          </cell>
          <cell r="AM1260">
            <v>0</v>
          </cell>
          <cell r="AN1260">
            <v>0</v>
          </cell>
          <cell r="AO1260">
            <v>0</v>
          </cell>
          <cell r="AP1260">
            <v>0</v>
          </cell>
          <cell r="AQ1260">
            <v>0</v>
          </cell>
          <cell r="AR1260">
            <v>0</v>
          </cell>
        </row>
        <row r="1261">
          <cell r="B1261" t="str">
            <v xml:space="preserve">              GY3-1610</v>
          </cell>
          <cell r="C1261" t="str">
            <v>Assisting DMICDC and Speciality 3rd Party Consultant in Approval Process</v>
          </cell>
          <cell r="D1261">
            <v>0</v>
          </cell>
          <cell r="E1261">
            <v>1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O1261">
            <v>0</v>
          </cell>
          <cell r="P1261">
            <v>0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0</v>
          </cell>
          <cell r="AA1261">
            <v>0</v>
          </cell>
          <cell r="AB1261">
            <v>0</v>
          </cell>
          <cell r="AC1261">
            <v>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>
            <v>0</v>
          </cell>
          <cell r="AM1261">
            <v>0</v>
          </cell>
          <cell r="AN1261">
            <v>0</v>
          </cell>
          <cell r="AO1261">
            <v>0</v>
          </cell>
          <cell r="AP1261">
            <v>0</v>
          </cell>
          <cell r="AQ1261">
            <v>0</v>
          </cell>
          <cell r="AR1261">
            <v>0</v>
          </cell>
        </row>
        <row r="1262">
          <cell r="B1262" t="str">
            <v xml:space="preserve">              GY3-1720</v>
          </cell>
          <cell r="C1262" t="str">
            <v>Preparing Monthly updates on Status of environmental and other regulatory approvals</v>
          </cell>
          <cell r="D1262">
            <v>0</v>
          </cell>
          <cell r="E1262">
            <v>1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  <cell r="P1262">
            <v>0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0</v>
          </cell>
          <cell r="AA1262">
            <v>0</v>
          </cell>
          <cell r="AB1262">
            <v>0</v>
          </cell>
          <cell r="AC1262">
            <v>0</v>
          </cell>
          <cell r="AD1262">
            <v>0</v>
          </cell>
          <cell r="AE1262">
            <v>0</v>
          </cell>
          <cell r="AF1262">
            <v>0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>
            <v>0</v>
          </cell>
          <cell r="AM1262">
            <v>0</v>
          </cell>
          <cell r="AN1262">
            <v>0</v>
          </cell>
          <cell r="AO1262">
            <v>0</v>
          </cell>
          <cell r="AP1262">
            <v>0</v>
          </cell>
          <cell r="AQ1262">
            <v>0</v>
          </cell>
          <cell r="AR1262">
            <v>0</v>
          </cell>
        </row>
        <row r="1263">
          <cell r="B1263" t="str">
            <v xml:space="preserve">            PROCUREMENT &amp; SUPPLY CHAIN MANAGEMENT</v>
          </cell>
          <cell r="D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  <cell r="P1263">
            <v>0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0</v>
          </cell>
          <cell r="AA1263">
            <v>0</v>
          </cell>
          <cell r="AB1263">
            <v>0</v>
          </cell>
          <cell r="AC1263">
            <v>0</v>
          </cell>
          <cell r="AD1263">
            <v>0</v>
          </cell>
          <cell r="AE1263">
            <v>0</v>
          </cell>
          <cell r="AF1263">
            <v>0</v>
          </cell>
          <cell r="AG1263">
            <v>0</v>
          </cell>
          <cell r="AH1263">
            <v>0</v>
          </cell>
          <cell r="AI1263">
            <v>0</v>
          </cell>
          <cell r="AJ1263">
            <v>0</v>
          </cell>
          <cell r="AK1263">
            <v>0</v>
          </cell>
          <cell r="AL1263">
            <v>0</v>
          </cell>
          <cell r="AM1263">
            <v>0</v>
          </cell>
          <cell r="AN1263">
            <v>0</v>
          </cell>
          <cell r="AO1263">
            <v>0</v>
          </cell>
          <cell r="AP1263">
            <v>0</v>
          </cell>
          <cell r="AQ1263">
            <v>0</v>
          </cell>
          <cell r="AR1263">
            <v>0</v>
          </cell>
        </row>
        <row r="1264">
          <cell r="B1264" t="str">
            <v xml:space="preserve">              PROCUREMENT MANAGEMENT</v>
          </cell>
          <cell r="D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  <cell r="P1264">
            <v>0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0</v>
          </cell>
          <cell r="AB1264">
            <v>0</v>
          </cell>
          <cell r="AC1264">
            <v>0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>
            <v>0</v>
          </cell>
          <cell r="AM1264">
            <v>0</v>
          </cell>
          <cell r="AN1264">
            <v>0</v>
          </cell>
          <cell r="AO1264">
            <v>0</v>
          </cell>
          <cell r="AP1264">
            <v>0</v>
          </cell>
          <cell r="AQ1264">
            <v>0</v>
          </cell>
          <cell r="AR1264">
            <v>0</v>
          </cell>
        </row>
        <row r="1265">
          <cell r="B1265" t="str">
            <v xml:space="preserve">                SELECTION OF EPC CONTRACTOR FOR PHASE I DEVELOPMENT</v>
          </cell>
          <cell r="G1265">
            <v>0</v>
          </cell>
        </row>
        <row r="1266">
          <cell r="B1266" t="str">
            <v xml:space="preserve">                SELECTION OF PPP CONCESSIONAIRE FOR PHASE I &amp; II DEVELOPMENT</v>
          </cell>
          <cell r="G1266">
            <v>0</v>
          </cell>
        </row>
        <row r="1267">
          <cell r="B1267" t="str">
            <v xml:space="preserve">              SUPPLY CHAIN MANAGEMENT</v>
          </cell>
          <cell r="D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0</v>
          </cell>
          <cell r="AB1267">
            <v>0</v>
          </cell>
          <cell r="AC1267">
            <v>0</v>
          </cell>
          <cell r="AD1267">
            <v>0</v>
          </cell>
          <cell r="AE1267">
            <v>0</v>
          </cell>
          <cell r="AF1267">
            <v>0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>
            <v>0</v>
          </cell>
          <cell r="AM1267">
            <v>0</v>
          </cell>
          <cell r="AN1267">
            <v>0</v>
          </cell>
          <cell r="AO1267">
            <v>0</v>
          </cell>
          <cell r="AP1267">
            <v>0</v>
          </cell>
          <cell r="AQ1267">
            <v>0</v>
          </cell>
          <cell r="AR1267">
            <v>0</v>
          </cell>
        </row>
        <row r="1268">
          <cell r="B1268" t="str">
            <v xml:space="preserve">                GY3-2380</v>
          </cell>
          <cell r="C1268" t="str">
            <v>Undertaking a Supply Chain Analysis &amp; Recommendations by inputs from PMs, Bidders, Contractors &amp; Suppliers</v>
          </cell>
          <cell r="D1268">
            <v>0</v>
          </cell>
          <cell r="E1268">
            <v>1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0</v>
          </cell>
          <cell r="AB1268">
            <v>0</v>
          </cell>
          <cell r="AC1268">
            <v>0</v>
          </cell>
          <cell r="AD1268">
            <v>0</v>
          </cell>
          <cell r="AE1268">
            <v>0</v>
          </cell>
          <cell r="AF1268">
            <v>0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>
            <v>0</v>
          </cell>
          <cell r="AM1268">
            <v>0</v>
          </cell>
          <cell r="AN1268">
            <v>0</v>
          </cell>
          <cell r="AO1268">
            <v>0</v>
          </cell>
          <cell r="AP1268">
            <v>0</v>
          </cell>
          <cell r="AQ1268">
            <v>0</v>
          </cell>
          <cell r="AR1268">
            <v>0</v>
          </cell>
        </row>
        <row r="1269">
          <cell r="B1269" t="str">
            <v xml:space="preserve">                GY3-2420</v>
          </cell>
          <cell r="C1269" t="str">
            <v>Meeting PMs, Bidders, Contractors, Suppliers &amp; Supervision Bidders to discuss Potential Issues, Conflicts or Problems</v>
          </cell>
          <cell r="D1269">
            <v>0</v>
          </cell>
          <cell r="E1269">
            <v>1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0</v>
          </cell>
          <cell r="AA1269">
            <v>0</v>
          </cell>
          <cell r="AB1269">
            <v>0</v>
          </cell>
          <cell r="AC1269">
            <v>0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>
            <v>0</v>
          </cell>
          <cell r="AM1269">
            <v>0</v>
          </cell>
          <cell r="AN1269">
            <v>0</v>
          </cell>
          <cell r="AO1269">
            <v>0</v>
          </cell>
          <cell r="AP1269">
            <v>0</v>
          </cell>
          <cell r="AQ1269">
            <v>0</v>
          </cell>
          <cell r="AR1269">
            <v>0</v>
          </cell>
        </row>
        <row r="1270">
          <cell r="B1270" t="str">
            <v xml:space="preserve">                GY3-2440</v>
          </cell>
          <cell r="C1270" t="str">
            <v>Forecasting /Analyzing / Assessing Impact on Supply Chain</v>
          </cell>
          <cell r="D1270">
            <v>0</v>
          </cell>
          <cell r="E1270">
            <v>1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0</v>
          </cell>
          <cell r="AA1270">
            <v>0</v>
          </cell>
          <cell r="AB1270">
            <v>0</v>
          </cell>
          <cell r="AC1270">
            <v>0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>
            <v>0</v>
          </cell>
          <cell r="AM1270">
            <v>0</v>
          </cell>
          <cell r="AN1270">
            <v>0</v>
          </cell>
          <cell r="AO1270">
            <v>0</v>
          </cell>
          <cell r="AP1270">
            <v>0</v>
          </cell>
          <cell r="AQ1270">
            <v>0</v>
          </cell>
          <cell r="AR1270">
            <v>0</v>
          </cell>
        </row>
        <row r="1271">
          <cell r="B1271" t="str">
            <v xml:space="preserve">                GY3-2450</v>
          </cell>
          <cell r="C1271" t="str">
            <v>Recommending Mitigation tools to ease to avoid delays, interruptions on local supply chain</v>
          </cell>
          <cell r="D1271">
            <v>0</v>
          </cell>
          <cell r="E1271">
            <v>1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0</v>
          </cell>
          <cell r="AA1271">
            <v>0</v>
          </cell>
          <cell r="AB1271">
            <v>0</v>
          </cell>
          <cell r="AC1271">
            <v>0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>
            <v>0</v>
          </cell>
          <cell r="AM1271">
            <v>0</v>
          </cell>
          <cell r="AN1271">
            <v>0</v>
          </cell>
          <cell r="AO1271">
            <v>0</v>
          </cell>
          <cell r="AP1271">
            <v>0</v>
          </cell>
          <cell r="AQ1271">
            <v>0</v>
          </cell>
          <cell r="AR1271">
            <v>0</v>
          </cell>
        </row>
        <row r="1272">
          <cell r="B1272" t="str">
            <v xml:space="preserve">                GY3-2460</v>
          </cell>
          <cell r="C1272" t="str">
            <v>Developing Strategic Sourcing Solutions &amp; Value Buying</v>
          </cell>
          <cell r="D1272">
            <v>0</v>
          </cell>
          <cell r="E1272">
            <v>1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O1272">
            <v>0</v>
          </cell>
          <cell r="P1272">
            <v>0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0</v>
          </cell>
          <cell r="AA1272">
            <v>0</v>
          </cell>
          <cell r="AB1272">
            <v>0</v>
          </cell>
          <cell r="AC1272">
            <v>0</v>
          </cell>
          <cell r="AD1272">
            <v>0</v>
          </cell>
          <cell r="AE1272">
            <v>0</v>
          </cell>
          <cell r="AF1272">
            <v>0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>
            <v>0</v>
          </cell>
          <cell r="AM1272">
            <v>0</v>
          </cell>
          <cell r="AN1272">
            <v>0</v>
          </cell>
          <cell r="AO1272">
            <v>0</v>
          </cell>
          <cell r="AP1272">
            <v>0</v>
          </cell>
          <cell r="AQ1272">
            <v>0</v>
          </cell>
          <cell r="AR1272">
            <v>0</v>
          </cell>
        </row>
        <row r="1273">
          <cell r="B1273" t="str">
            <v xml:space="preserve">              TENDERING ADMINISTRATION</v>
          </cell>
          <cell r="D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0</v>
          </cell>
          <cell r="AA1273">
            <v>0</v>
          </cell>
          <cell r="AB1273">
            <v>0</v>
          </cell>
          <cell r="AC1273">
            <v>0</v>
          </cell>
          <cell r="AD1273">
            <v>0</v>
          </cell>
          <cell r="AE1273">
            <v>0</v>
          </cell>
          <cell r="AF1273">
            <v>0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>
            <v>0</v>
          </cell>
          <cell r="AM1273">
            <v>0</v>
          </cell>
          <cell r="AN1273">
            <v>0</v>
          </cell>
          <cell r="AO1273">
            <v>0</v>
          </cell>
          <cell r="AP1273">
            <v>0</v>
          </cell>
          <cell r="AQ1273">
            <v>0</v>
          </cell>
          <cell r="AR1273">
            <v>0</v>
          </cell>
        </row>
        <row r="1274">
          <cell r="B1274" t="str">
            <v xml:space="preserve">            SITE LOGISTICS</v>
          </cell>
          <cell r="G1274">
            <v>0</v>
          </cell>
        </row>
        <row r="1275">
          <cell r="B1275" t="str">
            <v xml:space="preserve">            CONSTRUCTION PROGRAM MANAGEMENT</v>
          </cell>
          <cell r="G1275">
            <v>0</v>
          </cell>
        </row>
        <row r="1276">
          <cell r="B1276" t="str">
            <v xml:space="preserve">              EXHIBITION HALL 1</v>
          </cell>
          <cell r="D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0</v>
          </cell>
          <cell r="AA1276">
            <v>0</v>
          </cell>
          <cell r="AB1276">
            <v>0</v>
          </cell>
          <cell r="AC1276">
            <v>0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>
            <v>0</v>
          </cell>
          <cell r="AM1276">
            <v>0</v>
          </cell>
          <cell r="AN1276">
            <v>0</v>
          </cell>
          <cell r="AO1276">
            <v>0</v>
          </cell>
          <cell r="AP1276">
            <v>0</v>
          </cell>
          <cell r="AQ1276">
            <v>0</v>
          </cell>
          <cell r="AR1276">
            <v>0</v>
          </cell>
        </row>
        <row r="1277">
          <cell r="B1277" t="str">
            <v xml:space="preserve">                PLANNING &amp; CONTROLS</v>
          </cell>
          <cell r="D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  <cell r="P1277">
            <v>0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0</v>
          </cell>
          <cell r="AA1277">
            <v>0</v>
          </cell>
          <cell r="AB1277">
            <v>0</v>
          </cell>
          <cell r="AC1277">
            <v>0</v>
          </cell>
          <cell r="AD1277">
            <v>0</v>
          </cell>
          <cell r="AE1277">
            <v>0</v>
          </cell>
          <cell r="AF1277">
            <v>0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>
            <v>0</v>
          </cell>
          <cell r="AM1277">
            <v>0</v>
          </cell>
          <cell r="AN1277">
            <v>0</v>
          </cell>
          <cell r="AO1277">
            <v>0</v>
          </cell>
          <cell r="AP1277">
            <v>0</v>
          </cell>
          <cell r="AQ1277">
            <v>0</v>
          </cell>
          <cell r="AR1277">
            <v>0</v>
          </cell>
        </row>
        <row r="1278">
          <cell r="B1278" t="str">
            <v xml:space="preserve">                  GY3-3170</v>
          </cell>
          <cell r="C1278" t="str">
            <v>Overall Supervision &amp; Monitoring of Construction Work Package</v>
          </cell>
          <cell r="D1278">
            <v>0</v>
          </cell>
          <cell r="E1278">
            <v>1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0</v>
          </cell>
          <cell r="AA1278">
            <v>0</v>
          </cell>
          <cell r="AB1278">
            <v>0</v>
          </cell>
          <cell r="AC1278">
            <v>0</v>
          </cell>
          <cell r="AD1278">
            <v>0</v>
          </cell>
          <cell r="AE1278">
            <v>0</v>
          </cell>
          <cell r="AF1278">
            <v>0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>
            <v>0</v>
          </cell>
          <cell r="AM1278">
            <v>0</v>
          </cell>
          <cell r="AN1278">
            <v>0</v>
          </cell>
          <cell r="AO1278">
            <v>0</v>
          </cell>
          <cell r="AP1278">
            <v>0</v>
          </cell>
          <cell r="AQ1278">
            <v>0</v>
          </cell>
          <cell r="AR1278">
            <v>0</v>
          </cell>
        </row>
        <row r="1279">
          <cell r="B1279" t="str">
            <v xml:space="preserve">                  GY3-3180</v>
          </cell>
          <cell r="C1279" t="str">
            <v>Management of Site Infrastructure</v>
          </cell>
          <cell r="D1279">
            <v>0</v>
          </cell>
          <cell r="E1279">
            <v>1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0</v>
          </cell>
          <cell r="AA1279">
            <v>0</v>
          </cell>
          <cell r="AB1279">
            <v>0</v>
          </cell>
          <cell r="AC1279">
            <v>0</v>
          </cell>
          <cell r="AD1279">
            <v>0</v>
          </cell>
          <cell r="AE1279">
            <v>0</v>
          </cell>
          <cell r="AF1279">
            <v>0</v>
          </cell>
          <cell r="AG1279">
            <v>0</v>
          </cell>
          <cell r="AH1279">
            <v>0</v>
          </cell>
          <cell r="AI1279">
            <v>0</v>
          </cell>
          <cell r="AJ1279">
            <v>0</v>
          </cell>
          <cell r="AK1279">
            <v>0</v>
          </cell>
          <cell r="AL1279">
            <v>0</v>
          </cell>
          <cell r="AM1279">
            <v>0</v>
          </cell>
          <cell r="AN1279">
            <v>0</v>
          </cell>
          <cell r="AO1279">
            <v>0</v>
          </cell>
          <cell r="AP1279">
            <v>0</v>
          </cell>
          <cell r="AQ1279">
            <v>0</v>
          </cell>
          <cell r="AR1279">
            <v>0</v>
          </cell>
        </row>
        <row r="1280">
          <cell r="B1280" t="str">
            <v xml:space="preserve">                  GY3-3190</v>
          </cell>
          <cell r="C1280" t="str">
            <v>Work Scope Coordination</v>
          </cell>
          <cell r="D1280">
            <v>0</v>
          </cell>
          <cell r="E1280">
            <v>1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0</v>
          </cell>
          <cell r="AA1280">
            <v>0</v>
          </cell>
          <cell r="AB1280">
            <v>0</v>
          </cell>
          <cell r="AC1280">
            <v>0</v>
          </cell>
          <cell r="AD1280">
            <v>0</v>
          </cell>
          <cell r="AE1280">
            <v>0</v>
          </cell>
          <cell r="AF1280">
            <v>0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>
            <v>0</v>
          </cell>
          <cell r="AM1280">
            <v>0</v>
          </cell>
          <cell r="AN1280">
            <v>0</v>
          </cell>
          <cell r="AO1280">
            <v>0</v>
          </cell>
          <cell r="AP1280">
            <v>0</v>
          </cell>
          <cell r="AQ1280">
            <v>0</v>
          </cell>
          <cell r="AR1280">
            <v>0</v>
          </cell>
        </row>
        <row r="1281">
          <cell r="B1281" t="str">
            <v xml:space="preserve">                  GY3-3200</v>
          </cell>
          <cell r="C1281" t="str">
            <v>Workforce Management</v>
          </cell>
          <cell r="D1281">
            <v>0</v>
          </cell>
          <cell r="E1281">
            <v>1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0</v>
          </cell>
          <cell r="AA1281">
            <v>0</v>
          </cell>
          <cell r="AB1281">
            <v>0</v>
          </cell>
          <cell r="AC1281">
            <v>0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>
            <v>0</v>
          </cell>
          <cell r="AM1281">
            <v>0</v>
          </cell>
          <cell r="AN1281">
            <v>0</v>
          </cell>
          <cell r="AO1281">
            <v>0</v>
          </cell>
          <cell r="AP1281">
            <v>0</v>
          </cell>
          <cell r="AQ1281">
            <v>0</v>
          </cell>
          <cell r="AR1281">
            <v>0</v>
          </cell>
        </row>
        <row r="1282">
          <cell r="B1282" t="str">
            <v xml:space="preserve">                  GY3-3210</v>
          </cell>
          <cell r="C1282" t="str">
            <v>Document Management Practices</v>
          </cell>
          <cell r="D1282">
            <v>0</v>
          </cell>
          <cell r="E1282">
            <v>1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0</v>
          </cell>
          <cell r="AA1282">
            <v>0</v>
          </cell>
          <cell r="AB1282">
            <v>0</v>
          </cell>
          <cell r="AC1282">
            <v>0</v>
          </cell>
          <cell r="AD1282">
            <v>0</v>
          </cell>
          <cell r="AE1282">
            <v>0</v>
          </cell>
          <cell r="AF1282">
            <v>0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>
            <v>0</v>
          </cell>
          <cell r="AM1282">
            <v>0</v>
          </cell>
          <cell r="AN1282">
            <v>0</v>
          </cell>
          <cell r="AO1282">
            <v>0</v>
          </cell>
          <cell r="AP1282">
            <v>0</v>
          </cell>
          <cell r="AQ1282">
            <v>0</v>
          </cell>
          <cell r="AR1282">
            <v>0</v>
          </cell>
        </row>
        <row r="1283">
          <cell r="B1283" t="str">
            <v xml:space="preserve">                  GY3-3220</v>
          </cell>
          <cell r="C1283" t="str">
            <v>Schedule &amp; Progress Management</v>
          </cell>
          <cell r="D1283">
            <v>0</v>
          </cell>
          <cell r="E1283">
            <v>1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0</v>
          </cell>
          <cell r="AA1283">
            <v>0</v>
          </cell>
          <cell r="AB1283">
            <v>0</v>
          </cell>
          <cell r="AC1283">
            <v>0</v>
          </cell>
          <cell r="AD1283">
            <v>0</v>
          </cell>
          <cell r="AE1283">
            <v>0</v>
          </cell>
          <cell r="AF1283">
            <v>0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>
            <v>0</v>
          </cell>
          <cell r="AM1283">
            <v>0</v>
          </cell>
          <cell r="AN1283">
            <v>0</v>
          </cell>
          <cell r="AO1283">
            <v>0</v>
          </cell>
          <cell r="AP1283">
            <v>0</v>
          </cell>
          <cell r="AQ1283">
            <v>0</v>
          </cell>
          <cell r="AR1283">
            <v>0</v>
          </cell>
        </row>
        <row r="1284">
          <cell r="B1284" t="str">
            <v xml:space="preserve">                  GY3-3230</v>
          </cell>
          <cell r="C1284" t="str">
            <v>Material Management Process</v>
          </cell>
          <cell r="D1284">
            <v>0</v>
          </cell>
          <cell r="E1284">
            <v>1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0</v>
          </cell>
          <cell r="AA1284">
            <v>0</v>
          </cell>
          <cell r="AB1284">
            <v>0</v>
          </cell>
          <cell r="AC1284">
            <v>0</v>
          </cell>
          <cell r="AD1284">
            <v>0</v>
          </cell>
          <cell r="AE1284">
            <v>0</v>
          </cell>
          <cell r="AF1284">
            <v>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>
            <v>0</v>
          </cell>
          <cell r="AM1284">
            <v>0</v>
          </cell>
          <cell r="AN1284">
            <v>0</v>
          </cell>
          <cell r="AO1284">
            <v>0</v>
          </cell>
          <cell r="AP1284">
            <v>0</v>
          </cell>
          <cell r="AQ1284">
            <v>0</v>
          </cell>
          <cell r="AR1284">
            <v>0</v>
          </cell>
        </row>
        <row r="1285">
          <cell r="B1285" t="str">
            <v xml:space="preserve">                  GY3-3240</v>
          </cell>
          <cell r="C1285" t="str">
            <v>Financial Management</v>
          </cell>
          <cell r="D1285">
            <v>0</v>
          </cell>
          <cell r="E1285">
            <v>1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O1285">
            <v>0</v>
          </cell>
          <cell r="P1285">
            <v>0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0</v>
          </cell>
          <cell r="AA1285">
            <v>0</v>
          </cell>
          <cell r="AB1285">
            <v>0</v>
          </cell>
          <cell r="AC1285">
            <v>0</v>
          </cell>
          <cell r="AD1285">
            <v>0</v>
          </cell>
          <cell r="AE1285">
            <v>0</v>
          </cell>
          <cell r="AF1285">
            <v>0</v>
          </cell>
          <cell r="AG1285">
            <v>0</v>
          </cell>
          <cell r="AH1285">
            <v>0</v>
          </cell>
          <cell r="AI1285">
            <v>0</v>
          </cell>
          <cell r="AJ1285">
            <v>0</v>
          </cell>
          <cell r="AK1285">
            <v>0</v>
          </cell>
          <cell r="AL1285">
            <v>0</v>
          </cell>
          <cell r="AM1285">
            <v>0</v>
          </cell>
          <cell r="AN1285">
            <v>0</v>
          </cell>
          <cell r="AO1285">
            <v>0</v>
          </cell>
          <cell r="AP1285">
            <v>0</v>
          </cell>
          <cell r="AQ1285">
            <v>0</v>
          </cell>
          <cell r="AR1285">
            <v>0</v>
          </cell>
        </row>
        <row r="1286">
          <cell r="B1286" t="str">
            <v xml:space="preserve">                  GY3-3250</v>
          </cell>
          <cell r="C1286" t="str">
            <v>Final Sign off on all Construction Related Design (GFCs) etc..</v>
          </cell>
          <cell r="D1286">
            <v>0</v>
          </cell>
          <cell r="E1286">
            <v>1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0</v>
          </cell>
          <cell r="AA1286">
            <v>0</v>
          </cell>
          <cell r="AB1286">
            <v>0</v>
          </cell>
          <cell r="AC1286">
            <v>0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>
            <v>0</v>
          </cell>
          <cell r="AM1286">
            <v>0</v>
          </cell>
          <cell r="AN1286">
            <v>0</v>
          </cell>
          <cell r="AO1286">
            <v>0</v>
          </cell>
          <cell r="AP1286">
            <v>0</v>
          </cell>
          <cell r="AQ1286">
            <v>0</v>
          </cell>
          <cell r="AR1286">
            <v>0</v>
          </cell>
        </row>
        <row r="1287">
          <cell r="B1287" t="str">
            <v xml:space="preserve">                  GY3-3280</v>
          </cell>
          <cell r="C1287" t="str">
            <v>Determine EOT, Compensation &amp; Relief from Penalties</v>
          </cell>
          <cell r="D1287">
            <v>0</v>
          </cell>
          <cell r="E1287">
            <v>1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0</v>
          </cell>
          <cell r="AA1287">
            <v>0</v>
          </cell>
          <cell r="AB1287">
            <v>0</v>
          </cell>
          <cell r="AC1287">
            <v>0</v>
          </cell>
          <cell r="AD1287">
            <v>0</v>
          </cell>
          <cell r="AE1287">
            <v>0</v>
          </cell>
          <cell r="AF1287">
            <v>0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>
            <v>0</v>
          </cell>
          <cell r="AM1287">
            <v>0</v>
          </cell>
          <cell r="AN1287">
            <v>0</v>
          </cell>
          <cell r="AO1287">
            <v>0</v>
          </cell>
          <cell r="AP1287">
            <v>0</v>
          </cell>
          <cell r="AQ1287">
            <v>0</v>
          </cell>
          <cell r="AR1287">
            <v>0</v>
          </cell>
        </row>
        <row r="1288">
          <cell r="B1288" t="str">
            <v xml:space="preserve">                CONSTRUCTION DESIGN &amp; DETAILS</v>
          </cell>
          <cell r="D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0</v>
          </cell>
          <cell r="AA1288">
            <v>0</v>
          </cell>
          <cell r="AB1288">
            <v>0</v>
          </cell>
          <cell r="AC1288">
            <v>0</v>
          </cell>
          <cell r="AD1288">
            <v>0</v>
          </cell>
          <cell r="AE1288">
            <v>0</v>
          </cell>
          <cell r="AF1288">
            <v>0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>
            <v>0</v>
          </cell>
          <cell r="AM1288">
            <v>0</v>
          </cell>
          <cell r="AN1288">
            <v>0</v>
          </cell>
          <cell r="AO1288">
            <v>0</v>
          </cell>
          <cell r="AP1288">
            <v>0</v>
          </cell>
          <cell r="AQ1288">
            <v>0</v>
          </cell>
          <cell r="AR1288">
            <v>0</v>
          </cell>
        </row>
        <row r="1289">
          <cell r="B1289" t="str">
            <v xml:space="preserve">                  GY3-3260</v>
          </cell>
          <cell r="C1289" t="str">
            <v>Reviewing Design Documents &amp; Preparing Details</v>
          </cell>
          <cell r="D1289">
            <v>0</v>
          </cell>
          <cell r="E1289">
            <v>1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0</v>
          </cell>
          <cell r="AA1289">
            <v>0</v>
          </cell>
          <cell r="AB1289">
            <v>0</v>
          </cell>
          <cell r="AC1289">
            <v>0</v>
          </cell>
          <cell r="AD1289">
            <v>0</v>
          </cell>
          <cell r="AE1289">
            <v>0</v>
          </cell>
          <cell r="AF1289">
            <v>0</v>
          </cell>
          <cell r="AG1289">
            <v>0</v>
          </cell>
          <cell r="AH1289">
            <v>0</v>
          </cell>
          <cell r="AI1289">
            <v>0</v>
          </cell>
          <cell r="AJ1289">
            <v>0</v>
          </cell>
          <cell r="AK1289">
            <v>0</v>
          </cell>
          <cell r="AL1289">
            <v>0</v>
          </cell>
          <cell r="AM1289">
            <v>0</v>
          </cell>
          <cell r="AN1289">
            <v>0</v>
          </cell>
          <cell r="AO1289">
            <v>0</v>
          </cell>
          <cell r="AP1289">
            <v>0</v>
          </cell>
          <cell r="AQ1289">
            <v>0</v>
          </cell>
          <cell r="AR1289">
            <v>0</v>
          </cell>
        </row>
        <row r="1290">
          <cell r="B1290" t="str">
            <v xml:space="preserve">                CONSTRUCTION PROCUREMENT &amp; CONTRACTS MANAGEMENT</v>
          </cell>
          <cell r="D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  <cell r="O1290">
            <v>0</v>
          </cell>
          <cell r="P1290">
            <v>0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0</v>
          </cell>
          <cell r="AA1290">
            <v>0</v>
          </cell>
          <cell r="AB1290">
            <v>0</v>
          </cell>
          <cell r="AC1290">
            <v>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>
            <v>0</v>
          </cell>
          <cell r="AM1290">
            <v>0</v>
          </cell>
          <cell r="AN1290">
            <v>0</v>
          </cell>
          <cell r="AO1290">
            <v>0</v>
          </cell>
          <cell r="AP1290">
            <v>0</v>
          </cell>
          <cell r="AQ1290">
            <v>0</v>
          </cell>
          <cell r="AR1290">
            <v>0</v>
          </cell>
        </row>
        <row r="1291">
          <cell r="B1291" t="str">
            <v xml:space="preserve">                  GY3-3270</v>
          </cell>
          <cell r="C1291" t="str">
            <v>Monitoring site availability, Land Acquisitions and Permits</v>
          </cell>
          <cell r="D1291">
            <v>0</v>
          </cell>
          <cell r="E1291">
            <v>1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0</v>
          </cell>
          <cell r="AA1291">
            <v>0</v>
          </cell>
          <cell r="AB1291">
            <v>0</v>
          </cell>
          <cell r="AC1291">
            <v>0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>
            <v>0</v>
          </cell>
          <cell r="AM1291">
            <v>0</v>
          </cell>
          <cell r="AN1291">
            <v>0</v>
          </cell>
          <cell r="AO1291">
            <v>0</v>
          </cell>
          <cell r="AP1291">
            <v>0</v>
          </cell>
          <cell r="AQ1291">
            <v>0</v>
          </cell>
          <cell r="AR1291">
            <v>0</v>
          </cell>
        </row>
        <row r="1292">
          <cell r="B1292" t="str">
            <v xml:space="preserve">                  GY3-3290</v>
          </cell>
          <cell r="C1292" t="str">
            <v>Supervision, Administration &amp; Management of Construction Contracts</v>
          </cell>
          <cell r="D1292">
            <v>0</v>
          </cell>
          <cell r="E1292">
            <v>1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  <cell r="P1292">
            <v>0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0</v>
          </cell>
          <cell r="AA1292">
            <v>0</v>
          </cell>
          <cell r="AB1292">
            <v>0</v>
          </cell>
          <cell r="AC1292">
            <v>0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>
            <v>0</v>
          </cell>
          <cell r="AM1292">
            <v>0</v>
          </cell>
          <cell r="AN1292">
            <v>0</v>
          </cell>
          <cell r="AO1292">
            <v>0</v>
          </cell>
          <cell r="AP1292">
            <v>0</v>
          </cell>
          <cell r="AQ1292">
            <v>0</v>
          </cell>
          <cell r="AR1292">
            <v>0</v>
          </cell>
        </row>
        <row r="1293">
          <cell r="B1293" t="str">
            <v xml:space="preserve">                CONSTRUCTION QA / QC MANAGEMENT</v>
          </cell>
          <cell r="D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0</v>
          </cell>
          <cell r="AA1293">
            <v>0</v>
          </cell>
          <cell r="AB1293">
            <v>0</v>
          </cell>
          <cell r="AC1293">
            <v>0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>
            <v>0</v>
          </cell>
          <cell r="AM1293">
            <v>0</v>
          </cell>
          <cell r="AN1293">
            <v>0</v>
          </cell>
          <cell r="AO1293">
            <v>0</v>
          </cell>
          <cell r="AP1293">
            <v>0</v>
          </cell>
          <cell r="AQ1293">
            <v>0</v>
          </cell>
          <cell r="AR1293">
            <v>0</v>
          </cell>
        </row>
        <row r="1294">
          <cell r="B1294" t="str">
            <v xml:space="preserve">                  GY3-3100</v>
          </cell>
          <cell r="C1294" t="str">
            <v>Ensuring Quality Control of Works, including Test Reports for Material &amp; Construction</v>
          </cell>
          <cell r="D1294">
            <v>0</v>
          </cell>
          <cell r="E1294">
            <v>1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  <cell r="P1294">
            <v>0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0</v>
          </cell>
          <cell r="AA1294">
            <v>0</v>
          </cell>
          <cell r="AB1294">
            <v>0</v>
          </cell>
          <cell r="AC1294">
            <v>0</v>
          </cell>
          <cell r="AD1294">
            <v>0</v>
          </cell>
          <cell r="AE1294">
            <v>0</v>
          </cell>
          <cell r="AF1294">
            <v>0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>
            <v>0</v>
          </cell>
          <cell r="AM1294">
            <v>0</v>
          </cell>
          <cell r="AN1294">
            <v>0</v>
          </cell>
          <cell r="AO1294">
            <v>0</v>
          </cell>
          <cell r="AP1294">
            <v>0</v>
          </cell>
          <cell r="AQ1294">
            <v>0</v>
          </cell>
          <cell r="AR1294">
            <v>0</v>
          </cell>
        </row>
        <row r="1295">
          <cell r="B1295" t="str">
            <v xml:space="preserve">                  GY3-3130</v>
          </cell>
          <cell r="C1295" t="str">
            <v>Reviewing &amp; Recommending Quality Assurance Programme (Test Checks, RFIs)</v>
          </cell>
          <cell r="D1295">
            <v>0</v>
          </cell>
          <cell r="E1295">
            <v>1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O1295">
            <v>0</v>
          </cell>
          <cell r="P1295">
            <v>0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0</v>
          </cell>
          <cell r="AA1295">
            <v>0</v>
          </cell>
          <cell r="AB1295">
            <v>0</v>
          </cell>
          <cell r="AC1295">
            <v>0</v>
          </cell>
          <cell r="AD1295">
            <v>0</v>
          </cell>
          <cell r="AE1295">
            <v>0</v>
          </cell>
          <cell r="AF1295">
            <v>0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>
            <v>0</v>
          </cell>
          <cell r="AM1295">
            <v>0</v>
          </cell>
          <cell r="AN1295">
            <v>0</v>
          </cell>
          <cell r="AO1295">
            <v>0</v>
          </cell>
          <cell r="AP1295">
            <v>0</v>
          </cell>
          <cell r="AQ1295">
            <v>0</v>
          </cell>
          <cell r="AR1295">
            <v>0</v>
          </cell>
        </row>
        <row r="1296">
          <cell r="B1296" t="str">
            <v xml:space="preserve">                  GY3-3310</v>
          </cell>
          <cell r="C1296" t="str">
            <v>Reviewing As Built Drawings &amp; Completion Records</v>
          </cell>
          <cell r="D1296">
            <v>0</v>
          </cell>
          <cell r="E1296">
            <v>1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  <cell r="P1296">
            <v>0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0</v>
          </cell>
          <cell r="AA1296">
            <v>0</v>
          </cell>
          <cell r="AB1296">
            <v>0</v>
          </cell>
          <cell r="AC1296">
            <v>0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>
            <v>0</v>
          </cell>
          <cell r="AM1296">
            <v>0</v>
          </cell>
          <cell r="AN1296">
            <v>0</v>
          </cell>
          <cell r="AO1296">
            <v>0</v>
          </cell>
          <cell r="AP1296">
            <v>0</v>
          </cell>
          <cell r="AQ1296">
            <v>0</v>
          </cell>
          <cell r="AR1296">
            <v>0</v>
          </cell>
        </row>
        <row r="1297">
          <cell r="B1297" t="str">
            <v xml:space="preserve">                CONSTRUCTION INVOICE MANAGEMENT</v>
          </cell>
          <cell r="D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  <cell r="P1297">
            <v>0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0</v>
          </cell>
          <cell r="AA1297">
            <v>0</v>
          </cell>
          <cell r="AB1297">
            <v>0</v>
          </cell>
          <cell r="AC1297">
            <v>0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>
            <v>0</v>
          </cell>
          <cell r="AM1297">
            <v>0</v>
          </cell>
          <cell r="AN1297">
            <v>0</v>
          </cell>
          <cell r="AO1297">
            <v>0</v>
          </cell>
          <cell r="AP1297">
            <v>0</v>
          </cell>
          <cell r="AQ1297">
            <v>0</v>
          </cell>
          <cell r="AR1297">
            <v>0</v>
          </cell>
        </row>
        <row r="1298">
          <cell r="B1298" t="str">
            <v xml:space="preserve">                  GY3-3300</v>
          </cell>
          <cell r="C1298" t="str">
            <v>Certifications of the Bills for Payments</v>
          </cell>
          <cell r="D1298">
            <v>0</v>
          </cell>
          <cell r="E1298">
            <v>1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  <cell r="P1298">
            <v>0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0</v>
          </cell>
          <cell r="AA1298">
            <v>0</v>
          </cell>
          <cell r="AB1298">
            <v>0</v>
          </cell>
          <cell r="AC1298">
            <v>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>
            <v>0</v>
          </cell>
          <cell r="AM1298">
            <v>0</v>
          </cell>
          <cell r="AN1298">
            <v>0</v>
          </cell>
          <cell r="AO1298">
            <v>0</v>
          </cell>
          <cell r="AP1298">
            <v>0</v>
          </cell>
          <cell r="AQ1298">
            <v>0</v>
          </cell>
          <cell r="AR1298">
            <v>0</v>
          </cell>
        </row>
        <row r="1299">
          <cell r="B1299" t="str">
            <v xml:space="preserve">              CONVENTION CENTRE</v>
          </cell>
          <cell r="D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  <cell r="P1299">
            <v>0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0</v>
          </cell>
          <cell r="AA1299">
            <v>0</v>
          </cell>
          <cell r="AB1299">
            <v>0</v>
          </cell>
          <cell r="AC1299">
            <v>0</v>
          </cell>
          <cell r="AD1299">
            <v>0</v>
          </cell>
          <cell r="AE1299">
            <v>0</v>
          </cell>
          <cell r="AF1299">
            <v>0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>
            <v>0</v>
          </cell>
          <cell r="AM1299">
            <v>0</v>
          </cell>
          <cell r="AN1299">
            <v>0</v>
          </cell>
          <cell r="AO1299">
            <v>0</v>
          </cell>
          <cell r="AP1299">
            <v>0</v>
          </cell>
          <cell r="AQ1299">
            <v>0</v>
          </cell>
          <cell r="AR1299">
            <v>0</v>
          </cell>
        </row>
        <row r="1300">
          <cell r="B1300" t="str">
            <v xml:space="preserve">                PLANNING &amp; CONTROLS</v>
          </cell>
          <cell r="D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  <cell r="P1300">
            <v>0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0</v>
          </cell>
          <cell r="AA1300">
            <v>0</v>
          </cell>
          <cell r="AB1300">
            <v>0</v>
          </cell>
          <cell r="AC1300">
            <v>0</v>
          </cell>
          <cell r="AD1300">
            <v>0</v>
          </cell>
          <cell r="AE1300">
            <v>0</v>
          </cell>
          <cell r="AF1300">
            <v>0</v>
          </cell>
          <cell r="AG1300">
            <v>0</v>
          </cell>
          <cell r="AH1300">
            <v>0</v>
          </cell>
          <cell r="AI1300">
            <v>0</v>
          </cell>
          <cell r="AJ1300">
            <v>0</v>
          </cell>
          <cell r="AK1300">
            <v>0</v>
          </cell>
          <cell r="AL1300">
            <v>0</v>
          </cell>
          <cell r="AM1300">
            <v>0</v>
          </cell>
          <cell r="AN1300">
            <v>0</v>
          </cell>
          <cell r="AO1300">
            <v>0</v>
          </cell>
          <cell r="AP1300">
            <v>0</v>
          </cell>
          <cell r="AQ1300">
            <v>0</v>
          </cell>
          <cell r="AR1300">
            <v>0</v>
          </cell>
        </row>
        <row r="1301">
          <cell r="B1301" t="str">
            <v xml:space="preserve">                  GY3-3320</v>
          </cell>
          <cell r="C1301" t="str">
            <v>Overall Supervision &amp; Monitoring of Construction Work Package</v>
          </cell>
          <cell r="D1301">
            <v>0</v>
          </cell>
          <cell r="E1301">
            <v>1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  <cell r="P1301">
            <v>0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0</v>
          </cell>
          <cell r="AA1301">
            <v>0</v>
          </cell>
          <cell r="AB1301">
            <v>0</v>
          </cell>
          <cell r="AC1301">
            <v>0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>
            <v>0</v>
          </cell>
          <cell r="AM1301">
            <v>0</v>
          </cell>
          <cell r="AN1301">
            <v>0</v>
          </cell>
          <cell r="AO1301">
            <v>0</v>
          </cell>
          <cell r="AP1301">
            <v>0</v>
          </cell>
          <cell r="AQ1301">
            <v>0</v>
          </cell>
          <cell r="AR1301">
            <v>0</v>
          </cell>
        </row>
        <row r="1302">
          <cell r="B1302" t="str">
            <v xml:space="preserve">                  GY3-3330</v>
          </cell>
          <cell r="C1302" t="str">
            <v>Management of Site Infrastructure</v>
          </cell>
          <cell r="D1302">
            <v>0</v>
          </cell>
          <cell r="E1302">
            <v>1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  <cell r="P1302">
            <v>0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0</v>
          </cell>
          <cell r="AA1302">
            <v>0</v>
          </cell>
          <cell r="AB1302">
            <v>0</v>
          </cell>
          <cell r="AC1302">
            <v>0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>
            <v>0</v>
          </cell>
          <cell r="AM1302">
            <v>0</v>
          </cell>
          <cell r="AN1302">
            <v>0</v>
          </cell>
          <cell r="AO1302">
            <v>0</v>
          </cell>
          <cell r="AP1302">
            <v>0</v>
          </cell>
          <cell r="AQ1302">
            <v>0</v>
          </cell>
          <cell r="AR1302">
            <v>0</v>
          </cell>
        </row>
        <row r="1303">
          <cell r="B1303" t="str">
            <v xml:space="preserve">                  GY3-3340</v>
          </cell>
          <cell r="C1303" t="str">
            <v>Work Scope Coordination</v>
          </cell>
          <cell r="D1303">
            <v>0</v>
          </cell>
          <cell r="E1303">
            <v>1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0</v>
          </cell>
          <cell r="AA1303">
            <v>0</v>
          </cell>
          <cell r="AB1303">
            <v>0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>
            <v>0</v>
          </cell>
          <cell r="AM1303">
            <v>0</v>
          </cell>
          <cell r="AN1303">
            <v>0</v>
          </cell>
          <cell r="AO1303">
            <v>0</v>
          </cell>
          <cell r="AP1303">
            <v>0</v>
          </cell>
          <cell r="AQ1303">
            <v>0</v>
          </cell>
          <cell r="AR1303">
            <v>0</v>
          </cell>
        </row>
        <row r="1304">
          <cell r="B1304" t="str">
            <v xml:space="preserve">                  GY3-3350</v>
          </cell>
          <cell r="C1304" t="str">
            <v>Workforce Management</v>
          </cell>
          <cell r="D1304">
            <v>0</v>
          </cell>
          <cell r="E1304">
            <v>1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  <cell r="P1304">
            <v>0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0</v>
          </cell>
          <cell r="AA1304">
            <v>0</v>
          </cell>
          <cell r="AB1304">
            <v>0</v>
          </cell>
          <cell r="AC1304">
            <v>0</v>
          </cell>
          <cell r="AD1304">
            <v>0</v>
          </cell>
          <cell r="AE1304">
            <v>0</v>
          </cell>
          <cell r="AF1304">
            <v>0</v>
          </cell>
          <cell r="AG1304">
            <v>0</v>
          </cell>
          <cell r="AH1304">
            <v>0</v>
          </cell>
          <cell r="AI1304">
            <v>0</v>
          </cell>
          <cell r="AJ1304">
            <v>0</v>
          </cell>
          <cell r="AK1304">
            <v>0</v>
          </cell>
          <cell r="AL1304">
            <v>0</v>
          </cell>
          <cell r="AM1304">
            <v>0</v>
          </cell>
          <cell r="AN1304">
            <v>0</v>
          </cell>
          <cell r="AO1304">
            <v>0</v>
          </cell>
          <cell r="AP1304">
            <v>0</v>
          </cell>
          <cell r="AQ1304">
            <v>0</v>
          </cell>
          <cell r="AR1304">
            <v>0</v>
          </cell>
        </row>
        <row r="1305">
          <cell r="B1305" t="str">
            <v xml:space="preserve">                  GY3-3360</v>
          </cell>
          <cell r="C1305" t="str">
            <v>Document Management Practices</v>
          </cell>
          <cell r="D1305">
            <v>0</v>
          </cell>
          <cell r="E1305">
            <v>1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0</v>
          </cell>
          <cell r="AB1305">
            <v>0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>
            <v>0</v>
          </cell>
          <cell r="AM1305">
            <v>0</v>
          </cell>
          <cell r="AN1305">
            <v>0</v>
          </cell>
          <cell r="AO1305">
            <v>0</v>
          </cell>
          <cell r="AP1305">
            <v>0</v>
          </cell>
          <cell r="AQ1305">
            <v>0</v>
          </cell>
          <cell r="AR1305">
            <v>0</v>
          </cell>
        </row>
        <row r="1306">
          <cell r="B1306" t="str">
            <v xml:space="preserve">                  GY3-3370</v>
          </cell>
          <cell r="C1306" t="str">
            <v>Schedule &amp; Progress Management</v>
          </cell>
          <cell r="D1306">
            <v>0</v>
          </cell>
          <cell r="E1306">
            <v>1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0</v>
          </cell>
          <cell r="AB1306">
            <v>0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>
            <v>0</v>
          </cell>
          <cell r="AM1306">
            <v>0</v>
          </cell>
          <cell r="AN1306">
            <v>0</v>
          </cell>
          <cell r="AO1306">
            <v>0</v>
          </cell>
          <cell r="AP1306">
            <v>0</v>
          </cell>
          <cell r="AQ1306">
            <v>0</v>
          </cell>
          <cell r="AR1306">
            <v>0</v>
          </cell>
        </row>
        <row r="1307">
          <cell r="B1307" t="str">
            <v xml:space="preserve">                  GY3-3380</v>
          </cell>
          <cell r="C1307" t="str">
            <v>Material Management Process</v>
          </cell>
          <cell r="D1307">
            <v>0</v>
          </cell>
          <cell r="E1307">
            <v>1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O1307">
            <v>0</v>
          </cell>
          <cell r="P1307">
            <v>0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0</v>
          </cell>
          <cell r="AB1307">
            <v>0</v>
          </cell>
          <cell r="AC1307">
            <v>0</v>
          </cell>
          <cell r="AD1307">
            <v>0</v>
          </cell>
          <cell r="AE1307">
            <v>0</v>
          </cell>
          <cell r="AF1307">
            <v>0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>
            <v>0</v>
          </cell>
          <cell r="AM1307">
            <v>0</v>
          </cell>
          <cell r="AN1307">
            <v>0</v>
          </cell>
          <cell r="AO1307">
            <v>0</v>
          </cell>
          <cell r="AP1307">
            <v>0</v>
          </cell>
          <cell r="AQ1307">
            <v>0</v>
          </cell>
          <cell r="AR1307">
            <v>0</v>
          </cell>
        </row>
        <row r="1308">
          <cell r="B1308" t="str">
            <v xml:space="preserve">                  GY3-3390</v>
          </cell>
          <cell r="C1308" t="str">
            <v>Financial Management</v>
          </cell>
          <cell r="D1308">
            <v>0</v>
          </cell>
          <cell r="E1308">
            <v>1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0</v>
          </cell>
          <cell r="AB1308">
            <v>0</v>
          </cell>
          <cell r="AC1308">
            <v>0</v>
          </cell>
          <cell r="AD1308">
            <v>0</v>
          </cell>
          <cell r="AE1308">
            <v>0</v>
          </cell>
          <cell r="AF1308">
            <v>0</v>
          </cell>
          <cell r="AG1308">
            <v>0</v>
          </cell>
          <cell r="AH1308">
            <v>0</v>
          </cell>
          <cell r="AI1308">
            <v>0</v>
          </cell>
          <cell r="AJ1308">
            <v>0</v>
          </cell>
          <cell r="AK1308">
            <v>0</v>
          </cell>
          <cell r="AL1308">
            <v>0</v>
          </cell>
          <cell r="AM1308">
            <v>0</v>
          </cell>
          <cell r="AN1308">
            <v>0</v>
          </cell>
          <cell r="AO1308">
            <v>0</v>
          </cell>
          <cell r="AP1308">
            <v>0</v>
          </cell>
          <cell r="AQ1308">
            <v>0</v>
          </cell>
          <cell r="AR1308">
            <v>0</v>
          </cell>
        </row>
        <row r="1309">
          <cell r="B1309" t="str">
            <v xml:space="preserve">                  GY3-3400</v>
          </cell>
          <cell r="C1309" t="str">
            <v>Final Sign off on all Construction Related Design (GFCs) etc..</v>
          </cell>
          <cell r="D1309">
            <v>0</v>
          </cell>
          <cell r="E1309">
            <v>1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O1309">
            <v>0</v>
          </cell>
          <cell r="P1309">
            <v>0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0</v>
          </cell>
          <cell r="AB1309">
            <v>0</v>
          </cell>
          <cell r="AC1309">
            <v>0</v>
          </cell>
          <cell r="AD1309">
            <v>0</v>
          </cell>
          <cell r="AE1309">
            <v>0</v>
          </cell>
          <cell r="AF1309">
            <v>0</v>
          </cell>
          <cell r="AG1309">
            <v>0</v>
          </cell>
          <cell r="AH1309">
            <v>0</v>
          </cell>
          <cell r="AI1309">
            <v>0</v>
          </cell>
          <cell r="AJ1309">
            <v>0</v>
          </cell>
          <cell r="AK1309">
            <v>0</v>
          </cell>
          <cell r="AL1309">
            <v>0</v>
          </cell>
          <cell r="AM1309">
            <v>0</v>
          </cell>
          <cell r="AN1309">
            <v>0</v>
          </cell>
          <cell r="AO1309">
            <v>0</v>
          </cell>
          <cell r="AP1309">
            <v>0</v>
          </cell>
          <cell r="AQ1309">
            <v>0</v>
          </cell>
          <cell r="AR1309">
            <v>0</v>
          </cell>
        </row>
        <row r="1310">
          <cell r="B1310" t="str">
            <v xml:space="preserve">                  GY3-3430</v>
          </cell>
          <cell r="C1310" t="str">
            <v>Determine EOT, Compensation &amp; Relief from Penalties</v>
          </cell>
          <cell r="D1310">
            <v>0</v>
          </cell>
          <cell r="E1310">
            <v>1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0</v>
          </cell>
          <cell r="AA1310">
            <v>0</v>
          </cell>
          <cell r="AB1310">
            <v>0</v>
          </cell>
          <cell r="AC1310">
            <v>0</v>
          </cell>
          <cell r="AD1310">
            <v>0</v>
          </cell>
          <cell r="AE1310">
            <v>0</v>
          </cell>
          <cell r="AF1310">
            <v>0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>
            <v>0</v>
          </cell>
          <cell r="AM1310">
            <v>0</v>
          </cell>
          <cell r="AN1310">
            <v>0</v>
          </cell>
          <cell r="AO1310">
            <v>0</v>
          </cell>
          <cell r="AP1310">
            <v>0</v>
          </cell>
          <cell r="AQ1310">
            <v>0</v>
          </cell>
          <cell r="AR1310">
            <v>0</v>
          </cell>
        </row>
        <row r="1311">
          <cell r="B1311" t="str">
            <v xml:space="preserve">                CONSTRUCTION DESIGN &amp; DETAILS</v>
          </cell>
          <cell r="D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0</v>
          </cell>
          <cell r="AA1311">
            <v>0</v>
          </cell>
          <cell r="AB1311">
            <v>0</v>
          </cell>
          <cell r="AC1311">
            <v>0</v>
          </cell>
          <cell r="AD1311">
            <v>0</v>
          </cell>
          <cell r="AE1311">
            <v>0</v>
          </cell>
          <cell r="AF1311">
            <v>0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>
            <v>0</v>
          </cell>
          <cell r="AM1311">
            <v>0</v>
          </cell>
          <cell r="AN1311">
            <v>0</v>
          </cell>
          <cell r="AO1311">
            <v>0</v>
          </cell>
          <cell r="AP1311">
            <v>0</v>
          </cell>
          <cell r="AQ1311">
            <v>0</v>
          </cell>
          <cell r="AR1311">
            <v>0</v>
          </cell>
        </row>
        <row r="1312">
          <cell r="B1312" t="str">
            <v xml:space="preserve">                  GY3-3410</v>
          </cell>
          <cell r="C1312" t="str">
            <v>Reviewing Design Documents &amp; Preparing Details</v>
          </cell>
          <cell r="D1312">
            <v>0</v>
          </cell>
          <cell r="E1312">
            <v>1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0</v>
          </cell>
          <cell r="AB1312">
            <v>0</v>
          </cell>
          <cell r="AC1312">
            <v>0</v>
          </cell>
          <cell r="AD1312">
            <v>0</v>
          </cell>
          <cell r="AE1312">
            <v>0</v>
          </cell>
          <cell r="AF1312">
            <v>0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>
            <v>0</v>
          </cell>
          <cell r="AM1312">
            <v>0</v>
          </cell>
          <cell r="AN1312">
            <v>0</v>
          </cell>
          <cell r="AO1312">
            <v>0</v>
          </cell>
          <cell r="AP1312">
            <v>0</v>
          </cell>
          <cell r="AQ1312">
            <v>0</v>
          </cell>
          <cell r="AR1312">
            <v>0</v>
          </cell>
        </row>
        <row r="1313">
          <cell r="B1313" t="str">
            <v xml:space="preserve">                CONSTRUCTION PROCUREMENT &amp; CONTRACTS MANAGEMENT</v>
          </cell>
          <cell r="D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0</v>
          </cell>
          <cell r="AB1313">
            <v>0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G1313">
            <v>0</v>
          </cell>
          <cell r="AH1313">
            <v>0</v>
          </cell>
          <cell r="AI1313">
            <v>0</v>
          </cell>
          <cell r="AJ1313">
            <v>0</v>
          </cell>
          <cell r="AK1313">
            <v>0</v>
          </cell>
          <cell r="AL1313">
            <v>0</v>
          </cell>
          <cell r="AM1313">
            <v>0</v>
          </cell>
          <cell r="AN1313">
            <v>0</v>
          </cell>
          <cell r="AO1313">
            <v>0</v>
          </cell>
          <cell r="AP1313">
            <v>0</v>
          </cell>
          <cell r="AQ1313">
            <v>0</v>
          </cell>
          <cell r="AR1313">
            <v>0</v>
          </cell>
        </row>
        <row r="1314">
          <cell r="B1314" t="str">
            <v xml:space="preserve">                  GY3-3420</v>
          </cell>
          <cell r="C1314" t="str">
            <v>Monitoring site availability, Land Acquisitions and Permits</v>
          </cell>
          <cell r="D1314">
            <v>0</v>
          </cell>
          <cell r="E1314">
            <v>1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  <cell r="P1314">
            <v>0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0</v>
          </cell>
          <cell r="AB1314">
            <v>0</v>
          </cell>
          <cell r="AC1314">
            <v>0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>
            <v>0</v>
          </cell>
          <cell r="AM1314">
            <v>0</v>
          </cell>
          <cell r="AN1314">
            <v>0</v>
          </cell>
          <cell r="AO1314">
            <v>0</v>
          </cell>
          <cell r="AP1314">
            <v>0</v>
          </cell>
          <cell r="AQ1314">
            <v>0</v>
          </cell>
          <cell r="AR1314">
            <v>0</v>
          </cell>
        </row>
        <row r="1315">
          <cell r="B1315" t="str">
            <v xml:space="preserve">                  GY3-3440</v>
          </cell>
          <cell r="C1315" t="str">
            <v>Supervision, Administration &amp; Management of Construction Contracts</v>
          </cell>
          <cell r="D1315">
            <v>0</v>
          </cell>
          <cell r="E1315">
            <v>1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0</v>
          </cell>
          <cell r="AA1315">
            <v>0</v>
          </cell>
          <cell r="AB1315">
            <v>0</v>
          </cell>
          <cell r="AC1315">
            <v>0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>
            <v>0</v>
          </cell>
          <cell r="AM1315">
            <v>0</v>
          </cell>
          <cell r="AN1315">
            <v>0</v>
          </cell>
          <cell r="AO1315">
            <v>0</v>
          </cell>
          <cell r="AP1315">
            <v>0</v>
          </cell>
          <cell r="AQ1315">
            <v>0</v>
          </cell>
          <cell r="AR1315">
            <v>0</v>
          </cell>
        </row>
        <row r="1316">
          <cell r="B1316" t="str">
            <v xml:space="preserve">                CONSTRUCTION QA / QC MANAGEMENT</v>
          </cell>
          <cell r="D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0</v>
          </cell>
          <cell r="AA1316">
            <v>0</v>
          </cell>
          <cell r="AB1316">
            <v>0</v>
          </cell>
          <cell r="AC1316">
            <v>0</v>
          </cell>
          <cell r="AD1316">
            <v>0</v>
          </cell>
          <cell r="AE1316">
            <v>0</v>
          </cell>
          <cell r="AF1316">
            <v>0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>
            <v>0</v>
          </cell>
          <cell r="AM1316">
            <v>0</v>
          </cell>
          <cell r="AN1316">
            <v>0</v>
          </cell>
          <cell r="AO1316">
            <v>0</v>
          </cell>
          <cell r="AP1316">
            <v>0</v>
          </cell>
          <cell r="AQ1316">
            <v>0</v>
          </cell>
          <cell r="AR1316">
            <v>0</v>
          </cell>
        </row>
        <row r="1317">
          <cell r="B1317" t="str">
            <v xml:space="preserve">                  GY3-3140</v>
          </cell>
          <cell r="C1317" t="str">
            <v>Reviewing &amp; Recommending Quality Assurance Programme (Test Checks, RFIs)</v>
          </cell>
          <cell r="D1317">
            <v>0</v>
          </cell>
          <cell r="E1317">
            <v>1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0</v>
          </cell>
          <cell r="AA1317">
            <v>0</v>
          </cell>
          <cell r="AB1317">
            <v>0</v>
          </cell>
          <cell r="AC1317">
            <v>0</v>
          </cell>
          <cell r="AD1317">
            <v>0</v>
          </cell>
          <cell r="AE1317">
            <v>0</v>
          </cell>
          <cell r="AF1317">
            <v>0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>
            <v>0</v>
          </cell>
          <cell r="AM1317">
            <v>0</v>
          </cell>
          <cell r="AN1317">
            <v>0</v>
          </cell>
          <cell r="AO1317">
            <v>0</v>
          </cell>
          <cell r="AP1317">
            <v>0</v>
          </cell>
          <cell r="AQ1317">
            <v>0</v>
          </cell>
          <cell r="AR1317">
            <v>0</v>
          </cell>
        </row>
        <row r="1318">
          <cell r="B1318" t="str">
            <v xml:space="preserve">                  GY3-3150</v>
          </cell>
          <cell r="C1318" t="str">
            <v>Ensuring Quality Control of Works, including Test Reports for Material &amp; Construction</v>
          </cell>
          <cell r="D1318">
            <v>0</v>
          </cell>
          <cell r="E1318">
            <v>1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  <cell r="P1318">
            <v>0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0</v>
          </cell>
          <cell r="AA1318">
            <v>0</v>
          </cell>
          <cell r="AB1318">
            <v>0</v>
          </cell>
          <cell r="AC1318">
            <v>0</v>
          </cell>
          <cell r="AD1318">
            <v>0</v>
          </cell>
          <cell r="AE1318">
            <v>0</v>
          </cell>
          <cell r="AF1318">
            <v>0</v>
          </cell>
          <cell r="AG1318">
            <v>0</v>
          </cell>
          <cell r="AH1318">
            <v>0</v>
          </cell>
          <cell r="AI1318">
            <v>0</v>
          </cell>
          <cell r="AJ1318">
            <v>0</v>
          </cell>
          <cell r="AK1318">
            <v>0</v>
          </cell>
          <cell r="AL1318">
            <v>0</v>
          </cell>
          <cell r="AM1318">
            <v>0</v>
          </cell>
          <cell r="AN1318">
            <v>0</v>
          </cell>
          <cell r="AO1318">
            <v>0</v>
          </cell>
          <cell r="AP1318">
            <v>0</v>
          </cell>
          <cell r="AQ1318">
            <v>0</v>
          </cell>
          <cell r="AR1318">
            <v>0</v>
          </cell>
        </row>
        <row r="1319">
          <cell r="B1319" t="str">
            <v xml:space="preserve">                  GY3-3460</v>
          </cell>
          <cell r="C1319" t="str">
            <v>Reviewing As Built Drawings Drawings &amp; Completion Records</v>
          </cell>
          <cell r="D1319">
            <v>0</v>
          </cell>
          <cell r="E1319">
            <v>1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0</v>
          </cell>
          <cell r="AA1319">
            <v>0</v>
          </cell>
          <cell r="AB1319">
            <v>0</v>
          </cell>
          <cell r="AC1319">
            <v>0</v>
          </cell>
          <cell r="AD1319">
            <v>0</v>
          </cell>
          <cell r="AE1319">
            <v>0</v>
          </cell>
          <cell r="AF1319">
            <v>0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>
            <v>0</v>
          </cell>
          <cell r="AM1319">
            <v>0</v>
          </cell>
          <cell r="AN1319">
            <v>0</v>
          </cell>
          <cell r="AO1319">
            <v>0</v>
          </cell>
          <cell r="AP1319">
            <v>0</v>
          </cell>
          <cell r="AQ1319">
            <v>0</v>
          </cell>
          <cell r="AR1319">
            <v>0</v>
          </cell>
        </row>
        <row r="1320">
          <cell r="B1320" t="str">
            <v xml:space="preserve">                CONSTRUCTION INVOICE MANAGEMENT</v>
          </cell>
          <cell r="D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0</v>
          </cell>
          <cell r="AA1320">
            <v>0</v>
          </cell>
          <cell r="AB1320">
            <v>0</v>
          </cell>
          <cell r="AC1320">
            <v>0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>
            <v>0</v>
          </cell>
          <cell r="AM1320">
            <v>0</v>
          </cell>
          <cell r="AN1320">
            <v>0</v>
          </cell>
          <cell r="AO1320">
            <v>0</v>
          </cell>
          <cell r="AP1320">
            <v>0</v>
          </cell>
          <cell r="AQ1320">
            <v>0</v>
          </cell>
          <cell r="AR1320">
            <v>0</v>
          </cell>
        </row>
        <row r="1321">
          <cell r="B1321" t="str">
            <v xml:space="preserve">                  GY3-3450</v>
          </cell>
          <cell r="C1321" t="str">
            <v>Certifications of the Bills for Payments</v>
          </cell>
          <cell r="D1321">
            <v>0</v>
          </cell>
          <cell r="E1321">
            <v>1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  <cell r="P1321">
            <v>0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0</v>
          </cell>
          <cell r="AA1321">
            <v>0</v>
          </cell>
          <cell r="AB1321">
            <v>0</v>
          </cell>
          <cell r="AC1321">
            <v>0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>
            <v>0</v>
          </cell>
          <cell r="AM1321">
            <v>0</v>
          </cell>
          <cell r="AN1321">
            <v>0</v>
          </cell>
          <cell r="AO1321">
            <v>0</v>
          </cell>
          <cell r="AP1321">
            <v>0</v>
          </cell>
          <cell r="AQ1321">
            <v>0</v>
          </cell>
          <cell r="AR1321">
            <v>0</v>
          </cell>
        </row>
        <row r="1322">
          <cell r="B1322" t="str">
            <v xml:space="preserve">              TRUNK SERVICES</v>
          </cell>
          <cell r="D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0</v>
          </cell>
          <cell r="AA1322">
            <v>0</v>
          </cell>
          <cell r="AB1322">
            <v>0</v>
          </cell>
          <cell r="AC1322">
            <v>0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>
            <v>0</v>
          </cell>
          <cell r="AM1322">
            <v>0</v>
          </cell>
          <cell r="AN1322">
            <v>0</v>
          </cell>
          <cell r="AO1322">
            <v>0</v>
          </cell>
          <cell r="AP1322">
            <v>0</v>
          </cell>
          <cell r="AQ1322">
            <v>0</v>
          </cell>
          <cell r="AR1322">
            <v>0</v>
          </cell>
        </row>
        <row r="1323">
          <cell r="B1323" t="str">
            <v xml:space="preserve">                PLANNING &amp; CONTROLS</v>
          </cell>
          <cell r="D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0</v>
          </cell>
          <cell r="AA1323">
            <v>0</v>
          </cell>
          <cell r="AB1323">
            <v>0</v>
          </cell>
          <cell r="AC1323">
            <v>0</v>
          </cell>
          <cell r="AD1323">
            <v>0</v>
          </cell>
          <cell r="AE1323">
            <v>0</v>
          </cell>
          <cell r="AF1323">
            <v>0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>
            <v>0</v>
          </cell>
          <cell r="AM1323">
            <v>0</v>
          </cell>
          <cell r="AN1323">
            <v>0</v>
          </cell>
          <cell r="AO1323">
            <v>0</v>
          </cell>
          <cell r="AP1323">
            <v>0</v>
          </cell>
          <cell r="AQ1323">
            <v>0</v>
          </cell>
          <cell r="AR1323">
            <v>0</v>
          </cell>
        </row>
        <row r="1324">
          <cell r="B1324" t="str">
            <v xml:space="preserve">                  GY3-3470</v>
          </cell>
          <cell r="C1324" t="str">
            <v>Overall Supervision &amp; Monitoring of Construction Work Package</v>
          </cell>
          <cell r="D1324">
            <v>0</v>
          </cell>
          <cell r="E1324">
            <v>1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0</v>
          </cell>
          <cell r="AA1324">
            <v>0</v>
          </cell>
          <cell r="AB1324">
            <v>0</v>
          </cell>
          <cell r="AC1324">
            <v>0</v>
          </cell>
          <cell r="AD1324">
            <v>0</v>
          </cell>
          <cell r="AE1324">
            <v>0</v>
          </cell>
          <cell r="AF1324">
            <v>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>
            <v>0</v>
          </cell>
          <cell r="AM1324">
            <v>0</v>
          </cell>
          <cell r="AN1324">
            <v>0</v>
          </cell>
          <cell r="AO1324">
            <v>0</v>
          </cell>
          <cell r="AP1324">
            <v>0</v>
          </cell>
          <cell r="AQ1324">
            <v>0</v>
          </cell>
          <cell r="AR1324">
            <v>0</v>
          </cell>
        </row>
        <row r="1325">
          <cell r="B1325" t="str">
            <v xml:space="preserve">                  GY3-3480</v>
          </cell>
          <cell r="C1325" t="str">
            <v>Management of Site Infrastructure</v>
          </cell>
          <cell r="D1325">
            <v>0</v>
          </cell>
          <cell r="E1325">
            <v>1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0</v>
          </cell>
          <cell r="AA1325">
            <v>0</v>
          </cell>
          <cell r="AB1325">
            <v>0</v>
          </cell>
          <cell r="AC1325">
            <v>0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>
            <v>0</v>
          </cell>
          <cell r="AM1325">
            <v>0</v>
          </cell>
          <cell r="AN1325">
            <v>0</v>
          </cell>
          <cell r="AO1325">
            <v>0</v>
          </cell>
          <cell r="AP1325">
            <v>0</v>
          </cell>
          <cell r="AQ1325">
            <v>0</v>
          </cell>
          <cell r="AR1325">
            <v>0</v>
          </cell>
        </row>
        <row r="1326">
          <cell r="B1326" t="str">
            <v xml:space="preserve">                  GY3-3490</v>
          </cell>
          <cell r="C1326" t="str">
            <v>Work Scope Coordination</v>
          </cell>
          <cell r="D1326">
            <v>0</v>
          </cell>
          <cell r="E1326">
            <v>1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0</v>
          </cell>
          <cell r="AA1326">
            <v>0</v>
          </cell>
          <cell r="AB1326">
            <v>0</v>
          </cell>
          <cell r="AC1326">
            <v>0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>
            <v>0</v>
          </cell>
          <cell r="AM1326">
            <v>0</v>
          </cell>
          <cell r="AN1326">
            <v>0</v>
          </cell>
          <cell r="AO1326">
            <v>0</v>
          </cell>
          <cell r="AP1326">
            <v>0</v>
          </cell>
          <cell r="AQ1326">
            <v>0</v>
          </cell>
          <cell r="AR1326">
            <v>0</v>
          </cell>
        </row>
        <row r="1327">
          <cell r="B1327" t="str">
            <v xml:space="preserve">                  GY3-3500</v>
          </cell>
          <cell r="C1327" t="str">
            <v>Workforce Management</v>
          </cell>
          <cell r="D1327">
            <v>0</v>
          </cell>
          <cell r="E1327">
            <v>1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0</v>
          </cell>
          <cell r="AA1327">
            <v>0</v>
          </cell>
          <cell r="AB1327">
            <v>0</v>
          </cell>
          <cell r="AC1327">
            <v>0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>
            <v>0</v>
          </cell>
          <cell r="AM1327">
            <v>0</v>
          </cell>
          <cell r="AN1327">
            <v>0</v>
          </cell>
          <cell r="AO1327">
            <v>0</v>
          </cell>
          <cell r="AP1327">
            <v>0</v>
          </cell>
          <cell r="AQ1327">
            <v>0</v>
          </cell>
          <cell r="AR1327">
            <v>0</v>
          </cell>
        </row>
        <row r="1328">
          <cell r="B1328" t="str">
            <v xml:space="preserve">                  GY3-3510</v>
          </cell>
          <cell r="C1328" t="str">
            <v>Document Management Practices</v>
          </cell>
          <cell r="D1328">
            <v>0</v>
          </cell>
          <cell r="E1328">
            <v>1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0</v>
          </cell>
          <cell r="AA1328">
            <v>0</v>
          </cell>
          <cell r="AB1328">
            <v>0</v>
          </cell>
          <cell r="AC1328">
            <v>0</v>
          </cell>
          <cell r="AD1328">
            <v>0</v>
          </cell>
          <cell r="AE1328">
            <v>0</v>
          </cell>
          <cell r="AF1328">
            <v>0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>
            <v>0</v>
          </cell>
          <cell r="AM1328">
            <v>0</v>
          </cell>
          <cell r="AN1328">
            <v>0</v>
          </cell>
          <cell r="AO1328">
            <v>0</v>
          </cell>
          <cell r="AP1328">
            <v>0</v>
          </cell>
          <cell r="AQ1328">
            <v>0</v>
          </cell>
          <cell r="AR1328">
            <v>0</v>
          </cell>
        </row>
        <row r="1329">
          <cell r="B1329" t="str">
            <v xml:space="preserve">                  GY3-3520</v>
          </cell>
          <cell r="C1329" t="str">
            <v>Schedule &amp; Progress Management</v>
          </cell>
          <cell r="D1329">
            <v>0</v>
          </cell>
          <cell r="E1329">
            <v>1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0</v>
          </cell>
          <cell r="AA1329">
            <v>0</v>
          </cell>
          <cell r="AB1329">
            <v>0</v>
          </cell>
          <cell r="AC1329">
            <v>0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>
            <v>0</v>
          </cell>
          <cell r="AM1329">
            <v>0</v>
          </cell>
          <cell r="AN1329">
            <v>0</v>
          </cell>
          <cell r="AO1329">
            <v>0</v>
          </cell>
          <cell r="AP1329">
            <v>0</v>
          </cell>
          <cell r="AQ1329">
            <v>0</v>
          </cell>
          <cell r="AR1329">
            <v>0</v>
          </cell>
        </row>
        <row r="1330">
          <cell r="B1330" t="str">
            <v xml:space="preserve">                  GY3-3530</v>
          </cell>
          <cell r="C1330" t="str">
            <v>Material Management Process</v>
          </cell>
          <cell r="D1330">
            <v>0</v>
          </cell>
          <cell r="E1330">
            <v>1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0</v>
          </cell>
          <cell r="AA1330">
            <v>0</v>
          </cell>
          <cell r="AB1330">
            <v>0</v>
          </cell>
          <cell r="AC1330">
            <v>0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>
            <v>0</v>
          </cell>
          <cell r="AM1330">
            <v>0</v>
          </cell>
          <cell r="AN1330">
            <v>0</v>
          </cell>
          <cell r="AO1330">
            <v>0</v>
          </cell>
          <cell r="AP1330">
            <v>0</v>
          </cell>
          <cell r="AQ1330">
            <v>0</v>
          </cell>
          <cell r="AR1330">
            <v>0</v>
          </cell>
        </row>
        <row r="1331">
          <cell r="B1331" t="str">
            <v xml:space="preserve">                  GY3-3540</v>
          </cell>
          <cell r="C1331" t="str">
            <v>Financial Management</v>
          </cell>
          <cell r="D1331">
            <v>0</v>
          </cell>
          <cell r="E1331">
            <v>1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0</v>
          </cell>
          <cell r="AA1331">
            <v>0</v>
          </cell>
          <cell r="AB1331">
            <v>0</v>
          </cell>
          <cell r="AC1331">
            <v>0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>
            <v>0</v>
          </cell>
          <cell r="AM1331">
            <v>0</v>
          </cell>
          <cell r="AN1331">
            <v>0</v>
          </cell>
          <cell r="AO1331">
            <v>0</v>
          </cell>
          <cell r="AP1331">
            <v>0</v>
          </cell>
          <cell r="AQ1331">
            <v>0</v>
          </cell>
          <cell r="AR1331">
            <v>0</v>
          </cell>
        </row>
        <row r="1332">
          <cell r="B1332" t="str">
            <v xml:space="preserve">                  GY3-3550</v>
          </cell>
          <cell r="C1332" t="str">
            <v>Final Sign off on all Construction Related Design (GFCs) etc..</v>
          </cell>
          <cell r="D1332">
            <v>0</v>
          </cell>
          <cell r="E1332">
            <v>1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0</v>
          </cell>
          <cell r="AA1332">
            <v>0</v>
          </cell>
          <cell r="AB1332">
            <v>0</v>
          </cell>
          <cell r="AC1332">
            <v>0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>
            <v>0</v>
          </cell>
          <cell r="AM1332">
            <v>0</v>
          </cell>
          <cell r="AN1332">
            <v>0</v>
          </cell>
          <cell r="AO1332">
            <v>0</v>
          </cell>
          <cell r="AP1332">
            <v>0</v>
          </cell>
          <cell r="AQ1332">
            <v>0</v>
          </cell>
          <cell r="AR1332">
            <v>0</v>
          </cell>
        </row>
        <row r="1333">
          <cell r="B1333" t="str">
            <v xml:space="preserve">                  GY3-3580</v>
          </cell>
          <cell r="C1333" t="str">
            <v>Determine EOT, Compensation &amp; Relief from Penalties</v>
          </cell>
          <cell r="D1333">
            <v>0</v>
          </cell>
          <cell r="E1333">
            <v>1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0</v>
          </cell>
          <cell r="AA1333">
            <v>0</v>
          </cell>
          <cell r="AB1333">
            <v>0</v>
          </cell>
          <cell r="AC1333">
            <v>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>
            <v>0</v>
          </cell>
          <cell r="AM1333">
            <v>0</v>
          </cell>
          <cell r="AN1333">
            <v>0</v>
          </cell>
          <cell r="AO1333">
            <v>0</v>
          </cell>
          <cell r="AP1333">
            <v>0</v>
          </cell>
          <cell r="AQ1333">
            <v>0</v>
          </cell>
          <cell r="AR1333">
            <v>0</v>
          </cell>
        </row>
        <row r="1334">
          <cell r="B1334" t="str">
            <v xml:space="preserve">                CONSTRUCTION DESIGN &amp; DETAILS</v>
          </cell>
          <cell r="D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0</v>
          </cell>
          <cell r="AA1334">
            <v>0</v>
          </cell>
          <cell r="AB1334">
            <v>0</v>
          </cell>
          <cell r="AC1334">
            <v>0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>
            <v>0</v>
          </cell>
          <cell r="AM1334">
            <v>0</v>
          </cell>
          <cell r="AN1334">
            <v>0</v>
          </cell>
          <cell r="AO1334">
            <v>0</v>
          </cell>
          <cell r="AP1334">
            <v>0</v>
          </cell>
          <cell r="AQ1334">
            <v>0</v>
          </cell>
          <cell r="AR1334">
            <v>0</v>
          </cell>
        </row>
        <row r="1335">
          <cell r="B1335" t="str">
            <v xml:space="preserve">                  GY3-3560</v>
          </cell>
          <cell r="C1335" t="str">
            <v>Reviewing Design Documents &amp; Preparing Details</v>
          </cell>
          <cell r="D1335">
            <v>0</v>
          </cell>
          <cell r="E1335">
            <v>1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0</v>
          </cell>
          <cell r="AA1335">
            <v>0</v>
          </cell>
          <cell r="AB1335">
            <v>0</v>
          </cell>
          <cell r="AC1335">
            <v>0</v>
          </cell>
          <cell r="AD1335">
            <v>0</v>
          </cell>
          <cell r="AE1335">
            <v>0</v>
          </cell>
          <cell r="AF1335">
            <v>0</v>
          </cell>
          <cell r="AG1335">
            <v>0</v>
          </cell>
          <cell r="AH1335">
            <v>0</v>
          </cell>
          <cell r="AI1335">
            <v>0</v>
          </cell>
          <cell r="AJ1335">
            <v>0</v>
          </cell>
          <cell r="AK1335">
            <v>0</v>
          </cell>
          <cell r="AL1335">
            <v>0</v>
          </cell>
          <cell r="AM1335">
            <v>0</v>
          </cell>
          <cell r="AN1335">
            <v>0</v>
          </cell>
          <cell r="AO1335">
            <v>0</v>
          </cell>
          <cell r="AP1335">
            <v>0</v>
          </cell>
          <cell r="AQ1335">
            <v>0</v>
          </cell>
          <cell r="AR1335">
            <v>0</v>
          </cell>
        </row>
        <row r="1336">
          <cell r="B1336" t="str">
            <v xml:space="preserve">                CONSTRUCTION PROCUREMENT &amp; CONTRACTS MANAGEMENT</v>
          </cell>
          <cell r="D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0</v>
          </cell>
          <cell r="AA1336">
            <v>0</v>
          </cell>
          <cell r="AB1336">
            <v>0</v>
          </cell>
          <cell r="AC1336">
            <v>0</v>
          </cell>
          <cell r="AD1336">
            <v>0</v>
          </cell>
          <cell r="AE1336">
            <v>0</v>
          </cell>
          <cell r="AF1336">
            <v>0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>
            <v>0</v>
          </cell>
          <cell r="AM1336">
            <v>0</v>
          </cell>
          <cell r="AN1336">
            <v>0</v>
          </cell>
          <cell r="AO1336">
            <v>0</v>
          </cell>
          <cell r="AP1336">
            <v>0</v>
          </cell>
          <cell r="AQ1336">
            <v>0</v>
          </cell>
          <cell r="AR1336">
            <v>0</v>
          </cell>
        </row>
        <row r="1337">
          <cell r="B1337" t="str">
            <v xml:space="preserve">                  GY3-3570</v>
          </cell>
          <cell r="C1337" t="str">
            <v>Monitoring site availability, Land Acquisitions and Permits</v>
          </cell>
          <cell r="D1337">
            <v>0</v>
          </cell>
          <cell r="E1337">
            <v>1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0</v>
          </cell>
          <cell r="AA1337">
            <v>0</v>
          </cell>
          <cell r="AB1337">
            <v>0</v>
          </cell>
          <cell r="AC1337">
            <v>0</v>
          </cell>
          <cell r="AD1337">
            <v>0</v>
          </cell>
          <cell r="AE1337">
            <v>0</v>
          </cell>
          <cell r="AF1337">
            <v>0</v>
          </cell>
          <cell r="AG1337">
            <v>0</v>
          </cell>
          <cell r="AH1337">
            <v>0</v>
          </cell>
          <cell r="AI1337">
            <v>0</v>
          </cell>
          <cell r="AJ1337">
            <v>0</v>
          </cell>
          <cell r="AK1337">
            <v>0</v>
          </cell>
          <cell r="AL1337">
            <v>0</v>
          </cell>
          <cell r="AM1337">
            <v>0</v>
          </cell>
          <cell r="AN1337">
            <v>0</v>
          </cell>
          <cell r="AO1337">
            <v>0</v>
          </cell>
          <cell r="AP1337">
            <v>0</v>
          </cell>
          <cell r="AQ1337">
            <v>0</v>
          </cell>
          <cell r="AR1337">
            <v>0</v>
          </cell>
        </row>
        <row r="1338">
          <cell r="B1338" t="str">
            <v xml:space="preserve">                  GY3-3590</v>
          </cell>
          <cell r="C1338" t="str">
            <v>Supervision, Administration &amp; Management of Construction Contracts</v>
          </cell>
          <cell r="D1338">
            <v>0</v>
          </cell>
          <cell r="E1338">
            <v>1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0</v>
          </cell>
          <cell r="AA1338">
            <v>0</v>
          </cell>
          <cell r="AB1338">
            <v>0</v>
          </cell>
          <cell r="AC1338">
            <v>0</v>
          </cell>
          <cell r="AD1338">
            <v>0</v>
          </cell>
          <cell r="AE1338">
            <v>0</v>
          </cell>
          <cell r="AF1338">
            <v>0</v>
          </cell>
          <cell r="AG1338">
            <v>0</v>
          </cell>
          <cell r="AH1338">
            <v>0</v>
          </cell>
          <cell r="AI1338">
            <v>0</v>
          </cell>
          <cell r="AJ1338">
            <v>0</v>
          </cell>
          <cell r="AK1338">
            <v>0</v>
          </cell>
          <cell r="AL1338">
            <v>0</v>
          </cell>
          <cell r="AM1338">
            <v>0</v>
          </cell>
          <cell r="AN1338">
            <v>0</v>
          </cell>
          <cell r="AO1338">
            <v>0</v>
          </cell>
          <cell r="AP1338">
            <v>0</v>
          </cell>
          <cell r="AQ1338">
            <v>0</v>
          </cell>
          <cell r="AR1338">
            <v>0</v>
          </cell>
        </row>
        <row r="1339">
          <cell r="B1339" t="str">
            <v xml:space="preserve">                CONSTRUCTION QA / QC MANAGEMENT</v>
          </cell>
          <cell r="D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0</v>
          </cell>
          <cell r="AA1339">
            <v>0</v>
          </cell>
          <cell r="AB1339">
            <v>0</v>
          </cell>
          <cell r="AC1339">
            <v>0</v>
          </cell>
          <cell r="AD1339">
            <v>0</v>
          </cell>
          <cell r="AE1339">
            <v>0</v>
          </cell>
          <cell r="AF1339">
            <v>0</v>
          </cell>
          <cell r="AG1339">
            <v>0</v>
          </cell>
          <cell r="AH1339">
            <v>0</v>
          </cell>
          <cell r="AI1339">
            <v>0</v>
          </cell>
          <cell r="AJ1339">
            <v>0</v>
          </cell>
          <cell r="AK1339">
            <v>0</v>
          </cell>
          <cell r="AL1339">
            <v>0</v>
          </cell>
          <cell r="AM1339">
            <v>0</v>
          </cell>
          <cell r="AN1339">
            <v>0</v>
          </cell>
          <cell r="AO1339">
            <v>0</v>
          </cell>
          <cell r="AP1339">
            <v>0</v>
          </cell>
          <cell r="AQ1339">
            <v>0</v>
          </cell>
          <cell r="AR1339">
            <v>0</v>
          </cell>
        </row>
        <row r="1340">
          <cell r="B1340" t="str">
            <v xml:space="preserve">                  GY3-3110</v>
          </cell>
          <cell r="C1340" t="str">
            <v>Ensuring Quality Control of Works, including Test Reports for Material &amp; Construction</v>
          </cell>
          <cell r="D1340">
            <v>0</v>
          </cell>
          <cell r="E1340">
            <v>1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0</v>
          </cell>
          <cell r="AA1340">
            <v>0</v>
          </cell>
          <cell r="AB1340">
            <v>0</v>
          </cell>
          <cell r="AC1340">
            <v>0</v>
          </cell>
          <cell r="AD1340">
            <v>0</v>
          </cell>
          <cell r="AE1340">
            <v>0</v>
          </cell>
          <cell r="AF1340">
            <v>0</v>
          </cell>
          <cell r="AG1340">
            <v>0</v>
          </cell>
          <cell r="AH1340">
            <v>0</v>
          </cell>
          <cell r="AI1340">
            <v>0</v>
          </cell>
          <cell r="AJ1340">
            <v>0</v>
          </cell>
          <cell r="AK1340">
            <v>0</v>
          </cell>
          <cell r="AL1340">
            <v>0</v>
          </cell>
          <cell r="AM1340">
            <v>0</v>
          </cell>
          <cell r="AN1340">
            <v>0</v>
          </cell>
          <cell r="AO1340">
            <v>0</v>
          </cell>
          <cell r="AP1340">
            <v>0</v>
          </cell>
          <cell r="AQ1340">
            <v>0</v>
          </cell>
          <cell r="AR1340">
            <v>0</v>
          </cell>
        </row>
        <row r="1341">
          <cell r="B1341" t="str">
            <v xml:space="preserve">                  GY3-3160</v>
          </cell>
          <cell r="C1341" t="str">
            <v>Reviewing &amp; Recommending Quality Assurance Programme (Test Checks, RFIs)</v>
          </cell>
          <cell r="D1341">
            <v>0</v>
          </cell>
          <cell r="E1341">
            <v>1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0</v>
          </cell>
          <cell r="AA1341">
            <v>0</v>
          </cell>
          <cell r="AB1341">
            <v>0</v>
          </cell>
          <cell r="AC1341">
            <v>0</v>
          </cell>
          <cell r="AD1341">
            <v>0</v>
          </cell>
          <cell r="AE1341">
            <v>0</v>
          </cell>
          <cell r="AF1341">
            <v>0</v>
          </cell>
          <cell r="AG1341">
            <v>0</v>
          </cell>
          <cell r="AH1341">
            <v>0</v>
          </cell>
          <cell r="AI1341">
            <v>0</v>
          </cell>
          <cell r="AJ1341">
            <v>0</v>
          </cell>
          <cell r="AK1341">
            <v>0</v>
          </cell>
          <cell r="AL1341">
            <v>0</v>
          </cell>
          <cell r="AM1341">
            <v>0</v>
          </cell>
          <cell r="AN1341">
            <v>0</v>
          </cell>
          <cell r="AO1341">
            <v>0</v>
          </cell>
          <cell r="AP1341">
            <v>0</v>
          </cell>
          <cell r="AQ1341">
            <v>0</v>
          </cell>
          <cell r="AR1341">
            <v>0</v>
          </cell>
        </row>
        <row r="1342">
          <cell r="B1342" t="str">
            <v xml:space="preserve">                  GY3-3610</v>
          </cell>
          <cell r="C1342" t="str">
            <v>Reviewing As Built Drawings Drawings &amp; Completion Records</v>
          </cell>
          <cell r="D1342">
            <v>0</v>
          </cell>
          <cell r="E1342">
            <v>1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0</v>
          </cell>
          <cell r="AA1342">
            <v>0</v>
          </cell>
          <cell r="AB1342">
            <v>0</v>
          </cell>
          <cell r="AC1342">
            <v>0</v>
          </cell>
          <cell r="AD1342">
            <v>0</v>
          </cell>
          <cell r="AE1342">
            <v>0</v>
          </cell>
          <cell r="AF1342">
            <v>0</v>
          </cell>
          <cell r="AG1342">
            <v>0</v>
          </cell>
          <cell r="AH1342">
            <v>0</v>
          </cell>
          <cell r="AI1342">
            <v>0</v>
          </cell>
          <cell r="AJ1342">
            <v>0</v>
          </cell>
          <cell r="AK1342">
            <v>0</v>
          </cell>
          <cell r="AL1342">
            <v>0</v>
          </cell>
          <cell r="AM1342">
            <v>0</v>
          </cell>
          <cell r="AN1342">
            <v>0</v>
          </cell>
          <cell r="AO1342">
            <v>0</v>
          </cell>
          <cell r="AP1342">
            <v>0</v>
          </cell>
          <cell r="AQ1342">
            <v>0</v>
          </cell>
          <cell r="AR1342">
            <v>0</v>
          </cell>
        </row>
        <row r="1343">
          <cell r="B1343" t="str">
            <v xml:space="preserve">                CONSTRUCTION INVOICE MANAGEMENT</v>
          </cell>
          <cell r="D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O1343">
            <v>0</v>
          </cell>
          <cell r="P1343">
            <v>0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0</v>
          </cell>
          <cell r="AA1343">
            <v>0</v>
          </cell>
          <cell r="AB1343">
            <v>0</v>
          </cell>
          <cell r="AC1343">
            <v>0</v>
          </cell>
          <cell r="AD1343">
            <v>0</v>
          </cell>
          <cell r="AE1343">
            <v>0</v>
          </cell>
          <cell r="AF1343">
            <v>0</v>
          </cell>
          <cell r="AG1343">
            <v>0</v>
          </cell>
          <cell r="AH1343">
            <v>0</v>
          </cell>
          <cell r="AI1343">
            <v>0</v>
          </cell>
          <cell r="AJ1343">
            <v>0</v>
          </cell>
          <cell r="AK1343">
            <v>0</v>
          </cell>
          <cell r="AL1343">
            <v>0</v>
          </cell>
          <cell r="AM1343">
            <v>0</v>
          </cell>
          <cell r="AN1343">
            <v>0</v>
          </cell>
          <cell r="AO1343">
            <v>0</v>
          </cell>
          <cell r="AP1343">
            <v>0</v>
          </cell>
          <cell r="AQ1343">
            <v>0</v>
          </cell>
          <cell r="AR1343">
            <v>0</v>
          </cell>
        </row>
        <row r="1344">
          <cell r="B1344" t="str">
            <v xml:space="preserve">                  GY3-3600</v>
          </cell>
          <cell r="C1344" t="str">
            <v>Certifications of the Bills for Payments</v>
          </cell>
          <cell r="D1344">
            <v>0</v>
          </cell>
          <cell r="E1344">
            <v>1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0</v>
          </cell>
          <cell r="AA1344">
            <v>0</v>
          </cell>
          <cell r="AB1344">
            <v>0</v>
          </cell>
          <cell r="AC1344">
            <v>0</v>
          </cell>
          <cell r="AD1344">
            <v>0</v>
          </cell>
          <cell r="AE1344">
            <v>0</v>
          </cell>
          <cell r="AF1344">
            <v>0</v>
          </cell>
          <cell r="AG1344">
            <v>0</v>
          </cell>
          <cell r="AH1344">
            <v>0</v>
          </cell>
          <cell r="AI1344">
            <v>0</v>
          </cell>
          <cell r="AJ1344">
            <v>0</v>
          </cell>
          <cell r="AK1344">
            <v>0</v>
          </cell>
          <cell r="AL1344">
            <v>0</v>
          </cell>
          <cell r="AM1344">
            <v>0</v>
          </cell>
          <cell r="AN1344">
            <v>0</v>
          </cell>
          <cell r="AO1344">
            <v>0</v>
          </cell>
          <cell r="AP1344">
            <v>0</v>
          </cell>
          <cell r="AQ1344">
            <v>0</v>
          </cell>
          <cell r="AR1344">
            <v>0</v>
          </cell>
        </row>
        <row r="1345">
          <cell r="B1345" t="str">
            <v xml:space="preserve">            COMMISSIONING</v>
          </cell>
          <cell r="D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0</v>
          </cell>
          <cell r="AA1345">
            <v>0</v>
          </cell>
          <cell r="AB1345">
            <v>0</v>
          </cell>
          <cell r="AC1345">
            <v>0</v>
          </cell>
          <cell r="AD1345">
            <v>0</v>
          </cell>
          <cell r="AE1345">
            <v>0</v>
          </cell>
          <cell r="AF1345">
            <v>0</v>
          </cell>
          <cell r="AG1345">
            <v>0</v>
          </cell>
          <cell r="AH1345">
            <v>0</v>
          </cell>
          <cell r="AI1345">
            <v>0</v>
          </cell>
          <cell r="AJ1345">
            <v>0</v>
          </cell>
          <cell r="AK1345">
            <v>0</v>
          </cell>
          <cell r="AL1345">
            <v>0</v>
          </cell>
          <cell r="AM1345">
            <v>0</v>
          </cell>
          <cell r="AN1345">
            <v>0</v>
          </cell>
          <cell r="AO1345">
            <v>0</v>
          </cell>
          <cell r="AP1345">
            <v>0</v>
          </cell>
          <cell r="AQ1345">
            <v>0</v>
          </cell>
          <cell r="AR1345">
            <v>0</v>
          </cell>
        </row>
        <row r="1346">
          <cell r="B1346" t="str">
            <v xml:space="preserve">              GY3-3120</v>
          </cell>
          <cell r="C1346" t="str">
            <v>Assisting the Client to Manage Statutory Approvals</v>
          </cell>
          <cell r="D1346">
            <v>0</v>
          </cell>
          <cell r="E1346">
            <v>1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>
            <v>0</v>
          </cell>
          <cell r="AM1346">
            <v>0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  <cell r="AR1346">
            <v>0</v>
          </cell>
        </row>
        <row r="1347">
          <cell r="B1347" t="str">
            <v xml:space="preserve">              GY3-3800</v>
          </cell>
          <cell r="C1347" t="str">
            <v>Managing the Testing &amp; Commissioning Process</v>
          </cell>
          <cell r="D1347">
            <v>0</v>
          </cell>
          <cell r="E1347">
            <v>3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>
            <v>0</v>
          </cell>
          <cell r="AM1347">
            <v>0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  <cell r="AR1347">
            <v>0</v>
          </cell>
        </row>
        <row r="1348">
          <cell r="B1348" t="str">
            <v xml:space="preserve">              GY3-3810</v>
          </cell>
          <cell r="C1348" t="str">
            <v>Managing the implementation of Handover Regime</v>
          </cell>
          <cell r="D1348">
            <v>0</v>
          </cell>
          <cell r="E1348">
            <v>3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>
            <v>0</v>
          </cell>
          <cell r="AM1348">
            <v>0</v>
          </cell>
          <cell r="AN1348">
            <v>0</v>
          </cell>
          <cell r="AO1348">
            <v>0</v>
          </cell>
          <cell r="AP1348">
            <v>0</v>
          </cell>
          <cell r="AQ1348">
            <v>0</v>
          </cell>
          <cell r="AR1348">
            <v>0</v>
          </cell>
        </row>
        <row r="1349">
          <cell r="B1349" t="str">
            <v xml:space="preserve">              GY3-3820</v>
          </cell>
          <cell r="C1349" t="str">
            <v>Preparing and Managing Preliminary &amp; Final Punch List</v>
          </cell>
          <cell r="D1349">
            <v>0</v>
          </cell>
          <cell r="E1349">
            <v>3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>
            <v>0</v>
          </cell>
          <cell r="AM1349">
            <v>0</v>
          </cell>
          <cell r="AN1349">
            <v>0</v>
          </cell>
          <cell r="AO1349">
            <v>0</v>
          </cell>
          <cell r="AP1349">
            <v>0</v>
          </cell>
          <cell r="AQ1349">
            <v>0</v>
          </cell>
          <cell r="AR1349">
            <v>0</v>
          </cell>
        </row>
        <row r="1350">
          <cell r="B1350" t="str">
            <v xml:space="preserve">              GY3-3830</v>
          </cell>
          <cell r="C1350" t="str">
            <v>Preparing &amp; Delivering Operations &amp; Maintainance Manuals</v>
          </cell>
          <cell r="D1350">
            <v>0</v>
          </cell>
          <cell r="E1350">
            <v>3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>
            <v>0</v>
          </cell>
          <cell r="AM1350">
            <v>0</v>
          </cell>
          <cell r="AN1350">
            <v>0</v>
          </cell>
          <cell r="AO1350">
            <v>0</v>
          </cell>
          <cell r="AP1350">
            <v>0</v>
          </cell>
          <cell r="AQ1350">
            <v>0</v>
          </cell>
          <cell r="AR1350">
            <v>0</v>
          </cell>
        </row>
        <row r="1351">
          <cell r="B1351" t="str">
            <v xml:space="preserve">              GY3-3840</v>
          </cell>
          <cell r="C1351" t="str">
            <v>Preparation &amp; Delivery of As Built Drawings</v>
          </cell>
          <cell r="D1351">
            <v>0</v>
          </cell>
          <cell r="E1351">
            <v>3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>
            <v>0</v>
          </cell>
          <cell r="AM1351">
            <v>0</v>
          </cell>
          <cell r="AN1351">
            <v>0</v>
          </cell>
          <cell r="AO1351">
            <v>0</v>
          </cell>
          <cell r="AP1351">
            <v>0</v>
          </cell>
          <cell r="AQ1351">
            <v>0</v>
          </cell>
          <cell r="AR1351">
            <v>0</v>
          </cell>
        </row>
        <row r="1352">
          <cell r="B1352" t="str">
            <v xml:space="preserve">              GY3-3850</v>
          </cell>
          <cell r="C1352" t="str">
            <v>Functional Acceptance Test (FAT) for the new facility</v>
          </cell>
          <cell r="D1352">
            <v>0</v>
          </cell>
          <cell r="E1352">
            <v>3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>
            <v>0</v>
          </cell>
          <cell r="AM1352">
            <v>0</v>
          </cell>
          <cell r="AN1352">
            <v>0</v>
          </cell>
          <cell r="AO1352">
            <v>0</v>
          </cell>
          <cell r="AP1352">
            <v>0</v>
          </cell>
          <cell r="AQ1352">
            <v>0</v>
          </cell>
          <cell r="AR1352">
            <v>0</v>
          </cell>
        </row>
        <row r="1353">
          <cell r="B1353" t="str">
            <v xml:space="preserve">              GY3-3870</v>
          </cell>
          <cell r="C1353" t="str">
            <v>Overseeing the Issuance of Preliminary / Substantial / Final Completion Certificates</v>
          </cell>
          <cell r="D1353">
            <v>0</v>
          </cell>
          <cell r="E1353">
            <v>3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>
            <v>0</v>
          </cell>
          <cell r="AM1353">
            <v>0</v>
          </cell>
          <cell r="AN1353">
            <v>0</v>
          </cell>
          <cell r="AO1353">
            <v>0</v>
          </cell>
          <cell r="AP1353">
            <v>0</v>
          </cell>
          <cell r="AQ1353">
            <v>0</v>
          </cell>
          <cell r="AR1353">
            <v>0</v>
          </cell>
        </row>
        <row r="1354">
          <cell r="B1354" t="str">
            <v xml:space="preserve">              GY3-3880</v>
          </cell>
          <cell r="C1354" t="str">
            <v>Handover to DMICDC or Assigned Property Manager</v>
          </cell>
          <cell r="D1354">
            <v>0</v>
          </cell>
          <cell r="E1354">
            <v>3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>
            <v>0</v>
          </cell>
          <cell r="AM1354">
            <v>0</v>
          </cell>
          <cell r="AN1354">
            <v>0</v>
          </cell>
          <cell r="AO1354">
            <v>0</v>
          </cell>
          <cell r="AP1354">
            <v>0</v>
          </cell>
          <cell r="AQ1354">
            <v>0</v>
          </cell>
          <cell r="AR1354">
            <v>0</v>
          </cell>
        </row>
        <row r="1355">
          <cell r="B1355" t="str">
            <v xml:space="preserve">              GY3-3890</v>
          </cell>
          <cell r="C1355" t="str">
            <v>Monitor &amp; Manage consultants &amp; Contractor during Defect Liability Period</v>
          </cell>
          <cell r="D1355">
            <v>0</v>
          </cell>
          <cell r="E1355">
            <v>3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>
            <v>0</v>
          </cell>
          <cell r="AM1355">
            <v>0</v>
          </cell>
          <cell r="AN1355">
            <v>0</v>
          </cell>
          <cell r="AO1355">
            <v>0</v>
          </cell>
          <cell r="AP1355">
            <v>0</v>
          </cell>
          <cell r="AQ1355">
            <v>0</v>
          </cell>
          <cell r="AR1355">
            <v>0</v>
          </cell>
        </row>
        <row r="1356">
          <cell r="B1356" t="str">
            <v xml:space="preserve">              GY3-3900</v>
          </cell>
          <cell r="C1356" t="str">
            <v>O&amp;M Training</v>
          </cell>
          <cell r="D1356">
            <v>0</v>
          </cell>
          <cell r="E1356">
            <v>3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>
            <v>0</v>
          </cell>
          <cell r="AM1356">
            <v>0</v>
          </cell>
          <cell r="AN1356">
            <v>0</v>
          </cell>
          <cell r="AO1356">
            <v>0</v>
          </cell>
          <cell r="AP1356">
            <v>0</v>
          </cell>
          <cell r="AQ1356">
            <v>0</v>
          </cell>
          <cell r="AR1356">
            <v>0</v>
          </cell>
        </row>
        <row r="1357">
          <cell r="B1357" t="str">
            <v xml:space="preserve">            OPERATIONS &amp; MAINTENANCE (ACTIVATION)</v>
          </cell>
          <cell r="D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>
            <v>0</v>
          </cell>
          <cell r="AM1357">
            <v>0</v>
          </cell>
          <cell r="AN1357">
            <v>0</v>
          </cell>
          <cell r="AO1357">
            <v>0</v>
          </cell>
          <cell r="AP1357">
            <v>0</v>
          </cell>
          <cell r="AQ1357">
            <v>0</v>
          </cell>
          <cell r="AR1357">
            <v>0</v>
          </cell>
        </row>
        <row r="1358">
          <cell r="B1358" t="str">
            <v xml:space="preserve">              GY3-3860</v>
          </cell>
          <cell r="C1358" t="str">
            <v>Develop &amp; Implement an Activation Plan</v>
          </cell>
          <cell r="D1358">
            <v>0</v>
          </cell>
          <cell r="E1358">
            <v>3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>
            <v>0</v>
          </cell>
          <cell r="AM1358">
            <v>0</v>
          </cell>
          <cell r="AN1358">
            <v>0</v>
          </cell>
          <cell r="AO1358">
            <v>0</v>
          </cell>
          <cell r="AP1358">
            <v>0</v>
          </cell>
          <cell r="AQ1358">
            <v>0</v>
          </cell>
          <cell r="AR1358">
            <v>0</v>
          </cell>
        </row>
        <row r="1359">
          <cell r="B1359" t="str">
            <v xml:space="preserve">              GY3-3910</v>
          </cell>
          <cell r="C1359" t="str">
            <v>Identifying and Tracking Potential Delay that may impact start up of Buildings / Infrastructures</v>
          </cell>
          <cell r="D1359">
            <v>0</v>
          </cell>
          <cell r="E1359">
            <v>3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>
            <v>0</v>
          </cell>
          <cell r="AM1359">
            <v>0</v>
          </cell>
          <cell r="AN1359">
            <v>0</v>
          </cell>
          <cell r="AO1359">
            <v>0</v>
          </cell>
          <cell r="AP1359">
            <v>0</v>
          </cell>
          <cell r="AQ1359">
            <v>0</v>
          </cell>
          <cell r="AR1359">
            <v>0</v>
          </cell>
        </row>
        <row r="1360">
          <cell r="B1360" t="str">
            <v xml:space="preserve">              GY3-3920</v>
          </cell>
          <cell r="C1360" t="str">
            <v>Monitoring Progress of the Project Activation</v>
          </cell>
          <cell r="D1360">
            <v>0</v>
          </cell>
          <cell r="E1360">
            <v>3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>
            <v>0</v>
          </cell>
          <cell r="AM1360">
            <v>0</v>
          </cell>
          <cell r="AN1360">
            <v>0</v>
          </cell>
          <cell r="AO1360">
            <v>0</v>
          </cell>
          <cell r="AP1360">
            <v>0</v>
          </cell>
          <cell r="AQ1360">
            <v>0</v>
          </cell>
          <cell r="AR1360">
            <v>0</v>
          </cell>
        </row>
        <row r="1361">
          <cell r="B1361" t="str">
            <v xml:space="preserve">        CONTRACT MANAGEMENT</v>
          </cell>
          <cell r="D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>
            <v>0</v>
          </cell>
          <cell r="AM1361">
            <v>0</v>
          </cell>
          <cell r="AN1361">
            <v>0</v>
          </cell>
          <cell r="AO1361">
            <v>0</v>
          </cell>
          <cell r="AP1361">
            <v>0</v>
          </cell>
          <cell r="AQ1361">
            <v>0</v>
          </cell>
          <cell r="AR1361">
            <v>0</v>
          </cell>
        </row>
        <row r="1362">
          <cell r="B1362" t="str">
            <v xml:space="preserve">          ECC COMPLEX (CONTRACTS MANAGEMENT)</v>
          </cell>
          <cell r="D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>
            <v>0</v>
          </cell>
          <cell r="AM1362">
            <v>0</v>
          </cell>
          <cell r="AN1362">
            <v>0</v>
          </cell>
          <cell r="AO1362">
            <v>0</v>
          </cell>
          <cell r="AP1362">
            <v>0</v>
          </cell>
          <cell r="AQ1362">
            <v>0</v>
          </cell>
          <cell r="AR1362">
            <v>0</v>
          </cell>
        </row>
        <row r="1363">
          <cell r="B1363" t="str">
            <v xml:space="preserve">            GY3-1520</v>
          </cell>
          <cell r="C1363" t="str">
            <v>Coordinating Contract Dispute Resolutions</v>
          </cell>
          <cell r="D1363">
            <v>0</v>
          </cell>
          <cell r="E1363">
            <v>1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>
            <v>0</v>
          </cell>
          <cell r="AM1363">
            <v>0</v>
          </cell>
          <cell r="AN1363">
            <v>0</v>
          </cell>
          <cell r="AO1363">
            <v>0</v>
          </cell>
          <cell r="AP1363">
            <v>0</v>
          </cell>
          <cell r="AQ1363">
            <v>0</v>
          </cell>
          <cell r="AR1363">
            <v>0</v>
          </cell>
        </row>
        <row r="1364">
          <cell r="B1364" t="str">
            <v xml:space="preserve">            GY3-1530</v>
          </cell>
          <cell r="C1364" t="str">
            <v>Performing Overall Assessment and Reporting of Prog. Anticipated Final Cost (AFC)</v>
          </cell>
          <cell r="D1364">
            <v>0</v>
          </cell>
          <cell r="E1364">
            <v>1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>
            <v>0</v>
          </cell>
          <cell r="AM1364">
            <v>0</v>
          </cell>
          <cell r="AN1364">
            <v>0</v>
          </cell>
          <cell r="AO1364">
            <v>0</v>
          </cell>
          <cell r="AP1364">
            <v>0</v>
          </cell>
          <cell r="AQ1364">
            <v>0</v>
          </cell>
          <cell r="AR1364">
            <v>0</v>
          </cell>
        </row>
        <row r="1365">
          <cell r="B1365" t="str">
            <v xml:space="preserve">            GY3-1540</v>
          </cell>
          <cell r="C1365" t="str">
            <v>Managing Authority Delegation &amp; Reporting</v>
          </cell>
          <cell r="D1365">
            <v>0</v>
          </cell>
          <cell r="E1365">
            <v>1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>
            <v>0</v>
          </cell>
          <cell r="AM1365">
            <v>0</v>
          </cell>
          <cell r="AN1365">
            <v>0</v>
          </cell>
          <cell r="AO1365">
            <v>0</v>
          </cell>
          <cell r="AP1365">
            <v>0</v>
          </cell>
          <cell r="AQ1365">
            <v>0</v>
          </cell>
          <cell r="AR1365">
            <v>0</v>
          </cell>
        </row>
        <row r="1366">
          <cell r="B1366" t="str">
            <v xml:space="preserve">            GY3-1550</v>
          </cell>
          <cell r="C1366" t="str">
            <v>Providing Contractual and Commercial Advice and Supporting PMs</v>
          </cell>
          <cell r="D1366">
            <v>0</v>
          </cell>
          <cell r="E1366">
            <v>1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>
            <v>0</v>
          </cell>
          <cell r="AM1366">
            <v>0</v>
          </cell>
          <cell r="AN1366">
            <v>0</v>
          </cell>
          <cell r="AO1366">
            <v>0</v>
          </cell>
          <cell r="AP1366">
            <v>0</v>
          </cell>
          <cell r="AQ1366">
            <v>0</v>
          </cell>
          <cell r="AR1366">
            <v>0</v>
          </cell>
        </row>
        <row r="1367">
          <cell r="B1367" t="str">
            <v xml:space="preserve">            GY3-1560</v>
          </cell>
          <cell r="C1367" t="str">
            <v>Managing Compliance with Contract Administration, Standards, Procedures Tools</v>
          </cell>
          <cell r="D1367">
            <v>0</v>
          </cell>
          <cell r="E1367">
            <v>1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>
            <v>0</v>
          </cell>
          <cell r="AM1367">
            <v>0</v>
          </cell>
          <cell r="AN1367">
            <v>0</v>
          </cell>
          <cell r="AO1367">
            <v>0</v>
          </cell>
          <cell r="AP1367">
            <v>0</v>
          </cell>
          <cell r="AQ1367">
            <v>0</v>
          </cell>
          <cell r="AR1367">
            <v>0</v>
          </cell>
        </row>
        <row r="1368">
          <cell r="B1368" t="str">
            <v xml:space="preserve">          PROGRAM MANAGEMENT (CONTRACTS MANAGEMENT)</v>
          </cell>
          <cell r="D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>
            <v>0</v>
          </cell>
          <cell r="AM1368">
            <v>0</v>
          </cell>
          <cell r="AN1368">
            <v>0</v>
          </cell>
          <cell r="AO1368">
            <v>0</v>
          </cell>
          <cell r="AP1368">
            <v>0</v>
          </cell>
          <cell r="AQ1368">
            <v>0</v>
          </cell>
          <cell r="AR1368">
            <v>0</v>
          </cell>
        </row>
        <row r="1369">
          <cell r="B1369" t="str">
            <v xml:space="preserve">            GY3-2110</v>
          </cell>
          <cell r="C1369" t="str">
            <v>Alerting, Analyzing, Resolution the DMICDC of any Actual, Perceived or Expected Departure from Contractual Requirements</v>
          </cell>
          <cell r="D1369">
            <v>0</v>
          </cell>
          <cell r="E1369">
            <v>1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>
            <v>0</v>
          </cell>
          <cell r="AM1369">
            <v>0</v>
          </cell>
          <cell r="AN1369">
            <v>0</v>
          </cell>
          <cell r="AO1369">
            <v>0</v>
          </cell>
          <cell r="AP1369">
            <v>0</v>
          </cell>
          <cell r="AQ1369">
            <v>0</v>
          </cell>
          <cell r="AR1369">
            <v>0</v>
          </cell>
        </row>
        <row r="1370">
          <cell r="B1370" t="str">
            <v xml:space="preserve">            GY3-2850</v>
          </cell>
          <cell r="C1370" t="str">
            <v>Providing Visibility to the Management in Changes, Invoicing, Claims, Valuations &amp; Payments, Notices, Early Warning, etc</v>
          </cell>
          <cell r="D1370">
            <v>0</v>
          </cell>
          <cell r="E1370">
            <v>1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>
            <v>0</v>
          </cell>
          <cell r="AM1370">
            <v>0</v>
          </cell>
          <cell r="AN1370">
            <v>0</v>
          </cell>
          <cell r="AO1370">
            <v>0</v>
          </cell>
          <cell r="AP1370">
            <v>0</v>
          </cell>
          <cell r="AQ1370">
            <v>0</v>
          </cell>
          <cell r="AR1370">
            <v>0</v>
          </cell>
        </row>
        <row r="1371">
          <cell r="B1371" t="str">
            <v xml:space="preserve">            GY3-2860</v>
          </cell>
          <cell r="C1371" t="str">
            <v>Assessing impact on Program, Contract Variations arising due to Changes or Change Request</v>
          </cell>
          <cell r="D1371">
            <v>0</v>
          </cell>
          <cell r="E1371">
            <v>1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>
            <v>0</v>
          </cell>
          <cell r="AM1371">
            <v>0</v>
          </cell>
          <cell r="AN1371">
            <v>0</v>
          </cell>
          <cell r="AO1371">
            <v>0</v>
          </cell>
          <cell r="AP1371">
            <v>0</v>
          </cell>
          <cell r="AQ1371">
            <v>0</v>
          </cell>
          <cell r="AR1371">
            <v>0</v>
          </cell>
        </row>
        <row r="1372">
          <cell r="B1372" t="str">
            <v xml:space="preserve">            GY3-2870</v>
          </cell>
          <cell r="C1372" t="str">
            <v>Monitoring the  Program and Advise impact of Non Compliance wrt Contract</v>
          </cell>
          <cell r="D1372">
            <v>0</v>
          </cell>
          <cell r="E1372">
            <v>1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>
            <v>0</v>
          </cell>
          <cell r="AM1372">
            <v>0</v>
          </cell>
          <cell r="AN1372">
            <v>0</v>
          </cell>
          <cell r="AO1372">
            <v>0</v>
          </cell>
          <cell r="AP1372">
            <v>0</v>
          </cell>
          <cell r="AQ1372">
            <v>0</v>
          </cell>
          <cell r="AR1372">
            <v>0</v>
          </cell>
        </row>
        <row r="1373">
          <cell r="B1373" t="str">
            <v xml:space="preserve">            GY3-2880</v>
          </cell>
          <cell r="C1373" t="str">
            <v>Development of Claims Management Process</v>
          </cell>
          <cell r="D1373">
            <v>0</v>
          </cell>
          <cell r="E1373">
            <v>1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>
            <v>0</v>
          </cell>
          <cell r="AM1373">
            <v>0</v>
          </cell>
          <cell r="AN1373">
            <v>0</v>
          </cell>
          <cell r="AO1373">
            <v>0</v>
          </cell>
          <cell r="AP1373">
            <v>0</v>
          </cell>
          <cell r="AQ1373">
            <v>0</v>
          </cell>
          <cell r="AR1373">
            <v>0</v>
          </cell>
        </row>
        <row r="1374">
          <cell r="B1374" t="str">
            <v xml:space="preserve">        FINANCE &amp; INVESTMENT MANAGEMENT</v>
          </cell>
          <cell r="D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>
            <v>0</v>
          </cell>
          <cell r="AM1374">
            <v>0</v>
          </cell>
          <cell r="AN1374">
            <v>0</v>
          </cell>
          <cell r="AO1374">
            <v>0</v>
          </cell>
          <cell r="AP1374">
            <v>0</v>
          </cell>
          <cell r="AQ1374">
            <v>0</v>
          </cell>
          <cell r="AR1374">
            <v>0</v>
          </cell>
        </row>
        <row r="1375">
          <cell r="B1375" t="str">
            <v xml:space="preserve">          GY3-2120</v>
          </cell>
          <cell r="C1375" t="str">
            <v>Monitor &amp; Control of the Programme/Project Cash Flow</v>
          </cell>
          <cell r="D1375">
            <v>0</v>
          </cell>
          <cell r="E1375">
            <v>1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>
            <v>0</v>
          </cell>
          <cell r="AM1375">
            <v>0</v>
          </cell>
          <cell r="AN1375">
            <v>0</v>
          </cell>
          <cell r="AO1375">
            <v>0</v>
          </cell>
          <cell r="AP1375">
            <v>0</v>
          </cell>
          <cell r="AQ1375">
            <v>0</v>
          </cell>
          <cell r="AR1375">
            <v>0</v>
          </cell>
        </row>
        <row r="1376">
          <cell r="B1376" t="str">
            <v xml:space="preserve">          GY3-2160</v>
          </cell>
          <cell r="C1376" t="str">
            <v>Evaluation &amp; Forwarding all Documents to DMICDC for Payment Processing</v>
          </cell>
          <cell r="D1376">
            <v>0</v>
          </cell>
          <cell r="E1376">
            <v>1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>
            <v>0</v>
          </cell>
          <cell r="AM1376">
            <v>0</v>
          </cell>
          <cell r="AN1376">
            <v>0</v>
          </cell>
          <cell r="AO1376">
            <v>0</v>
          </cell>
          <cell r="AP1376">
            <v>0</v>
          </cell>
          <cell r="AQ1376">
            <v>0</v>
          </cell>
          <cell r="AR1376">
            <v>0</v>
          </cell>
        </row>
        <row r="1377">
          <cell r="B1377" t="str">
            <v xml:space="preserve">          GY3-2590</v>
          </cell>
          <cell r="C1377" t="str">
            <v>Establishing an Experienced and  thorough Commercial Group to assess Invoices and Variations</v>
          </cell>
          <cell r="D1377">
            <v>0</v>
          </cell>
          <cell r="E1377">
            <v>1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>
            <v>0</v>
          </cell>
          <cell r="AM1377">
            <v>0</v>
          </cell>
          <cell r="AN1377">
            <v>0</v>
          </cell>
          <cell r="AO1377">
            <v>0</v>
          </cell>
          <cell r="AP1377">
            <v>0</v>
          </cell>
          <cell r="AQ1377">
            <v>0</v>
          </cell>
          <cell r="AR1377">
            <v>0</v>
          </cell>
        </row>
        <row r="1378">
          <cell r="B1378" t="str">
            <v xml:space="preserve">          GY3-2600</v>
          </cell>
          <cell r="C1378" t="str">
            <v>Preparation &amp; Submission of Monthly Financial Reports to DMICDC</v>
          </cell>
          <cell r="D1378">
            <v>0</v>
          </cell>
          <cell r="E1378">
            <v>1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>
            <v>0</v>
          </cell>
          <cell r="AM1378">
            <v>0</v>
          </cell>
          <cell r="AN1378">
            <v>0</v>
          </cell>
          <cell r="AO1378">
            <v>0</v>
          </cell>
          <cell r="AP1378">
            <v>0</v>
          </cell>
          <cell r="AQ1378">
            <v>0</v>
          </cell>
          <cell r="AR1378">
            <v>0</v>
          </cell>
        </row>
        <row r="1379">
          <cell r="B1379" t="str">
            <v xml:space="preserve">        HUMAN RESOURCES AND ORGANIZATIONAL DEVELOPMENT</v>
          </cell>
          <cell r="D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>
            <v>0</v>
          </cell>
          <cell r="AM1379">
            <v>0</v>
          </cell>
          <cell r="AN1379">
            <v>0</v>
          </cell>
          <cell r="AO1379">
            <v>0</v>
          </cell>
          <cell r="AP1379">
            <v>0</v>
          </cell>
          <cell r="AQ1379">
            <v>0</v>
          </cell>
          <cell r="AR1379">
            <v>0</v>
          </cell>
        </row>
        <row r="1380">
          <cell r="B1380" t="str">
            <v xml:space="preserve">          RESOURCE MANAGEMENT</v>
          </cell>
          <cell r="D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>
            <v>0</v>
          </cell>
          <cell r="AM1380">
            <v>0</v>
          </cell>
          <cell r="AN1380">
            <v>0</v>
          </cell>
          <cell r="AO1380">
            <v>0</v>
          </cell>
          <cell r="AP1380">
            <v>0</v>
          </cell>
          <cell r="AQ1380">
            <v>0</v>
          </cell>
          <cell r="AR1380">
            <v>0</v>
          </cell>
        </row>
        <row r="1381">
          <cell r="B1381" t="str">
            <v xml:space="preserve">            GY3-1100</v>
          </cell>
          <cell r="C1381" t="str">
            <v>Ensuring that the resources are available to meet the PMC needs</v>
          </cell>
          <cell r="D1381">
            <v>0</v>
          </cell>
          <cell r="E1381">
            <v>1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>
            <v>0</v>
          </cell>
          <cell r="AM1381">
            <v>0</v>
          </cell>
          <cell r="AN1381">
            <v>0</v>
          </cell>
          <cell r="AO1381">
            <v>0</v>
          </cell>
          <cell r="AP1381">
            <v>0</v>
          </cell>
          <cell r="AQ1381">
            <v>0</v>
          </cell>
          <cell r="AR1381">
            <v>0</v>
          </cell>
        </row>
        <row r="1382">
          <cell r="B1382" t="str">
            <v xml:space="preserve">            GY3-1250</v>
          </cell>
          <cell r="C1382" t="str">
            <v>Monitoring &amp; Regularly report on changes caused by both PMC and the Contractors</v>
          </cell>
          <cell r="D1382">
            <v>0</v>
          </cell>
          <cell r="E1382">
            <v>1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>
            <v>0</v>
          </cell>
          <cell r="AM1382">
            <v>0</v>
          </cell>
          <cell r="AN1382">
            <v>0</v>
          </cell>
          <cell r="AO1382">
            <v>0</v>
          </cell>
          <cell r="AP1382">
            <v>0</v>
          </cell>
          <cell r="AQ1382">
            <v>0</v>
          </cell>
          <cell r="AR1382">
            <v>0</v>
          </cell>
        </row>
        <row r="1383">
          <cell r="B1383" t="str">
            <v xml:space="preserve">            GY3-3010</v>
          </cell>
          <cell r="C1383" t="str">
            <v>Monitoring that Contractors / Concessionaire have adequate resource Plans in Place</v>
          </cell>
          <cell r="D1383">
            <v>0</v>
          </cell>
          <cell r="E1383">
            <v>1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>
            <v>0</v>
          </cell>
          <cell r="AM1383">
            <v>0</v>
          </cell>
          <cell r="AN1383">
            <v>0</v>
          </cell>
          <cell r="AO1383">
            <v>0</v>
          </cell>
          <cell r="AP1383">
            <v>0</v>
          </cell>
          <cell r="AQ1383">
            <v>0</v>
          </cell>
          <cell r="AR1383">
            <v>0</v>
          </cell>
        </row>
        <row r="1384">
          <cell r="B1384" t="str">
            <v xml:space="preserve">          ORGANIZATIONAL DEVELOPMENT</v>
          </cell>
          <cell r="D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>
            <v>0</v>
          </cell>
          <cell r="AM1384">
            <v>0</v>
          </cell>
          <cell r="AN1384">
            <v>0</v>
          </cell>
          <cell r="AO1384">
            <v>0</v>
          </cell>
          <cell r="AP1384">
            <v>0</v>
          </cell>
          <cell r="AQ1384">
            <v>0</v>
          </cell>
          <cell r="AR1384">
            <v>0</v>
          </cell>
        </row>
        <row r="1385">
          <cell r="B1385" t="str">
            <v xml:space="preserve">            GY3-1200</v>
          </cell>
          <cell r="C1385" t="str">
            <v>Monitor, Implement &amp; Address changes required to the PMC Organization resulting from the delivery of Programme</v>
          </cell>
          <cell r="D1385">
            <v>0</v>
          </cell>
          <cell r="E1385">
            <v>1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>
            <v>0</v>
          </cell>
          <cell r="AM1385">
            <v>0</v>
          </cell>
          <cell r="AN1385">
            <v>0</v>
          </cell>
          <cell r="AO1385">
            <v>0</v>
          </cell>
          <cell r="AP1385">
            <v>0</v>
          </cell>
          <cell r="AQ1385">
            <v>0</v>
          </cell>
          <cell r="AR1385">
            <v>0</v>
          </cell>
        </row>
        <row r="1386">
          <cell r="B1386" t="str">
            <v xml:space="preserve">            GY3-1210</v>
          </cell>
          <cell r="C1386" t="str">
            <v>Ensuring that any significant development of new business processes and procedure is adequately documented</v>
          </cell>
          <cell r="D1386">
            <v>0</v>
          </cell>
          <cell r="E1386">
            <v>1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>
            <v>0</v>
          </cell>
          <cell r="AM1386">
            <v>0</v>
          </cell>
          <cell r="AN1386">
            <v>0</v>
          </cell>
          <cell r="AO1386">
            <v>0</v>
          </cell>
          <cell r="AP1386">
            <v>0</v>
          </cell>
          <cell r="AQ1386">
            <v>0</v>
          </cell>
          <cell r="AR1386">
            <v>0</v>
          </cell>
        </row>
        <row r="1387">
          <cell r="B1387" t="str">
            <v xml:space="preserve">            GY3-1220</v>
          </cell>
          <cell r="C1387" t="str">
            <v>Monitoring the development of any Related policy changes, Procedures, Forms, Staffing, Job description, remuneration,etc</v>
          </cell>
          <cell r="D1387">
            <v>0</v>
          </cell>
          <cell r="E1387">
            <v>1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>
            <v>0</v>
          </cell>
          <cell r="AM1387">
            <v>0</v>
          </cell>
          <cell r="AN1387">
            <v>0</v>
          </cell>
          <cell r="AO1387">
            <v>0</v>
          </cell>
          <cell r="AP1387">
            <v>0</v>
          </cell>
          <cell r="AQ1387">
            <v>0</v>
          </cell>
          <cell r="AR1387">
            <v>0</v>
          </cell>
        </row>
        <row r="1388">
          <cell r="B1388" t="str">
            <v xml:space="preserve">        INFORMATION &amp; TECHNOLOGY (IT) MANAGEMENT</v>
          </cell>
          <cell r="D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>
            <v>0</v>
          </cell>
          <cell r="AM1388">
            <v>0</v>
          </cell>
          <cell r="AN1388">
            <v>0</v>
          </cell>
          <cell r="AO1388">
            <v>0</v>
          </cell>
          <cell r="AP1388">
            <v>0</v>
          </cell>
          <cell r="AQ1388">
            <v>0</v>
          </cell>
          <cell r="AR1388">
            <v>0</v>
          </cell>
        </row>
        <row r="1389">
          <cell r="B1389" t="str">
            <v xml:space="preserve">          GY3-1370</v>
          </cell>
          <cell r="C1389" t="str">
            <v>Implementation of MIS</v>
          </cell>
          <cell r="D1389">
            <v>0</v>
          </cell>
          <cell r="E1389">
            <v>1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>
            <v>0</v>
          </cell>
          <cell r="AM1389">
            <v>0</v>
          </cell>
          <cell r="AN1389">
            <v>0</v>
          </cell>
          <cell r="AO1389">
            <v>0</v>
          </cell>
          <cell r="AP1389">
            <v>0</v>
          </cell>
          <cell r="AQ1389">
            <v>0</v>
          </cell>
          <cell r="AR1389">
            <v>0</v>
          </cell>
        </row>
        <row r="1390">
          <cell r="B1390" t="str">
            <v xml:space="preserve">          GY3-1790</v>
          </cell>
          <cell r="C1390" t="str">
            <v>Maintaining Program &amp; Information Tools and Application information Management System for the PMC</v>
          </cell>
          <cell r="D1390">
            <v>0</v>
          </cell>
          <cell r="E1390">
            <v>1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>
            <v>0</v>
          </cell>
          <cell r="AM1390">
            <v>0</v>
          </cell>
          <cell r="AN1390">
            <v>0</v>
          </cell>
          <cell r="AO1390">
            <v>0</v>
          </cell>
          <cell r="AP1390">
            <v>0</v>
          </cell>
          <cell r="AQ1390">
            <v>0</v>
          </cell>
          <cell r="AR1390">
            <v>0</v>
          </cell>
        </row>
        <row r="1391">
          <cell r="B1391" t="str">
            <v xml:space="preserve">          GY3-1800</v>
          </cell>
          <cell r="C1391" t="str">
            <v>Establishing &amp; Managing the Information System for the Programme</v>
          </cell>
          <cell r="D1391">
            <v>0</v>
          </cell>
          <cell r="E1391">
            <v>1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>
            <v>0</v>
          </cell>
          <cell r="AM1391">
            <v>0</v>
          </cell>
          <cell r="AN1391">
            <v>0</v>
          </cell>
          <cell r="AO1391">
            <v>0</v>
          </cell>
          <cell r="AP1391">
            <v>0</v>
          </cell>
          <cell r="AQ1391">
            <v>0</v>
          </cell>
          <cell r="AR1391">
            <v>0</v>
          </cell>
        </row>
        <row r="1392">
          <cell r="B1392" t="str">
            <v xml:space="preserve">          GY3-1810</v>
          </cell>
          <cell r="C1392" t="str">
            <v>Ensuring that the Information is Kept and Knowledge is transmitted to the Program Team and to various Stakeholders</v>
          </cell>
          <cell r="D1392">
            <v>0</v>
          </cell>
          <cell r="E1392">
            <v>1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>
            <v>0</v>
          </cell>
          <cell r="AM1392">
            <v>0</v>
          </cell>
          <cell r="AN1392">
            <v>0</v>
          </cell>
          <cell r="AO1392">
            <v>0</v>
          </cell>
          <cell r="AP1392">
            <v>0</v>
          </cell>
          <cell r="AQ1392">
            <v>0</v>
          </cell>
          <cell r="AR1392">
            <v>0</v>
          </cell>
        </row>
        <row r="1393">
          <cell r="B1393" t="str">
            <v xml:space="preserve">          GY3-1820</v>
          </cell>
          <cell r="C1393" t="str">
            <v>Training of DMICDC Staff in the Utilization of the Web Based system</v>
          </cell>
          <cell r="D1393">
            <v>0</v>
          </cell>
          <cell r="E1393">
            <v>1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>
            <v>0</v>
          </cell>
          <cell r="AM1393">
            <v>0</v>
          </cell>
          <cell r="AN1393">
            <v>0</v>
          </cell>
          <cell r="AO1393">
            <v>0</v>
          </cell>
          <cell r="AP1393">
            <v>0</v>
          </cell>
          <cell r="AQ1393">
            <v>0</v>
          </cell>
          <cell r="AR1393">
            <v>0</v>
          </cell>
        </row>
        <row r="1394">
          <cell r="B1394" t="str">
            <v xml:space="preserve">        MARKETING &amp; PROMOTION</v>
          </cell>
          <cell r="D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>
            <v>0</v>
          </cell>
          <cell r="AM1394">
            <v>0</v>
          </cell>
          <cell r="AN1394">
            <v>0</v>
          </cell>
          <cell r="AO1394">
            <v>0</v>
          </cell>
          <cell r="AP1394">
            <v>0</v>
          </cell>
          <cell r="AQ1394">
            <v>0</v>
          </cell>
          <cell r="AR1394">
            <v>0</v>
          </cell>
        </row>
        <row r="1395">
          <cell r="B1395" t="str">
            <v xml:space="preserve">          GY3-2700</v>
          </cell>
          <cell r="C1395" t="str">
            <v>Assisting the Client in Carrying out road Shows, Conference, meetings with Investor, etc.</v>
          </cell>
          <cell r="D1395">
            <v>0</v>
          </cell>
          <cell r="E1395">
            <v>1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>
            <v>0</v>
          </cell>
          <cell r="AM1395">
            <v>0</v>
          </cell>
          <cell r="AN1395">
            <v>0</v>
          </cell>
          <cell r="AO1395">
            <v>0</v>
          </cell>
          <cell r="AP1395">
            <v>0</v>
          </cell>
          <cell r="AQ1395">
            <v>0</v>
          </cell>
          <cell r="AR1395">
            <v>0</v>
          </cell>
        </row>
        <row r="1396">
          <cell r="B1396" t="str">
            <v xml:space="preserve">        PROGRAM ADMINISTRATION</v>
          </cell>
          <cell r="D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>
            <v>0</v>
          </cell>
          <cell r="AM1396">
            <v>0</v>
          </cell>
          <cell r="AN1396">
            <v>0</v>
          </cell>
          <cell r="AO1396">
            <v>0</v>
          </cell>
          <cell r="AP1396">
            <v>0</v>
          </cell>
          <cell r="AQ1396">
            <v>0</v>
          </cell>
          <cell r="AR1396">
            <v>0</v>
          </cell>
        </row>
        <row r="1397">
          <cell r="B1397" t="str">
            <v xml:space="preserve">          CONTRACTOR PROGRESS</v>
          </cell>
          <cell r="D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>
            <v>0</v>
          </cell>
          <cell r="AM1397">
            <v>0</v>
          </cell>
          <cell r="AN1397">
            <v>0</v>
          </cell>
          <cell r="AO1397">
            <v>0</v>
          </cell>
          <cell r="AP1397">
            <v>0</v>
          </cell>
          <cell r="AQ1397">
            <v>0</v>
          </cell>
          <cell r="AR1397">
            <v>0</v>
          </cell>
        </row>
        <row r="1398">
          <cell r="B1398" t="str">
            <v xml:space="preserve">            GY3-3030</v>
          </cell>
          <cell r="C1398" t="str">
            <v>Conducting Weekly Project Management Support Meeting</v>
          </cell>
          <cell r="D1398">
            <v>0</v>
          </cell>
          <cell r="E1398">
            <v>1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>
            <v>0</v>
          </cell>
          <cell r="AM1398">
            <v>0</v>
          </cell>
          <cell r="AN1398">
            <v>0</v>
          </cell>
          <cell r="AO1398">
            <v>0</v>
          </cell>
          <cell r="AP1398">
            <v>0</v>
          </cell>
          <cell r="AQ1398">
            <v>0</v>
          </cell>
          <cell r="AR1398">
            <v>0</v>
          </cell>
        </row>
        <row r="1399">
          <cell r="B1399" t="str">
            <v xml:space="preserve">            GY3-3040</v>
          </cell>
          <cell r="C1399" t="str">
            <v>Maintaining Project Planning for Each Project</v>
          </cell>
          <cell r="D1399">
            <v>0</v>
          </cell>
          <cell r="E1399">
            <v>1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>
            <v>0</v>
          </cell>
          <cell r="AM1399">
            <v>0</v>
          </cell>
          <cell r="AN1399">
            <v>0</v>
          </cell>
          <cell r="AO1399">
            <v>0</v>
          </cell>
          <cell r="AP1399">
            <v>0</v>
          </cell>
          <cell r="AQ1399">
            <v>0</v>
          </cell>
          <cell r="AR1399">
            <v>0</v>
          </cell>
        </row>
        <row r="1400">
          <cell r="B1400" t="str">
            <v xml:space="preserve">            GY3-3050</v>
          </cell>
          <cell r="C1400" t="str">
            <v>Facilitation of Periodic Coordination &amp; Review Meetings with Contractors</v>
          </cell>
          <cell r="D1400">
            <v>0</v>
          </cell>
          <cell r="E1400">
            <v>1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>
            <v>0</v>
          </cell>
          <cell r="AM1400">
            <v>0</v>
          </cell>
          <cell r="AN1400">
            <v>0</v>
          </cell>
          <cell r="AO1400">
            <v>0</v>
          </cell>
          <cell r="AP1400">
            <v>0</v>
          </cell>
          <cell r="AQ1400">
            <v>0</v>
          </cell>
          <cell r="AR1400">
            <v>0</v>
          </cell>
        </row>
        <row r="1401">
          <cell r="B1401" t="str">
            <v xml:space="preserve">          PROCESS IMPROVEMENT PROGRAM</v>
          </cell>
          <cell r="D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>
            <v>0</v>
          </cell>
          <cell r="AM1401">
            <v>0</v>
          </cell>
          <cell r="AN1401">
            <v>0</v>
          </cell>
          <cell r="AO1401">
            <v>0</v>
          </cell>
          <cell r="AP1401">
            <v>0</v>
          </cell>
          <cell r="AQ1401">
            <v>0</v>
          </cell>
          <cell r="AR1401">
            <v>0</v>
          </cell>
        </row>
        <row r="1402">
          <cell r="B1402" t="str">
            <v xml:space="preserve">            GY3-3020</v>
          </cell>
          <cell r="C1402" t="str">
            <v>Defining, Building and Implementing Project Management Practices</v>
          </cell>
          <cell r="D1402">
            <v>0</v>
          </cell>
          <cell r="E1402">
            <v>1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>
            <v>0</v>
          </cell>
          <cell r="AM1402">
            <v>0</v>
          </cell>
          <cell r="AN1402">
            <v>0</v>
          </cell>
          <cell r="AO1402">
            <v>0</v>
          </cell>
          <cell r="AP1402">
            <v>0</v>
          </cell>
          <cell r="AQ1402">
            <v>0</v>
          </cell>
          <cell r="AR1402">
            <v>0</v>
          </cell>
        </row>
        <row r="1403">
          <cell r="B1403" t="str">
            <v xml:space="preserve">            GY3-3080</v>
          </cell>
          <cell r="C1403" t="str">
            <v>Overseeing the Implementation and Completion of each Stage &amp; Achievement of Milestones</v>
          </cell>
          <cell r="D1403">
            <v>0</v>
          </cell>
          <cell r="E1403">
            <v>1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>
            <v>0</v>
          </cell>
          <cell r="AM1403">
            <v>0</v>
          </cell>
          <cell r="AN1403">
            <v>0</v>
          </cell>
          <cell r="AO1403">
            <v>0</v>
          </cell>
          <cell r="AP1403">
            <v>0</v>
          </cell>
          <cell r="AQ1403">
            <v>0</v>
          </cell>
          <cell r="AR1403">
            <v>0</v>
          </cell>
        </row>
        <row r="1404">
          <cell r="B1404" t="str">
            <v xml:space="preserve">          PROFESSIONAL RESOURCES &amp; SUPPORT SERVICES</v>
          </cell>
          <cell r="D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>
            <v>0</v>
          </cell>
          <cell r="AM1404">
            <v>0</v>
          </cell>
          <cell r="AN1404">
            <v>0</v>
          </cell>
          <cell r="AO1404">
            <v>0</v>
          </cell>
          <cell r="AP1404">
            <v>0</v>
          </cell>
          <cell r="AQ1404">
            <v>0</v>
          </cell>
          <cell r="AR1404">
            <v>0</v>
          </cell>
        </row>
        <row r="1405">
          <cell r="B1405" t="str">
            <v xml:space="preserve">            GY3-1110</v>
          </cell>
          <cell r="C1405" t="str">
            <v>Providing Staff to perform Regular Project Management Practices</v>
          </cell>
          <cell r="D1405">
            <v>0</v>
          </cell>
          <cell r="E1405">
            <v>1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>
            <v>0</v>
          </cell>
          <cell r="AM1405">
            <v>0</v>
          </cell>
          <cell r="AN1405">
            <v>0</v>
          </cell>
          <cell r="AO1405">
            <v>0</v>
          </cell>
          <cell r="AP1405">
            <v>0</v>
          </cell>
          <cell r="AQ1405">
            <v>0</v>
          </cell>
          <cell r="AR1405">
            <v>0</v>
          </cell>
        </row>
        <row r="1406">
          <cell r="B1406" t="str">
            <v xml:space="preserve">            GY3-1120</v>
          </cell>
          <cell r="C1406" t="str">
            <v>Maintaining documents for an internal DMICDC website focused on Project Management Manuals</v>
          </cell>
          <cell r="D1406">
            <v>0</v>
          </cell>
          <cell r="E1406">
            <v>1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>
            <v>0</v>
          </cell>
          <cell r="AM1406">
            <v>0</v>
          </cell>
          <cell r="AN1406">
            <v>0</v>
          </cell>
          <cell r="AO1406">
            <v>0</v>
          </cell>
          <cell r="AP1406">
            <v>0</v>
          </cell>
          <cell r="AQ1406">
            <v>0</v>
          </cell>
          <cell r="AR1406">
            <v>0</v>
          </cell>
        </row>
        <row r="1407">
          <cell r="B1407" t="str">
            <v xml:space="preserve">            GY3-1130</v>
          </cell>
          <cell r="C1407" t="str">
            <v>Providing support &amp; Training in PMO Processes, Procedures, Tools &amp; Template to DMICDC Staff</v>
          </cell>
          <cell r="D1407">
            <v>0</v>
          </cell>
          <cell r="E1407">
            <v>1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>
            <v>0</v>
          </cell>
          <cell r="AM1407">
            <v>0</v>
          </cell>
          <cell r="AN1407">
            <v>0</v>
          </cell>
          <cell r="AO1407">
            <v>0</v>
          </cell>
          <cell r="AP1407">
            <v>0</v>
          </cell>
          <cell r="AQ1407">
            <v>0</v>
          </cell>
          <cell r="AR1407">
            <v>0</v>
          </cell>
        </row>
        <row r="1408">
          <cell r="B1408" t="str">
            <v xml:space="preserve">            GY3-1140</v>
          </cell>
          <cell r="C1408" t="str">
            <v>Providing Consultant Services in Special Technology areas as necessary &amp; Requested</v>
          </cell>
          <cell r="D1408">
            <v>0</v>
          </cell>
          <cell r="E1408">
            <v>1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>
            <v>0</v>
          </cell>
          <cell r="AM1408">
            <v>0</v>
          </cell>
          <cell r="AN1408">
            <v>0</v>
          </cell>
          <cell r="AO1408">
            <v>0</v>
          </cell>
          <cell r="AP1408">
            <v>0</v>
          </cell>
          <cell r="AQ1408">
            <v>0</v>
          </cell>
          <cell r="AR1408">
            <v>0</v>
          </cell>
        </row>
        <row r="1409">
          <cell r="B1409" t="str">
            <v xml:space="preserve">            GY3-1980</v>
          </cell>
          <cell r="C1409" t="str">
            <v>Supporting a Website for the ECC</v>
          </cell>
          <cell r="D1409">
            <v>0</v>
          </cell>
          <cell r="E1409">
            <v>1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>
            <v>0</v>
          </cell>
          <cell r="AM1409">
            <v>0</v>
          </cell>
          <cell r="AN1409">
            <v>0</v>
          </cell>
          <cell r="AO1409">
            <v>0</v>
          </cell>
          <cell r="AP1409">
            <v>0</v>
          </cell>
          <cell r="AQ1409">
            <v>0</v>
          </cell>
          <cell r="AR1409">
            <v>0</v>
          </cell>
        </row>
        <row r="1410">
          <cell r="B1410" t="str">
            <v xml:space="preserve">        PROGRAM ASSURANCE FUNCTIONS</v>
          </cell>
          <cell r="D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>
            <v>0</v>
          </cell>
          <cell r="AM1410">
            <v>0</v>
          </cell>
          <cell r="AN1410">
            <v>0</v>
          </cell>
          <cell r="AO1410">
            <v>0</v>
          </cell>
          <cell r="AP1410">
            <v>0</v>
          </cell>
          <cell r="AQ1410">
            <v>0</v>
          </cell>
          <cell r="AR1410">
            <v>0</v>
          </cell>
        </row>
        <row r="1411">
          <cell r="B1411" t="str">
            <v xml:space="preserve">          QUALITY ASSURANCE</v>
          </cell>
          <cell r="D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>
            <v>0</v>
          </cell>
          <cell r="AM1411">
            <v>0</v>
          </cell>
          <cell r="AN1411">
            <v>0</v>
          </cell>
          <cell r="AO1411">
            <v>0</v>
          </cell>
          <cell r="AP1411">
            <v>0</v>
          </cell>
          <cell r="AQ1411">
            <v>0</v>
          </cell>
          <cell r="AR1411">
            <v>0</v>
          </cell>
        </row>
        <row r="1412">
          <cell r="B1412" t="str">
            <v xml:space="preserve">            GY3-2820</v>
          </cell>
          <cell r="C1412" t="str">
            <v>Overseeing &amp; Manage the Independent 3rd Party Consultants used for Quality Check &amp; Value Engineering</v>
          </cell>
          <cell r="D1412">
            <v>0</v>
          </cell>
          <cell r="E1412">
            <v>1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>
            <v>0</v>
          </cell>
          <cell r="AM1412">
            <v>0</v>
          </cell>
          <cell r="AN1412">
            <v>0</v>
          </cell>
          <cell r="AO1412">
            <v>0</v>
          </cell>
          <cell r="AP1412">
            <v>0</v>
          </cell>
          <cell r="AQ1412">
            <v>0</v>
          </cell>
          <cell r="AR1412">
            <v>0</v>
          </cell>
        </row>
        <row r="1413">
          <cell r="B1413" t="str">
            <v xml:space="preserve">          HEALTH &amp; SAFETY</v>
          </cell>
          <cell r="D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>
            <v>0</v>
          </cell>
          <cell r="AM1413">
            <v>0</v>
          </cell>
          <cell r="AN1413">
            <v>0</v>
          </cell>
          <cell r="AO1413">
            <v>0</v>
          </cell>
          <cell r="AP1413">
            <v>0</v>
          </cell>
          <cell r="AQ1413">
            <v>0</v>
          </cell>
          <cell r="AR1413">
            <v>0</v>
          </cell>
        </row>
        <row r="1414">
          <cell r="B1414" t="str">
            <v xml:space="preserve">            GY3-2710</v>
          </cell>
          <cell r="C1414" t="str">
            <v>Delivering basic &amp; Specified health &amp; Safety Training across the Programme</v>
          </cell>
          <cell r="D1414">
            <v>0</v>
          </cell>
          <cell r="E1414">
            <v>1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>
            <v>0</v>
          </cell>
          <cell r="AM1414">
            <v>0</v>
          </cell>
          <cell r="AN1414">
            <v>0</v>
          </cell>
          <cell r="AO1414">
            <v>0</v>
          </cell>
          <cell r="AP1414">
            <v>0</v>
          </cell>
          <cell r="AQ1414">
            <v>0</v>
          </cell>
          <cell r="AR1414">
            <v>0</v>
          </cell>
        </row>
        <row r="1415">
          <cell r="B1415" t="str">
            <v xml:space="preserve">            GY3-2720</v>
          </cell>
          <cell r="C1415" t="str">
            <v>Implementation of a Program to Monitor &amp; Evaluate Health &amp; Safety Practices</v>
          </cell>
          <cell r="D1415">
            <v>0</v>
          </cell>
          <cell r="E1415">
            <v>1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>
            <v>0</v>
          </cell>
          <cell r="AM1415">
            <v>0</v>
          </cell>
          <cell r="AN1415">
            <v>0</v>
          </cell>
          <cell r="AO1415">
            <v>0</v>
          </cell>
          <cell r="AP1415">
            <v>0</v>
          </cell>
          <cell r="AQ1415">
            <v>0</v>
          </cell>
          <cell r="AR1415">
            <v>0</v>
          </cell>
        </row>
        <row r="1416">
          <cell r="B1416" t="str">
            <v xml:space="preserve">          SUSTAINABILITY &amp; ENVIRONMENT</v>
          </cell>
          <cell r="D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>
            <v>0</v>
          </cell>
          <cell r="AM1416">
            <v>0</v>
          </cell>
          <cell r="AN1416">
            <v>0</v>
          </cell>
          <cell r="AO1416">
            <v>0</v>
          </cell>
          <cell r="AP1416">
            <v>0</v>
          </cell>
          <cell r="AQ1416">
            <v>0</v>
          </cell>
          <cell r="AR1416">
            <v>0</v>
          </cell>
        </row>
        <row r="1417">
          <cell r="B1417" t="str">
            <v xml:space="preserve">            GY3-1590</v>
          </cell>
          <cell r="C1417" t="str">
            <v>Monitor Progress against Environment Goals at the Project &amp; Programme Level</v>
          </cell>
          <cell r="D1417">
            <v>0</v>
          </cell>
          <cell r="E1417">
            <v>1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>
            <v>0</v>
          </cell>
          <cell r="AM1417">
            <v>0</v>
          </cell>
          <cell r="AN1417">
            <v>0</v>
          </cell>
          <cell r="AO1417">
            <v>0</v>
          </cell>
          <cell r="AP1417">
            <v>0</v>
          </cell>
          <cell r="AQ1417">
            <v>0</v>
          </cell>
          <cell r="AR1417">
            <v>0</v>
          </cell>
        </row>
        <row r="1418">
          <cell r="B1418" t="str">
            <v xml:space="preserve">            GY3-2690</v>
          </cell>
          <cell r="C1418" t="str">
            <v>Implementation a framework that enables Program to define its sustainability and Env. Goals &amp; Strategy</v>
          </cell>
          <cell r="D1418">
            <v>0</v>
          </cell>
          <cell r="E1418">
            <v>1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>
            <v>0</v>
          </cell>
          <cell r="AM1418">
            <v>0</v>
          </cell>
          <cell r="AN1418">
            <v>0</v>
          </cell>
          <cell r="AO1418">
            <v>0</v>
          </cell>
          <cell r="AP1418">
            <v>0</v>
          </cell>
          <cell r="AQ1418">
            <v>0</v>
          </cell>
          <cell r="AR1418">
            <v>0</v>
          </cell>
        </row>
        <row r="1419">
          <cell r="B1419" t="str">
            <v xml:space="preserve">          SECURITY</v>
          </cell>
          <cell r="D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>
            <v>0</v>
          </cell>
          <cell r="AM1419">
            <v>0</v>
          </cell>
          <cell r="AN1419">
            <v>0</v>
          </cell>
          <cell r="AO1419">
            <v>0</v>
          </cell>
          <cell r="AP1419">
            <v>0</v>
          </cell>
          <cell r="AQ1419">
            <v>0</v>
          </cell>
          <cell r="AR1419">
            <v>0</v>
          </cell>
        </row>
        <row r="1420">
          <cell r="B1420" t="str">
            <v xml:space="preserve">            GY3-1150</v>
          </cell>
          <cell r="C1420" t="str">
            <v>Implementation of Crisis Managment Response</v>
          </cell>
          <cell r="D1420">
            <v>0</v>
          </cell>
          <cell r="E1420">
            <v>1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>
            <v>0</v>
          </cell>
          <cell r="AM1420">
            <v>0</v>
          </cell>
          <cell r="AN1420">
            <v>0</v>
          </cell>
          <cell r="AO1420">
            <v>0</v>
          </cell>
          <cell r="AP1420">
            <v>0</v>
          </cell>
          <cell r="AQ1420">
            <v>0</v>
          </cell>
          <cell r="AR1420">
            <v>0</v>
          </cell>
        </row>
        <row r="1421">
          <cell r="B1421" t="str">
            <v xml:space="preserve">            GY3-1160</v>
          </cell>
          <cell r="C1421" t="str">
            <v>Implementation of Business Continiuty</v>
          </cell>
          <cell r="D1421">
            <v>0</v>
          </cell>
          <cell r="E1421">
            <v>1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>
            <v>0</v>
          </cell>
          <cell r="AM1421">
            <v>0</v>
          </cell>
          <cell r="AN1421">
            <v>0</v>
          </cell>
          <cell r="AO1421">
            <v>0</v>
          </cell>
          <cell r="AP1421">
            <v>0</v>
          </cell>
          <cell r="AQ1421">
            <v>0</v>
          </cell>
          <cell r="AR1421">
            <v>0</v>
          </cell>
        </row>
        <row r="1422">
          <cell r="B1422" t="str">
            <v xml:space="preserve">            GY3-1170</v>
          </cell>
          <cell r="C1422" t="str">
            <v>Implementation of Employee Protection</v>
          </cell>
          <cell r="D1422">
            <v>0</v>
          </cell>
          <cell r="E1422">
            <v>1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>
            <v>0</v>
          </cell>
          <cell r="AM1422">
            <v>0</v>
          </cell>
          <cell r="AN1422">
            <v>0</v>
          </cell>
          <cell r="AO1422">
            <v>0</v>
          </cell>
          <cell r="AP1422">
            <v>0</v>
          </cell>
          <cell r="AQ1422">
            <v>0</v>
          </cell>
          <cell r="AR1422">
            <v>0</v>
          </cell>
        </row>
        <row r="1423">
          <cell r="B1423" t="str">
            <v xml:space="preserve">            GY3-1180</v>
          </cell>
          <cell r="C1423" t="str">
            <v>Implementation of Information Security</v>
          </cell>
          <cell r="D1423">
            <v>0</v>
          </cell>
          <cell r="E1423">
            <v>1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>
            <v>0</v>
          </cell>
          <cell r="AM1423">
            <v>0</v>
          </cell>
          <cell r="AN1423">
            <v>0</v>
          </cell>
          <cell r="AO1423">
            <v>0</v>
          </cell>
          <cell r="AP1423">
            <v>0</v>
          </cell>
          <cell r="AQ1423">
            <v>0</v>
          </cell>
          <cell r="AR1423">
            <v>0</v>
          </cell>
        </row>
        <row r="1424">
          <cell r="B1424" t="str">
            <v xml:space="preserve">            GY3-1190</v>
          </cell>
          <cell r="C1424" t="str">
            <v>Implementation of Programe Office Security</v>
          </cell>
          <cell r="D1424">
            <v>0</v>
          </cell>
          <cell r="E1424">
            <v>1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>
            <v>0</v>
          </cell>
          <cell r="AM1424">
            <v>0</v>
          </cell>
          <cell r="AN1424">
            <v>0</v>
          </cell>
          <cell r="AO1424">
            <v>0</v>
          </cell>
          <cell r="AP1424">
            <v>0</v>
          </cell>
          <cell r="AQ1424">
            <v>0</v>
          </cell>
          <cell r="AR1424">
            <v>0</v>
          </cell>
        </row>
        <row r="1425">
          <cell r="B1425" t="str">
            <v xml:space="preserve">            GY3-1240</v>
          </cell>
          <cell r="C1425" t="str">
            <v>Implementation of Securities for Fcilities &amp; Job Sites</v>
          </cell>
          <cell r="D1425">
            <v>0</v>
          </cell>
          <cell r="E1425">
            <v>1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>
            <v>0</v>
          </cell>
          <cell r="AM1425">
            <v>0</v>
          </cell>
          <cell r="AN1425">
            <v>0</v>
          </cell>
          <cell r="AO1425">
            <v>0</v>
          </cell>
          <cell r="AP1425">
            <v>0</v>
          </cell>
          <cell r="AQ1425">
            <v>0</v>
          </cell>
          <cell r="AR1425">
            <v>0</v>
          </cell>
        </row>
        <row r="1426">
          <cell r="B1426" t="str">
            <v xml:space="preserve">          WORKSHOP FOR APPROVAL OF MANUALS &amp; PROCEDDURES</v>
          </cell>
          <cell r="G1426">
            <v>0</v>
          </cell>
        </row>
        <row r="1427">
          <cell r="B1427" t="str">
            <v xml:space="preserve">        INVOICES &amp; CORE CONSULTANCY EXPENSES</v>
          </cell>
          <cell r="D1427">
            <v>201199940</v>
          </cell>
          <cell r="F1427">
            <v>0.23160416357720703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1.8528333086176563E-2</v>
          </cell>
          <cell r="AG1427">
            <v>1.8528333086176563E-2</v>
          </cell>
          <cell r="AH1427">
            <v>1.8528333086176563E-2</v>
          </cell>
          <cell r="AI1427">
            <v>1.8528333086176563E-2</v>
          </cell>
          <cell r="AJ1427">
            <v>2.0844374721948632E-2</v>
          </cell>
          <cell r="AK1427">
            <v>1.8528333086176563E-2</v>
          </cell>
          <cell r="AL1427">
            <v>1.8528333086176563E-2</v>
          </cell>
          <cell r="AM1427">
            <v>2.0844374721948632E-2</v>
          </cell>
          <cell r="AN1427">
            <v>1.8528333086176563E-2</v>
          </cell>
          <cell r="AO1427">
            <v>2.0844374721948632E-2</v>
          </cell>
          <cell r="AP1427">
            <v>1.8528333086176563E-2</v>
          </cell>
          <cell r="AQ1427">
            <v>2.0844374721948632E-2</v>
          </cell>
          <cell r="AR1427">
            <v>0</v>
          </cell>
        </row>
        <row r="1428">
          <cell r="B1428" t="str">
            <v xml:space="preserve">          INVOICES FOR YEAR 1</v>
          </cell>
          <cell r="D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>
            <v>0</v>
          </cell>
          <cell r="AM1428">
            <v>0</v>
          </cell>
          <cell r="AN1428">
            <v>0</v>
          </cell>
          <cell r="AO1428">
            <v>0</v>
          </cell>
          <cell r="AP1428">
            <v>0</v>
          </cell>
          <cell r="AQ1428">
            <v>0</v>
          </cell>
          <cell r="AR1428">
            <v>0</v>
          </cell>
        </row>
        <row r="1429">
          <cell r="B1429" t="str">
            <v xml:space="preserve">            D+1 MONTH</v>
          </cell>
          <cell r="G1429">
            <v>0</v>
          </cell>
        </row>
        <row r="1430">
          <cell r="B1430" t="str">
            <v xml:space="preserve">            D+2 MONTH</v>
          </cell>
          <cell r="G1430">
            <v>0</v>
          </cell>
        </row>
        <row r="1431">
          <cell r="B1431" t="str">
            <v xml:space="preserve">            D+3 MONTH</v>
          </cell>
          <cell r="G1431">
            <v>0</v>
          </cell>
        </row>
        <row r="1432">
          <cell r="B1432" t="str">
            <v xml:space="preserve">            D+4 MONTH</v>
          </cell>
          <cell r="G1432">
            <v>0</v>
          </cell>
        </row>
        <row r="1433">
          <cell r="B1433" t="str">
            <v xml:space="preserve">            D+5 MONTH</v>
          </cell>
          <cell r="G1433">
            <v>0</v>
          </cell>
        </row>
        <row r="1434">
          <cell r="B1434" t="str">
            <v xml:space="preserve">            D+6 MONTH</v>
          </cell>
          <cell r="G1434">
            <v>0</v>
          </cell>
        </row>
        <row r="1435">
          <cell r="B1435" t="str">
            <v xml:space="preserve">            D+7 MONTH</v>
          </cell>
          <cell r="G1435">
            <v>0</v>
          </cell>
        </row>
        <row r="1436">
          <cell r="B1436" t="str">
            <v xml:space="preserve">            D+8 MONTH</v>
          </cell>
          <cell r="G1436">
            <v>0</v>
          </cell>
        </row>
        <row r="1437">
          <cell r="B1437" t="str">
            <v xml:space="preserve">            D+9 MONTH</v>
          </cell>
          <cell r="G1437">
            <v>0</v>
          </cell>
        </row>
        <row r="1438">
          <cell r="B1438" t="str">
            <v xml:space="preserve">            D+10 MONTH</v>
          </cell>
          <cell r="G1438">
            <v>0</v>
          </cell>
        </row>
        <row r="1439">
          <cell r="B1439" t="str">
            <v xml:space="preserve">            D+11 MONTH</v>
          </cell>
          <cell r="G1439">
            <v>0</v>
          </cell>
        </row>
        <row r="1440">
          <cell r="B1440" t="str">
            <v xml:space="preserve">            D+12 MONTH</v>
          </cell>
          <cell r="G1440">
            <v>0</v>
          </cell>
        </row>
        <row r="1441">
          <cell r="B1441" t="str">
            <v xml:space="preserve">          INVOICES FOR YEAR 2</v>
          </cell>
          <cell r="G1441">
            <v>0</v>
          </cell>
        </row>
        <row r="1442">
          <cell r="B1442" t="str">
            <v xml:space="preserve">          INVOICES FOR YEAR 3</v>
          </cell>
          <cell r="D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>
            <v>0</v>
          </cell>
          <cell r="AM1442">
            <v>0</v>
          </cell>
          <cell r="AN1442">
            <v>0</v>
          </cell>
          <cell r="AO1442">
            <v>0</v>
          </cell>
          <cell r="AP1442">
            <v>0</v>
          </cell>
          <cell r="AQ1442">
            <v>0</v>
          </cell>
          <cell r="AR1442">
            <v>0</v>
          </cell>
        </row>
        <row r="1443">
          <cell r="B1443" t="str">
            <v xml:space="preserve">            GY3-3770</v>
          </cell>
          <cell r="C1443" t="str">
            <v>Preparation of Monthly Invoice for Year 3</v>
          </cell>
          <cell r="D1443">
            <v>0</v>
          </cell>
          <cell r="E1443">
            <v>1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>
            <v>0</v>
          </cell>
          <cell r="AM1443">
            <v>0</v>
          </cell>
          <cell r="AN1443">
            <v>0</v>
          </cell>
          <cell r="AO1443">
            <v>0</v>
          </cell>
          <cell r="AP1443">
            <v>0</v>
          </cell>
          <cell r="AQ1443">
            <v>0</v>
          </cell>
          <cell r="AR1443">
            <v>0</v>
          </cell>
        </row>
        <row r="1444">
          <cell r="B1444" t="str">
            <v xml:space="preserve">            GY3-3780</v>
          </cell>
          <cell r="C1444" t="str">
            <v>Submission of invoice for Year 3</v>
          </cell>
          <cell r="D1444">
            <v>0</v>
          </cell>
          <cell r="E1444">
            <v>1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>
            <v>0</v>
          </cell>
          <cell r="AM1444">
            <v>0</v>
          </cell>
          <cell r="AN1444">
            <v>0</v>
          </cell>
          <cell r="AO1444">
            <v>0</v>
          </cell>
          <cell r="AP1444">
            <v>0</v>
          </cell>
          <cell r="AQ1444">
            <v>0</v>
          </cell>
          <cell r="AR1444">
            <v>0</v>
          </cell>
        </row>
        <row r="1445">
          <cell r="B1445" t="str">
            <v xml:space="preserve">            GY3-3790</v>
          </cell>
          <cell r="C1445" t="str">
            <v>Receipt of Payment for Year 3</v>
          </cell>
          <cell r="D1445">
            <v>0</v>
          </cell>
          <cell r="E1445">
            <v>1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>
            <v>0</v>
          </cell>
          <cell r="AM1445">
            <v>0</v>
          </cell>
          <cell r="AN1445">
            <v>0</v>
          </cell>
          <cell r="AO1445">
            <v>0</v>
          </cell>
          <cell r="AP1445">
            <v>0</v>
          </cell>
          <cell r="AQ1445">
            <v>0</v>
          </cell>
          <cell r="AR1445">
            <v>0</v>
          </cell>
        </row>
        <row r="1446">
          <cell r="B1446" t="str">
            <v xml:space="preserve">        CORE CONSULTANCY EXPENSES</v>
          </cell>
          <cell r="D1446">
            <v>201199940</v>
          </cell>
          <cell r="F1446">
            <v>0.23160416357720703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1.8528333086176563E-2</v>
          </cell>
          <cell r="AG1446">
            <v>1.8528333086176563E-2</v>
          </cell>
          <cell r="AH1446">
            <v>1.8528333086176563E-2</v>
          </cell>
          <cell r="AI1446">
            <v>1.8528333086176563E-2</v>
          </cell>
          <cell r="AJ1446">
            <v>2.0844374721948632E-2</v>
          </cell>
          <cell r="AK1446">
            <v>1.8528333086176563E-2</v>
          </cell>
          <cell r="AL1446">
            <v>1.8528333086176563E-2</v>
          </cell>
          <cell r="AM1446">
            <v>2.0844374721948632E-2</v>
          </cell>
          <cell r="AN1446">
            <v>1.8528333086176563E-2</v>
          </cell>
          <cell r="AO1446">
            <v>2.0844374721948632E-2</v>
          </cell>
          <cell r="AP1446">
            <v>1.8528333086176563E-2</v>
          </cell>
          <cell r="AQ1446">
            <v>2.0844374721948632E-2</v>
          </cell>
          <cell r="AR1446">
            <v>0</v>
          </cell>
        </row>
        <row r="1447">
          <cell r="B1447" t="str">
            <v xml:space="preserve">          GY3-1000</v>
          </cell>
          <cell r="C1447" t="str">
            <v>Core Consultancy Expenses</v>
          </cell>
          <cell r="D1447">
            <v>201199940</v>
          </cell>
          <cell r="E1447">
            <v>1</v>
          </cell>
          <cell r="F1447">
            <v>0.23160416357720703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1.8528333086176563E-2</v>
          </cell>
          <cell r="AG1447">
            <v>1.8528333086176563E-2</v>
          </cell>
          <cell r="AH1447">
            <v>1.8528333086176563E-2</v>
          </cell>
          <cell r="AI1447">
            <v>1.8528333086176563E-2</v>
          </cell>
          <cell r="AJ1447">
            <v>2.0844374721948632E-2</v>
          </cell>
          <cell r="AK1447">
            <v>1.8528333086176563E-2</v>
          </cell>
          <cell r="AL1447">
            <v>1.8528333086176563E-2</v>
          </cell>
          <cell r="AM1447">
            <v>2.0844374721948632E-2</v>
          </cell>
          <cell r="AN1447">
            <v>1.8528333086176563E-2</v>
          </cell>
          <cell r="AO1447">
            <v>2.0844374721948632E-2</v>
          </cell>
          <cell r="AP1447">
            <v>1.8528333086176563E-2</v>
          </cell>
          <cell r="AQ1447">
            <v>2.0844374721948632E-2</v>
          </cell>
          <cell r="AR1447">
            <v>0</v>
          </cell>
        </row>
        <row r="1448">
          <cell r="B1448" t="str">
            <v xml:space="preserve">  PRE-OPERATIVE SERVICES</v>
          </cell>
          <cell r="F1448">
            <v>3.4491983901775978</v>
          </cell>
          <cell r="G1448">
            <v>1.0369478450703509</v>
          </cell>
          <cell r="H1448">
            <v>6.6467755694409308E-3</v>
          </cell>
          <cell r="I1448">
            <v>1.7397212086931402E-2</v>
          </cell>
          <cell r="J1448">
            <v>4.3926515755722505E-2</v>
          </cell>
          <cell r="K1448">
            <v>7.559984497404007E-2</v>
          </cell>
          <cell r="L1448">
            <v>0.10958509552897301</v>
          </cell>
          <cell r="M1448">
            <v>0.17281615904989184</v>
          </cell>
          <cell r="N1448">
            <v>0.15952260791100997</v>
          </cell>
          <cell r="O1448">
            <v>0.13646118739825641</v>
          </cell>
          <cell r="P1448">
            <v>8.1668639058212686E-2</v>
          </cell>
          <cell r="Q1448">
            <v>4.7394397760645572E-2</v>
          </cell>
          <cell r="R1448">
            <v>1.9998124166180943E-2</v>
          </cell>
          <cell r="S1448">
            <v>7.2247559035947774E-3</v>
          </cell>
          <cell r="T1448">
            <v>7.6197394254292075E-2</v>
          </cell>
          <cell r="U1448">
            <v>8.250913565315883E-2</v>
          </cell>
          <cell r="V1448">
            <v>8.250913565315883E-2</v>
          </cell>
          <cell r="W1448">
            <v>8.5809499421680341E-2</v>
          </cell>
          <cell r="X1448">
            <v>7.920876958240837E-2</v>
          </cell>
          <cell r="Y1448">
            <v>8.250913565315883E-2</v>
          </cell>
          <cell r="Z1448">
            <v>8.250913565315883E-2</v>
          </cell>
          <cell r="AA1448">
            <v>8.9109865492430801E-2</v>
          </cell>
          <cell r="AB1448">
            <v>8.250913565315883E-2</v>
          </cell>
          <cell r="AC1448">
            <v>8.5809499421680341E-2</v>
          </cell>
          <cell r="AD1448">
            <v>8.5809499421680341E-2</v>
          </cell>
          <cell r="AE1448">
            <v>8.250913565315883E-2</v>
          </cell>
          <cell r="AF1448">
            <v>9.5317485133567165E-2</v>
          </cell>
          <cell r="AG1448">
            <v>9.7552342809333531E-2</v>
          </cell>
          <cell r="AH1448">
            <v>0.11253764315177482</v>
          </cell>
          <cell r="AI1448">
            <v>0.13513687278443731</v>
          </cell>
          <cell r="AJ1448">
            <v>0.14411444911902047</v>
          </cell>
          <cell r="AK1448">
            <v>0.16988467106643507</v>
          </cell>
          <cell r="AL1448">
            <v>0.18404172612530215</v>
          </cell>
          <cell r="AM1448">
            <v>0.1688641539807596</v>
          </cell>
          <cell r="AN1448">
            <v>0.12844732525439823</v>
          </cell>
          <cell r="AO1448">
            <v>0.12449837409197176</v>
          </cell>
          <cell r="AP1448">
            <v>0.1061453720863707</v>
          </cell>
          <cell r="AQ1448">
            <v>9.6284832241579479E-2</v>
          </cell>
          <cell r="AR1448">
            <v>1.1132485656622703E-2</v>
          </cell>
        </row>
        <row r="1449">
          <cell r="B1449" t="str">
            <v xml:space="preserve">    PRE-OPERATIVE SERVICES FOR YEAR 1</v>
          </cell>
          <cell r="F1449">
            <v>0.87853030590553405</v>
          </cell>
          <cell r="G1449">
            <v>0.87853030590553416</v>
          </cell>
          <cell r="H1449">
            <v>6.6467755694409308E-3</v>
          </cell>
          <cell r="I1449">
            <v>1.7397212086931402E-2</v>
          </cell>
          <cell r="J1449">
            <v>4.3926515755722505E-2</v>
          </cell>
          <cell r="K1449">
            <v>7.559984497404007E-2</v>
          </cell>
          <cell r="L1449">
            <v>0.10958509552897301</v>
          </cell>
          <cell r="M1449">
            <v>0.17281615904989184</v>
          </cell>
          <cell r="N1449">
            <v>0.15952260791100997</v>
          </cell>
          <cell r="O1449">
            <v>0.13646118739825641</v>
          </cell>
          <cell r="P1449">
            <v>8.1668639058212686E-2</v>
          </cell>
          <cell r="Q1449">
            <v>4.7394397760645572E-2</v>
          </cell>
          <cell r="R1449">
            <v>1.9998124166180943E-2</v>
          </cell>
          <cell r="S1449">
            <v>7.2247559035947774E-3</v>
          </cell>
          <cell r="T1449">
            <v>2.8899074263416069E-4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>
            <v>0</v>
          </cell>
          <cell r="AM1449">
            <v>0</v>
          </cell>
          <cell r="AN1449">
            <v>0</v>
          </cell>
          <cell r="AO1449">
            <v>0</v>
          </cell>
          <cell r="AP1449">
            <v>0</v>
          </cell>
          <cell r="AQ1449">
            <v>0</v>
          </cell>
          <cell r="AR1449">
            <v>0</v>
          </cell>
        </row>
        <row r="1450">
          <cell r="B1450" t="str">
            <v xml:space="preserve">      PY1-1000</v>
          </cell>
          <cell r="C1450" t="str">
            <v>Pre-Operative Cost, Preliminary,  Consultancy Services</v>
          </cell>
          <cell r="F1450">
            <v>0.87853030590553405</v>
          </cell>
          <cell r="G1450">
            <v>0.87853030590553416</v>
          </cell>
          <cell r="H1450">
            <v>6.6467755694409308E-3</v>
          </cell>
          <cell r="I1450">
            <v>1.7397212086931402E-2</v>
          </cell>
          <cell r="J1450">
            <v>4.3926515755722505E-2</v>
          </cell>
          <cell r="K1450">
            <v>7.559984497404007E-2</v>
          </cell>
          <cell r="L1450">
            <v>0.10958509552897301</v>
          </cell>
          <cell r="M1450">
            <v>0.17281615904989184</v>
          </cell>
          <cell r="N1450">
            <v>0.15952260791100997</v>
          </cell>
          <cell r="O1450">
            <v>0.13646118739825641</v>
          </cell>
          <cell r="P1450">
            <v>8.1668639058212686E-2</v>
          </cell>
          <cell r="Q1450">
            <v>4.7394397760645572E-2</v>
          </cell>
          <cell r="R1450">
            <v>1.9998124166180943E-2</v>
          </cell>
          <cell r="S1450">
            <v>7.2247559035947774E-3</v>
          </cell>
          <cell r="T1450">
            <v>2.8899074263416069E-4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>
            <v>0</v>
          </cell>
          <cell r="AM1450">
            <v>0</v>
          </cell>
          <cell r="AN1450">
            <v>0</v>
          </cell>
          <cell r="AO1450">
            <v>0</v>
          </cell>
          <cell r="AP1450">
            <v>0</v>
          </cell>
          <cell r="AQ1450">
            <v>0</v>
          </cell>
          <cell r="AR1450">
            <v>0</v>
          </cell>
        </row>
        <row r="1451">
          <cell r="B1451" t="str">
            <v xml:space="preserve">    PRE-OPERATIVE SERVICES FOR YEAR 2</v>
          </cell>
          <cell r="F1451">
            <v>1.0033110817608775</v>
          </cell>
          <cell r="G1451">
            <v>0.15841753916481674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7.590840351165791E-2</v>
          </cell>
          <cell r="U1451">
            <v>8.250913565315883E-2</v>
          </cell>
          <cell r="V1451">
            <v>8.250913565315883E-2</v>
          </cell>
          <cell r="W1451">
            <v>8.5809499421680341E-2</v>
          </cell>
          <cell r="X1451">
            <v>7.920876958240837E-2</v>
          </cell>
          <cell r="Y1451">
            <v>8.250913565315883E-2</v>
          </cell>
          <cell r="Z1451">
            <v>8.250913565315883E-2</v>
          </cell>
          <cell r="AA1451">
            <v>8.9109865492430801E-2</v>
          </cell>
          <cell r="AB1451">
            <v>8.250913565315883E-2</v>
          </cell>
          <cell r="AC1451">
            <v>8.5809499421680341E-2</v>
          </cell>
          <cell r="AD1451">
            <v>8.5809499421680341E-2</v>
          </cell>
          <cell r="AE1451">
            <v>8.250913565315883E-2</v>
          </cell>
          <cell r="AF1451">
            <v>6.600730990386443E-3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>
            <v>0</v>
          </cell>
          <cell r="AM1451">
            <v>0</v>
          </cell>
          <cell r="AN1451">
            <v>0</v>
          </cell>
          <cell r="AO1451">
            <v>0</v>
          </cell>
          <cell r="AP1451">
            <v>0</v>
          </cell>
          <cell r="AQ1451">
            <v>0</v>
          </cell>
          <cell r="AR1451">
            <v>0</v>
          </cell>
        </row>
        <row r="1452">
          <cell r="B1452" t="str">
            <v xml:space="preserve">      PY2-1000</v>
          </cell>
          <cell r="C1452" t="str">
            <v>Pre-Operative Cost, Preliminary,  Consultancy Services</v>
          </cell>
          <cell r="F1452">
            <v>0.43926515525499604</v>
          </cell>
          <cell r="G1452">
            <v>6.9357656214064062E-2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3.3233876696090181E-2</v>
          </cell>
          <cell r="U1452">
            <v>3.6123779517973881E-2</v>
          </cell>
          <cell r="V1452">
            <v>3.6123779517973881E-2</v>
          </cell>
          <cell r="W1452">
            <v>3.7568729777801256E-2</v>
          </cell>
          <cell r="X1452">
            <v>3.4678828107032031E-2</v>
          </cell>
          <cell r="Y1452">
            <v>3.6123779517973881E-2</v>
          </cell>
          <cell r="Z1452">
            <v>3.6123779517973881E-2</v>
          </cell>
          <cell r="AA1452">
            <v>3.9013681188743106E-2</v>
          </cell>
          <cell r="AB1452">
            <v>3.6123779517973881E-2</v>
          </cell>
          <cell r="AC1452">
            <v>3.7568729777801256E-2</v>
          </cell>
          <cell r="AD1452">
            <v>3.7568729777801256E-2</v>
          </cell>
          <cell r="AE1452">
            <v>3.6123779517973881E-2</v>
          </cell>
          <cell r="AF1452">
            <v>2.889902821883701E-3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>
            <v>0</v>
          </cell>
          <cell r="AM1452">
            <v>0</v>
          </cell>
          <cell r="AN1452">
            <v>0</v>
          </cell>
          <cell r="AO1452">
            <v>0</v>
          </cell>
          <cell r="AP1452">
            <v>0</v>
          </cell>
          <cell r="AQ1452">
            <v>0</v>
          </cell>
          <cell r="AR1452">
            <v>0</v>
          </cell>
        </row>
        <row r="1453">
          <cell r="B1453" t="str">
            <v xml:space="preserve">      PY2-1010</v>
          </cell>
          <cell r="C1453" t="str">
            <v>Financing Cost (By Concessionaire) for Year 2</v>
          </cell>
          <cell r="F1453">
            <v>0.56404592650588148</v>
          </cell>
          <cell r="G1453">
            <v>8.9059882950752678E-2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4.2674526815567729E-2</v>
          </cell>
          <cell r="U1453">
            <v>4.6385356135184949E-2</v>
          </cell>
          <cell r="V1453">
            <v>4.6385356135184949E-2</v>
          </cell>
          <cell r="W1453">
            <v>4.8240769643879078E-2</v>
          </cell>
          <cell r="X1453">
            <v>4.4529941475376339E-2</v>
          </cell>
          <cell r="Y1453">
            <v>4.6385356135184949E-2</v>
          </cell>
          <cell r="Z1453">
            <v>4.6385356135184949E-2</v>
          </cell>
          <cell r="AA1453">
            <v>5.0096184303687695E-2</v>
          </cell>
          <cell r="AB1453">
            <v>4.6385356135184949E-2</v>
          </cell>
          <cell r="AC1453">
            <v>4.8240769643879078E-2</v>
          </cell>
          <cell r="AD1453">
            <v>4.8240769643879078E-2</v>
          </cell>
          <cell r="AE1453">
            <v>4.6385356135184949E-2</v>
          </cell>
          <cell r="AF1453">
            <v>3.7108281685027419E-3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>
            <v>0</v>
          </cell>
          <cell r="AM1453">
            <v>0</v>
          </cell>
          <cell r="AN1453">
            <v>0</v>
          </cell>
          <cell r="AO1453">
            <v>0</v>
          </cell>
          <cell r="AP1453">
            <v>0</v>
          </cell>
          <cell r="AQ1453">
            <v>0</v>
          </cell>
          <cell r="AR1453">
            <v>0</v>
          </cell>
        </row>
        <row r="1454">
          <cell r="B1454" t="str">
            <v xml:space="preserve">    PRE-OPERATIVE SERVICES FOR YEAR 3</v>
          </cell>
          <cell r="F1454">
            <v>1.5673570025111865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8.8716754143180726E-2</v>
          </cell>
          <cell r="AG1454">
            <v>9.7552342809333531E-2</v>
          </cell>
          <cell r="AH1454">
            <v>0.11253764315177482</v>
          </cell>
          <cell r="AI1454">
            <v>0.13513687278443731</v>
          </cell>
          <cell r="AJ1454">
            <v>0.14411444911902047</v>
          </cell>
          <cell r="AK1454">
            <v>0.16988467106643507</v>
          </cell>
          <cell r="AL1454">
            <v>0.18404172612530215</v>
          </cell>
          <cell r="AM1454">
            <v>0.1688641539807596</v>
          </cell>
          <cell r="AN1454">
            <v>0.12844732525439823</v>
          </cell>
          <cell r="AO1454">
            <v>0.12449837409197176</v>
          </cell>
          <cell r="AP1454">
            <v>0.1061453720863707</v>
          </cell>
          <cell r="AQ1454">
            <v>9.6284832241579479E-2</v>
          </cell>
          <cell r="AR1454">
            <v>1.1132485656622703E-2</v>
          </cell>
        </row>
        <row r="1455">
          <cell r="B1455" t="str">
            <v xml:space="preserve">      PY3-1000</v>
          </cell>
          <cell r="C1455" t="str">
            <v>Pre-Operative Cost, Preliminary,  Consultancy Services</v>
          </cell>
          <cell r="F1455">
            <v>0.43926515295276719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3.3676993609307909E-3</v>
          </cell>
          <cell r="AG1455">
            <v>8.4924598585808513E-3</v>
          </cell>
          <cell r="AH1455">
            <v>1.9766932032519405E-2</v>
          </cell>
          <cell r="AI1455">
            <v>3.865533349667917E-2</v>
          </cell>
          <cell r="AJ1455">
            <v>5.5054566168267788E-2</v>
          </cell>
          <cell r="AK1455">
            <v>8.0824788115682403E-2</v>
          </cell>
          <cell r="AL1455">
            <v>8.7560186837543991E-2</v>
          </cell>
          <cell r="AM1455">
            <v>6.8671785373384225E-2</v>
          </cell>
          <cell r="AN1455">
            <v>3.9387442303645534E-2</v>
          </cell>
          <cell r="AO1455">
            <v>2.4306005484596372E-2</v>
          </cell>
          <cell r="AP1455">
            <v>9.6638327986125535E-3</v>
          </cell>
          <cell r="AQ1455">
            <v>3.5141211223240635E-3</v>
          </cell>
          <cell r="AR1455">
            <v>0</v>
          </cell>
        </row>
        <row r="1456">
          <cell r="B1456" t="str">
            <v xml:space="preserve">      PY3-1010</v>
          </cell>
          <cell r="C1456" t="str">
            <v>Financing Cost (By Concessionaire) for Year 3</v>
          </cell>
          <cell r="F1456">
            <v>1.1280918495584193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8.5349054782249939E-2</v>
          </cell>
          <cell r="AG1456">
            <v>8.9059882950752678E-2</v>
          </cell>
          <cell r="AH1456">
            <v>9.2770711119255417E-2</v>
          </cell>
          <cell r="AI1456">
            <v>9.6481539287758156E-2</v>
          </cell>
          <cell r="AJ1456">
            <v>8.9059882950752678E-2</v>
          </cell>
          <cell r="AK1456">
            <v>8.9059882950752678E-2</v>
          </cell>
          <cell r="AL1456">
            <v>9.6481539287758156E-2</v>
          </cell>
          <cell r="AM1456">
            <v>0.10019236860737539</v>
          </cell>
          <cell r="AN1456">
            <v>8.9059882950752678E-2</v>
          </cell>
          <cell r="AO1456">
            <v>0.10019236860737539</v>
          </cell>
          <cell r="AP1456">
            <v>9.6481539287758156E-2</v>
          </cell>
          <cell r="AQ1456">
            <v>9.2770711119255417E-2</v>
          </cell>
          <cell r="AR1456">
            <v>1.1132485656622703E-2</v>
          </cell>
        </row>
        <row r="1457">
          <cell r="B1457" t="str">
            <v xml:space="preserve">  CONSTRUCTION</v>
          </cell>
          <cell r="D1457">
            <v>51036290686</v>
          </cell>
          <cell r="F1457">
            <v>95.788072296751167</v>
          </cell>
          <cell r="G1457">
            <v>6.1524672233309232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  <cell r="Q1457">
            <v>0</v>
          </cell>
          <cell r="R1457">
            <v>0.75868839016436662</v>
          </cell>
          <cell r="S1457">
            <v>1.5376165291790749</v>
          </cell>
          <cell r="T1457">
            <v>1.7518894809689671</v>
          </cell>
          <cell r="U1457">
            <v>2.1042728230185146</v>
          </cell>
          <cell r="V1457">
            <v>2.3821146524413601</v>
          </cell>
          <cell r="W1457">
            <v>2.8974929898689017</v>
          </cell>
          <cell r="X1457">
            <v>2.9342154317948261</v>
          </cell>
          <cell r="Y1457">
            <v>4.2317196961946077</v>
          </cell>
          <cell r="Z1457">
            <v>4.6082139539984119</v>
          </cell>
          <cell r="AA1457">
            <v>6.3115247763890245</v>
          </cell>
          <cell r="AB1457">
            <v>7.0795631445366798</v>
          </cell>
          <cell r="AC1457">
            <v>7.7107506684313734</v>
          </cell>
          <cell r="AD1457">
            <v>7.6888795566917878</v>
          </cell>
          <cell r="AE1457">
            <v>7.6307258922145031</v>
          </cell>
          <cell r="AF1457">
            <v>6.4963619433375532</v>
          </cell>
          <cell r="AG1457">
            <v>5.7524746821060972</v>
          </cell>
          <cell r="AH1457">
            <v>4.9316497011582499</v>
          </cell>
          <cell r="AI1457">
            <v>4.7736827243150843</v>
          </cell>
          <cell r="AJ1457">
            <v>3.7025008567358562</v>
          </cell>
          <cell r="AK1457">
            <v>3.020081617848895</v>
          </cell>
          <cell r="AL1457">
            <v>2.8477501320959315</v>
          </cell>
          <cell r="AM1457">
            <v>2.4625880455964162</v>
          </cell>
          <cell r="AN1457">
            <v>1.6419696309902378</v>
          </cell>
          <cell r="AO1457">
            <v>0.49175124314550034</v>
          </cell>
          <cell r="AP1457">
            <v>3.9593733528954407E-2</v>
          </cell>
          <cell r="AQ1457">
            <v>0</v>
          </cell>
          <cell r="AR1457">
            <v>0</v>
          </cell>
        </row>
        <row r="1458">
          <cell r="B1458" t="str">
            <v xml:space="preserve">    TRUNK INFRASTRUCTURES</v>
          </cell>
          <cell r="D1458">
            <v>2978999107</v>
          </cell>
          <cell r="F1458">
            <v>9.6016731878417758</v>
          </cell>
          <cell r="G1458">
            <v>1.0161891715118365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  <cell r="Q1458">
            <v>0</v>
          </cell>
          <cell r="R1458">
            <v>0.3494903392763789</v>
          </cell>
          <cell r="S1458">
            <v>0.19230800695376604</v>
          </cell>
          <cell r="T1458">
            <v>0.23235469021579525</v>
          </cell>
          <cell r="U1458">
            <v>0.24203613506589616</v>
          </cell>
          <cell r="V1458">
            <v>0.31253353044306698</v>
          </cell>
          <cell r="W1458">
            <v>0.44044363747803383</v>
          </cell>
          <cell r="X1458">
            <v>0.42327976780660581</v>
          </cell>
          <cell r="Y1458">
            <v>0.45849886688866048</v>
          </cell>
          <cell r="Z1458">
            <v>0.495861566744139</v>
          </cell>
          <cell r="AA1458">
            <v>0.56102345328309844</v>
          </cell>
          <cell r="AB1458">
            <v>0.75784930713799736</v>
          </cell>
          <cell r="AC1458">
            <v>0.78816327030669053</v>
          </cell>
          <cell r="AD1458">
            <v>0.76925414993307073</v>
          </cell>
          <cell r="AE1458">
            <v>0.63966729616951501</v>
          </cell>
          <cell r="AF1458">
            <v>0.58582105256485562</v>
          </cell>
          <cell r="AG1458">
            <v>0.42726711209016238</v>
          </cell>
          <cell r="AH1458">
            <v>0.49576784645681704</v>
          </cell>
          <cell r="AI1458">
            <v>0.61481811429695754</v>
          </cell>
          <cell r="AJ1458">
            <v>0.31742510507678245</v>
          </cell>
          <cell r="AK1458">
            <v>5.772138876020487E-2</v>
          </cell>
          <cell r="AL1458">
            <v>0.14732108799576207</v>
          </cell>
          <cell r="AM1458">
            <v>0.20801898597770874</v>
          </cell>
          <cell r="AN1458">
            <v>8.474847691981062E-2</v>
          </cell>
          <cell r="AO1458">
            <v>0</v>
          </cell>
          <cell r="AP1458">
            <v>0</v>
          </cell>
          <cell r="AQ1458">
            <v>0</v>
          </cell>
          <cell r="AR1458">
            <v>0</v>
          </cell>
        </row>
        <row r="1459">
          <cell r="B1459" t="str">
            <v xml:space="preserve">      CTI-1000</v>
          </cell>
          <cell r="C1459" t="str">
            <v>Mobilization for Trunk Infrastructure</v>
          </cell>
          <cell r="D1459">
            <v>297899911</v>
          </cell>
          <cell r="E1459">
            <v>1</v>
          </cell>
          <cell r="F1459">
            <v>0.34291690005911252</v>
          </cell>
          <cell r="G1459">
            <v>0.34291690005911252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0.34291690005911252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>
            <v>0</v>
          </cell>
          <cell r="AM1459">
            <v>0</v>
          </cell>
          <cell r="AN1459">
            <v>0</v>
          </cell>
          <cell r="AO1459">
            <v>0</v>
          </cell>
          <cell r="AP1459">
            <v>0</v>
          </cell>
          <cell r="AQ1459">
            <v>0</v>
          </cell>
          <cell r="AR1459">
            <v>0</v>
          </cell>
        </row>
        <row r="1460">
          <cell r="B1460" t="str">
            <v xml:space="preserve">      EXTERNAL DEVELOPMENT WORKS</v>
          </cell>
          <cell r="D1460">
            <v>1476359557</v>
          </cell>
          <cell r="F1460">
            <v>5.0983765889485504</v>
          </cell>
          <cell r="G1460">
            <v>0.18026447519816985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2.7972074868914724E-2</v>
          </cell>
          <cell r="T1460">
            <v>7.4592197348210307E-2</v>
          </cell>
          <cell r="U1460">
            <v>7.7700202981044839E-2</v>
          </cell>
          <cell r="V1460">
            <v>0.12742833454651839</v>
          </cell>
          <cell r="W1460">
            <v>0.21010135206544794</v>
          </cell>
          <cell r="X1460">
            <v>0.19393971172400942</v>
          </cell>
          <cell r="Y1460">
            <v>0.21960297441650942</v>
          </cell>
          <cell r="Z1460">
            <v>0.25696567427198791</v>
          </cell>
          <cell r="AA1460">
            <v>0.27752292697054337</v>
          </cell>
          <cell r="AB1460">
            <v>0.48146376645257111</v>
          </cell>
          <cell r="AC1460">
            <v>0.50072231338106299</v>
          </cell>
          <cell r="AD1460">
            <v>0.50072231338106299</v>
          </cell>
          <cell r="AE1460">
            <v>0.48146376645257111</v>
          </cell>
          <cell r="AF1460">
            <v>0.42761752284791171</v>
          </cell>
          <cell r="AG1460">
            <v>0.27539172370003001</v>
          </cell>
          <cell r="AH1460">
            <v>0.33756431673987319</v>
          </cell>
          <cell r="AI1460">
            <v>0.45028644670654566</v>
          </cell>
          <cell r="AJ1460">
            <v>0.17731897009373443</v>
          </cell>
          <cell r="AK1460">
            <v>0</v>
          </cell>
          <cell r="AL1460">
            <v>0</v>
          </cell>
          <cell r="AM1460">
            <v>0</v>
          </cell>
          <cell r="AN1460">
            <v>0</v>
          </cell>
          <cell r="AO1460">
            <v>0</v>
          </cell>
          <cell r="AP1460">
            <v>0</v>
          </cell>
          <cell r="AQ1460">
            <v>0</v>
          </cell>
          <cell r="AR1460">
            <v>0</v>
          </cell>
        </row>
        <row r="1461">
          <cell r="B1461" t="str">
            <v xml:space="preserve">        CTI-1050</v>
          </cell>
          <cell r="C1461" t="str">
            <v>Entrance Gate , Gate Facade and Boundary wall</v>
          </cell>
          <cell r="D1461">
            <v>188999943</v>
          </cell>
          <cell r="E1461">
            <v>3</v>
          </cell>
          <cell r="F1461">
            <v>0.65268171471013814</v>
          </cell>
          <cell r="G1461">
            <v>0.18026447519816985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2.7972074868914724E-2</v>
          </cell>
          <cell r="T1461">
            <v>7.4592197348210307E-2</v>
          </cell>
          <cell r="U1461">
            <v>7.7700202981044839E-2</v>
          </cell>
          <cell r="V1461">
            <v>7.7700202981044839E-2</v>
          </cell>
          <cell r="W1461">
            <v>8.0808212067222787E-2</v>
          </cell>
          <cell r="X1461">
            <v>7.4592197348210307E-2</v>
          </cell>
          <cell r="Y1461">
            <v>7.7700202981044839E-2</v>
          </cell>
          <cell r="Z1461">
            <v>7.7700202981044839E-2</v>
          </cell>
          <cell r="AA1461">
            <v>8.3916221153400736E-2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>
            <v>0</v>
          </cell>
          <cell r="AM1461">
            <v>0</v>
          </cell>
          <cell r="AN1461">
            <v>0</v>
          </cell>
          <cell r="AO1461">
            <v>0</v>
          </cell>
          <cell r="AP1461">
            <v>0</v>
          </cell>
          <cell r="AQ1461">
            <v>0</v>
          </cell>
          <cell r="AR1461">
            <v>0</v>
          </cell>
        </row>
        <row r="1462">
          <cell r="B1462" t="str">
            <v xml:space="preserve">        CTI-1060</v>
          </cell>
          <cell r="C1462" t="str">
            <v>Internal Roads and Walkways</v>
          </cell>
          <cell r="D1462">
            <v>431999870</v>
          </cell>
          <cell r="E1462">
            <v>3</v>
          </cell>
          <cell r="F1462">
            <v>1.4918439158841152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4.9728131565473545E-2</v>
          </cell>
          <cell r="W1462">
            <v>0.12929313999822514</v>
          </cell>
          <cell r="X1462">
            <v>0.11934751437579913</v>
          </cell>
          <cell r="Y1462">
            <v>0.12432032546034041</v>
          </cell>
          <cell r="Z1462">
            <v>0.12432032546034041</v>
          </cell>
          <cell r="AA1462">
            <v>0.13426595108276645</v>
          </cell>
          <cell r="AB1462">
            <v>0.12432032546034041</v>
          </cell>
          <cell r="AC1462">
            <v>0.12929313999822514</v>
          </cell>
          <cell r="AD1462">
            <v>0.12929313999822514</v>
          </cell>
          <cell r="AE1462">
            <v>0.12432032546034041</v>
          </cell>
          <cell r="AF1462">
            <v>0.12432032546034041</v>
          </cell>
          <cell r="AG1462">
            <v>0.11934751437579913</v>
          </cell>
          <cell r="AH1462">
            <v>5.9673757187899565E-2</v>
          </cell>
          <cell r="AI1462">
            <v>0</v>
          </cell>
          <cell r="AJ1462">
            <v>0</v>
          </cell>
          <cell r="AK1462">
            <v>0</v>
          </cell>
          <cell r="AL1462">
            <v>0</v>
          </cell>
          <cell r="AM1462">
            <v>0</v>
          </cell>
          <cell r="AN1462">
            <v>0</v>
          </cell>
          <cell r="AO1462">
            <v>0</v>
          </cell>
          <cell r="AP1462">
            <v>0</v>
          </cell>
          <cell r="AQ1462">
            <v>0</v>
          </cell>
          <cell r="AR1462">
            <v>0</v>
          </cell>
        </row>
        <row r="1463">
          <cell r="B1463" t="str">
            <v xml:space="preserve">        CTI-1070</v>
          </cell>
          <cell r="C1463" t="str">
            <v>Common Parking and Parking Signage</v>
          </cell>
          <cell r="D1463">
            <v>187109944</v>
          </cell>
          <cell r="E1463">
            <v>3</v>
          </cell>
          <cell r="F1463">
            <v>0.64615489562916451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0.16800027134411166</v>
          </cell>
          <cell r="AI1463">
            <v>0.33600054614156677</v>
          </cell>
          <cell r="AJ1463">
            <v>0.14215407814348607</v>
          </cell>
          <cell r="AK1463">
            <v>0</v>
          </cell>
          <cell r="AL1463">
            <v>0</v>
          </cell>
          <cell r="AM1463">
            <v>0</v>
          </cell>
          <cell r="AN1463">
            <v>0</v>
          </cell>
          <cell r="AO1463">
            <v>0</v>
          </cell>
          <cell r="AP1463">
            <v>0</v>
          </cell>
          <cell r="AQ1463">
            <v>0</v>
          </cell>
          <cell r="AR1463">
            <v>0</v>
          </cell>
        </row>
        <row r="1464">
          <cell r="B1464" t="str">
            <v xml:space="preserve">        CTI-1080</v>
          </cell>
          <cell r="C1464" t="str">
            <v>Waterbodies</v>
          </cell>
          <cell r="D1464">
            <v>133649960</v>
          </cell>
          <cell r="E1464">
            <v>3</v>
          </cell>
          <cell r="F1464">
            <v>0.46153921807037585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1.7582445975124178E-2</v>
          </cell>
          <cell r="Z1464">
            <v>5.4945145830602699E-2</v>
          </cell>
          <cell r="AA1464">
            <v>5.9340754734376167E-2</v>
          </cell>
          <cell r="AB1464">
            <v>5.4945145830602699E-2</v>
          </cell>
          <cell r="AC1464">
            <v>5.7142950282489439E-2</v>
          </cell>
          <cell r="AD1464">
            <v>5.7142950282489439E-2</v>
          </cell>
          <cell r="AE1464">
            <v>5.4945145830602699E-2</v>
          </cell>
          <cell r="AF1464">
            <v>5.4945145830602699E-2</v>
          </cell>
          <cell r="AG1464">
            <v>5.05495334734858E-2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>
            <v>0</v>
          </cell>
          <cell r="AM1464">
            <v>0</v>
          </cell>
          <cell r="AN1464">
            <v>0</v>
          </cell>
          <cell r="AO1464">
            <v>0</v>
          </cell>
          <cell r="AP1464">
            <v>0</v>
          </cell>
          <cell r="AQ1464">
            <v>0</v>
          </cell>
          <cell r="AR1464">
            <v>0</v>
          </cell>
        </row>
        <row r="1465">
          <cell r="B1465" t="str">
            <v xml:space="preserve">        CTI-1090</v>
          </cell>
          <cell r="C1465" t="str">
            <v>Landscape</v>
          </cell>
          <cell r="D1465">
            <v>267299920</v>
          </cell>
          <cell r="E1465">
            <v>3</v>
          </cell>
          <cell r="F1465">
            <v>0.92307842232737802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0.10989028820786197</v>
          </cell>
          <cell r="AC1465">
            <v>0.11428590056497888</v>
          </cell>
          <cell r="AD1465">
            <v>0.11428590056497888</v>
          </cell>
          <cell r="AE1465">
            <v>0.10989028820786197</v>
          </cell>
          <cell r="AF1465">
            <v>0.10989028820786197</v>
          </cell>
          <cell r="AG1465">
            <v>0.10549467585074507</v>
          </cell>
          <cell r="AH1465">
            <v>0.10989028820786197</v>
          </cell>
          <cell r="AI1465">
            <v>0.11428590056497888</v>
          </cell>
          <cell r="AJ1465">
            <v>3.5164891950248356E-2</v>
          </cell>
          <cell r="AK1465">
            <v>0</v>
          </cell>
          <cell r="AL1465">
            <v>0</v>
          </cell>
          <cell r="AM1465">
            <v>0</v>
          </cell>
          <cell r="AN1465">
            <v>0</v>
          </cell>
          <cell r="AO1465">
            <v>0</v>
          </cell>
          <cell r="AP1465">
            <v>0</v>
          </cell>
          <cell r="AQ1465">
            <v>0</v>
          </cell>
          <cell r="AR1465">
            <v>0</v>
          </cell>
        </row>
        <row r="1466">
          <cell r="B1466" t="str">
            <v xml:space="preserve">        CTI-1100</v>
          </cell>
          <cell r="C1466" t="str">
            <v>Plantation</v>
          </cell>
          <cell r="D1466">
            <v>133649960</v>
          </cell>
          <cell r="E1466">
            <v>3</v>
          </cell>
          <cell r="F1466">
            <v>0.4615392111636889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9.6154003476883007E-2</v>
          </cell>
          <cell r="AC1466">
            <v>0.1000001612676848</v>
          </cell>
          <cell r="AD1466">
            <v>0.1000001612676848</v>
          </cell>
          <cell r="AE1466">
            <v>9.6154003476883007E-2</v>
          </cell>
          <cell r="AF1466">
            <v>6.9230881674553338E-2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>
            <v>0</v>
          </cell>
          <cell r="AM1466">
            <v>0</v>
          </cell>
          <cell r="AN1466">
            <v>0</v>
          </cell>
          <cell r="AO1466">
            <v>0</v>
          </cell>
          <cell r="AP1466">
            <v>0</v>
          </cell>
          <cell r="AQ1466">
            <v>0</v>
          </cell>
          <cell r="AR1466">
            <v>0</v>
          </cell>
        </row>
        <row r="1467">
          <cell r="B1467" t="str">
            <v xml:space="preserve">        CTI-1110</v>
          </cell>
          <cell r="C1467" t="str">
            <v>Specialized/ Misc. Finishes</v>
          </cell>
          <cell r="D1467">
            <v>133649960</v>
          </cell>
          <cell r="E1467">
            <v>3</v>
          </cell>
          <cell r="F1467">
            <v>0.4615392111636889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9.6154003476883007E-2</v>
          </cell>
          <cell r="AC1467">
            <v>0.1000001612676848</v>
          </cell>
          <cell r="AD1467">
            <v>0.1000001612676848</v>
          </cell>
          <cell r="AE1467">
            <v>9.6154003476883007E-2</v>
          </cell>
          <cell r="AF1467">
            <v>6.9230881674553338E-2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>
            <v>0</v>
          </cell>
          <cell r="AM1467">
            <v>0</v>
          </cell>
          <cell r="AN1467">
            <v>0</v>
          </cell>
          <cell r="AO1467">
            <v>0</v>
          </cell>
          <cell r="AP1467">
            <v>0</v>
          </cell>
          <cell r="AQ1467">
            <v>0</v>
          </cell>
          <cell r="AR1467">
            <v>0</v>
          </cell>
        </row>
        <row r="1468">
          <cell r="B1468" t="str">
            <v xml:space="preserve">      MEP WORKS</v>
          </cell>
          <cell r="D1468">
            <v>1084265675</v>
          </cell>
          <cell r="F1468">
            <v>3.7443417268786963</v>
          </cell>
          <cell r="G1468">
            <v>0.49300779625455393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6.5734392172663711E-3</v>
          </cell>
          <cell r="S1468">
            <v>0.16433593208485131</v>
          </cell>
          <cell r="T1468">
            <v>0.15776249286758492</v>
          </cell>
          <cell r="U1468">
            <v>0.16433593208485131</v>
          </cell>
          <cell r="V1468">
            <v>0.18510519589654861</v>
          </cell>
          <cell r="W1468">
            <v>0.23034228541258586</v>
          </cell>
          <cell r="X1468">
            <v>0.22934005608259636</v>
          </cell>
          <cell r="Y1468">
            <v>0.23889589247215109</v>
          </cell>
          <cell r="Z1468">
            <v>0.23889589247215109</v>
          </cell>
          <cell r="AA1468">
            <v>0.28350052631255512</v>
          </cell>
          <cell r="AB1468">
            <v>0.27638554068542626</v>
          </cell>
          <cell r="AC1468">
            <v>0.28744095692562754</v>
          </cell>
          <cell r="AD1468">
            <v>0.26853183655200774</v>
          </cell>
          <cell r="AE1468">
            <v>0.15820352971694387</v>
          </cell>
          <cell r="AF1468">
            <v>0.15820352971694387</v>
          </cell>
          <cell r="AG1468">
            <v>0.15187538839013237</v>
          </cell>
          <cell r="AH1468">
            <v>0.15820352971694387</v>
          </cell>
          <cell r="AI1468">
            <v>0.16453166759041193</v>
          </cell>
          <cell r="AJ1468">
            <v>0.140106134983048</v>
          </cell>
          <cell r="AK1468">
            <v>5.772138876020487E-2</v>
          </cell>
          <cell r="AL1468">
            <v>2.405057893786398E-2</v>
          </cell>
          <cell r="AM1468">
            <v>0</v>
          </cell>
          <cell r="AN1468">
            <v>0</v>
          </cell>
          <cell r="AO1468">
            <v>0</v>
          </cell>
          <cell r="AP1468">
            <v>0</v>
          </cell>
          <cell r="AQ1468">
            <v>0</v>
          </cell>
          <cell r="AR1468">
            <v>0</v>
          </cell>
        </row>
        <row r="1469">
          <cell r="B1469" t="str">
            <v xml:space="preserve">        CTI-1120</v>
          </cell>
          <cell r="C1469" t="str">
            <v>Street Lights, Facade Lightings &amp; Other Electrical Works</v>
          </cell>
          <cell r="D1469">
            <v>120284964</v>
          </cell>
          <cell r="E1469">
            <v>3</v>
          </cell>
          <cell r="F1469">
            <v>0.41538529004732005</v>
          </cell>
          <cell r="G1469">
            <v>6.9230881674553338E-2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9.2307869859485224E-4</v>
          </cell>
          <cell r="S1469">
            <v>2.3076960558184447E-2</v>
          </cell>
          <cell r="T1469">
            <v>2.2153881859589594E-2</v>
          </cell>
          <cell r="U1469">
            <v>2.3076960558184447E-2</v>
          </cell>
          <cell r="V1469">
            <v>2.3076960558184447E-2</v>
          </cell>
          <cell r="W1469">
            <v>2.40000392567793E-2</v>
          </cell>
          <cell r="X1469">
            <v>2.2153881859589594E-2</v>
          </cell>
          <cell r="Y1469">
            <v>2.3076960558184447E-2</v>
          </cell>
          <cell r="Z1469">
            <v>2.3076960558184447E-2</v>
          </cell>
          <cell r="AA1469">
            <v>2.4923117955374149E-2</v>
          </cell>
          <cell r="AB1469">
            <v>2.3076960558184447E-2</v>
          </cell>
          <cell r="AC1469">
            <v>2.40000392567793E-2</v>
          </cell>
          <cell r="AD1469">
            <v>2.40000392567793E-2</v>
          </cell>
          <cell r="AE1469">
            <v>2.3076960558184447E-2</v>
          </cell>
          <cell r="AF1469">
            <v>2.3076960558184447E-2</v>
          </cell>
          <cell r="AG1469">
            <v>2.2153881859589594E-2</v>
          </cell>
          <cell r="AH1469">
            <v>2.3076960558184447E-2</v>
          </cell>
          <cell r="AI1469">
            <v>2.40000392567793E-2</v>
          </cell>
          <cell r="AJ1469">
            <v>1.9384645763805039E-2</v>
          </cell>
          <cell r="AK1469">
            <v>0</v>
          </cell>
          <cell r="AL1469">
            <v>0</v>
          </cell>
          <cell r="AM1469">
            <v>0</v>
          </cell>
          <cell r="AN1469">
            <v>0</v>
          </cell>
          <cell r="AO1469">
            <v>0</v>
          </cell>
          <cell r="AP1469">
            <v>0</v>
          </cell>
          <cell r="AQ1469">
            <v>0</v>
          </cell>
          <cell r="AR1469">
            <v>0</v>
          </cell>
        </row>
        <row r="1470">
          <cell r="B1470" t="str">
            <v xml:space="preserve">        CTI-1130</v>
          </cell>
          <cell r="C1470" t="str">
            <v>Plumbing Works</v>
          </cell>
          <cell r="D1470">
            <v>97199971</v>
          </cell>
          <cell r="E1470">
            <v>3</v>
          </cell>
          <cell r="F1470">
            <v>0.33566488806694644</v>
          </cell>
          <cell r="G1470">
            <v>8.3916224606744166E-2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  <cell r="Q1470">
            <v>0</v>
          </cell>
          <cell r="R1470">
            <v>1.1188832710240632E-3</v>
          </cell>
          <cell r="S1470">
            <v>2.7972074868914724E-2</v>
          </cell>
          <cell r="T1470">
            <v>2.6853191597890663E-2</v>
          </cell>
          <cell r="U1470">
            <v>2.7972074868914724E-2</v>
          </cell>
          <cell r="V1470">
            <v>2.7972074868914724E-2</v>
          </cell>
          <cell r="W1470">
            <v>2.9090954686595356E-2</v>
          </cell>
          <cell r="X1470">
            <v>2.6853191597890663E-2</v>
          </cell>
          <cell r="Y1470">
            <v>2.7972074868914724E-2</v>
          </cell>
          <cell r="Z1470">
            <v>2.7972074868914724E-2</v>
          </cell>
          <cell r="AA1470">
            <v>3.0209837957619421E-2</v>
          </cell>
          <cell r="AB1470">
            <v>2.7972074868914724E-2</v>
          </cell>
          <cell r="AC1470">
            <v>2.9090954686595356E-2</v>
          </cell>
          <cell r="AD1470">
            <v>2.4615425055842535E-2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>
            <v>0</v>
          </cell>
          <cell r="AM1470">
            <v>0</v>
          </cell>
          <cell r="AN1470">
            <v>0</v>
          </cell>
          <cell r="AO1470">
            <v>0</v>
          </cell>
          <cell r="AP1470">
            <v>0</v>
          </cell>
          <cell r="AQ1470">
            <v>0</v>
          </cell>
          <cell r="AR1470">
            <v>0</v>
          </cell>
        </row>
        <row r="1471">
          <cell r="B1471" t="str">
            <v xml:space="preserve">        CTI-1140</v>
          </cell>
          <cell r="C1471" t="str">
            <v>Water supply &amp; Fire Fighting Lines</v>
          </cell>
          <cell r="D1471">
            <v>72899978</v>
          </cell>
          <cell r="E1471">
            <v>3</v>
          </cell>
          <cell r="F1471">
            <v>0.25174865310017192</v>
          </cell>
          <cell r="G1471">
            <v>6.2937163275042979E-2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O1471">
            <v>0</v>
          </cell>
          <cell r="P1471">
            <v>0</v>
          </cell>
          <cell r="Q1471">
            <v>0</v>
          </cell>
          <cell r="R1471">
            <v>8.391624532680474E-4</v>
          </cell>
          <cell r="S1471">
            <v>2.0979054425014326E-2</v>
          </cell>
          <cell r="T1471">
            <v>2.0139891971746281E-2</v>
          </cell>
          <cell r="U1471">
            <v>2.0979054425014326E-2</v>
          </cell>
          <cell r="V1471">
            <v>2.0979054425014326E-2</v>
          </cell>
          <cell r="W1471">
            <v>2.1818216878282375E-2</v>
          </cell>
          <cell r="X1471">
            <v>2.0139891971746281E-2</v>
          </cell>
          <cell r="Y1471">
            <v>2.0979054425014326E-2</v>
          </cell>
          <cell r="Z1471">
            <v>2.0979054425014326E-2</v>
          </cell>
          <cell r="AA1471">
            <v>2.2657379331550424E-2</v>
          </cell>
          <cell r="AB1471">
            <v>2.0979054425014326E-2</v>
          </cell>
          <cell r="AC1471">
            <v>2.1818216878282375E-2</v>
          </cell>
          <cell r="AD1471">
            <v>1.8461567065210186E-2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>
            <v>0</v>
          </cell>
          <cell r="AM1471">
            <v>0</v>
          </cell>
          <cell r="AN1471">
            <v>0</v>
          </cell>
          <cell r="AO1471">
            <v>0</v>
          </cell>
          <cell r="AP1471">
            <v>0</v>
          </cell>
          <cell r="AQ1471">
            <v>0</v>
          </cell>
          <cell r="AR1471">
            <v>0</v>
          </cell>
        </row>
        <row r="1472">
          <cell r="B1472" t="str">
            <v xml:space="preserve">        CTI-1150</v>
          </cell>
          <cell r="C1472" t="str">
            <v>Sewer and Storm water Lines</v>
          </cell>
          <cell r="D1472">
            <v>192455942</v>
          </cell>
          <cell r="E1472">
            <v>3</v>
          </cell>
          <cell r="F1472">
            <v>0.6646164592410313</v>
          </cell>
          <cell r="G1472">
            <v>0.16615411394692198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2.215388876627645E-3</v>
          </cell>
          <cell r="S1472">
            <v>5.5384704648973992E-2</v>
          </cell>
          <cell r="T1472">
            <v>5.3169315772346334E-2</v>
          </cell>
          <cell r="U1472">
            <v>5.5384704648973992E-2</v>
          </cell>
          <cell r="V1472">
            <v>5.5384704648973992E-2</v>
          </cell>
          <cell r="W1472">
            <v>5.760009352560163E-2</v>
          </cell>
          <cell r="X1472">
            <v>5.3169315772346334E-2</v>
          </cell>
          <cell r="Y1472">
            <v>5.5384704648973992E-2</v>
          </cell>
          <cell r="Z1472">
            <v>5.5384704648973992E-2</v>
          </cell>
          <cell r="AA1472">
            <v>5.9815482402229281E-2</v>
          </cell>
          <cell r="AB1472">
            <v>5.5384704648973992E-2</v>
          </cell>
          <cell r="AC1472">
            <v>5.760009352560163E-2</v>
          </cell>
          <cell r="AD1472">
            <v>4.8738541472434484E-2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>
            <v>0</v>
          </cell>
          <cell r="AM1472">
            <v>0</v>
          </cell>
          <cell r="AN1472">
            <v>0</v>
          </cell>
          <cell r="AO1472">
            <v>0</v>
          </cell>
          <cell r="AP1472">
            <v>0</v>
          </cell>
          <cell r="AQ1472">
            <v>0</v>
          </cell>
          <cell r="AR1472">
            <v>0</v>
          </cell>
        </row>
        <row r="1473">
          <cell r="B1473" t="str">
            <v xml:space="preserve">        CTI-1160</v>
          </cell>
          <cell r="C1473" t="str">
            <v>Elevators ,Escalators and Travellators</v>
          </cell>
          <cell r="D1473">
            <v>120284964</v>
          </cell>
          <cell r="E1473">
            <v>3</v>
          </cell>
          <cell r="F1473">
            <v>0.41538529004732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2.5492961061294592E-2</v>
          </cell>
          <cell r="AB1473">
            <v>3.7489648213275176E-2</v>
          </cell>
          <cell r="AC1473">
            <v>3.8989231517265174E-2</v>
          </cell>
          <cell r="AD1473">
            <v>3.8989231517265174E-2</v>
          </cell>
          <cell r="AE1473">
            <v>3.7489648213275176E-2</v>
          </cell>
          <cell r="AF1473">
            <v>3.7489648213275176E-2</v>
          </cell>
          <cell r="AG1473">
            <v>3.5990061455941739E-2</v>
          </cell>
          <cell r="AH1473">
            <v>3.7489648213275176E-2</v>
          </cell>
          <cell r="AI1473">
            <v>3.8989231517265174E-2</v>
          </cell>
          <cell r="AJ1473">
            <v>3.5990061455941739E-2</v>
          </cell>
          <cell r="AK1473">
            <v>3.5990061455941739E-2</v>
          </cell>
          <cell r="AL1473">
            <v>1.4995857213304011E-2</v>
          </cell>
          <cell r="AM1473">
            <v>0</v>
          </cell>
          <cell r="AN1473">
            <v>0</v>
          </cell>
          <cell r="AO1473">
            <v>0</v>
          </cell>
          <cell r="AP1473">
            <v>0</v>
          </cell>
          <cell r="AQ1473">
            <v>0</v>
          </cell>
          <cell r="AR1473">
            <v>0</v>
          </cell>
        </row>
        <row r="1474">
          <cell r="B1474" t="str">
            <v xml:space="preserve">        CTI-1170</v>
          </cell>
          <cell r="C1474" t="str">
            <v>Gas Bank &amp; Gas Lines</v>
          </cell>
          <cell r="D1474">
            <v>48113986</v>
          </cell>
          <cell r="E1474">
            <v>3</v>
          </cell>
          <cell r="F1474">
            <v>0.16615412430695226</v>
          </cell>
          <cell r="G1474">
            <v>4.1538531076738064E-2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  <cell r="Q1474">
            <v>0</v>
          </cell>
          <cell r="R1474">
            <v>5.5384721915691126E-4</v>
          </cell>
          <cell r="S1474">
            <v>1.3846177025579354E-2</v>
          </cell>
          <cell r="T1474">
            <v>1.3292329806422445E-2</v>
          </cell>
          <cell r="U1474">
            <v>1.3846177025579354E-2</v>
          </cell>
          <cell r="V1474">
            <v>1.3846177025579354E-2</v>
          </cell>
          <cell r="W1474">
            <v>1.4400024244736265E-2</v>
          </cell>
          <cell r="X1474">
            <v>1.3292329806422445E-2</v>
          </cell>
          <cell r="Y1474">
            <v>1.3846177025579354E-2</v>
          </cell>
          <cell r="Z1474">
            <v>1.3846177025579354E-2</v>
          </cell>
          <cell r="AA1474">
            <v>1.4953871463893178E-2</v>
          </cell>
          <cell r="AB1474">
            <v>1.3846177025579354E-2</v>
          </cell>
          <cell r="AC1474">
            <v>1.4400024244736265E-2</v>
          </cell>
          <cell r="AD1474">
            <v>1.2184635368108621E-2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>
            <v>0</v>
          </cell>
          <cell r="AM1474">
            <v>0</v>
          </cell>
          <cell r="AN1474">
            <v>0</v>
          </cell>
          <cell r="AO1474">
            <v>0</v>
          </cell>
          <cell r="AP1474">
            <v>0</v>
          </cell>
          <cell r="AQ1474">
            <v>0</v>
          </cell>
          <cell r="AR1474">
            <v>0</v>
          </cell>
        </row>
        <row r="1475">
          <cell r="B1475" t="str">
            <v xml:space="preserve">        CTI-1180</v>
          </cell>
          <cell r="C1475" t="str">
            <v>Sub Station and DG Room</v>
          </cell>
          <cell r="D1475">
            <v>120284964</v>
          </cell>
          <cell r="E1475">
            <v>3</v>
          </cell>
          <cell r="F1475">
            <v>0.41538529004732005</v>
          </cell>
          <cell r="G1475">
            <v>6.9230881674553338E-2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  <cell r="Q1475">
            <v>0</v>
          </cell>
          <cell r="R1475">
            <v>9.2307869859485224E-4</v>
          </cell>
          <cell r="S1475">
            <v>2.3076960558184447E-2</v>
          </cell>
          <cell r="T1475">
            <v>2.2153881859589594E-2</v>
          </cell>
          <cell r="U1475">
            <v>2.3076960558184447E-2</v>
          </cell>
          <cell r="V1475">
            <v>2.3076960558184447E-2</v>
          </cell>
          <cell r="W1475">
            <v>2.40000392567793E-2</v>
          </cell>
          <cell r="X1475">
            <v>2.2153881859589594E-2</v>
          </cell>
          <cell r="Y1475">
            <v>2.3076960558184447E-2</v>
          </cell>
          <cell r="Z1475">
            <v>2.3076960558184447E-2</v>
          </cell>
          <cell r="AA1475">
            <v>2.4923117955374149E-2</v>
          </cell>
          <cell r="AB1475">
            <v>2.3076960558184447E-2</v>
          </cell>
          <cell r="AC1475">
            <v>2.40000392567793E-2</v>
          </cell>
          <cell r="AD1475">
            <v>2.40000392567793E-2</v>
          </cell>
          <cell r="AE1475">
            <v>2.3076960558184447E-2</v>
          </cell>
          <cell r="AF1475">
            <v>2.3076960558184447E-2</v>
          </cell>
          <cell r="AG1475">
            <v>2.2153881859589594E-2</v>
          </cell>
          <cell r="AH1475">
            <v>2.3076960558184447E-2</v>
          </cell>
          <cell r="AI1475">
            <v>2.40000392567793E-2</v>
          </cell>
          <cell r="AJ1475">
            <v>1.9384645763805039E-2</v>
          </cell>
          <cell r="AK1475">
            <v>0</v>
          </cell>
          <cell r="AL1475">
            <v>0</v>
          </cell>
          <cell r="AM1475">
            <v>0</v>
          </cell>
          <cell r="AN1475">
            <v>0</v>
          </cell>
          <cell r="AO1475">
            <v>0</v>
          </cell>
          <cell r="AP1475">
            <v>0</v>
          </cell>
          <cell r="AQ1475">
            <v>0</v>
          </cell>
          <cell r="AR1475">
            <v>0</v>
          </cell>
        </row>
        <row r="1476">
          <cell r="B1476" t="str">
            <v xml:space="preserve">        CTI-1190</v>
          </cell>
          <cell r="C1476" t="str">
            <v>STP</v>
          </cell>
          <cell r="D1476">
            <v>96227971</v>
          </cell>
          <cell r="E1476">
            <v>3</v>
          </cell>
          <cell r="F1476">
            <v>0.33230822444050045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5.4328309627299249E-3</v>
          </cell>
          <cell r="X1476">
            <v>2.1731327304263127E-2</v>
          </cell>
          <cell r="Y1476">
            <v>2.2636800858056496E-2</v>
          </cell>
          <cell r="Z1476">
            <v>2.2636800858056496E-2</v>
          </cell>
          <cell r="AA1476">
            <v>2.4447744512299804E-2</v>
          </cell>
          <cell r="AB1476">
            <v>2.2636800858056496E-2</v>
          </cell>
          <cell r="AC1476">
            <v>2.3542270958506438E-2</v>
          </cell>
          <cell r="AD1476">
            <v>2.3542270958506438E-2</v>
          </cell>
          <cell r="AE1476">
            <v>2.2636800858056496E-2</v>
          </cell>
          <cell r="AF1476">
            <v>2.2636800858056496E-2</v>
          </cell>
          <cell r="AG1476">
            <v>2.1731327304263127E-2</v>
          </cell>
          <cell r="AH1476">
            <v>2.2636800858056496E-2</v>
          </cell>
          <cell r="AI1476">
            <v>2.3542270958506438E-2</v>
          </cell>
          <cell r="AJ1476">
            <v>2.1731327304263127E-2</v>
          </cell>
          <cell r="AK1476">
            <v>2.1731327304263127E-2</v>
          </cell>
          <cell r="AL1476">
            <v>9.0547217245599693E-3</v>
          </cell>
          <cell r="AM1476">
            <v>0</v>
          </cell>
          <cell r="AN1476">
            <v>0</v>
          </cell>
          <cell r="AO1476">
            <v>0</v>
          </cell>
          <cell r="AP1476">
            <v>0</v>
          </cell>
          <cell r="AQ1476">
            <v>0</v>
          </cell>
          <cell r="AR1476">
            <v>0</v>
          </cell>
        </row>
        <row r="1477">
          <cell r="B1477" t="str">
            <v xml:space="preserve">        CTI-1200</v>
          </cell>
          <cell r="C1477" t="str">
            <v>Central BMS System (Fire detection, Access Control,  PA System , Security cabins &amp; Cameras)</v>
          </cell>
          <cell r="D1477">
            <v>216512935</v>
          </cell>
          <cell r="E1477">
            <v>3</v>
          </cell>
          <cell r="F1477">
            <v>0.74769350758113373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2.0769263811697317E-2</v>
          </cell>
          <cell r="W1477">
            <v>5.4000086601081708E-2</v>
          </cell>
          <cell r="X1477">
            <v>4.9846235910748299E-2</v>
          </cell>
          <cell r="Y1477">
            <v>5.1923159529243298E-2</v>
          </cell>
          <cell r="Z1477">
            <v>5.1923159529243298E-2</v>
          </cell>
          <cell r="AA1477">
            <v>5.6077013672920124E-2</v>
          </cell>
          <cell r="AB1477">
            <v>5.1923159529243298E-2</v>
          </cell>
          <cell r="AC1477">
            <v>5.4000086601081708E-2</v>
          </cell>
          <cell r="AD1477">
            <v>5.4000086601081708E-2</v>
          </cell>
          <cell r="AE1477">
            <v>5.1923159529243298E-2</v>
          </cell>
          <cell r="AF1477">
            <v>5.1923159529243298E-2</v>
          </cell>
          <cell r="AG1477">
            <v>4.9846235910748299E-2</v>
          </cell>
          <cell r="AH1477">
            <v>5.1923159529243298E-2</v>
          </cell>
          <cell r="AI1477">
            <v>5.4000086601081708E-2</v>
          </cell>
          <cell r="AJ1477">
            <v>4.361545469523305E-2</v>
          </cell>
          <cell r="AK1477">
            <v>0</v>
          </cell>
          <cell r="AL1477">
            <v>0</v>
          </cell>
          <cell r="AM1477">
            <v>0</v>
          </cell>
          <cell r="AN1477">
            <v>0</v>
          </cell>
          <cell r="AO1477">
            <v>0</v>
          </cell>
          <cell r="AP1477">
            <v>0</v>
          </cell>
          <cell r="AQ1477">
            <v>0</v>
          </cell>
          <cell r="AR1477">
            <v>0</v>
          </cell>
        </row>
        <row r="1478">
          <cell r="B1478" t="str">
            <v xml:space="preserve">      COMPLETION &amp; HANDING OVER</v>
          </cell>
          <cell r="D1478">
            <v>120473964</v>
          </cell>
          <cell r="F1478">
            <v>0.41603797195541747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>
            <v>0.12327050905789809</v>
          </cell>
          <cell r="AM1478">
            <v>0.20801898597770874</v>
          </cell>
          <cell r="AN1478">
            <v>8.474847691981062E-2</v>
          </cell>
          <cell r="AO1478">
            <v>0</v>
          </cell>
          <cell r="AP1478">
            <v>0</v>
          </cell>
          <cell r="AQ1478">
            <v>0</v>
          </cell>
          <cell r="AR1478">
            <v>0</v>
          </cell>
        </row>
        <row r="1479">
          <cell r="B1479" t="str">
            <v xml:space="preserve">        CTI-1030</v>
          </cell>
          <cell r="C1479" t="str">
            <v>Completion of Construction Work for Trunk Services</v>
          </cell>
          <cell r="D1479">
            <v>0</v>
          </cell>
          <cell r="E1479">
            <v>3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>
            <v>0</v>
          </cell>
          <cell r="AM1479">
            <v>0</v>
          </cell>
          <cell r="AN1479">
            <v>0</v>
          </cell>
          <cell r="AO1479">
            <v>0</v>
          </cell>
          <cell r="AP1479">
            <v>0</v>
          </cell>
          <cell r="AQ1479">
            <v>0</v>
          </cell>
          <cell r="AR1479">
            <v>0</v>
          </cell>
        </row>
        <row r="1480">
          <cell r="B1480" t="str">
            <v xml:space="preserve">        CTI-1040</v>
          </cell>
          <cell r="C1480" t="str">
            <v>Testing &amp; Commissioning of Trunk Services</v>
          </cell>
          <cell r="D1480">
            <v>120473964</v>
          </cell>
          <cell r="E1480">
            <v>3</v>
          </cell>
          <cell r="F1480">
            <v>0.41603797195541747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>
            <v>0.12327050905789809</v>
          </cell>
          <cell r="AM1480">
            <v>0.20801898597770874</v>
          </cell>
          <cell r="AN1480">
            <v>8.474847691981062E-2</v>
          </cell>
          <cell r="AO1480">
            <v>0</v>
          </cell>
          <cell r="AP1480">
            <v>0</v>
          </cell>
          <cell r="AQ1480">
            <v>0</v>
          </cell>
          <cell r="AR1480">
            <v>0</v>
          </cell>
        </row>
        <row r="1481">
          <cell r="B1481" t="str">
            <v xml:space="preserve">    METRO CONNECTIVITY</v>
          </cell>
          <cell r="D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>
            <v>0</v>
          </cell>
          <cell r="AM1481">
            <v>0</v>
          </cell>
          <cell r="AN1481">
            <v>0</v>
          </cell>
          <cell r="AO1481">
            <v>0</v>
          </cell>
          <cell r="AP1481">
            <v>0</v>
          </cell>
          <cell r="AQ1481">
            <v>0</v>
          </cell>
          <cell r="AR1481">
            <v>0</v>
          </cell>
        </row>
        <row r="1482">
          <cell r="B1482" t="str">
            <v xml:space="preserve">      CMC-1000</v>
          </cell>
          <cell r="C1482" t="str">
            <v>Construction of Metro Line through ECC Complex</v>
          </cell>
          <cell r="D1482">
            <v>0</v>
          </cell>
          <cell r="E1482">
            <v>3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>
            <v>0</v>
          </cell>
          <cell r="AM1482">
            <v>0</v>
          </cell>
          <cell r="AN1482">
            <v>0</v>
          </cell>
          <cell r="AO1482">
            <v>0</v>
          </cell>
          <cell r="AP1482">
            <v>0</v>
          </cell>
          <cell r="AQ1482">
            <v>0</v>
          </cell>
          <cell r="AR1482">
            <v>0</v>
          </cell>
        </row>
        <row r="1483">
          <cell r="B1483" t="str">
            <v xml:space="preserve">      CMC-1010</v>
          </cell>
          <cell r="C1483" t="str">
            <v>Construction of Metro Station(s) over ECC Complex</v>
          </cell>
          <cell r="D1483">
            <v>0</v>
          </cell>
          <cell r="E1483">
            <v>3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>
            <v>0</v>
          </cell>
          <cell r="AM1483">
            <v>0</v>
          </cell>
          <cell r="AN1483">
            <v>0</v>
          </cell>
          <cell r="AO1483">
            <v>0</v>
          </cell>
          <cell r="AP1483">
            <v>0</v>
          </cell>
          <cell r="AQ1483">
            <v>0</v>
          </cell>
          <cell r="AR1483">
            <v>0</v>
          </cell>
        </row>
        <row r="1484">
          <cell r="B1484" t="str">
            <v xml:space="preserve">    EXHIBITION CENTER</v>
          </cell>
          <cell r="D1484">
            <v>3554798931</v>
          </cell>
          <cell r="F1484">
            <v>11.4575454524904</v>
          </cell>
          <cell r="G1484">
            <v>0.58573291172940056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0.40919805088798766</v>
          </cell>
          <cell r="S1484">
            <v>1.0113976114593994E-2</v>
          </cell>
          <cell r="T1484">
            <v>4.2294809834364601E-2</v>
          </cell>
          <cell r="U1484">
            <v>0.12412607489245429</v>
          </cell>
          <cell r="V1484">
            <v>0.26756065277944568</v>
          </cell>
          <cell r="W1484">
            <v>0.46892072929001816</v>
          </cell>
          <cell r="X1484">
            <v>0.50753773182574902</v>
          </cell>
          <cell r="Y1484">
            <v>0.41099522721309367</v>
          </cell>
          <cell r="Z1484">
            <v>0.51898556183982758</v>
          </cell>
          <cell r="AA1484">
            <v>0.52298819407474473</v>
          </cell>
          <cell r="AB1484">
            <v>0.50006519392665927</v>
          </cell>
          <cell r="AC1484">
            <v>0.78661886260499103</v>
          </cell>
          <cell r="AD1484">
            <v>1.0599196835523252</v>
          </cell>
          <cell r="AE1484">
            <v>1.0934100251004053</v>
          </cell>
          <cell r="AF1484">
            <v>1.1619933427218232</v>
          </cell>
          <cell r="AG1484">
            <v>1.0705144548591772</v>
          </cell>
          <cell r="AH1484">
            <v>0.75082746163649428</v>
          </cell>
          <cell r="AI1484">
            <v>0.67842891782136905</v>
          </cell>
          <cell r="AJ1484">
            <v>0.39147809738197514</v>
          </cell>
          <cell r="AK1484">
            <v>0.28909036353428846</v>
          </cell>
          <cell r="AL1484">
            <v>0.18790756336919182</v>
          </cell>
          <cell r="AM1484">
            <v>0.1726063408098274</v>
          </cell>
          <cell r="AN1484">
            <v>3.1964136419595425E-2</v>
          </cell>
          <cell r="AO1484">
            <v>0</v>
          </cell>
          <cell r="AP1484">
            <v>0</v>
          </cell>
          <cell r="AQ1484">
            <v>0</v>
          </cell>
          <cell r="AR1484">
            <v>0</v>
          </cell>
        </row>
        <row r="1485">
          <cell r="B1485" t="str">
            <v xml:space="preserve">      EXHIBITION CENTER - 1</v>
          </cell>
          <cell r="D1485">
            <v>3554798931</v>
          </cell>
          <cell r="F1485">
            <v>11.4575454524904</v>
          </cell>
          <cell r="G1485">
            <v>0.58573291172940056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  <cell r="Q1485">
            <v>0</v>
          </cell>
          <cell r="R1485">
            <v>0.40919805088798766</v>
          </cell>
          <cell r="S1485">
            <v>1.0113976114593994E-2</v>
          </cell>
          <cell r="T1485">
            <v>4.2294809834364601E-2</v>
          </cell>
          <cell r="U1485">
            <v>0.12412607489245429</v>
          </cell>
          <cell r="V1485">
            <v>0.26756065277944568</v>
          </cell>
          <cell r="W1485">
            <v>0.46892072929001816</v>
          </cell>
          <cell r="X1485">
            <v>0.50753773182574902</v>
          </cell>
          <cell r="Y1485">
            <v>0.41099522721309367</v>
          </cell>
          <cell r="Z1485">
            <v>0.51898556183982758</v>
          </cell>
          <cell r="AA1485">
            <v>0.52298819407474473</v>
          </cell>
          <cell r="AB1485">
            <v>0.50006519392665927</v>
          </cell>
          <cell r="AC1485">
            <v>0.78661886260499103</v>
          </cell>
          <cell r="AD1485">
            <v>1.0599196835523252</v>
          </cell>
          <cell r="AE1485">
            <v>1.0934100251004053</v>
          </cell>
          <cell r="AF1485">
            <v>1.1619933427218232</v>
          </cell>
          <cell r="AG1485">
            <v>1.0705144548591772</v>
          </cell>
          <cell r="AH1485">
            <v>0.75082746163649428</v>
          </cell>
          <cell r="AI1485">
            <v>0.67842891782136905</v>
          </cell>
          <cell r="AJ1485">
            <v>0.39147809738197514</v>
          </cell>
          <cell r="AK1485">
            <v>0.28909036353428846</v>
          </cell>
          <cell r="AL1485">
            <v>0.18790756336919182</v>
          </cell>
          <cell r="AM1485">
            <v>0.1726063408098274</v>
          </cell>
          <cell r="AN1485">
            <v>3.1964136419595425E-2</v>
          </cell>
          <cell r="AO1485">
            <v>0</v>
          </cell>
          <cell r="AP1485">
            <v>0</v>
          </cell>
          <cell r="AQ1485">
            <v>0</v>
          </cell>
          <cell r="AR1485">
            <v>0</v>
          </cell>
        </row>
        <row r="1486">
          <cell r="B1486" t="str">
            <v xml:space="preserve">        CE1-1000</v>
          </cell>
          <cell r="C1486" t="str">
            <v>Mobilization for Exhibition Center-1</v>
          </cell>
          <cell r="D1486">
            <v>355479893</v>
          </cell>
          <cell r="E1486">
            <v>1</v>
          </cell>
          <cell r="F1486">
            <v>0.40919805088798766</v>
          </cell>
          <cell r="G1486">
            <v>0.40919805088798766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  <cell r="Q1486">
            <v>0</v>
          </cell>
          <cell r="R1486">
            <v>0.40919805088798766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>
            <v>0</v>
          </cell>
          <cell r="AM1486">
            <v>0</v>
          </cell>
          <cell r="AN1486">
            <v>0</v>
          </cell>
          <cell r="AO1486">
            <v>0</v>
          </cell>
          <cell r="AP1486">
            <v>0</v>
          </cell>
          <cell r="AQ1486">
            <v>0</v>
          </cell>
          <cell r="AR1486">
            <v>0</v>
          </cell>
        </row>
        <row r="1487">
          <cell r="B1487" t="str">
            <v xml:space="preserve">        STRUCTURE</v>
          </cell>
          <cell r="D1487">
            <v>1340999597</v>
          </cell>
          <cell r="F1487">
            <v>4.6309321536144346</v>
          </cell>
          <cell r="G1487">
            <v>0.1765348608414129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1.0113976114593994E-2</v>
          </cell>
          <cell r="T1487">
            <v>4.2294809834364601E-2</v>
          </cell>
          <cell r="U1487">
            <v>0.12412607489245429</v>
          </cell>
          <cell r="V1487">
            <v>0.26756065277944568</v>
          </cell>
          <cell r="W1487">
            <v>0.46892072929001816</v>
          </cell>
          <cell r="X1487">
            <v>0.50753773182574902</v>
          </cell>
          <cell r="Y1487">
            <v>0.41099522721309367</v>
          </cell>
          <cell r="Z1487">
            <v>0.51898556183982758</v>
          </cell>
          <cell r="AA1487">
            <v>0.51924456259700913</v>
          </cell>
          <cell r="AB1487">
            <v>0.41236793122615562</v>
          </cell>
          <cell r="AC1487">
            <v>0.40006540216672148</v>
          </cell>
          <cell r="AD1487">
            <v>0.34835591480880945</v>
          </cell>
          <cell r="AE1487">
            <v>0.24605064680220931</v>
          </cell>
          <cell r="AF1487">
            <v>0.24605064680220931</v>
          </cell>
          <cell r="AG1487">
            <v>0.10826228542177452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>
            <v>0</v>
          </cell>
          <cell r="AM1487">
            <v>0</v>
          </cell>
          <cell r="AN1487">
            <v>0</v>
          </cell>
          <cell r="AO1487">
            <v>0</v>
          </cell>
          <cell r="AP1487">
            <v>0</v>
          </cell>
          <cell r="AQ1487">
            <v>0</v>
          </cell>
          <cell r="AR1487">
            <v>0</v>
          </cell>
        </row>
        <row r="1488">
          <cell r="B1488" t="str">
            <v xml:space="preserve">          CE1-1010</v>
          </cell>
          <cell r="C1488" t="str">
            <v>Substructure</v>
          </cell>
          <cell r="D1488">
            <v>638999808</v>
          </cell>
          <cell r="E1488">
            <v>3</v>
          </cell>
          <cell r="F1488">
            <v>2.2066857881444082</v>
          </cell>
          <cell r="G1488">
            <v>0.1765348608414129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1.0113976114593994E-2</v>
          </cell>
          <cell r="T1488">
            <v>4.2294809834364601E-2</v>
          </cell>
          <cell r="U1488">
            <v>0.12412607489245429</v>
          </cell>
          <cell r="V1488">
            <v>0.26756065277944568</v>
          </cell>
          <cell r="W1488">
            <v>0.46892072929001816</v>
          </cell>
          <cell r="X1488">
            <v>0.50753773182574902</v>
          </cell>
          <cell r="Y1488">
            <v>0.41099522721309367</v>
          </cell>
          <cell r="Z1488">
            <v>0.23537981905967509</v>
          </cell>
          <cell r="AA1488">
            <v>0.10665648072724924</v>
          </cell>
          <cell r="AB1488">
            <v>3.0341928343781986E-2</v>
          </cell>
          <cell r="AC1488">
            <v>2.7583580639829338E-3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>
            <v>0</v>
          </cell>
          <cell r="AM1488">
            <v>0</v>
          </cell>
          <cell r="AN1488">
            <v>0</v>
          </cell>
          <cell r="AO1488">
            <v>0</v>
          </cell>
          <cell r="AP1488">
            <v>0</v>
          </cell>
          <cell r="AQ1488">
            <v>0</v>
          </cell>
          <cell r="AR1488">
            <v>0</v>
          </cell>
        </row>
        <row r="1489">
          <cell r="B1489" t="str">
            <v xml:space="preserve">          CE1-1060</v>
          </cell>
          <cell r="C1489" t="str">
            <v>Superstructure ( RCC &amp; Masonry)</v>
          </cell>
          <cell r="D1489">
            <v>188999943</v>
          </cell>
          <cell r="E1489">
            <v>3</v>
          </cell>
          <cell r="F1489">
            <v>0.65268171125679475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0.13597535608016431</v>
          </cell>
          <cell r="AA1489">
            <v>0.14685338442844373</v>
          </cell>
          <cell r="AB1489">
            <v>0.13597535608016431</v>
          </cell>
          <cell r="AC1489">
            <v>0.14141437198097576</v>
          </cell>
          <cell r="AD1489">
            <v>9.2463242687046698E-2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>
            <v>0</v>
          </cell>
          <cell r="AM1489">
            <v>0</v>
          </cell>
          <cell r="AN1489">
            <v>0</v>
          </cell>
          <cell r="AO1489">
            <v>0</v>
          </cell>
          <cell r="AP1489">
            <v>0</v>
          </cell>
          <cell r="AQ1489">
            <v>0</v>
          </cell>
          <cell r="AR1489">
            <v>0</v>
          </cell>
        </row>
        <row r="1490">
          <cell r="B1490" t="str">
            <v xml:space="preserve">          CE1-1070</v>
          </cell>
          <cell r="C1490" t="str">
            <v>Superstructure ( Steel work)</v>
          </cell>
          <cell r="D1490">
            <v>512999846</v>
          </cell>
          <cell r="E1490">
            <v>3</v>
          </cell>
          <cell r="F1490">
            <v>1.7715646542132319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0.14763038669998824</v>
          </cell>
          <cell r="AA1490">
            <v>0.26573469744131617</v>
          </cell>
          <cell r="AB1490">
            <v>0.24605064680220931</v>
          </cell>
          <cell r="AC1490">
            <v>0.25589267212176275</v>
          </cell>
          <cell r="AD1490">
            <v>0.25589267212176275</v>
          </cell>
          <cell r="AE1490">
            <v>0.24605064680220931</v>
          </cell>
          <cell r="AF1490">
            <v>0.24605064680220931</v>
          </cell>
          <cell r="AG1490">
            <v>0.10826228542177452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>
            <v>0</v>
          </cell>
          <cell r="AM1490">
            <v>0</v>
          </cell>
          <cell r="AN1490">
            <v>0</v>
          </cell>
          <cell r="AO1490">
            <v>0</v>
          </cell>
          <cell r="AP1490">
            <v>0</v>
          </cell>
          <cell r="AQ1490">
            <v>0</v>
          </cell>
          <cell r="AR1490">
            <v>0</v>
          </cell>
        </row>
        <row r="1491">
          <cell r="B1491" t="str">
            <v xml:space="preserve">        FINISHES</v>
          </cell>
          <cell r="D1491">
            <v>1025279692</v>
          </cell>
          <cell r="F1491">
            <v>3.5406428907974918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3.7436314777356361E-3</v>
          </cell>
          <cell r="AB1491">
            <v>4.2433361426082984E-2</v>
          </cell>
          <cell r="AC1491">
            <v>0.22722452753790762</v>
          </cell>
          <cell r="AD1491">
            <v>0.45310689588538355</v>
          </cell>
          <cell r="AE1491">
            <v>0.57577597410501535</v>
          </cell>
          <cell r="AF1491">
            <v>0.60452706109135024</v>
          </cell>
          <cell r="AG1491">
            <v>0.61643596770670683</v>
          </cell>
          <cell r="AH1491">
            <v>0.38486882627328856</v>
          </cell>
          <cell r="AI1491">
            <v>0.35094459629674762</v>
          </cell>
          <cell r="AJ1491">
            <v>0.12781587565281732</v>
          </cell>
          <cell r="AK1491">
            <v>0.11663489929887787</v>
          </cell>
          <cell r="AL1491">
            <v>3.7131274045578283E-2</v>
          </cell>
          <cell r="AM1491">
            <v>0</v>
          </cell>
          <cell r="AN1491">
            <v>0</v>
          </cell>
          <cell r="AO1491">
            <v>0</v>
          </cell>
          <cell r="AP1491">
            <v>0</v>
          </cell>
          <cell r="AQ1491">
            <v>0</v>
          </cell>
          <cell r="AR1491">
            <v>0</v>
          </cell>
        </row>
        <row r="1492">
          <cell r="B1492" t="str">
            <v xml:space="preserve">          CE1-1020</v>
          </cell>
          <cell r="C1492" t="str">
            <v>Internal Finishes</v>
          </cell>
          <cell r="D1492">
            <v>192239942</v>
          </cell>
          <cell r="E1492">
            <v>3</v>
          </cell>
          <cell r="F1492">
            <v>0.66387054396703526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3.7436314777356361E-3</v>
          </cell>
          <cell r="AB1492">
            <v>1.2928005527997234E-2</v>
          </cell>
          <cell r="AC1492">
            <v>3.5439705566991636E-2</v>
          </cell>
          <cell r="AD1492">
            <v>7.3225419272472697E-2</v>
          </cell>
          <cell r="AE1492">
            <v>0.11475476445568938</v>
          </cell>
          <cell r="AF1492">
            <v>0.14350585144202432</v>
          </cell>
          <cell r="AG1492">
            <v>0.12498735601038564</v>
          </cell>
          <cell r="AH1492">
            <v>8.5205040001226723E-2</v>
          </cell>
          <cell r="AI1492">
            <v>4.6670596546855118E-2</v>
          </cell>
          <cell r="AJ1492">
            <v>1.717078671831648E-2</v>
          </cell>
          <cell r="AK1492">
            <v>5.9898103643770181E-3</v>
          </cell>
          <cell r="AL1492">
            <v>2.4957658296351876E-4</v>
          </cell>
          <cell r="AM1492">
            <v>0</v>
          </cell>
          <cell r="AN1492">
            <v>0</v>
          </cell>
          <cell r="AO1492">
            <v>0</v>
          </cell>
          <cell r="AP1492">
            <v>0</v>
          </cell>
          <cell r="AQ1492">
            <v>0</v>
          </cell>
          <cell r="AR1492">
            <v>0</v>
          </cell>
        </row>
        <row r="1493">
          <cell r="B1493" t="str">
            <v xml:space="preserve">          CE1-1080</v>
          </cell>
          <cell r="C1493" t="str">
            <v>Roofing</v>
          </cell>
          <cell r="D1493">
            <v>288359913</v>
          </cell>
          <cell r="E1493">
            <v>3</v>
          </cell>
          <cell r="F1493">
            <v>0.99580581422388137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0.18809665464199488</v>
          </cell>
          <cell r="AE1493">
            <v>0.27661272578959556</v>
          </cell>
          <cell r="AF1493">
            <v>0.27661272578959556</v>
          </cell>
          <cell r="AG1493">
            <v>0.25448370800269543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>
            <v>0</v>
          </cell>
          <cell r="AM1493">
            <v>0</v>
          </cell>
          <cell r="AN1493">
            <v>0</v>
          </cell>
          <cell r="AO1493">
            <v>0</v>
          </cell>
          <cell r="AP1493">
            <v>0</v>
          </cell>
          <cell r="AQ1493">
            <v>0</v>
          </cell>
          <cell r="AR1493">
            <v>0</v>
          </cell>
        </row>
        <row r="1494">
          <cell r="B1494" t="str">
            <v xml:space="preserve">          CE1-1090</v>
          </cell>
          <cell r="C1494" t="str">
            <v>External Facade</v>
          </cell>
          <cell r="D1494">
            <v>384479885</v>
          </cell>
          <cell r="E1494">
            <v>3</v>
          </cell>
          <cell r="F1494">
            <v>1.3277410810273842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2.9505355898085752E-2</v>
          </cell>
          <cell r="AC1494">
            <v>0.19178482197091598</v>
          </cell>
          <cell r="AD1494">
            <v>0.19178482197091598</v>
          </cell>
          <cell r="AE1494">
            <v>0.18440848385973038</v>
          </cell>
          <cell r="AF1494">
            <v>0.18440848385973038</v>
          </cell>
          <cell r="AG1494">
            <v>0.17703214574854481</v>
          </cell>
          <cell r="AH1494">
            <v>0.18440848385973038</v>
          </cell>
          <cell r="AI1494">
            <v>0.18440848385973038</v>
          </cell>
          <cell r="AJ1494">
            <v>0</v>
          </cell>
          <cell r="AK1494">
            <v>0</v>
          </cell>
          <cell r="AL1494">
            <v>0</v>
          </cell>
          <cell r="AM1494">
            <v>0</v>
          </cell>
          <cell r="AN1494">
            <v>0</v>
          </cell>
          <cell r="AO1494">
            <v>0</v>
          </cell>
          <cell r="AP1494">
            <v>0</v>
          </cell>
          <cell r="AQ1494">
            <v>0</v>
          </cell>
          <cell r="AR1494">
            <v>0</v>
          </cell>
        </row>
        <row r="1495">
          <cell r="B1495" t="str">
            <v xml:space="preserve">          CE1-1100</v>
          </cell>
          <cell r="C1495" t="str">
            <v>Specialized/ Misc. Finishes</v>
          </cell>
          <cell r="D1495">
            <v>160199952</v>
          </cell>
          <cell r="E1495">
            <v>3</v>
          </cell>
          <cell r="F1495">
            <v>0.55322545157919101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5.9932757945081058E-2</v>
          </cell>
          <cell r="AH1495">
            <v>0.11525530241233148</v>
          </cell>
          <cell r="AI1495">
            <v>0.11986551589016212</v>
          </cell>
          <cell r="AJ1495">
            <v>0.11064508893450085</v>
          </cell>
          <cell r="AK1495">
            <v>0.11064508893450085</v>
          </cell>
          <cell r="AL1495">
            <v>3.6881697462614764E-2</v>
          </cell>
          <cell r="AM1495">
            <v>0</v>
          </cell>
          <cell r="AN1495">
            <v>0</v>
          </cell>
          <cell r="AO1495">
            <v>0</v>
          </cell>
          <cell r="AP1495">
            <v>0</v>
          </cell>
          <cell r="AQ1495">
            <v>0</v>
          </cell>
          <cell r="AR1495">
            <v>0</v>
          </cell>
        </row>
        <row r="1496">
          <cell r="B1496" t="str">
            <v xml:space="preserve">        MEP WORKS</v>
          </cell>
          <cell r="D1496">
            <v>749735774</v>
          </cell>
          <cell r="F1496">
            <v>2.5890951225074414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4.526390127442069E-2</v>
          </cell>
          <cell r="AC1496">
            <v>0.15932893290036204</v>
          </cell>
          <cell r="AD1496">
            <v>0.25845687285813213</v>
          </cell>
          <cell r="AE1496">
            <v>0.27158340419318072</v>
          </cell>
          <cell r="AF1496">
            <v>0.31141563482826362</v>
          </cell>
          <cell r="AG1496">
            <v>0.34581620173069572</v>
          </cell>
          <cell r="AH1496">
            <v>0.36595863536320578</v>
          </cell>
          <cell r="AI1496">
            <v>0.32748432152462142</v>
          </cell>
          <cell r="AJ1496">
            <v>0.26366222172915782</v>
          </cell>
          <cell r="AK1496">
            <v>0.17245546423541061</v>
          </cell>
          <cell r="AL1496">
            <v>6.7669531869990696E-2</v>
          </cell>
          <cell r="AM1496">
            <v>0</v>
          </cell>
          <cell r="AN1496">
            <v>0</v>
          </cell>
          <cell r="AO1496">
            <v>0</v>
          </cell>
          <cell r="AP1496">
            <v>0</v>
          </cell>
          <cell r="AQ1496">
            <v>0</v>
          </cell>
          <cell r="AR1496">
            <v>0</v>
          </cell>
        </row>
        <row r="1497">
          <cell r="B1497" t="str">
            <v xml:space="preserve">          CE1-1030</v>
          </cell>
          <cell r="C1497" t="str">
            <v>Electrical Works</v>
          </cell>
          <cell r="D1497">
            <v>144179957</v>
          </cell>
          <cell r="E1497">
            <v>3</v>
          </cell>
          <cell r="F1497">
            <v>0.49790290711194074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1.8105568797792504E-3</v>
          </cell>
          <cell r="AD1497">
            <v>1.1315974455269315E-2</v>
          </cell>
          <cell r="AE1497">
            <v>3.3947926819151368E-2</v>
          </cell>
          <cell r="AF1497">
            <v>7.3780157454234316E-2</v>
          </cell>
          <cell r="AG1497">
            <v>0.11768614193215642</v>
          </cell>
          <cell r="AH1497">
            <v>0.12832315798917646</v>
          </cell>
          <cell r="AI1497">
            <v>8.0343423121758586E-2</v>
          </cell>
          <cell r="AJ1497">
            <v>3.5532161930618575E-2</v>
          </cell>
          <cell r="AK1497">
            <v>1.2221254621830656E-2</v>
          </cell>
          <cell r="AL1497">
            <v>2.9421519079657816E-3</v>
          </cell>
          <cell r="AM1497">
            <v>0</v>
          </cell>
          <cell r="AN1497">
            <v>0</v>
          </cell>
          <cell r="AO1497">
            <v>0</v>
          </cell>
          <cell r="AP1497">
            <v>0</v>
          </cell>
          <cell r="AQ1497">
            <v>0</v>
          </cell>
          <cell r="AR1497">
            <v>0</v>
          </cell>
        </row>
        <row r="1498">
          <cell r="B1498" t="str">
            <v xml:space="preserve">          CE1-1110</v>
          </cell>
          <cell r="C1498" t="str">
            <v>Plumbing &amp; Fire Fighting Works</v>
          </cell>
          <cell r="D1498">
            <v>115343965</v>
          </cell>
          <cell r="E1498">
            <v>3</v>
          </cell>
          <cell r="F1498">
            <v>0.39832233052423344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1.4484448131547145E-2</v>
          </cell>
          <cell r="AD1498">
            <v>4.7074458154199937E-2</v>
          </cell>
          <cell r="AE1498">
            <v>4.526390127442069E-2</v>
          </cell>
          <cell r="AF1498">
            <v>4.526390127442069E-2</v>
          </cell>
          <cell r="AG1498">
            <v>4.3453344394641435E-2</v>
          </cell>
          <cell r="AH1498">
            <v>4.526390127442069E-2</v>
          </cell>
          <cell r="AI1498">
            <v>4.7074458154199937E-2</v>
          </cell>
          <cell r="AJ1498">
            <v>4.3453344394641435E-2</v>
          </cell>
          <cell r="AK1498">
            <v>4.3453344394641435E-2</v>
          </cell>
          <cell r="AL1498">
            <v>2.3537229077099969E-2</v>
          </cell>
          <cell r="AM1498">
            <v>0</v>
          </cell>
          <cell r="AN1498">
            <v>0</v>
          </cell>
          <cell r="AO1498">
            <v>0</v>
          </cell>
          <cell r="AP1498">
            <v>0</v>
          </cell>
          <cell r="AQ1498">
            <v>0</v>
          </cell>
          <cell r="AR1498">
            <v>0</v>
          </cell>
        </row>
        <row r="1499">
          <cell r="B1499" t="str">
            <v xml:space="preserve">          CE1-1120</v>
          </cell>
          <cell r="C1499" t="str">
            <v>HVAC Works</v>
          </cell>
          <cell r="D1499">
            <v>201851939</v>
          </cell>
          <cell r="E1499">
            <v>3</v>
          </cell>
          <cell r="F1499">
            <v>0.69706407064738574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2.5347785956879216E-2</v>
          </cell>
          <cell r="AD1499">
            <v>8.2380298316506465E-2</v>
          </cell>
          <cell r="AE1499">
            <v>7.9211824640228634E-2</v>
          </cell>
          <cell r="AF1499">
            <v>7.9211824640228634E-2</v>
          </cell>
          <cell r="AG1499">
            <v>7.6043354417294234E-2</v>
          </cell>
          <cell r="AH1499">
            <v>7.9211824640228634E-2</v>
          </cell>
          <cell r="AI1499">
            <v>8.2380298316506465E-2</v>
          </cell>
          <cell r="AJ1499">
            <v>7.6043354417294234E-2</v>
          </cell>
          <cell r="AK1499">
            <v>7.6043354417294234E-2</v>
          </cell>
          <cell r="AL1499">
            <v>4.1190150884924948E-2</v>
          </cell>
          <cell r="AM1499">
            <v>0</v>
          </cell>
          <cell r="AN1499">
            <v>0</v>
          </cell>
          <cell r="AO1499">
            <v>0</v>
          </cell>
          <cell r="AP1499">
            <v>0</v>
          </cell>
          <cell r="AQ1499">
            <v>0</v>
          </cell>
          <cell r="AR1499">
            <v>0</v>
          </cell>
        </row>
        <row r="1500">
          <cell r="B1500" t="str">
            <v xml:space="preserve">          CE1-1130</v>
          </cell>
          <cell r="C1500" t="str">
            <v>BMS System (Fire detection, Access control, PA System, Security Camera, etc.)</v>
          </cell>
          <cell r="D1500">
            <v>288359913</v>
          </cell>
          <cell r="E1500">
            <v>3</v>
          </cell>
          <cell r="F1500">
            <v>0.99580581422388148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4.526390127442069E-2</v>
          </cell>
          <cell r="AC1500">
            <v>0.11768614193215642</v>
          </cell>
          <cell r="AD1500">
            <v>0.11768614193215642</v>
          </cell>
          <cell r="AE1500">
            <v>0.11315975145938001</v>
          </cell>
          <cell r="AF1500">
            <v>0.11315975145938001</v>
          </cell>
          <cell r="AG1500">
            <v>0.1086333609866036</v>
          </cell>
          <cell r="AH1500">
            <v>0.11315975145938001</v>
          </cell>
          <cell r="AI1500">
            <v>0.11768614193215642</v>
          </cell>
          <cell r="AJ1500">
            <v>0.1086333609866036</v>
          </cell>
          <cell r="AK1500">
            <v>4.0737510801644276E-2</v>
          </cell>
          <cell r="AL1500">
            <v>0</v>
          </cell>
          <cell r="AM1500">
            <v>0</v>
          </cell>
          <cell r="AN1500">
            <v>0</v>
          </cell>
          <cell r="AO1500">
            <v>0</v>
          </cell>
          <cell r="AP1500">
            <v>0</v>
          </cell>
          <cell r="AQ1500">
            <v>0</v>
          </cell>
          <cell r="AR1500">
            <v>0</v>
          </cell>
        </row>
        <row r="1501">
          <cell r="B1501" t="str">
            <v xml:space="preserve">        COMPLETION &amp; HANDING OVER</v>
          </cell>
          <cell r="D1501">
            <v>83303975</v>
          </cell>
          <cell r="F1501">
            <v>0.28767723468304562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>
            <v>8.3106757453622837E-2</v>
          </cell>
          <cell r="AM1501">
            <v>0.1726063408098274</v>
          </cell>
          <cell r="AN1501">
            <v>3.1964136419595425E-2</v>
          </cell>
          <cell r="AO1501">
            <v>0</v>
          </cell>
          <cell r="AP1501">
            <v>0</v>
          </cell>
          <cell r="AQ1501">
            <v>0</v>
          </cell>
          <cell r="AR1501">
            <v>0</v>
          </cell>
        </row>
        <row r="1502">
          <cell r="B1502" t="str">
            <v xml:space="preserve">          CE1-1040</v>
          </cell>
          <cell r="C1502" t="str">
            <v>Completion of Construction Work for Exhibition Center -1</v>
          </cell>
          <cell r="D1502">
            <v>0</v>
          </cell>
          <cell r="E1502">
            <v>3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>
            <v>0</v>
          </cell>
          <cell r="AM1502">
            <v>0</v>
          </cell>
          <cell r="AN1502">
            <v>0</v>
          </cell>
          <cell r="AO1502">
            <v>0</v>
          </cell>
          <cell r="AP1502">
            <v>0</v>
          </cell>
          <cell r="AQ1502">
            <v>0</v>
          </cell>
          <cell r="AR1502">
            <v>0</v>
          </cell>
        </row>
        <row r="1503">
          <cell r="B1503" t="str">
            <v xml:space="preserve">          CE1-1050</v>
          </cell>
          <cell r="C1503" t="str">
            <v>Testing &amp; Commissioning of Exhibition Center -1</v>
          </cell>
          <cell r="D1503">
            <v>83303975</v>
          </cell>
          <cell r="E1503">
            <v>3</v>
          </cell>
          <cell r="F1503">
            <v>0.28767723468304562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>
            <v>8.3106757453622837E-2</v>
          </cell>
          <cell r="AM1503">
            <v>0.1726063408098274</v>
          </cell>
          <cell r="AN1503">
            <v>3.1964136419595425E-2</v>
          </cell>
          <cell r="AO1503">
            <v>0</v>
          </cell>
          <cell r="AP1503">
            <v>0</v>
          </cell>
          <cell r="AQ1503">
            <v>0</v>
          </cell>
          <cell r="AR1503">
            <v>0</v>
          </cell>
        </row>
        <row r="1504">
          <cell r="B1504" t="str">
            <v xml:space="preserve">    CONVENTION CENTER</v>
          </cell>
          <cell r="D1504">
            <v>11342502597</v>
          </cell>
          <cell r="F1504">
            <v>36.55790906117506</v>
          </cell>
          <cell r="G1504">
            <v>2.7743577217974877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1.3351945461107149</v>
          </cell>
          <cell r="T1504">
            <v>0.70489625009121071</v>
          </cell>
          <cell r="U1504">
            <v>0.73426692559556206</v>
          </cell>
          <cell r="V1504">
            <v>0.73426692559556206</v>
          </cell>
          <cell r="W1504">
            <v>0.87766493948232627</v>
          </cell>
          <cell r="X1504">
            <v>0.97835452968553738</v>
          </cell>
          <cell r="Y1504">
            <v>1.6102041746270337</v>
          </cell>
          <cell r="Z1504">
            <v>1.6102041746270337</v>
          </cell>
          <cell r="AA1504">
            <v>2.6113296192160398</v>
          </cell>
          <cell r="AB1504">
            <v>3.2799271652823339</v>
          </cell>
          <cell r="AC1504">
            <v>3.4691607123813357</v>
          </cell>
          <cell r="AD1504">
            <v>3.1928979000680355</v>
          </cell>
          <cell r="AE1504">
            <v>3.3054641184855718</v>
          </cell>
          <cell r="AF1504">
            <v>2.1454951464019389</v>
          </cell>
          <cell r="AG1504">
            <v>1.7773140359013895</v>
          </cell>
          <cell r="AH1504">
            <v>1.9038164323809537</v>
          </cell>
          <cell r="AI1504">
            <v>1.8288077652685391</v>
          </cell>
          <cell r="AJ1504">
            <v>1.5051425204155486</v>
          </cell>
          <cell r="AK1504">
            <v>1.2113665085695644</v>
          </cell>
          <cell r="AL1504">
            <v>0.92879284582000232</v>
          </cell>
          <cell r="AM1504">
            <v>0.4575047770891334</v>
          </cell>
          <cell r="AN1504">
            <v>0.35583704807969407</v>
          </cell>
          <cell r="AO1504">
            <v>0</v>
          </cell>
          <cell r="AP1504">
            <v>0</v>
          </cell>
          <cell r="AQ1504">
            <v>0</v>
          </cell>
          <cell r="AR1504">
            <v>0</v>
          </cell>
        </row>
        <row r="1505">
          <cell r="B1505" t="str">
            <v xml:space="preserve">      CCC-1000</v>
          </cell>
          <cell r="C1505" t="str">
            <v>Mobilization for Convention Center</v>
          </cell>
          <cell r="D1505">
            <v>1134399660</v>
          </cell>
          <cell r="E1505">
            <v>1</v>
          </cell>
          <cell r="F1505">
            <v>1.3058238706063634</v>
          </cell>
          <cell r="G1505">
            <v>1.3058238706063634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1.3058238706063634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>
            <v>0</v>
          </cell>
          <cell r="AM1505">
            <v>0</v>
          </cell>
          <cell r="AN1505">
            <v>0</v>
          </cell>
          <cell r="AO1505">
            <v>0</v>
          </cell>
          <cell r="AP1505">
            <v>0</v>
          </cell>
          <cell r="AQ1505">
            <v>0</v>
          </cell>
          <cell r="AR1505">
            <v>0</v>
          </cell>
        </row>
        <row r="1506">
          <cell r="B1506" t="str">
            <v xml:space="preserve">      STRUCTURE</v>
          </cell>
          <cell r="D1506">
            <v>4082398775</v>
          </cell>
          <cell r="F1506">
            <v>14.097924974197467</v>
          </cell>
          <cell r="G1506">
            <v>1.4685338511911241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2.9370675504351372E-2</v>
          </cell>
          <cell r="T1506">
            <v>0.70489625009121071</v>
          </cell>
          <cell r="U1506">
            <v>0.73426692559556206</v>
          </cell>
          <cell r="V1506">
            <v>0.73426692559556206</v>
          </cell>
          <cell r="W1506">
            <v>0.87766493948232627</v>
          </cell>
          <cell r="X1506">
            <v>0.97835452968553738</v>
          </cell>
          <cell r="Y1506">
            <v>1.6102041746270337</v>
          </cell>
          <cell r="Z1506">
            <v>1.6102041746270337</v>
          </cell>
          <cell r="AA1506">
            <v>1.7390205114980049</v>
          </cell>
          <cell r="AB1506">
            <v>1.6102041746270337</v>
          </cell>
          <cell r="AC1506">
            <v>1.2927935425125623</v>
          </cell>
          <cell r="AD1506">
            <v>0.91097474023593394</v>
          </cell>
          <cell r="AE1506">
            <v>0.77227603608747075</v>
          </cell>
          <cell r="AF1506">
            <v>0.49342737402784448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>
            <v>0</v>
          </cell>
          <cell r="AM1506">
            <v>0</v>
          </cell>
          <cell r="AN1506">
            <v>0</v>
          </cell>
          <cell r="AO1506">
            <v>0</v>
          </cell>
          <cell r="AP1506">
            <v>0</v>
          </cell>
          <cell r="AQ1506">
            <v>0</v>
          </cell>
          <cell r="AR1506">
            <v>0</v>
          </cell>
        </row>
        <row r="1507">
          <cell r="B1507" t="str">
            <v xml:space="preserve">        CCC-1060</v>
          </cell>
          <cell r="C1507" t="str">
            <v>Substructure (RCC &amp; Masonary)</v>
          </cell>
          <cell r="D1507">
            <v>2041199388</v>
          </cell>
          <cell r="E1507">
            <v>3</v>
          </cell>
          <cell r="F1507">
            <v>7.0489624905520767</v>
          </cell>
          <cell r="G1507">
            <v>1.4685338511911241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2.9370675504351372E-2</v>
          </cell>
          <cell r="T1507">
            <v>0.70489625009121071</v>
          </cell>
          <cell r="U1507">
            <v>0.73426692559556206</v>
          </cell>
          <cell r="V1507">
            <v>0.73426692559556206</v>
          </cell>
          <cell r="W1507">
            <v>0.7636376045532568</v>
          </cell>
          <cell r="X1507">
            <v>0.70489625009121071</v>
          </cell>
          <cell r="Y1507">
            <v>0.73426692559556206</v>
          </cell>
          <cell r="Z1507">
            <v>0.73426692559556206</v>
          </cell>
          <cell r="AA1507">
            <v>0.79300828005760826</v>
          </cell>
          <cell r="AB1507">
            <v>0.73426692559556206</v>
          </cell>
          <cell r="AC1507">
            <v>0.3818188022766284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>
            <v>0</v>
          </cell>
          <cell r="AM1507">
            <v>0</v>
          </cell>
          <cell r="AN1507">
            <v>0</v>
          </cell>
          <cell r="AO1507">
            <v>0</v>
          </cell>
          <cell r="AP1507">
            <v>0</v>
          </cell>
          <cell r="AQ1507">
            <v>0</v>
          </cell>
          <cell r="AR1507">
            <v>0</v>
          </cell>
        </row>
        <row r="1508">
          <cell r="B1508" t="str">
            <v xml:space="preserve">        CCC-1070</v>
          </cell>
          <cell r="C1508" t="str">
            <v>Superstructure (RCC &amp; Masonry)</v>
          </cell>
          <cell r="D1508">
            <v>612359816</v>
          </cell>
          <cell r="E1508">
            <v>3</v>
          </cell>
          <cell r="F1508">
            <v>2.1146887468202884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0.11402733492906943</v>
          </cell>
          <cell r="X1508">
            <v>0.24878691037493297</v>
          </cell>
          <cell r="Y1508">
            <v>0.2591530323600017</v>
          </cell>
          <cell r="Z1508">
            <v>0.2591530323600017</v>
          </cell>
          <cell r="AA1508">
            <v>0.27988527633013921</v>
          </cell>
          <cell r="AB1508">
            <v>0.2591530323600017</v>
          </cell>
          <cell r="AC1508">
            <v>0.26951915434507046</v>
          </cell>
          <cell r="AD1508">
            <v>0.26951915434507046</v>
          </cell>
          <cell r="AE1508">
            <v>0.15549181941600104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>
            <v>0</v>
          </cell>
          <cell r="AM1508">
            <v>0</v>
          </cell>
          <cell r="AN1508">
            <v>0</v>
          </cell>
          <cell r="AO1508">
            <v>0</v>
          </cell>
          <cell r="AP1508">
            <v>0</v>
          </cell>
          <cell r="AQ1508">
            <v>0</v>
          </cell>
          <cell r="AR1508">
            <v>0</v>
          </cell>
        </row>
        <row r="1509">
          <cell r="B1509" t="str">
            <v xml:space="preserve">        CCC-1080</v>
          </cell>
          <cell r="C1509" t="str">
            <v>Superstructure (Steel work)</v>
          </cell>
          <cell r="D1509">
            <v>1428839571</v>
          </cell>
          <cell r="E1509">
            <v>3</v>
          </cell>
          <cell r="F1509">
            <v>4.9342737368251015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2.4671369219393738E-2</v>
          </cell>
          <cell r="Y1509">
            <v>0.61678421667146976</v>
          </cell>
          <cell r="Z1509">
            <v>0.61678421667146976</v>
          </cell>
          <cell r="AA1509">
            <v>0.66612695511025721</v>
          </cell>
          <cell r="AB1509">
            <v>0.61678421667146976</v>
          </cell>
          <cell r="AC1509">
            <v>0.64145558589086349</v>
          </cell>
          <cell r="AD1509">
            <v>0.64145558589086349</v>
          </cell>
          <cell r="AE1509">
            <v>0.61678421667146976</v>
          </cell>
          <cell r="AF1509">
            <v>0.49342737402784448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>
            <v>0</v>
          </cell>
          <cell r="AM1509">
            <v>0</v>
          </cell>
          <cell r="AN1509">
            <v>0</v>
          </cell>
          <cell r="AO1509">
            <v>0</v>
          </cell>
          <cell r="AP1509">
            <v>0</v>
          </cell>
          <cell r="AQ1509">
            <v>0</v>
          </cell>
          <cell r="AR1509">
            <v>0</v>
          </cell>
        </row>
        <row r="1510">
          <cell r="B1510" t="str">
            <v xml:space="preserve">      FINISHES</v>
          </cell>
          <cell r="D1510">
            <v>3572098929</v>
          </cell>
          <cell r="F1510">
            <v>12.335684364509483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0.87230910771803472</v>
          </cell>
          <cell r="AB1510">
            <v>1.6697229906553002</v>
          </cell>
          <cell r="AC1510">
            <v>2.1763671698687732</v>
          </cell>
          <cell r="AD1510">
            <v>1.6698023726607047</v>
          </cell>
          <cell r="AE1510">
            <v>1.5129867692946584</v>
          </cell>
          <cell r="AF1510">
            <v>0.63186645927065233</v>
          </cell>
          <cell r="AG1510">
            <v>0.79792077849916043</v>
          </cell>
          <cell r="AH1510">
            <v>0.88361511927751113</v>
          </cell>
          <cell r="AI1510">
            <v>0.7677983999172262</v>
          </cell>
          <cell r="AJ1510">
            <v>0.52574926301331959</v>
          </cell>
          <cell r="AK1510">
            <v>0.43176309587404565</v>
          </cell>
          <cell r="AL1510">
            <v>0.3957828384600991</v>
          </cell>
          <cell r="AM1510">
            <v>0</v>
          </cell>
          <cell r="AN1510">
            <v>0</v>
          </cell>
          <cell r="AO1510">
            <v>0</v>
          </cell>
          <cell r="AP1510">
            <v>0</v>
          </cell>
          <cell r="AQ1510">
            <v>0</v>
          </cell>
          <cell r="AR1510">
            <v>0</v>
          </cell>
        </row>
        <row r="1511">
          <cell r="B1511" t="str">
            <v xml:space="preserve">        CCC-1090</v>
          </cell>
          <cell r="C1511" t="str">
            <v>Internal Finishes</v>
          </cell>
          <cell r="D1511">
            <v>510299847</v>
          </cell>
          <cell r="E1511">
            <v>3</v>
          </cell>
          <cell r="F1511">
            <v>1.762240623501355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7.9380209665830898E-2</v>
          </cell>
          <cell r="AE1511">
            <v>0.39690104142246763</v>
          </cell>
          <cell r="AF1511">
            <v>0.39690104142246763</v>
          </cell>
          <cell r="AG1511">
            <v>0.38102499948930141</v>
          </cell>
          <cell r="AH1511">
            <v>0.39690104142246763</v>
          </cell>
          <cell r="AI1511">
            <v>0.11113229007881982</v>
          </cell>
          <cell r="AJ1511">
            <v>0</v>
          </cell>
          <cell r="AK1511">
            <v>0</v>
          </cell>
          <cell r="AL1511">
            <v>0</v>
          </cell>
          <cell r="AM1511">
            <v>0</v>
          </cell>
          <cell r="AN1511">
            <v>0</v>
          </cell>
          <cell r="AO1511">
            <v>0</v>
          </cell>
          <cell r="AP1511">
            <v>0</v>
          </cell>
          <cell r="AQ1511">
            <v>0</v>
          </cell>
          <cell r="AR1511">
            <v>0</v>
          </cell>
        </row>
        <row r="1512">
          <cell r="B1512" t="str">
            <v xml:space="preserve">        CCC-1100</v>
          </cell>
          <cell r="C1512" t="str">
            <v>Roofing Work</v>
          </cell>
          <cell r="D1512">
            <v>918539724</v>
          </cell>
          <cell r="E1512">
            <v>3</v>
          </cell>
          <cell r="F1512">
            <v>3.1720331167770892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0.45818256135061675</v>
          </cell>
          <cell r="AC1512">
            <v>0.91636512270123349</v>
          </cell>
          <cell r="AD1512">
            <v>0.91636512270123349</v>
          </cell>
          <cell r="AE1512">
            <v>0.88112031002400582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>
            <v>0</v>
          </cell>
          <cell r="AM1512">
            <v>0</v>
          </cell>
          <cell r="AN1512">
            <v>0</v>
          </cell>
          <cell r="AO1512">
            <v>0</v>
          </cell>
          <cell r="AP1512">
            <v>0</v>
          </cell>
          <cell r="AQ1512">
            <v>0</v>
          </cell>
          <cell r="AR1512">
            <v>0</v>
          </cell>
        </row>
        <row r="1513">
          <cell r="B1513" t="str">
            <v xml:space="preserve">        CCC-1110</v>
          </cell>
          <cell r="C1513" t="str">
            <v>External Facade</v>
          </cell>
          <cell r="D1513">
            <v>1122659663</v>
          </cell>
          <cell r="E1513">
            <v>3</v>
          </cell>
          <cell r="F1513">
            <v>3.876929373774987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0.87230910771803472</v>
          </cell>
          <cell r="AB1513">
            <v>1.2115404293046834</v>
          </cell>
          <cell r="AC1513">
            <v>1.2600020471675395</v>
          </cell>
          <cell r="AD1513">
            <v>0.5330777895847294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>
            <v>0</v>
          </cell>
          <cell r="AM1513">
            <v>0</v>
          </cell>
          <cell r="AN1513">
            <v>0</v>
          </cell>
          <cell r="AO1513">
            <v>0</v>
          </cell>
          <cell r="AP1513">
            <v>0</v>
          </cell>
          <cell r="AQ1513">
            <v>0</v>
          </cell>
          <cell r="AR1513">
            <v>0</v>
          </cell>
        </row>
        <row r="1514">
          <cell r="B1514" t="str">
            <v xml:space="preserve">        CCC-1120</v>
          </cell>
          <cell r="C1514" t="str">
            <v>Specialized/ Misc.  Finishes</v>
          </cell>
          <cell r="D1514">
            <v>408239878</v>
          </cell>
          <cell r="E1514">
            <v>3</v>
          </cell>
          <cell r="F1514">
            <v>1.4097925036357646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0.14097925070891082</v>
          </cell>
          <cell r="AE1514">
            <v>0.2349654178481847</v>
          </cell>
          <cell r="AF1514">
            <v>0.2349654178481847</v>
          </cell>
          <cell r="AG1514">
            <v>0.22556679837158256</v>
          </cell>
          <cell r="AH1514">
            <v>0.2349654178481847</v>
          </cell>
          <cell r="AI1514">
            <v>0.2443640338714434</v>
          </cell>
          <cell r="AJ1514">
            <v>9.3986167139273893E-2</v>
          </cell>
          <cell r="AK1514">
            <v>0</v>
          </cell>
          <cell r="AL1514">
            <v>0</v>
          </cell>
          <cell r="AM1514">
            <v>0</v>
          </cell>
          <cell r="AN1514">
            <v>0</v>
          </cell>
          <cell r="AO1514">
            <v>0</v>
          </cell>
          <cell r="AP1514">
            <v>0</v>
          </cell>
          <cell r="AQ1514">
            <v>0</v>
          </cell>
          <cell r="AR1514">
            <v>0</v>
          </cell>
        </row>
        <row r="1515">
          <cell r="B1515" t="str">
            <v xml:space="preserve">        CCC-1130</v>
          </cell>
          <cell r="C1515" t="str">
            <v>Audio Visuals</v>
          </cell>
          <cell r="D1515">
            <v>204119939</v>
          </cell>
          <cell r="E1515">
            <v>3</v>
          </cell>
          <cell r="F1515">
            <v>0.70489625009121071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0.15048346997423098</v>
          </cell>
          <cell r="AJ1515">
            <v>0.19008438185306001</v>
          </cell>
          <cell r="AK1515">
            <v>0.19008438185306001</v>
          </cell>
          <cell r="AL1515">
            <v>0.17424401641085971</v>
          </cell>
          <cell r="AM1515">
            <v>0</v>
          </cell>
          <cell r="AN1515">
            <v>0</v>
          </cell>
          <cell r="AO1515">
            <v>0</v>
          </cell>
          <cell r="AP1515">
            <v>0</v>
          </cell>
          <cell r="AQ1515">
            <v>0</v>
          </cell>
          <cell r="AR1515">
            <v>0</v>
          </cell>
        </row>
        <row r="1516">
          <cell r="B1516" t="str">
            <v xml:space="preserve">        CCC-1140</v>
          </cell>
          <cell r="C1516" t="str">
            <v>Furniture</v>
          </cell>
          <cell r="D1516">
            <v>408239878</v>
          </cell>
          <cell r="E1516">
            <v>3</v>
          </cell>
          <cell r="F1516">
            <v>1.4097924967290778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0.19132898063827652</v>
          </cell>
          <cell r="AH1516">
            <v>0.2517486600068588</v>
          </cell>
          <cell r="AI1516">
            <v>0.26181860599273193</v>
          </cell>
          <cell r="AJ1516">
            <v>0.24167871402098565</v>
          </cell>
          <cell r="AK1516">
            <v>0.24167871402098565</v>
          </cell>
          <cell r="AL1516">
            <v>0.22153882204923939</v>
          </cell>
          <cell r="AM1516">
            <v>0</v>
          </cell>
          <cell r="AN1516">
            <v>0</v>
          </cell>
          <cell r="AO1516">
            <v>0</v>
          </cell>
          <cell r="AP1516">
            <v>0</v>
          </cell>
          <cell r="AQ1516">
            <v>0</v>
          </cell>
          <cell r="AR1516">
            <v>0</v>
          </cell>
        </row>
        <row r="1517">
          <cell r="B1517" t="str">
            <v xml:space="preserve">      MEP WORKS</v>
          </cell>
          <cell r="D1517">
            <v>2298455310</v>
          </cell>
          <cell r="F1517">
            <v>7.9373555418377384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0.61212078717139684</v>
          </cell>
          <cell r="AE1517">
            <v>1.0202013131034424</v>
          </cell>
          <cell r="AF1517">
            <v>1.0202013131034424</v>
          </cell>
          <cell r="AG1517">
            <v>0.97939325740222893</v>
          </cell>
          <cell r="AH1517">
            <v>1.0202013131034424</v>
          </cell>
          <cell r="AI1517">
            <v>1.0610093653513128</v>
          </cell>
          <cell r="AJ1517">
            <v>0.97939325740222893</v>
          </cell>
          <cell r="AK1517">
            <v>0.77960341269551869</v>
          </cell>
          <cell r="AL1517">
            <v>0.46523152250472494</v>
          </cell>
          <cell r="AM1517">
            <v>0</v>
          </cell>
          <cell r="AN1517">
            <v>0</v>
          </cell>
          <cell r="AO1517">
            <v>0</v>
          </cell>
          <cell r="AP1517">
            <v>0</v>
          </cell>
          <cell r="AQ1517">
            <v>0</v>
          </cell>
          <cell r="AR1517">
            <v>0</v>
          </cell>
        </row>
        <row r="1518">
          <cell r="B1518" t="str">
            <v xml:space="preserve">        CCC-1150</v>
          </cell>
          <cell r="C1518" t="str">
            <v>Electrical Works</v>
          </cell>
          <cell r="D1518">
            <v>367415890</v>
          </cell>
          <cell r="E1518">
            <v>3</v>
          </cell>
          <cell r="F1518">
            <v>1.2688132425668237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9.0629517326201697E-2</v>
          </cell>
          <cell r="AE1518">
            <v>0.15104919669478395</v>
          </cell>
          <cell r="AF1518">
            <v>0.15104919669478395</v>
          </cell>
          <cell r="AG1518">
            <v>0.14500722703125404</v>
          </cell>
          <cell r="AH1518">
            <v>0.15104919669478395</v>
          </cell>
          <cell r="AI1518">
            <v>0.15709116290497049</v>
          </cell>
          <cell r="AJ1518">
            <v>0.14500722703125404</v>
          </cell>
          <cell r="AK1518">
            <v>0.14500722703125404</v>
          </cell>
          <cell r="AL1518">
            <v>0.13292329115753759</v>
          </cell>
          <cell r="AM1518">
            <v>0</v>
          </cell>
          <cell r="AN1518">
            <v>0</v>
          </cell>
          <cell r="AO1518">
            <v>0</v>
          </cell>
          <cell r="AP1518">
            <v>0</v>
          </cell>
          <cell r="AQ1518">
            <v>0</v>
          </cell>
          <cell r="AR1518">
            <v>0</v>
          </cell>
        </row>
        <row r="1519">
          <cell r="B1519" t="str">
            <v xml:space="preserve">        CCC-1160</v>
          </cell>
          <cell r="C1519" t="str">
            <v>Plumbing &amp; Fire Fighting Works</v>
          </cell>
          <cell r="D1519">
            <v>275561917</v>
          </cell>
          <cell r="E1519">
            <v>3</v>
          </cell>
          <cell r="F1519">
            <v>0.95160993883180467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6.7972137994651266E-2</v>
          </cell>
          <cell r="AE1519">
            <v>0.11328689665775211</v>
          </cell>
          <cell r="AF1519">
            <v>0.11328689665775211</v>
          </cell>
          <cell r="AG1519">
            <v>0.10875542286344808</v>
          </cell>
          <cell r="AH1519">
            <v>0.11328689665775211</v>
          </cell>
          <cell r="AI1519">
            <v>0.11781837390539956</v>
          </cell>
          <cell r="AJ1519">
            <v>0.10875542286344808</v>
          </cell>
          <cell r="AK1519">
            <v>0.10875542286344808</v>
          </cell>
          <cell r="AL1519">
            <v>9.9692468368153167E-2</v>
          </cell>
          <cell r="AM1519">
            <v>0</v>
          </cell>
          <cell r="AN1519">
            <v>0</v>
          </cell>
          <cell r="AO1519">
            <v>0</v>
          </cell>
          <cell r="AP1519">
            <v>0</v>
          </cell>
          <cell r="AQ1519">
            <v>0</v>
          </cell>
          <cell r="AR1519">
            <v>0</v>
          </cell>
        </row>
        <row r="1520">
          <cell r="B1520" t="str">
            <v xml:space="preserve">        CCC-1170</v>
          </cell>
          <cell r="C1520" t="str">
            <v>HVAC Works</v>
          </cell>
          <cell r="D1520">
            <v>642977807</v>
          </cell>
          <cell r="E1520">
            <v>3</v>
          </cell>
          <cell r="F1520">
            <v>2.2204231848519718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0.15860165532085296</v>
          </cell>
          <cell r="AE1520">
            <v>0.26433609335253605</v>
          </cell>
          <cell r="AF1520">
            <v>0.26433609335253605</v>
          </cell>
          <cell r="AG1520">
            <v>0.2537626498947021</v>
          </cell>
          <cell r="AH1520">
            <v>0.26433609335253605</v>
          </cell>
          <cell r="AI1520">
            <v>0.27490953681037006</v>
          </cell>
          <cell r="AJ1520">
            <v>0.2537626498947021</v>
          </cell>
          <cell r="AK1520">
            <v>0.2537626498947021</v>
          </cell>
          <cell r="AL1520">
            <v>0.23261576297903419</v>
          </cell>
          <cell r="AM1520">
            <v>0</v>
          </cell>
          <cell r="AN1520">
            <v>0</v>
          </cell>
          <cell r="AO1520">
            <v>0</v>
          </cell>
          <cell r="AP1520">
            <v>0</v>
          </cell>
          <cell r="AQ1520">
            <v>0</v>
          </cell>
          <cell r="AR1520">
            <v>0</v>
          </cell>
        </row>
        <row r="1521">
          <cell r="B1521" t="str">
            <v xml:space="preserve">        CCC-1180</v>
          </cell>
          <cell r="C1521" t="str">
            <v>Escalators</v>
          </cell>
          <cell r="D1521">
            <v>186299944</v>
          </cell>
          <cell r="E1521">
            <v>3</v>
          </cell>
          <cell r="F1521">
            <v>0.64335769090494777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5.4483361293921805E-2</v>
          </cell>
          <cell r="AE1521">
            <v>9.080560330765082E-2</v>
          </cell>
          <cell r="AF1521">
            <v>9.080560330765082E-2</v>
          </cell>
          <cell r="AG1521">
            <v>8.7173376688937515E-2</v>
          </cell>
          <cell r="AH1521">
            <v>9.080560330765082E-2</v>
          </cell>
          <cell r="AI1521">
            <v>9.4437826473020695E-2</v>
          </cell>
          <cell r="AJ1521">
            <v>8.7173376688937515E-2</v>
          </cell>
          <cell r="AK1521">
            <v>4.7672939837177797E-2</v>
          </cell>
          <cell r="AL1521">
            <v>0</v>
          </cell>
          <cell r="AM1521">
            <v>0</v>
          </cell>
          <cell r="AN1521">
            <v>0</v>
          </cell>
          <cell r="AO1521">
            <v>0</v>
          </cell>
          <cell r="AP1521">
            <v>0</v>
          </cell>
          <cell r="AQ1521">
            <v>0</v>
          </cell>
          <cell r="AR1521">
            <v>0</v>
          </cell>
        </row>
        <row r="1522">
          <cell r="B1522" t="str">
            <v xml:space="preserve">        CCC-1190</v>
          </cell>
          <cell r="C1522" t="str">
            <v>BMS System(Fire detection, Access Control , PA System &amp; Security Cameras )</v>
          </cell>
          <cell r="D1522">
            <v>826199752</v>
          </cell>
          <cell r="E1522">
            <v>3</v>
          </cell>
          <cell r="F1522">
            <v>2.8531514846821908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0.2404341152357691</v>
          </cell>
          <cell r="AE1522">
            <v>0.40072352309071957</v>
          </cell>
          <cell r="AF1522">
            <v>0.40072352309071957</v>
          </cell>
          <cell r="AG1522">
            <v>0.3846945809238872</v>
          </cell>
          <cell r="AH1522">
            <v>0.40072352309071957</v>
          </cell>
          <cell r="AI1522">
            <v>0.41675246525755205</v>
          </cell>
          <cell r="AJ1522">
            <v>0.3846945809238872</v>
          </cell>
          <cell r="AK1522">
            <v>0.2244051730689367</v>
          </cell>
          <cell r="AL1522">
            <v>0</v>
          </cell>
          <cell r="AM1522">
            <v>0</v>
          </cell>
          <cell r="AN1522">
            <v>0</v>
          </cell>
          <cell r="AO1522">
            <v>0</v>
          </cell>
          <cell r="AP1522">
            <v>0</v>
          </cell>
          <cell r="AQ1522">
            <v>0</v>
          </cell>
          <cell r="AR1522">
            <v>0</v>
          </cell>
        </row>
        <row r="1523">
          <cell r="B1523" t="str">
            <v xml:space="preserve">      COMPLETION &amp; HANDING OVER</v>
          </cell>
          <cell r="D1523">
            <v>255149923</v>
          </cell>
          <cell r="F1523">
            <v>0.88112031002400582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>
            <v>6.7778484855178386E-2</v>
          </cell>
          <cell r="AM1523">
            <v>0.4575047770891334</v>
          </cell>
          <cell r="AN1523">
            <v>0.35583704807969407</v>
          </cell>
          <cell r="AO1523">
            <v>0</v>
          </cell>
          <cell r="AP1523">
            <v>0</v>
          </cell>
          <cell r="AQ1523">
            <v>0</v>
          </cell>
          <cell r="AR1523">
            <v>0</v>
          </cell>
        </row>
        <row r="1524">
          <cell r="B1524" t="str">
            <v xml:space="preserve">        CCC-1040</v>
          </cell>
          <cell r="C1524" t="str">
            <v>Completion of Construction Work for Convention Center</v>
          </cell>
          <cell r="D1524">
            <v>0</v>
          </cell>
          <cell r="E1524">
            <v>3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>
            <v>0</v>
          </cell>
          <cell r="AM1524">
            <v>0</v>
          </cell>
          <cell r="AN1524">
            <v>0</v>
          </cell>
          <cell r="AO1524">
            <v>0</v>
          </cell>
          <cell r="AP1524">
            <v>0</v>
          </cell>
          <cell r="AQ1524">
            <v>0</v>
          </cell>
          <cell r="AR1524">
            <v>0</v>
          </cell>
        </row>
        <row r="1525">
          <cell r="B1525" t="str">
            <v xml:space="preserve">        CCC-1050</v>
          </cell>
          <cell r="C1525" t="str">
            <v>Testing &amp; Commissioning of Convention Center</v>
          </cell>
          <cell r="D1525">
            <v>255149923</v>
          </cell>
          <cell r="E1525">
            <v>3</v>
          </cell>
          <cell r="F1525">
            <v>0.88112031002400582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>
            <v>6.7778484855178386E-2</v>
          </cell>
          <cell r="AM1525">
            <v>0.4575047770891334</v>
          </cell>
          <cell r="AN1525">
            <v>0.35583704807969407</v>
          </cell>
          <cell r="AO1525">
            <v>0</v>
          </cell>
          <cell r="AP1525">
            <v>0</v>
          </cell>
          <cell r="AQ1525">
            <v>0</v>
          </cell>
          <cell r="AR1525">
            <v>0</v>
          </cell>
        </row>
        <row r="1526">
          <cell r="B1526" t="str">
            <v xml:space="preserve">    HOSPITALITY</v>
          </cell>
          <cell r="D1526">
            <v>17849994645</v>
          </cell>
          <cell r="F1526">
            <v>20.547387249207368</v>
          </cell>
          <cell r="G1526">
            <v>1.1271709568262152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0.54010275000200536</v>
          </cell>
          <cell r="U1526">
            <v>0.58706820682420968</v>
          </cell>
          <cell r="V1526">
            <v>0.58706820682420968</v>
          </cell>
          <cell r="W1526">
            <v>0.61055093408419736</v>
          </cell>
          <cell r="X1526">
            <v>0.56358547956422211</v>
          </cell>
          <cell r="Y1526">
            <v>1.0596581135076324</v>
          </cell>
          <cell r="Z1526">
            <v>1.1007528888026183</v>
          </cell>
          <cell r="AA1526">
            <v>1.4679026870659331</v>
          </cell>
          <cell r="AB1526">
            <v>1.3798424572509722</v>
          </cell>
          <cell r="AC1526">
            <v>1.4350361517193111</v>
          </cell>
          <cell r="AD1526">
            <v>1.4350361517193111</v>
          </cell>
          <cell r="AE1526">
            <v>1.3798424572509722</v>
          </cell>
          <cell r="AF1526">
            <v>1.3798424572509722</v>
          </cell>
          <cell r="AG1526">
            <v>1.3011660297670733</v>
          </cell>
          <cell r="AH1526">
            <v>0.79277425042676253</v>
          </cell>
          <cell r="AI1526">
            <v>0.82448521763511373</v>
          </cell>
          <cell r="AJ1526">
            <v>0.76106327976506793</v>
          </cell>
          <cell r="AK1526">
            <v>0.76106327976506793</v>
          </cell>
          <cell r="AL1526">
            <v>0.82448521763511373</v>
          </cell>
          <cell r="AM1526">
            <v>0.85619618829680832</v>
          </cell>
          <cell r="AN1526">
            <v>0.71996850447008187</v>
          </cell>
          <cell r="AO1526">
            <v>0.17989633957971343</v>
          </cell>
          <cell r="AP1526">
            <v>0</v>
          </cell>
          <cell r="AQ1526">
            <v>0</v>
          </cell>
          <cell r="AR1526">
            <v>0</v>
          </cell>
        </row>
        <row r="1527">
          <cell r="B1527" t="str">
            <v xml:space="preserve">      5 STAR HOTEL - 1</v>
          </cell>
          <cell r="D1527">
            <v>6549998035</v>
          </cell>
          <cell r="F1527">
            <v>7.5397975639880679</v>
          </cell>
          <cell r="G1527">
            <v>0.41361175185798615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0.19818896447991477</v>
          </cell>
          <cell r="U1527">
            <v>0.21542278737807136</v>
          </cell>
          <cell r="V1527">
            <v>0.21542278737807136</v>
          </cell>
          <cell r="W1527">
            <v>0.22403969882714964</v>
          </cell>
          <cell r="X1527">
            <v>0.20680587592899308</v>
          </cell>
          <cell r="Y1527">
            <v>0.38883813144188611</v>
          </cell>
          <cell r="Z1527">
            <v>0.40391772647777308</v>
          </cell>
          <cell r="AA1527">
            <v>0.53867404657189732</v>
          </cell>
          <cell r="AB1527">
            <v>0.50636062863785392</v>
          </cell>
          <cell r="AC1527">
            <v>0.52661505304665479</v>
          </cell>
          <cell r="AD1527">
            <v>0.52661505304665479</v>
          </cell>
          <cell r="AE1527">
            <v>0.50636062863785392</v>
          </cell>
          <cell r="AF1527">
            <v>0.50636062863785392</v>
          </cell>
          <cell r="AG1527">
            <v>0.47748929162886028</v>
          </cell>
          <cell r="AH1527">
            <v>0.29093784125978256</v>
          </cell>
          <cell r="AI1527">
            <v>0.30257535421950521</v>
          </cell>
          <cell r="AJ1527">
            <v>0.27930032714894548</v>
          </cell>
          <cell r="AK1527">
            <v>0.27930032714894548</v>
          </cell>
          <cell r="AL1527">
            <v>0.30257535421950521</v>
          </cell>
          <cell r="AM1527">
            <v>0.31421286833034229</v>
          </cell>
          <cell r="AN1527">
            <v>0.26422073211305847</v>
          </cell>
          <cell r="AO1527">
            <v>6.5563457428496313E-2</v>
          </cell>
          <cell r="AP1527">
            <v>0</v>
          </cell>
          <cell r="AQ1527">
            <v>0</v>
          </cell>
          <cell r="AR1527">
            <v>0</v>
          </cell>
        </row>
        <row r="1528">
          <cell r="B1528" t="str">
            <v xml:space="preserve">        C51-1000</v>
          </cell>
          <cell r="C1528" t="str">
            <v>Structure Works for 5 Star Hotel -1</v>
          </cell>
          <cell r="D1528">
            <v>2619999214</v>
          </cell>
          <cell r="E1528">
            <v>1</v>
          </cell>
          <cell r="F1528">
            <v>3.0159190232929989</v>
          </cell>
          <cell r="G1528">
            <v>0.41361175185798615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0.19818896447991477</v>
          </cell>
          <cell r="U1528">
            <v>0.21542278737807136</v>
          </cell>
          <cell r="V1528">
            <v>0.21542278737807136</v>
          </cell>
          <cell r="W1528">
            <v>0.22403969882714964</v>
          </cell>
          <cell r="X1528">
            <v>0.20680587592899308</v>
          </cell>
          <cell r="Y1528">
            <v>0.21542278737807136</v>
          </cell>
          <cell r="Z1528">
            <v>0.21542278737807136</v>
          </cell>
          <cell r="AA1528">
            <v>0.23265661027622786</v>
          </cell>
          <cell r="AB1528">
            <v>0.21542278737807136</v>
          </cell>
          <cell r="AC1528">
            <v>0.22403969882714964</v>
          </cell>
          <cell r="AD1528">
            <v>0.22403969882714964</v>
          </cell>
          <cell r="AE1528">
            <v>0.21542278737807136</v>
          </cell>
          <cell r="AF1528">
            <v>0.21542278737807136</v>
          </cell>
          <cell r="AG1528">
            <v>0.19818896447991477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>
            <v>0</v>
          </cell>
          <cell r="AM1528">
            <v>0</v>
          </cell>
          <cell r="AN1528">
            <v>0</v>
          </cell>
          <cell r="AO1528">
            <v>0</v>
          </cell>
          <cell r="AP1528">
            <v>0</v>
          </cell>
          <cell r="AQ1528">
            <v>0</v>
          </cell>
          <cell r="AR1528">
            <v>0</v>
          </cell>
        </row>
        <row r="1529">
          <cell r="B1529" t="str">
            <v xml:space="preserve">        C51-1010</v>
          </cell>
          <cell r="C1529" t="str">
            <v>Finishes Works for 5 Star Hotel -1</v>
          </cell>
          <cell r="D1529">
            <v>2619999214</v>
          </cell>
          <cell r="E1529">
            <v>1</v>
          </cell>
          <cell r="F1529">
            <v>3.0159190255952266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0.17341534406381476</v>
          </cell>
          <cell r="Z1529">
            <v>0.18849493909970172</v>
          </cell>
          <cell r="AA1529">
            <v>0.20357453413558871</v>
          </cell>
          <cell r="AB1529">
            <v>0.18849493909970172</v>
          </cell>
          <cell r="AC1529">
            <v>0.19603473661764523</v>
          </cell>
          <cell r="AD1529">
            <v>0.19603473661764523</v>
          </cell>
          <cell r="AE1529">
            <v>0.18849493909970172</v>
          </cell>
          <cell r="AF1529">
            <v>0.18849493909970172</v>
          </cell>
          <cell r="AG1529">
            <v>0.18095514158175824</v>
          </cell>
          <cell r="AH1529">
            <v>0.18849493909970172</v>
          </cell>
          <cell r="AI1529">
            <v>0.19603473661764523</v>
          </cell>
          <cell r="AJ1529">
            <v>0.18095514158175824</v>
          </cell>
          <cell r="AK1529">
            <v>0.18095514158175824</v>
          </cell>
          <cell r="AL1529">
            <v>0.19603473661764523</v>
          </cell>
          <cell r="AM1529">
            <v>0.20357453413558871</v>
          </cell>
          <cell r="AN1529">
            <v>0.16587554654587125</v>
          </cell>
          <cell r="AO1529">
            <v>0</v>
          </cell>
          <cell r="AP1529">
            <v>0</v>
          </cell>
          <cell r="AQ1529">
            <v>0</v>
          </cell>
          <cell r="AR1529">
            <v>0</v>
          </cell>
        </row>
        <row r="1530">
          <cell r="B1530" t="str">
            <v xml:space="preserve">        C51-1020</v>
          </cell>
          <cell r="C1530" t="str">
            <v>MEP Works for 5 Star Hotel -1</v>
          </cell>
          <cell r="D1530">
            <v>1309999607</v>
          </cell>
          <cell r="E1530">
            <v>1</v>
          </cell>
          <cell r="F1530">
            <v>1.5079595150998426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0.10244290216008083</v>
          </cell>
          <cell r="AB1530">
            <v>0.10244290216008083</v>
          </cell>
          <cell r="AC1530">
            <v>0.10654061760185995</v>
          </cell>
          <cell r="AD1530">
            <v>0.10654061760185995</v>
          </cell>
          <cell r="AE1530">
            <v>0.10244290216008083</v>
          </cell>
          <cell r="AF1530">
            <v>0.10244290216008083</v>
          </cell>
          <cell r="AG1530">
            <v>9.8345185567187229E-2</v>
          </cell>
          <cell r="AH1530">
            <v>0.10244290216008083</v>
          </cell>
          <cell r="AI1530">
            <v>0.10654061760185995</v>
          </cell>
          <cell r="AJ1530">
            <v>9.8345185567187229E-2</v>
          </cell>
          <cell r="AK1530">
            <v>9.8345185567187229E-2</v>
          </cell>
          <cell r="AL1530">
            <v>0.10654061760185995</v>
          </cell>
          <cell r="AM1530">
            <v>0.11063833419475357</v>
          </cell>
          <cell r="AN1530">
            <v>9.8345185567187229E-2</v>
          </cell>
          <cell r="AO1530">
            <v>6.5563457428496313E-2</v>
          </cell>
          <cell r="AP1530">
            <v>0</v>
          </cell>
          <cell r="AQ1530">
            <v>0</v>
          </cell>
          <cell r="AR1530">
            <v>0</v>
          </cell>
        </row>
        <row r="1531">
          <cell r="B1531" t="str">
            <v xml:space="preserve">        COMPLETION &amp; HANDING OVER</v>
          </cell>
          <cell r="D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>
            <v>0</v>
          </cell>
          <cell r="AM1531">
            <v>0</v>
          </cell>
          <cell r="AN1531">
            <v>0</v>
          </cell>
          <cell r="AO1531">
            <v>0</v>
          </cell>
          <cell r="AP1531">
            <v>0</v>
          </cell>
          <cell r="AQ1531">
            <v>0</v>
          </cell>
          <cell r="AR1531">
            <v>0</v>
          </cell>
        </row>
        <row r="1532">
          <cell r="B1532" t="str">
            <v xml:space="preserve">          C51-1030</v>
          </cell>
          <cell r="C1532" t="str">
            <v>Completion of Construction Work for 5 Star Hotel -1</v>
          </cell>
          <cell r="D1532">
            <v>0</v>
          </cell>
          <cell r="E1532">
            <v>1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>
            <v>0</v>
          </cell>
          <cell r="AM1532">
            <v>0</v>
          </cell>
          <cell r="AN1532">
            <v>0</v>
          </cell>
          <cell r="AO1532">
            <v>0</v>
          </cell>
          <cell r="AP1532">
            <v>0</v>
          </cell>
          <cell r="AQ1532">
            <v>0</v>
          </cell>
          <cell r="AR1532">
            <v>0</v>
          </cell>
        </row>
        <row r="1533">
          <cell r="B1533" t="str">
            <v xml:space="preserve">          C51-1040</v>
          </cell>
          <cell r="C1533" t="str">
            <v>Testing &amp; Commissioning of 5 Star Hotel -1</v>
          </cell>
          <cell r="D1533">
            <v>0</v>
          </cell>
          <cell r="E1533">
            <v>1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>
            <v>0</v>
          </cell>
          <cell r="AM1533">
            <v>0</v>
          </cell>
          <cell r="AN1533">
            <v>0</v>
          </cell>
          <cell r="AO1533">
            <v>0</v>
          </cell>
          <cell r="AP1533">
            <v>0</v>
          </cell>
          <cell r="AQ1533">
            <v>0</v>
          </cell>
          <cell r="AR1533">
            <v>0</v>
          </cell>
        </row>
        <row r="1534">
          <cell r="B1534" t="str">
            <v xml:space="preserve">      5 STAR HOTEL - 2</v>
          </cell>
          <cell r="D1534">
            <v>6549998035</v>
          </cell>
          <cell r="F1534">
            <v>7.5397975639880679</v>
          </cell>
          <cell r="G1534">
            <v>0.41361175185798615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0.19818896447991477</v>
          </cell>
          <cell r="U1534">
            <v>0.21542278737807136</v>
          </cell>
          <cell r="V1534">
            <v>0.21542278737807136</v>
          </cell>
          <cell r="W1534">
            <v>0.22403969882714964</v>
          </cell>
          <cell r="X1534">
            <v>0.20680587592899308</v>
          </cell>
          <cell r="Y1534">
            <v>0.38883813144188611</v>
          </cell>
          <cell r="Z1534">
            <v>0.40391772647777308</v>
          </cell>
          <cell r="AA1534">
            <v>0.53867404657189732</v>
          </cell>
          <cell r="AB1534">
            <v>0.50636062863785392</v>
          </cell>
          <cell r="AC1534">
            <v>0.52661505304665479</v>
          </cell>
          <cell r="AD1534">
            <v>0.52661505304665479</v>
          </cell>
          <cell r="AE1534">
            <v>0.50636062863785392</v>
          </cell>
          <cell r="AF1534">
            <v>0.50636062863785392</v>
          </cell>
          <cell r="AG1534">
            <v>0.47748929162886028</v>
          </cell>
          <cell r="AH1534">
            <v>0.29093784125978256</v>
          </cell>
          <cell r="AI1534">
            <v>0.30257535421950521</v>
          </cell>
          <cell r="AJ1534">
            <v>0.27930032714894548</v>
          </cell>
          <cell r="AK1534">
            <v>0.27930032714894548</v>
          </cell>
          <cell r="AL1534">
            <v>0.30257535421950521</v>
          </cell>
          <cell r="AM1534">
            <v>0.31421286833034229</v>
          </cell>
          <cell r="AN1534">
            <v>0.26422073211305847</v>
          </cell>
          <cell r="AO1534">
            <v>6.5563457428496313E-2</v>
          </cell>
          <cell r="AP1534">
            <v>0</v>
          </cell>
          <cell r="AQ1534">
            <v>0</v>
          </cell>
          <cell r="AR1534">
            <v>0</v>
          </cell>
        </row>
        <row r="1535">
          <cell r="B1535" t="str">
            <v xml:space="preserve">        C52-1000</v>
          </cell>
          <cell r="C1535" t="str">
            <v>Structure Works for 5 Star Hotel -2</v>
          </cell>
          <cell r="D1535">
            <v>2619999214</v>
          </cell>
          <cell r="E1535">
            <v>1</v>
          </cell>
          <cell r="F1535">
            <v>3.0159190232929989</v>
          </cell>
          <cell r="G1535">
            <v>0.41361175185798615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0.19818896447991477</v>
          </cell>
          <cell r="U1535">
            <v>0.21542278737807136</v>
          </cell>
          <cell r="V1535">
            <v>0.21542278737807136</v>
          </cell>
          <cell r="W1535">
            <v>0.22403969882714964</v>
          </cell>
          <cell r="X1535">
            <v>0.20680587592899308</v>
          </cell>
          <cell r="Y1535">
            <v>0.21542278737807136</v>
          </cell>
          <cell r="Z1535">
            <v>0.21542278737807136</v>
          </cell>
          <cell r="AA1535">
            <v>0.23265661027622786</v>
          </cell>
          <cell r="AB1535">
            <v>0.21542278737807136</v>
          </cell>
          <cell r="AC1535">
            <v>0.22403969882714964</v>
          </cell>
          <cell r="AD1535">
            <v>0.22403969882714964</v>
          </cell>
          <cell r="AE1535">
            <v>0.21542278737807136</v>
          </cell>
          <cell r="AF1535">
            <v>0.21542278737807136</v>
          </cell>
          <cell r="AG1535">
            <v>0.19818896447991477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>
            <v>0</v>
          </cell>
          <cell r="AM1535">
            <v>0</v>
          </cell>
          <cell r="AN1535">
            <v>0</v>
          </cell>
          <cell r="AO1535">
            <v>0</v>
          </cell>
          <cell r="AP1535">
            <v>0</v>
          </cell>
          <cell r="AQ1535">
            <v>0</v>
          </cell>
          <cell r="AR1535">
            <v>0</v>
          </cell>
        </row>
        <row r="1536">
          <cell r="B1536" t="str">
            <v xml:space="preserve">        C52-1010</v>
          </cell>
          <cell r="C1536" t="str">
            <v>Finishes Works for 5 Star Hotel -2</v>
          </cell>
          <cell r="D1536">
            <v>2619999214</v>
          </cell>
          <cell r="E1536">
            <v>1</v>
          </cell>
          <cell r="F1536">
            <v>3.0159190255952266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0.17341534406381476</v>
          </cell>
          <cell r="Z1536">
            <v>0.18849493909970172</v>
          </cell>
          <cell r="AA1536">
            <v>0.20357453413558871</v>
          </cell>
          <cell r="AB1536">
            <v>0.18849493909970172</v>
          </cell>
          <cell r="AC1536">
            <v>0.19603473661764523</v>
          </cell>
          <cell r="AD1536">
            <v>0.19603473661764523</v>
          </cell>
          <cell r="AE1536">
            <v>0.18849493909970172</v>
          </cell>
          <cell r="AF1536">
            <v>0.18849493909970172</v>
          </cell>
          <cell r="AG1536">
            <v>0.18095514158175824</v>
          </cell>
          <cell r="AH1536">
            <v>0.18849493909970172</v>
          </cell>
          <cell r="AI1536">
            <v>0.19603473661764523</v>
          </cell>
          <cell r="AJ1536">
            <v>0.18095514158175824</v>
          </cell>
          <cell r="AK1536">
            <v>0.18095514158175824</v>
          </cell>
          <cell r="AL1536">
            <v>0.19603473661764523</v>
          </cell>
          <cell r="AM1536">
            <v>0.20357453413558871</v>
          </cell>
          <cell r="AN1536">
            <v>0.16587554654587125</v>
          </cell>
          <cell r="AO1536">
            <v>0</v>
          </cell>
          <cell r="AP1536">
            <v>0</v>
          </cell>
          <cell r="AQ1536">
            <v>0</v>
          </cell>
          <cell r="AR1536">
            <v>0</v>
          </cell>
        </row>
        <row r="1537">
          <cell r="B1537" t="str">
            <v xml:space="preserve">        C52-1020</v>
          </cell>
          <cell r="C1537" t="str">
            <v>MEP Works for 5 Star Hotel -2</v>
          </cell>
          <cell r="D1537">
            <v>1309999607</v>
          </cell>
          <cell r="E1537">
            <v>1</v>
          </cell>
          <cell r="F1537">
            <v>1.5079595150998426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0.10244290216008083</v>
          </cell>
          <cell r="AB1537">
            <v>0.10244290216008083</v>
          </cell>
          <cell r="AC1537">
            <v>0.10654061760185995</v>
          </cell>
          <cell r="AD1537">
            <v>0.10654061760185995</v>
          </cell>
          <cell r="AE1537">
            <v>0.10244290216008083</v>
          </cell>
          <cell r="AF1537">
            <v>0.10244290216008083</v>
          </cell>
          <cell r="AG1537">
            <v>9.8345185567187229E-2</v>
          </cell>
          <cell r="AH1537">
            <v>0.10244290216008083</v>
          </cell>
          <cell r="AI1537">
            <v>0.10654061760185995</v>
          </cell>
          <cell r="AJ1537">
            <v>9.8345185567187229E-2</v>
          </cell>
          <cell r="AK1537">
            <v>9.8345185567187229E-2</v>
          </cell>
          <cell r="AL1537">
            <v>0.10654061760185995</v>
          </cell>
          <cell r="AM1537">
            <v>0.11063833419475357</v>
          </cell>
          <cell r="AN1537">
            <v>9.8345185567187229E-2</v>
          </cell>
          <cell r="AO1537">
            <v>6.5563457428496313E-2</v>
          </cell>
          <cell r="AP1537">
            <v>0</v>
          </cell>
          <cell r="AQ1537">
            <v>0</v>
          </cell>
          <cell r="AR1537">
            <v>0</v>
          </cell>
        </row>
        <row r="1538">
          <cell r="B1538" t="str">
            <v xml:space="preserve">        COMPLETION &amp; HANDING OVER</v>
          </cell>
          <cell r="D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>
            <v>0</v>
          </cell>
          <cell r="AM1538">
            <v>0</v>
          </cell>
          <cell r="AN1538">
            <v>0</v>
          </cell>
          <cell r="AO1538">
            <v>0</v>
          </cell>
          <cell r="AP1538">
            <v>0</v>
          </cell>
          <cell r="AQ1538">
            <v>0</v>
          </cell>
          <cell r="AR1538">
            <v>0</v>
          </cell>
        </row>
        <row r="1539">
          <cell r="B1539" t="str">
            <v xml:space="preserve">          C52-1030</v>
          </cell>
          <cell r="C1539" t="str">
            <v>Completion of Construction Work for 5 Star Hotel -2</v>
          </cell>
          <cell r="D1539">
            <v>0</v>
          </cell>
          <cell r="E1539">
            <v>1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>
            <v>0</v>
          </cell>
          <cell r="AM1539">
            <v>0</v>
          </cell>
          <cell r="AN1539">
            <v>0</v>
          </cell>
          <cell r="AO1539">
            <v>0</v>
          </cell>
          <cell r="AP1539">
            <v>0</v>
          </cell>
          <cell r="AQ1539">
            <v>0</v>
          </cell>
          <cell r="AR1539">
            <v>0</v>
          </cell>
        </row>
        <row r="1540">
          <cell r="B1540" t="str">
            <v xml:space="preserve">          C52-1040</v>
          </cell>
          <cell r="C1540" t="str">
            <v>Testing &amp; Commissioning of 5 Star Hotel -2</v>
          </cell>
          <cell r="D1540">
            <v>0</v>
          </cell>
          <cell r="E1540">
            <v>1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>
            <v>0</v>
          </cell>
          <cell r="AM1540">
            <v>0</v>
          </cell>
          <cell r="AN1540">
            <v>0</v>
          </cell>
          <cell r="AO1540">
            <v>0</v>
          </cell>
          <cell r="AP1540">
            <v>0</v>
          </cell>
          <cell r="AQ1540">
            <v>0</v>
          </cell>
          <cell r="AR1540">
            <v>0</v>
          </cell>
        </row>
        <row r="1541">
          <cell r="B1541" t="str">
            <v xml:space="preserve">      4 STAR HOTEL - 1</v>
          </cell>
          <cell r="D1541">
            <v>2699999190</v>
          </cell>
          <cell r="F1541">
            <v>3.1080081560774566</v>
          </cell>
          <cell r="G1541">
            <v>0.17049644697050043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8.1696214005493928E-2</v>
          </cell>
          <cell r="U1541">
            <v>8.8800232965006512E-2</v>
          </cell>
          <cell r="V1541">
            <v>8.8800232965006512E-2</v>
          </cell>
          <cell r="W1541">
            <v>9.2352241869205556E-2</v>
          </cell>
          <cell r="X1541">
            <v>8.5248224060807454E-2</v>
          </cell>
          <cell r="Y1541">
            <v>0.16028442007592442</v>
          </cell>
          <cell r="Z1541">
            <v>0.16650043709716583</v>
          </cell>
          <cell r="AA1541">
            <v>0.22204884403805222</v>
          </cell>
          <cell r="AB1541">
            <v>0.20872880920841272</v>
          </cell>
          <cell r="AC1541">
            <v>0.21707795991914436</v>
          </cell>
          <cell r="AD1541">
            <v>0.21707795991914436</v>
          </cell>
          <cell r="AE1541">
            <v>0.20872880920841272</v>
          </cell>
          <cell r="AF1541">
            <v>0.20872880920841272</v>
          </cell>
          <cell r="AG1541">
            <v>0.19682764729125304</v>
          </cell>
          <cell r="AH1541">
            <v>0.11992857624340619</v>
          </cell>
          <cell r="AI1541">
            <v>0.12472571804993882</v>
          </cell>
          <cell r="AJ1541">
            <v>0.11513143328575912</v>
          </cell>
          <cell r="AK1541">
            <v>0.11513143328575912</v>
          </cell>
          <cell r="AL1541">
            <v>0.12472571804993882</v>
          </cell>
          <cell r="AM1541">
            <v>0.12952286100758589</v>
          </cell>
          <cell r="AN1541">
            <v>0.10891541626451767</v>
          </cell>
          <cell r="AO1541">
            <v>2.7026158059108844E-2</v>
          </cell>
          <cell r="AP1541">
            <v>0</v>
          </cell>
          <cell r="AQ1541">
            <v>0</v>
          </cell>
          <cell r="AR1541">
            <v>0</v>
          </cell>
        </row>
        <row r="1542">
          <cell r="B1542" t="str">
            <v xml:space="preserve">        C41-1000</v>
          </cell>
          <cell r="C1542" t="str">
            <v>Structure Works for 4 Star Hotel - 1</v>
          </cell>
          <cell r="D1542">
            <v>1079999676</v>
          </cell>
          <cell r="E1542">
            <v>1</v>
          </cell>
          <cell r="F1542">
            <v>1.2432032603589767</v>
          </cell>
          <cell r="G1542">
            <v>0.17049644697050043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8.1696214005493928E-2</v>
          </cell>
          <cell r="U1542">
            <v>8.8800232965006512E-2</v>
          </cell>
          <cell r="V1542">
            <v>8.8800232965006512E-2</v>
          </cell>
          <cell r="W1542">
            <v>9.2352241869205556E-2</v>
          </cell>
          <cell r="X1542">
            <v>8.5248224060807454E-2</v>
          </cell>
          <cell r="Y1542">
            <v>8.8800232965006512E-2</v>
          </cell>
          <cell r="Z1542">
            <v>8.8800232965006512E-2</v>
          </cell>
          <cell r="AA1542">
            <v>9.5904251924519082E-2</v>
          </cell>
          <cell r="AB1542">
            <v>8.8800232965006512E-2</v>
          </cell>
          <cell r="AC1542">
            <v>9.2352241869205556E-2</v>
          </cell>
          <cell r="AD1542">
            <v>9.2352241869205556E-2</v>
          </cell>
          <cell r="AE1542">
            <v>8.8800232965006512E-2</v>
          </cell>
          <cell r="AF1542">
            <v>8.8800232965006512E-2</v>
          </cell>
          <cell r="AG1542">
            <v>8.1696214005493928E-2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>
            <v>0</v>
          </cell>
          <cell r="AM1542">
            <v>0</v>
          </cell>
          <cell r="AN1542">
            <v>0</v>
          </cell>
          <cell r="AO1542">
            <v>0</v>
          </cell>
          <cell r="AP1542">
            <v>0</v>
          </cell>
          <cell r="AQ1542">
            <v>0</v>
          </cell>
          <cell r="AR1542">
            <v>0</v>
          </cell>
        </row>
        <row r="1543">
          <cell r="B1543" t="str">
            <v xml:space="preserve">        C41-1010</v>
          </cell>
          <cell r="C1543" t="str">
            <v>Finishes Works for 4 Star Hotel - 1</v>
          </cell>
          <cell r="D1543">
            <v>1079999676</v>
          </cell>
          <cell r="E1543">
            <v>1</v>
          </cell>
          <cell r="F1543">
            <v>1.2432032638123198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7.1484187110917891E-2</v>
          </cell>
          <cell r="Z1543">
            <v>7.7700204132159306E-2</v>
          </cell>
          <cell r="AA1543">
            <v>8.3916220002286268E-2</v>
          </cell>
          <cell r="AB1543">
            <v>7.7700204132159306E-2</v>
          </cell>
          <cell r="AC1543">
            <v>8.0808212067222787E-2</v>
          </cell>
          <cell r="AD1543">
            <v>8.0808212067222787E-2</v>
          </cell>
          <cell r="AE1543">
            <v>7.7700204132159306E-2</v>
          </cell>
          <cell r="AF1543">
            <v>7.7700204132159306E-2</v>
          </cell>
          <cell r="AG1543">
            <v>7.4592196197095839E-2</v>
          </cell>
          <cell r="AH1543">
            <v>7.7700204132159306E-2</v>
          </cell>
          <cell r="AI1543">
            <v>8.0808212067222787E-2</v>
          </cell>
          <cell r="AJ1543">
            <v>7.4592196197095839E-2</v>
          </cell>
          <cell r="AK1543">
            <v>7.4592196197095839E-2</v>
          </cell>
          <cell r="AL1543">
            <v>8.0808212067222787E-2</v>
          </cell>
          <cell r="AM1543">
            <v>8.3916220002286268E-2</v>
          </cell>
          <cell r="AN1543">
            <v>6.8376179175854396E-2</v>
          </cell>
          <cell r="AO1543">
            <v>0</v>
          </cell>
          <cell r="AP1543">
            <v>0</v>
          </cell>
          <cell r="AQ1543">
            <v>0</v>
          </cell>
          <cell r="AR1543">
            <v>0</v>
          </cell>
        </row>
        <row r="1544">
          <cell r="B1544" t="str">
            <v xml:space="preserve">        C41-1020</v>
          </cell>
          <cell r="C1544" t="str">
            <v>MEP Works for 4 Star Hotel - 1</v>
          </cell>
          <cell r="D1544">
            <v>539999838</v>
          </cell>
          <cell r="E1544">
            <v>1</v>
          </cell>
          <cell r="F1544">
            <v>0.62160163190616013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4.222837211124688E-2</v>
          </cell>
          <cell r="AB1544">
            <v>4.222837211124688E-2</v>
          </cell>
          <cell r="AC1544">
            <v>4.3917505982716022E-2</v>
          </cell>
          <cell r="AD1544">
            <v>4.3917505982716022E-2</v>
          </cell>
          <cell r="AE1544">
            <v>4.222837211124688E-2</v>
          </cell>
          <cell r="AF1544">
            <v>4.222837211124688E-2</v>
          </cell>
          <cell r="AG1544">
            <v>4.053923708866327E-2</v>
          </cell>
          <cell r="AH1544">
            <v>4.222837211124688E-2</v>
          </cell>
          <cell r="AI1544">
            <v>4.3917505982716022E-2</v>
          </cell>
          <cell r="AJ1544">
            <v>4.053923708866327E-2</v>
          </cell>
          <cell r="AK1544">
            <v>4.053923708866327E-2</v>
          </cell>
          <cell r="AL1544">
            <v>4.3917505982716022E-2</v>
          </cell>
          <cell r="AM1544">
            <v>4.5606641005299632E-2</v>
          </cell>
          <cell r="AN1544">
            <v>4.053923708866327E-2</v>
          </cell>
          <cell r="AO1544">
            <v>2.7026158059108844E-2</v>
          </cell>
          <cell r="AP1544">
            <v>0</v>
          </cell>
          <cell r="AQ1544">
            <v>0</v>
          </cell>
          <cell r="AR1544">
            <v>0</v>
          </cell>
        </row>
        <row r="1545">
          <cell r="B1545" t="str">
            <v xml:space="preserve">        COMPLETION &amp; HANDING OVER</v>
          </cell>
          <cell r="D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>
            <v>0</v>
          </cell>
          <cell r="AM1545">
            <v>0</v>
          </cell>
          <cell r="AN1545">
            <v>0</v>
          </cell>
          <cell r="AO1545">
            <v>0</v>
          </cell>
          <cell r="AP1545">
            <v>0</v>
          </cell>
          <cell r="AQ1545">
            <v>0</v>
          </cell>
          <cell r="AR1545">
            <v>0</v>
          </cell>
        </row>
        <row r="1546">
          <cell r="B1546" t="str">
            <v xml:space="preserve">          C41-1030</v>
          </cell>
          <cell r="C1546" t="str">
            <v>Completion of Construction Work for 4 Star Hotel - 1</v>
          </cell>
          <cell r="D1546">
            <v>0</v>
          </cell>
          <cell r="E1546">
            <v>1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>
            <v>0</v>
          </cell>
          <cell r="AM1546">
            <v>0</v>
          </cell>
          <cell r="AN1546">
            <v>0</v>
          </cell>
          <cell r="AO1546">
            <v>0</v>
          </cell>
          <cell r="AP1546">
            <v>0</v>
          </cell>
          <cell r="AQ1546">
            <v>0</v>
          </cell>
          <cell r="AR1546">
            <v>0</v>
          </cell>
        </row>
        <row r="1547">
          <cell r="B1547" t="str">
            <v xml:space="preserve">          C41-1040</v>
          </cell>
          <cell r="C1547" t="str">
            <v>Testing &amp; Commissioning of 4 Star Hotel - 1</v>
          </cell>
          <cell r="D1547">
            <v>0</v>
          </cell>
          <cell r="E1547">
            <v>1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>
            <v>0</v>
          </cell>
          <cell r="AM1547">
            <v>0</v>
          </cell>
          <cell r="AN1547">
            <v>0</v>
          </cell>
          <cell r="AO1547">
            <v>0</v>
          </cell>
          <cell r="AP1547">
            <v>0</v>
          </cell>
          <cell r="AQ1547">
            <v>0</v>
          </cell>
          <cell r="AR1547">
            <v>0</v>
          </cell>
        </row>
        <row r="1548">
          <cell r="B1548" t="str">
            <v xml:space="preserve">      BUDGET HOTEL - 1</v>
          </cell>
          <cell r="D1548">
            <v>2049999385</v>
          </cell>
          <cell r="F1548">
            <v>2.359783965153774</v>
          </cell>
          <cell r="G1548">
            <v>0.12945100613974242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6.2028607036681921E-2</v>
          </cell>
          <cell r="U1548">
            <v>6.7422399103060499E-2</v>
          </cell>
          <cell r="V1548">
            <v>6.7422399103060499E-2</v>
          </cell>
          <cell r="W1548">
            <v>7.0119294560692547E-2</v>
          </cell>
          <cell r="X1548">
            <v>6.472550364542845E-2</v>
          </cell>
          <cell r="Y1548">
            <v>0.1216974305479358</v>
          </cell>
          <cell r="Z1548">
            <v>0.12641699874990636</v>
          </cell>
          <cell r="AA1548">
            <v>0.16850574988408631</v>
          </cell>
          <cell r="AB1548">
            <v>0.15839239076685166</v>
          </cell>
          <cell r="AC1548">
            <v>0.16472808570685704</v>
          </cell>
          <cell r="AD1548">
            <v>0.16472808570685704</v>
          </cell>
          <cell r="AE1548">
            <v>0.15839239076685166</v>
          </cell>
          <cell r="AF1548">
            <v>0.15839239076685166</v>
          </cell>
          <cell r="AG1548">
            <v>0.14935979921809975</v>
          </cell>
          <cell r="AH1548">
            <v>9.0969991663791161E-2</v>
          </cell>
          <cell r="AI1548">
            <v>9.4608791146164495E-2</v>
          </cell>
          <cell r="AJ1548">
            <v>8.7331192181417827E-2</v>
          </cell>
          <cell r="AK1548">
            <v>8.7331192181417827E-2</v>
          </cell>
          <cell r="AL1548">
            <v>9.4608791146164495E-2</v>
          </cell>
          <cell r="AM1548">
            <v>9.8247590628537829E-2</v>
          </cell>
          <cell r="AN1548">
            <v>8.2611623979447255E-2</v>
          </cell>
          <cell r="AO1548">
            <v>2.1743266663611954E-2</v>
          </cell>
          <cell r="AP1548">
            <v>0</v>
          </cell>
          <cell r="AQ1548">
            <v>0</v>
          </cell>
          <cell r="AR1548">
            <v>0</v>
          </cell>
        </row>
        <row r="1549">
          <cell r="B1549" t="str">
            <v xml:space="preserve">        BH1-1000</v>
          </cell>
          <cell r="C1549" t="str">
            <v>Structure Works for Budget Hotel - 1</v>
          </cell>
          <cell r="D1549">
            <v>819999754</v>
          </cell>
          <cell r="E1549">
            <v>1</v>
          </cell>
          <cell r="F1549">
            <v>0.94391358629173239</v>
          </cell>
          <cell r="G1549">
            <v>0.12945100613974242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6.2028607036681921E-2</v>
          </cell>
          <cell r="U1549">
            <v>6.7422399103060499E-2</v>
          </cell>
          <cell r="V1549">
            <v>6.7422399103060499E-2</v>
          </cell>
          <cell r="W1549">
            <v>7.0119294560692547E-2</v>
          </cell>
          <cell r="X1549">
            <v>6.472550364542845E-2</v>
          </cell>
          <cell r="Y1549">
            <v>6.7422399103060499E-2</v>
          </cell>
          <cell r="Z1549">
            <v>6.7422399103060499E-2</v>
          </cell>
          <cell r="AA1549">
            <v>7.2816191169439076E-2</v>
          </cell>
          <cell r="AB1549">
            <v>6.7422399103060499E-2</v>
          </cell>
          <cell r="AC1549">
            <v>7.0119294560692547E-2</v>
          </cell>
          <cell r="AD1549">
            <v>7.0119294560692547E-2</v>
          </cell>
          <cell r="AE1549">
            <v>6.7422399103060499E-2</v>
          </cell>
          <cell r="AF1549">
            <v>6.7422399103060499E-2</v>
          </cell>
          <cell r="AG1549">
            <v>6.2028607036681921E-2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>
            <v>0</v>
          </cell>
          <cell r="AM1549">
            <v>0</v>
          </cell>
          <cell r="AN1549">
            <v>0</v>
          </cell>
          <cell r="AO1549">
            <v>0</v>
          </cell>
          <cell r="AP1549">
            <v>0</v>
          </cell>
          <cell r="AQ1549">
            <v>0</v>
          </cell>
          <cell r="AR1549">
            <v>0</v>
          </cell>
        </row>
        <row r="1550">
          <cell r="B1550" t="str">
            <v xml:space="preserve">        BH1-1010</v>
          </cell>
          <cell r="C1550" t="str">
            <v>Finishes Works for Budget  Hotel - 1</v>
          </cell>
          <cell r="D1550">
            <v>819999754</v>
          </cell>
          <cell r="E1550">
            <v>1</v>
          </cell>
          <cell r="F1550">
            <v>0.94391358744284704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5.4275031444875298E-2</v>
          </cell>
          <cell r="Z1550">
            <v>5.8994599646845863E-2</v>
          </cell>
          <cell r="AA1550">
            <v>6.3714166697701954E-2</v>
          </cell>
          <cell r="AB1550">
            <v>5.8994599646845863E-2</v>
          </cell>
          <cell r="AC1550">
            <v>6.1354383172273909E-2</v>
          </cell>
          <cell r="AD1550">
            <v>6.1354383172273909E-2</v>
          </cell>
          <cell r="AE1550">
            <v>5.8994599646845863E-2</v>
          </cell>
          <cell r="AF1550">
            <v>5.8994599646845863E-2</v>
          </cell>
          <cell r="AG1550">
            <v>5.6634814970303343E-2</v>
          </cell>
          <cell r="AH1550">
            <v>5.8994599646845863E-2</v>
          </cell>
          <cell r="AI1550">
            <v>6.1354383172273909E-2</v>
          </cell>
          <cell r="AJ1550">
            <v>5.6634814970303343E-2</v>
          </cell>
          <cell r="AK1550">
            <v>5.6634814970303343E-2</v>
          </cell>
          <cell r="AL1550">
            <v>6.1354383172273909E-2</v>
          </cell>
          <cell r="AM1550">
            <v>6.3714166697701954E-2</v>
          </cell>
          <cell r="AN1550">
            <v>5.1915246768332778E-2</v>
          </cell>
          <cell r="AO1550">
            <v>0</v>
          </cell>
          <cell r="AP1550">
            <v>0</v>
          </cell>
          <cell r="AQ1550">
            <v>0</v>
          </cell>
          <cell r="AR1550">
            <v>0</v>
          </cell>
        </row>
        <row r="1551">
          <cell r="B1551" t="str">
            <v xml:space="preserve">        BH1-1020</v>
          </cell>
          <cell r="C1551" t="str">
            <v>MEP Works for Budget  Hotel - 1</v>
          </cell>
          <cell r="D1551">
            <v>409999877</v>
          </cell>
          <cell r="E1551">
            <v>1</v>
          </cell>
          <cell r="F1551">
            <v>0.47195679141919455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3.1975392016945291E-2</v>
          </cell>
          <cell r="AB1551">
            <v>3.1975392016945291E-2</v>
          </cell>
          <cell r="AC1551">
            <v>3.3254407973890579E-2</v>
          </cell>
          <cell r="AD1551">
            <v>3.3254407973890579E-2</v>
          </cell>
          <cell r="AE1551">
            <v>3.1975392016945291E-2</v>
          </cell>
          <cell r="AF1551">
            <v>3.1975392016945291E-2</v>
          </cell>
          <cell r="AG1551">
            <v>3.069637721111448E-2</v>
          </cell>
          <cell r="AH1551">
            <v>3.1975392016945291E-2</v>
          </cell>
          <cell r="AI1551">
            <v>3.3254407973890579E-2</v>
          </cell>
          <cell r="AJ1551">
            <v>3.069637721111448E-2</v>
          </cell>
          <cell r="AK1551">
            <v>3.069637721111448E-2</v>
          </cell>
          <cell r="AL1551">
            <v>3.3254407973890579E-2</v>
          </cell>
          <cell r="AM1551">
            <v>3.4533423930835867E-2</v>
          </cell>
          <cell r="AN1551">
            <v>3.069637721111448E-2</v>
          </cell>
          <cell r="AO1551">
            <v>2.1743266663611954E-2</v>
          </cell>
          <cell r="AP1551">
            <v>0</v>
          </cell>
          <cell r="AQ1551">
            <v>0</v>
          </cell>
          <cell r="AR1551">
            <v>0</v>
          </cell>
        </row>
        <row r="1552">
          <cell r="B1552" t="str">
            <v xml:space="preserve">        COMPLETION &amp; HANDING OVER</v>
          </cell>
          <cell r="D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>
            <v>0</v>
          </cell>
          <cell r="AM1552">
            <v>0</v>
          </cell>
          <cell r="AN1552">
            <v>0</v>
          </cell>
          <cell r="AO1552">
            <v>0</v>
          </cell>
          <cell r="AP1552">
            <v>0</v>
          </cell>
          <cell r="AQ1552">
            <v>0</v>
          </cell>
          <cell r="AR1552">
            <v>0</v>
          </cell>
        </row>
        <row r="1553">
          <cell r="B1553" t="str">
            <v xml:space="preserve">          BH1-1030</v>
          </cell>
          <cell r="C1553" t="str">
            <v>Completion of Construction Work for 4 Star Hotel - 1</v>
          </cell>
          <cell r="D1553">
            <v>0</v>
          </cell>
          <cell r="E1553">
            <v>1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>
            <v>0</v>
          </cell>
          <cell r="AM1553">
            <v>0</v>
          </cell>
          <cell r="AN1553">
            <v>0</v>
          </cell>
          <cell r="AO1553">
            <v>0</v>
          </cell>
          <cell r="AP1553">
            <v>0</v>
          </cell>
          <cell r="AQ1553">
            <v>0</v>
          </cell>
          <cell r="AR1553">
            <v>0</v>
          </cell>
        </row>
        <row r="1554">
          <cell r="B1554" t="str">
            <v xml:space="preserve">          BH1-1040</v>
          </cell>
          <cell r="C1554" t="str">
            <v>Testing &amp; Commissioning of 4 Star Hotel - 1</v>
          </cell>
          <cell r="D1554">
            <v>0</v>
          </cell>
          <cell r="E1554">
            <v>1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>
            <v>0</v>
          </cell>
          <cell r="AM1554">
            <v>0</v>
          </cell>
          <cell r="AN1554">
            <v>0</v>
          </cell>
          <cell r="AO1554">
            <v>0</v>
          </cell>
          <cell r="AP1554">
            <v>0</v>
          </cell>
          <cell r="AQ1554">
            <v>0</v>
          </cell>
          <cell r="AR1554">
            <v>0</v>
          </cell>
        </row>
        <row r="1555">
          <cell r="B1555" t="str">
            <v xml:space="preserve">      SERVICED APARTMENTS</v>
          </cell>
          <cell r="G1555">
            <v>0</v>
          </cell>
        </row>
        <row r="1556">
          <cell r="B1556" t="str">
            <v xml:space="preserve">    COMMERCIAL SPACE</v>
          </cell>
          <cell r="D1556">
            <v>15309995406</v>
          </cell>
          <cell r="F1556">
            <v>17.623557346036566</v>
          </cell>
          <cell r="G1556">
            <v>0.64901646146598357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0.23224098082559119</v>
          </cell>
          <cell r="U1556">
            <v>0.41677548064039238</v>
          </cell>
          <cell r="V1556">
            <v>0.48068533679907594</v>
          </cell>
          <cell r="W1556">
            <v>0.49991274953432574</v>
          </cell>
          <cell r="X1556">
            <v>0.46145792291271165</v>
          </cell>
          <cell r="Y1556">
            <v>0.69236331395818784</v>
          </cell>
          <cell r="Z1556">
            <v>0.88240976198479371</v>
          </cell>
          <cell r="AA1556">
            <v>1.148280822749209</v>
          </cell>
          <cell r="AB1556">
            <v>1.1618790209387178</v>
          </cell>
          <cell r="AC1556">
            <v>1.231771671419045</v>
          </cell>
          <cell r="AD1556">
            <v>1.231771671419045</v>
          </cell>
          <cell r="AE1556">
            <v>1.212341995208039</v>
          </cell>
          <cell r="AF1556">
            <v>1.2232099443979634</v>
          </cell>
          <cell r="AG1556">
            <v>1.1762130494882952</v>
          </cell>
          <cell r="AH1556">
            <v>0.98846371025722268</v>
          </cell>
          <cell r="AI1556">
            <v>0.82714270929310529</v>
          </cell>
          <cell r="AJ1556">
            <v>0.7273918540964821</v>
          </cell>
          <cell r="AK1556">
            <v>0.70084007721976893</v>
          </cell>
          <cell r="AL1556">
            <v>0.75924341727586164</v>
          </cell>
          <cell r="AM1556">
            <v>0.76826175342293834</v>
          </cell>
          <cell r="AN1556">
            <v>0.44945146510105577</v>
          </cell>
          <cell r="AO1556">
            <v>0.31185490356578688</v>
          </cell>
          <cell r="AP1556">
            <v>3.9593733528954407E-2</v>
          </cell>
          <cell r="AQ1556">
            <v>0</v>
          </cell>
          <cell r="AR1556">
            <v>0</v>
          </cell>
        </row>
        <row r="1557">
          <cell r="B1557" t="str">
            <v xml:space="preserve">      RETAIL OVER METRO STATION</v>
          </cell>
          <cell r="D1557">
            <v>694605600</v>
          </cell>
          <cell r="F1557">
            <v>0.79957055922002618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1.689658549447462E-2</v>
          </cell>
          <cell r="AA1557">
            <v>3.2586272353948044E-2</v>
          </cell>
          <cell r="AB1557">
            <v>3.0172473932831179E-2</v>
          </cell>
          <cell r="AC1557">
            <v>3.1379372567832374E-2</v>
          </cell>
          <cell r="AD1557">
            <v>3.1379372567832374E-2</v>
          </cell>
          <cell r="AE1557">
            <v>5.8118629157081658E-2</v>
          </cell>
          <cell r="AF1557">
            <v>6.8986578347006028E-2</v>
          </cell>
          <cell r="AG1557">
            <v>7.8256054290505084E-2</v>
          </cell>
          <cell r="AH1557">
            <v>8.6676193079879532E-2</v>
          </cell>
          <cell r="AI1557">
            <v>9.014324052680725E-2</v>
          </cell>
          <cell r="AJ1557">
            <v>8.0795347211834956E-2</v>
          </cell>
          <cell r="AK1557">
            <v>5.4243570335121838E-2</v>
          </cell>
          <cell r="AL1557">
            <v>5.8763867958974869E-2</v>
          </cell>
          <cell r="AM1557">
            <v>4.0840681738817192E-2</v>
          </cell>
          <cell r="AN1557">
            <v>1.6982029268711556E-2</v>
          </cell>
          <cell r="AO1557">
            <v>1.9104783358968432E-2</v>
          </cell>
          <cell r="AP1557">
            <v>4.2455070293992703E-3</v>
          </cell>
          <cell r="AQ1557">
            <v>0</v>
          </cell>
          <cell r="AR1557">
            <v>0</v>
          </cell>
        </row>
        <row r="1558">
          <cell r="B1558" t="str">
            <v xml:space="preserve">        CRM-1000</v>
          </cell>
          <cell r="C1558" t="str">
            <v>Structure Works for Retail over Metro Station</v>
          </cell>
          <cell r="D1558">
            <v>277842240</v>
          </cell>
          <cell r="E1558">
            <v>1</v>
          </cell>
          <cell r="F1558">
            <v>0.31982822345778761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1.689658549447462E-2</v>
          </cell>
          <cell r="AA1558">
            <v>3.2586272353948044E-2</v>
          </cell>
          <cell r="AB1558">
            <v>3.0172473932831179E-2</v>
          </cell>
          <cell r="AC1558">
            <v>3.1379372567832374E-2</v>
          </cell>
          <cell r="AD1558">
            <v>3.1379372567832374E-2</v>
          </cell>
          <cell r="AE1558">
            <v>3.0172473932831179E-2</v>
          </cell>
          <cell r="AF1558">
            <v>3.0172473932831179E-2</v>
          </cell>
          <cell r="AG1558">
            <v>2.8965575297829987E-2</v>
          </cell>
          <cell r="AH1558">
            <v>3.0172473932831179E-2</v>
          </cell>
          <cell r="AI1558">
            <v>3.1379372567832374E-2</v>
          </cell>
          <cell r="AJ1558">
            <v>2.6551776876713121E-2</v>
          </cell>
          <cell r="AK1558">
            <v>0</v>
          </cell>
          <cell r="AL1558">
            <v>0</v>
          </cell>
          <cell r="AM1558">
            <v>0</v>
          </cell>
          <cell r="AN1558">
            <v>0</v>
          </cell>
          <cell r="AO1558">
            <v>0</v>
          </cell>
          <cell r="AP1558">
            <v>0</v>
          </cell>
          <cell r="AQ1558">
            <v>0</v>
          </cell>
          <cell r="AR1558">
            <v>0</v>
          </cell>
        </row>
        <row r="1559">
          <cell r="B1559" t="str">
            <v xml:space="preserve">        CRM-1010</v>
          </cell>
          <cell r="C1559" t="str">
            <v>Finishes Works for Retail over Metro Station</v>
          </cell>
          <cell r="D1559">
            <v>277842240</v>
          </cell>
          <cell r="E1559">
            <v>1</v>
          </cell>
          <cell r="F1559">
            <v>0.31982822345778761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2.7946155224250476E-2</v>
          </cell>
          <cell r="AF1559">
            <v>3.8814104414174856E-2</v>
          </cell>
          <cell r="AG1559">
            <v>3.7261541066410282E-2</v>
          </cell>
          <cell r="AH1559">
            <v>3.8814104414174856E-2</v>
          </cell>
          <cell r="AI1559">
            <v>4.0366668913053905E-2</v>
          </cell>
          <cell r="AJ1559">
            <v>3.7261541066410282E-2</v>
          </cell>
          <cell r="AK1559">
            <v>3.7261541066410282E-2</v>
          </cell>
          <cell r="AL1559">
            <v>4.0366668913053905E-2</v>
          </cell>
          <cell r="AM1559">
            <v>2.1735898379848764E-2</v>
          </cell>
          <cell r="AN1559">
            <v>0</v>
          </cell>
          <cell r="AO1559">
            <v>0</v>
          </cell>
          <cell r="AP1559">
            <v>0</v>
          </cell>
          <cell r="AQ1559">
            <v>0</v>
          </cell>
          <cell r="AR1559">
            <v>0</v>
          </cell>
        </row>
        <row r="1560">
          <cell r="B1560" t="str">
            <v xml:space="preserve">        CRM-1020</v>
          </cell>
          <cell r="C1560" t="str">
            <v>MEP Works for Retail over Metro Station</v>
          </cell>
          <cell r="D1560">
            <v>138921120</v>
          </cell>
          <cell r="E1560">
            <v>1</v>
          </cell>
          <cell r="F1560">
            <v>0.15991411230445102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1.2028937926264822E-2</v>
          </cell>
          <cell r="AH1560">
            <v>1.7689614732873501E-2</v>
          </cell>
          <cell r="AI1560">
            <v>1.8397199045920964E-2</v>
          </cell>
          <cell r="AJ1560">
            <v>1.6982029268711556E-2</v>
          </cell>
          <cell r="AK1560">
            <v>1.6982029268711556E-2</v>
          </cell>
          <cell r="AL1560">
            <v>1.8397199045920964E-2</v>
          </cell>
          <cell r="AM1560">
            <v>1.9104783358968432E-2</v>
          </cell>
          <cell r="AN1560">
            <v>1.6982029268711556E-2</v>
          </cell>
          <cell r="AO1560">
            <v>1.9104783358968432E-2</v>
          </cell>
          <cell r="AP1560">
            <v>4.2455070293992703E-3</v>
          </cell>
          <cell r="AQ1560">
            <v>0</v>
          </cell>
          <cell r="AR1560">
            <v>0</v>
          </cell>
        </row>
        <row r="1561">
          <cell r="B1561" t="str">
            <v xml:space="preserve">        COMPLETION &amp; HANDING OVER</v>
          </cell>
          <cell r="D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>
            <v>0</v>
          </cell>
          <cell r="AM1561">
            <v>0</v>
          </cell>
          <cell r="AN1561">
            <v>0</v>
          </cell>
          <cell r="AO1561">
            <v>0</v>
          </cell>
          <cell r="AP1561">
            <v>0</v>
          </cell>
          <cell r="AQ1561">
            <v>0</v>
          </cell>
          <cell r="AR1561">
            <v>0</v>
          </cell>
        </row>
        <row r="1562">
          <cell r="B1562" t="str">
            <v xml:space="preserve">          CRM-1030</v>
          </cell>
          <cell r="C1562" t="str">
            <v>Completion of Construction Work for Retail over Metro Station</v>
          </cell>
          <cell r="D1562">
            <v>0</v>
          </cell>
          <cell r="E1562">
            <v>1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>
            <v>0</v>
          </cell>
          <cell r="AM1562">
            <v>0</v>
          </cell>
          <cell r="AN1562">
            <v>0</v>
          </cell>
          <cell r="AO1562">
            <v>0</v>
          </cell>
          <cell r="AP1562">
            <v>0</v>
          </cell>
          <cell r="AQ1562">
            <v>0</v>
          </cell>
          <cell r="AR1562">
            <v>0</v>
          </cell>
        </row>
        <row r="1563">
          <cell r="B1563" t="str">
            <v xml:space="preserve">          CRM-1040</v>
          </cell>
          <cell r="C1563" t="str">
            <v>Testing &amp; Commissioning of Retail over Metro Station</v>
          </cell>
          <cell r="D1563">
            <v>0</v>
          </cell>
          <cell r="E1563">
            <v>1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>
            <v>0</v>
          </cell>
          <cell r="AM1563">
            <v>0</v>
          </cell>
          <cell r="AN1563">
            <v>0</v>
          </cell>
          <cell r="AO1563">
            <v>0</v>
          </cell>
          <cell r="AP1563">
            <v>0</v>
          </cell>
          <cell r="AQ1563">
            <v>0</v>
          </cell>
          <cell r="AR1563">
            <v>0</v>
          </cell>
        </row>
        <row r="1564">
          <cell r="B1564" t="str">
            <v xml:space="preserve">      RETAIL - 1</v>
          </cell>
          <cell r="D1564">
            <v>7675391888</v>
          </cell>
          <cell r="F1564">
            <v>8.8352547186342925</v>
          </cell>
          <cell r="G1564">
            <v>0.48467682969920528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0.23224098082559119</v>
          </cell>
          <cell r="U1564">
            <v>0.25243584887361409</v>
          </cell>
          <cell r="V1564">
            <v>0.25243584887361409</v>
          </cell>
          <cell r="W1564">
            <v>0.26253328347318278</v>
          </cell>
          <cell r="X1564">
            <v>0.24233841542515988</v>
          </cell>
          <cell r="Y1564">
            <v>0.464113826032726</v>
          </cell>
          <cell r="Z1564">
            <v>0.48252060695554821</v>
          </cell>
          <cell r="AA1564">
            <v>0.63707048090668683</v>
          </cell>
          <cell r="AB1564">
            <v>0.59846883193584177</v>
          </cell>
          <cell r="AC1564">
            <v>0.62240758585789946</v>
          </cell>
          <cell r="AD1564">
            <v>0.62240758585789946</v>
          </cell>
          <cell r="AE1564">
            <v>0.59846883193584177</v>
          </cell>
          <cell r="AF1564">
            <v>0.59846883193584177</v>
          </cell>
          <cell r="AG1564">
            <v>0.56443264456532971</v>
          </cell>
          <cell r="AH1564">
            <v>0.34603298306222763</v>
          </cell>
          <cell r="AI1564">
            <v>0.35987430238471674</v>
          </cell>
          <cell r="AJ1564">
            <v>0.33219166373973852</v>
          </cell>
          <cell r="AK1564">
            <v>0.33219166373973852</v>
          </cell>
          <cell r="AL1564">
            <v>0.35987430238471674</v>
          </cell>
          <cell r="AM1564">
            <v>0.37371562170720585</v>
          </cell>
          <cell r="AN1564">
            <v>0.16653063773656768</v>
          </cell>
          <cell r="AO1564">
            <v>0.12522408270244953</v>
          </cell>
          <cell r="AP1564">
            <v>9.2758577221560088E-3</v>
          </cell>
          <cell r="AQ1564">
            <v>0</v>
          </cell>
          <cell r="AR1564">
            <v>0</v>
          </cell>
        </row>
        <row r="1565">
          <cell r="B1565" t="str">
            <v xml:space="preserve">        CR1-1000</v>
          </cell>
          <cell r="C1565" t="str">
            <v>Structure Works for Retail -1</v>
          </cell>
          <cell r="D1565">
            <v>3070156755</v>
          </cell>
          <cell r="E1565">
            <v>1</v>
          </cell>
          <cell r="F1565">
            <v>3.5341018865328255</v>
          </cell>
          <cell r="G1565">
            <v>0.48467682969920528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0.23224098082559119</v>
          </cell>
          <cell r="U1565">
            <v>0.25243584887361409</v>
          </cell>
          <cell r="V1565">
            <v>0.25243584887361409</v>
          </cell>
          <cell r="W1565">
            <v>0.26253328347318278</v>
          </cell>
          <cell r="X1565">
            <v>0.24233841542515988</v>
          </cell>
          <cell r="Y1565">
            <v>0.25243584887361409</v>
          </cell>
          <cell r="Z1565">
            <v>0.25243584887361409</v>
          </cell>
          <cell r="AA1565">
            <v>0.27263071692163693</v>
          </cell>
          <cell r="AB1565">
            <v>0.25243584887361409</v>
          </cell>
          <cell r="AC1565">
            <v>0.26253328347318278</v>
          </cell>
          <cell r="AD1565">
            <v>0.26253328347318278</v>
          </cell>
          <cell r="AE1565">
            <v>0.25243584887361409</v>
          </cell>
          <cell r="AF1565">
            <v>0.25243584887361409</v>
          </cell>
          <cell r="AG1565">
            <v>0.23224098082559119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>
            <v>0</v>
          </cell>
          <cell r="AM1565">
            <v>0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  <cell r="AR1565">
            <v>0</v>
          </cell>
        </row>
        <row r="1566">
          <cell r="B1566" t="str">
            <v xml:space="preserve">        CR1-1010</v>
          </cell>
          <cell r="C1566" t="str">
            <v>Finishes Works for Retail -1</v>
          </cell>
          <cell r="D1566">
            <v>3070156755</v>
          </cell>
          <cell r="E1566">
            <v>1</v>
          </cell>
          <cell r="F1566">
            <v>3.5341018842305969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0.21167797715911191</v>
          </cell>
          <cell r="Z1566">
            <v>0.2300847580819341</v>
          </cell>
          <cell r="AA1566">
            <v>0.24849153900475632</v>
          </cell>
          <cell r="AB1566">
            <v>0.2300847580819341</v>
          </cell>
          <cell r="AC1566">
            <v>0.23928814854334521</v>
          </cell>
          <cell r="AD1566">
            <v>0.23928814854334521</v>
          </cell>
          <cell r="AE1566">
            <v>0.2300847580819341</v>
          </cell>
          <cell r="AF1566">
            <v>0.2300847580819341</v>
          </cell>
          <cell r="AG1566">
            <v>0.22088136762052302</v>
          </cell>
          <cell r="AH1566">
            <v>0.2300847580819341</v>
          </cell>
          <cell r="AI1566">
            <v>0.23928814854334521</v>
          </cell>
          <cell r="AJ1566">
            <v>0.22088136762052302</v>
          </cell>
          <cell r="AK1566">
            <v>0.22088136762052302</v>
          </cell>
          <cell r="AL1566">
            <v>0.23928814854334521</v>
          </cell>
          <cell r="AM1566">
            <v>0.24849153900475632</v>
          </cell>
          <cell r="AN1566">
            <v>5.5220341617352134E-2</v>
          </cell>
          <cell r="AO1566">
            <v>0</v>
          </cell>
          <cell r="AP1566">
            <v>0</v>
          </cell>
          <cell r="AQ1566">
            <v>0</v>
          </cell>
          <cell r="AR1566">
            <v>0</v>
          </cell>
        </row>
        <row r="1567">
          <cell r="B1567" t="str">
            <v xml:space="preserve">        CR1-1020</v>
          </cell>
          <cell r="C1567" t="str">
            <v>MEP Works for Retail -1</v>
          </cell>
          <cell r="D1567">
            <v>1535078378</v>
          </cell>
          <cell r="E1567">
            <v>1</v>
          </cell>
          <cell r="F1567">
            <v>1.7670509478708709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0.11594822498029354</v>
          </cell>
          <cell r="AB1567">
            <v>0.11594822498029354</v>
          </cell>
          <cell r="AC1567">
            <v>0.12058615384137152</v>
          </cell>
          <cell r="AD1567">
            <v>0.12058615384137152</v>
          </cell>
          <cell r="AE1567">
            <v>0.11594822498029354</v>
          </cell>
          <cell r="AF1567">
            <v>0.11594822498029354</v>
          </cell>
          <cell r="AG1567">
            <v>0.11131029611921553</v>
          </cell>
          <cell r="AH1567">
            <v>0.11594822498029354</v>
          </cell>
          <cell r="AI1567">
            <v>0.12058615384137152</v>
          </cell>
          <cell r="AJ1567">
            <v>0.11131029611921553</v>
          </cell>
          <cell r="AK1567">
            <v>0.11131029611921553</v>
          </cell>
          <cell r="AL1567">
            <v>0.12058615384137152</v>
          </cell>
          <cell r="AM1567">
            <v>0.12522408270244953</v>
          </cell>
          <cell r="AN1567">
            <v>0.11131029611921553</v>
          </cell>
          <cell r="AO1567">
            <v>0.12522408270244953</v>
          </cell>
          <cell r="AP1567">
            <v>9.2758577221560088E-3</v>
          </cell>
          <cell r="AQ1567">
            <v>0</v>
          </cell>
          <cell r="AR1567">
            <v>0</v>
          </cell>
        </row>
        <row r="1568">
          <cell r="B1568" t="str">
            <v xml:space="preserve">        COMPLETION &amp; HANDING OVER</v>
          </cell>
          <cell r="D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>
            <v>0</v>
          </cell>
          <cell r="AM1568">
            <v>0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  <cell r="AR1568">
            <v>0</v>
          </cell>
        </row>
        <row r="1569">
          <cell r="B1569" t="str">
            <v xml:space="preserve">          CR1-1030</v>
          </cell>
          <cell r="C1569" t="str">
            <v>Completion of Construction Work for Retail -1</v>
          </cell>
          <cell r="D1569">
            <v>0</v>
          </cell>
          <cell r="E1569">
            <v>1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>
            <v>0</v>
          </cell>
          <cell r="AM1569">
            <v>0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  <cell r="AR1569">
            <v>0</v>
          </cell>
        </row>
        <row r="1570">
          <cell r="B1570" t="str">
            <v xml:space="preserve">          CR1-1040</v>
          </cell>
          <cell r="C1570" t="str">
            <v>Testing &amp; Commissioning of Retail -1</v>
          </cell>
          <cell r="D1570">
            <v>0</v>
          </cell>
          <cell r="E1570">
            <v>1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>
            <v>0</v>
          </cell>
          <cell r="AM1570">
            <v>0</v>
          </cell>
          <cell r="AN1570">
            <v>0</v>
          </cell>
          <cell r="AO1570">
            <v>0</v>
          </cell>
          <cell r="AP1570">
            <v>0</v>
          </cell>
          <cell r="AQ1570">
            <v>0</v>
          </cell>
          <cell r="AR1570">
            <v>0</v>
          </cell>
        </row>
        <row r="1571">
          <cell r="B1571" t="str">
            <v xml:space="preserve">      OFFICE BUILDINGS</v>
          </cell>
          <cell r="D1571">
            <v>6939997918</v>
          </cell>
          <cell r="F1571">
            <v>7.988732068182248</v>
          </cell>
          <cell r="G1571">
            <v>0.16433963176677832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0.16433963176677832</v>
          </cell>
          <cell r="V1571">
            <v>0.22824948792546185</v>
          </cell>
          <cell r="W1571">
            <v>0.23737946606114294</v>
          </cell>
          <cell r="X1571">
            <v>0.21911950748755177</v>
          </cell>
          <cell r="Y1571">
            <v>0.22824948792546185</v>
          </cell>
          <cell r="Z1571">
            <v>0.38299256953477095</v>
          </cell>
          <cell r="AA1571">
            <v>0.47862406948857394</v>
          </cell>
          <cell r="AB1571">
            <v>0.53323771507004492</v>
          </cell>
          <cell r="AC1571">
            <v>0.577984712993313</v>
          </cell>
          <cell r="AD1571">
            <v>0.577984712993313</v>
          </cell>
          <cell r="AE1571">
            <v>0.55575453411511555</v>
          </cell>
          <cell r="AF1571">
            <v>0.55575453411511555</v>
          </cell>
          <cell r="AG1571">
            <v>0.5335243506324604</v>
          </cell>
          <cell r="AH1571">
            <v>0.55575453411511555</v>
          </cell>
          <cell r="AI1571">
            <v>0.37712516638158133</v>
          </cell>
          <cell r="AJ1571">
            <v>0.31440484314490857</v>
          </cell>
          <cell r="AK1571">
            <v>0.31440484314490857</v>
          </cell>
          <cell r="AL1571">
            <v>0.34060524693217004</v>
          </cell>
          <cell r="AM1571">
            <v>0.35370544997691528</v>
          </cell>
          <cell r="AN1571">
            <v>0.26593879809577653</v>
          </cell>
          <cell r="AO1571">
            <v>0.16752603750436892</v>
          </cell>
          <cell r="AP1571">
            <v>2.6072368777399126E-2</v>
          </cell>
          <cell r="AQ1571">
            <v>0</v>
          </cell>
          <cell r="AR1571">
            <v>0</v>
          </cell>
        </row>
        <row r="1572">
          <cell r="B1572" t="str">
            <v xml:space="preserve">        OFFICE - 1</v>
          </cell>
          <cell r="D1572">
            <v>763399770</v>
          </cell>
          <cell r="F1572">
            <v>0.87876052304523422</v>
          </cell>
          <cell r="G1572">
            <v>1.8077359586434773E-2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1.8077359586434773E-2</v>
          </cell>
          <cell r="V1572">
            <v>2.5107443614245079E-2</v>
          </cell>
          <cell r="W1572">
            <v>2.6111741496948618E-2</v>
          </cell>
          <cell r="X1572">
            <v>2.4103145731541539E-2</v>
          </cell>
          <cell r="Y1572">
            <v>2.5107443614245079E-2</v>
          </cell>
          <cell r="Z1572">
            <v>4.1584203845816681E-2</v>
          </cell>
          <cell r="AA1572">
            <v>5.1831179727009569E-2</v>
          </cell>
          <cell r="AB1572">
            <v>5.7893359507401002E-2</v>
          </cell>
          <cell r="AC1572">
            <v>6.2783490643563103E-2</v>
          </cell>
          <cell r="AD1572">
            <v>6.2783490643563103E-2</v>
          </cell>
          <cell r="AE1572">
            <v>6.0368740250774294E-2</v>
          </cell>
          <cell r="AF1572">
            <v>6.0368740250774294E-2</v>
          </cell>
          <cell r="AG1572">
            <v>5.7953991009099953E-2</v>
          </cell>
          <cell r="AH1572">
            <v>6.0368740250774294E-2</v>
          </cell>
          <cell r="AI1572">
            <v>4.0688940677428648E-2</v>
          </cell>
          <cell r="AJ1572">
            <v>3.3850845277558418E-2</v>
          </cell>
          <cell r="AK1572">
            <v>3.3850845277558418E-2</v>
          </cell>
          <cell r="AL1572">
            <v>3.6671749146614488E-2</v>
          </cell>
          <cell r="AM1572">
            <v>3.808220165669976E-2</v>
          </cell>
          <cell r="AN1572">
            <v>3.3850845277558418E-2</v>
          </cell>
          <cell r="AO1572">
            <v>2.4351567746685267E-2</v>
          </cell>
          <cell r="AP1572">
            <v>2.9704578129395283E-3</v>
          </cell>
          <cell r="AQ1572">
            <v>0</v>
          </cell>
          <cell r="AR1572">
            <v>0</v>
          </cell>
        </row>
        <row r="1573">
          <cell r="B1573" t="str">
            <v xml:space="preserve">          CO1-1010</v>
          </cell>
          <cell r="C1573" t="str">
            <v>Structure Works for Office Building - 1</v>
          </cell>
          <cell r="D1573">
            <v>305359908</v>
          </cell>
          <cell r="E1573">
            <v>1</v>
          </cell>
          <cell r="F1573">
            <v>0.35150421175054553</v>
          </cell>
          <cell r="G1573">
            <v>1.8077359586434773E-2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1.8077359586434773E-2</v>
          </cell>
          <cell r="V1573">
            <v>2.5107443614245079E-2</v>
          </cell>
          <cell r="W1573">
            <v>2.6111741496948618E-2</v>
          </cell>
          <cell r="X1573">
            <v>2.4103145731541539E-2</v>
          </cell>
          <cell r="Y1573">
            <v>2.5107443614245079E-2</v>
          </cell>
          <cell r="Z1573">
            <v>2.5107443614245079E-2</v>
          </cell>
          <cell r="AA1573">
            <v>2.7116039379652158E-2</v>
          </cell>
          <cell r="AB1573">
            <v>2.5107443614245079E-2</v>
          </cell>
          <cell r="AC1573">
            <v>2.6111741496948618E-2</v>
          </cell>
          <cell r="AD1573">
            <v>2.6111741496948618E-2</v>
          </cell>
          <cell r="AE1573">
            <v>2.5107443614245079E-2</v>
          </cell>
          <cell r="AF1573">
            <v>2.5107443614245079E-2</v>
          </cell>
          <cell r="AG1573">
            <v>2.4103145731541539E-2</v>
          </cell>
          <cell r="AH1573">
            <v>2.5107443614245079E-2</v>
          </cell>
          <cell r="AI1573">
            <v>4.0171915308141607E-3</v>
          </cell>
          <cell r="AJ1573">
            <v>0</v>
          </cell>
          <cell r="AK1573">
            <v>0</v>
          </cell>
          <cell r="AL1573">
            <v>0</v>
          </cell>
          <cell r="AM1573">
            <v>0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  <cell r="AR1573">
            <v>0</v>
          </cell>
        </row>
        <row r="1574">
          <cell r="B1574" t="str">
            <v xml:space="preserve">          CO1-1020</v>
          </cell>
          <cell r="C1574" t="str">
            <v>Finishes Works for Office Building - 1</v>
          </cell>
          <cell r="D1574">
            <v>305359908</v>
          </cell>
          <cell r="E1574">
            <v>1</v>
          </cell>
          <cell r="F1574">
            <v>0.35150420714608777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1.6476760231571606E-2</v>
          </cell>
          <cell r="AA1574">
            <v>2.4715140347357407E-2</v>
          </cell>
          <cell r="AB1574">
            <v>2.2884388315204861E-2</v>
          </cell>
          <cell r="AC1574">
            <v>2.3799763755723898E-2</v>
          </cell>
          <cell r="AD1574">
            <v>2.3799763755723898E-2</v>
          </cell>
          <cell r="AE1574">
            <v>2.2884388315204861E-2</v>
          </cell>
          <cell r="AF1574">
            <v>2.2884388315204861E-2</v>
          </cell>
          <cell r="AG1574">
            <v>2.1969012874685827E-2</v>
          </cell>
          <cell r="AH1574">
            <v>2.2884388315204861E-2</v>
          </cell>
          <cell r="AI1574">
            <v>2.3799763755723898E-2</v>
          </cell>
          <cell r="AJ1574">
            <v>2.1969012874685827E-2</v>
          </cell>
          <cell r="AK1574">
            <v>2.1969012874685827E-2</v>
          </cell>
          <cell r="AL1574">
            <v>2.3799763755723898E-2</v>
          </cell>
          <cell r="AM1574">
            <v>2.4715140347357407E-2</v>
          </cell>
          <cell r="AN1574">
            <v>2.1969012874685827E-2</v>
          </cell>
          <cell r="AO1574">
            <v>1.0984506437342913E-2</v>
          </cell>
          <cell r="AP1574">
            <v>0</v>
          </cell>
          <cell r="AQ1574">
            <v>0</v>
          </cell>
          <cell r="AR1574">
            <v>0</v>
          </cell>
        </row>
        <row r="1575">
          <cell r="B1575" t="str">
            <v xml:space="preserve">          CO1-1030</v>
          </cell>
          <cell r="C1575" t="str">
            <v>MEP Works for Office Building - 1</v>
          </cell>
          <cell r="D1575">
            <v>152679954</v>
          </cell>
          <cell r="E1575">
            <v>1</v>
          </cell>
          <cell r="F1575">
            <v>0.17575210414860104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9.9015275779510623E-3</v>
          </cell>
          <cell r="AC1575">
            <v>1.2871985390890591E-2</v>
          </cell>
          <cell r="AD1575">
            <v>1.2871985390890591E-2</v>
          </cell>
          <cell r="AE1575">
            <v>1.2376908321324352E-2</v>
          </cell>
          <cell r="AF1575">
            <v>1.2376908321324352E-2</v>
          </cell>
          <cell r="AG1575">
            <v>1.188183240287259E-2</v>
          </cell>
          <cell r="AH1575">
            <v>1.2376908321324352E-2</v>
          </cell>
          <cell r="AI1575">
            <v>1.2871985390890591E-2</v>
          </cell>
          <cell r="AJ1575">
            <v>1.188183240287259E-2</v>
          </cell>
          <cell r="AK1575">
            <v>1.188183240287259E-2</v>
          </cell>
          <cell r="AL1575">
            <v>1.2871985390890591E-2</v>
          </cell>
          <cell r="AM1575">
            <v>1.3367061309342353E-2</v>
          </cell>
          <cell r="AN1575">
            <v>1.188183240287259E-2</v>
          </cell>
          <cell r="AO1575">
            <v>1.3367061309342353E-2</v>
          </cell>
          <cell r="AP1575">
            <v>2.9704578129395283E-3</v>
          </cell>
          <cell r="AQ1575">
            <v>0</v>
          </cell>
          <cell r="AR1575">
            <v>0</v>
          </cell>
        </row>
        <row r="1576">
          <cell r="B1576" t="str">
            <v xml:space="preserve">          COMPLETION &amp; HANDING OVER</v>
          </cell>
          <cell r="D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>
            <v>0</v>
          </cell>
          <cell r="AM1576">
            <v>0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  <cell r="AR1576">
            <v>0</v>
          </cell>
        </row>
        <row r="1577">
          <cell r="B1577" t="str">
            <v xml:space="preserve">            CO1-1040</v>
          </cell>
          <cell r="C1577" t="str">
            <v>Completion of Construction Work for Office Building - 1</v>
          </cell>
          <cell r="D1577">
            <v>0</v>
          </cell>
          <cell r="E1577">
            <v>1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>
            <v>0</v>
          </cell>
          <cell r="AM1577">
            <v>0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  <cell r="AR1577">
            <v>0</v>
          </cell>
        </row>
        <row r="1578">
          <cell r="B1578" t="str">
            <v xml:space="preserve">            CO1-1050</v>
          </cell>
          <cell r="C1578" t="str">
            <v>Testing &amp; Commissioning of Office Building - 1</v>
          </cell>
          <cell r="D1578">
            <v>0</v>
          </cell>
          <cell r="E1578">
            <v>1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>
            <v>0</v>
          </cell>
          <cell r="AM1578">
            <v>0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  <cell r="AR1578">
            <v>0</v>
          </cell>
        </row>
        <row r="1579">
          <cell r="B1579" t="str">
            <v xml:space="preserve">        OFFICE - 2</v>
          </cell>
          <cell r="D1579">
            <v>1318599605</v>
          </cell>
          <cell r="F1579">
            <v>1.5178590823298403</v>
          </cell>
          <cell r="G1579">
            <v>3.122453040404451E-2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3.122453040404451E-2</v>
          </cell>
          <cell r="V1579">
            <v>4.3367402187836232E-2</v>
          </cell>
          <cell r="W1579">
            <v>4.5102098321394266E-2</v>
          </cell>
          <cell r="X1579">
            <v>4.1632706054278205E-2</v>
          </cell>
          <cell r="Y1579">
            <v>4.3367402187836232E-2</v>
          </cell>
          <cell r="Z1579">
            <v>7.2974135586740721E-2</v>
          </cell>
          <cell r="AA1579">
            <v>9.1246894553309033E-2</v>
          </cell>
          <cell r="AB1579">
            <v>0.10159050304144909</v>
          </cell>
          <cell r="AC1579">
            <v>0.11010080862775699</v>
          </cell>
          <cell r="AD1579">
            <v>0.11010080862775699</v>
          </cell>
          <cell r="AE1579">
            <v>0.10586616236344221</v>
          </cell>
          <cell r="AF1579">
            <v>0.10586616236344221</v>
          </cell>
          <cell r="AG1579">
            <v>0.10163151494801292</v>
          </cell>
          <cell r="AH1579">
            <v>0.10586616236344221</v>
          </cell>
          <cell r="AI1579">
            <v>7.1937494840594834E-2</v>
          </cell>
          <cell r="AJ1579">
            <v>5.9998808893734719E-2</v>
          </cell>
          <cell r="AK1579">
            <v>5.9998808893734719E-2</v>
          </cell>
          <cell r="AL1579">
            <v>6.4998710306362728E-2</v>
          </cell>
          <cell r="AM1579">
            <v>6.7498660437119495E-2</v>
          </cell>
          <cell r="AN1579">
            <v>5.5269955802397824E-2</v>
          </cell>
          <cell r="AO1579">
            <v>2.3088560338762748E-2</v>
          </cell>
          <cell r="AP1579">
            <v>5.1307911863917224E-3</v>
          </cell>
          <cell r="AQ1579">
            <v>0</v>
          </cell>
          <cell r="AR1579">
            <v>0</v>
          </cell>
        </row>
        <row r="1580">
          <cell r="B1580" t="str">
            <v xml:space="preserve">          CO2-1010</v>
          </cell>
          <cell r="C1580" t="str">
            <v>Structure Works for Office Building - 2</v>
          </cell>
          <cell r="D1580">
            <v>527439842</v>
          </cell>
          <cell r="E1580">
            <v>1</v>
          </cell>
          <cell r="F1580">
            <v>0.60714363178082154</v>
          </cell>
          <cell r="G1580">
            <v>3.122453040404451E-2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3.122453040404451E-2</v>
          </cell>
          <cell r="V1580">
            <v>4.3367402187836232E-2</v>
          </cell>
          <cell r="W1580">
            <v>4.5102098321394266E-2</v>
          </cell>
          <cell r="X1580">
            <v>4.1632706054278205E-2</v>
          </cell>
          <cell r="Y1580">
            <v>4.3367402187836232E-2</v>
          </cell>
          <cell r="Z1580">
            <v>4.3367402187836232E-2</v>
          </cell>
          <cell r="AA1580">
            <v>4.6836794454952292E-2</v>
          </cell>
          <cell r="AB1580">
            <v>4.3367402187836232E-2</v>
          </cell>
          <cell r="AC1580">
            <v>4.5102098321394266E-2</v>
          </cell>
          <cell r="AD1580">
            <v>4.5102098321394266E-2</v>
          </cell>
          <cell r="AE1580">
            <v>4.3367402187836232E-2</v>
          </cell>
          <cell r="AF1580">
            <v>4.3367402187836232E-2</v>
          </cell>
          <cell r="AG1580">
            <v>4.1632706054278205E-2</v>
          </cell>
          <cell r="AH1580">
            <v>4.3367402187836232E-2</v>
          </cell>
          <cell r="AI1580">
            <v>6.9387845342321142E-3</v>
          </cell>
          <cell r="AJ1580">
            <v>0</v>
          </cell>
          <cell r="AK1580">
            <v>0</v>
          </cell>
          <cell r="AL1580">
            <v>0</v>
          </cell>
          <cell r="AM1580">
            <v>0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  <cell r="AR1580">
            <v>0</v>
          </cell>
        </row>
        <row r="1581">
          <cell r="B1581" t="str">
            <v xml:space="preserve">          CO2-1020</v>
          </cell>
          <cell r="C1581" t="str">
            <v>Finishes Works for Office Building - 2</v>
          </cell>
          <cell r="D1581">
            <v>527439842</v>
          </cell>
          <cell r="E1581">
            <v>1</v>
          </cell>
          <cell r="F1581">
            <v>0.60714363868750865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2.9606733398904492E-2</v>
          </cell>
          <cell r="AA1581">
            <v>4.441010009835674E-2</v>
          </cell>
          <cell r="AB1581">
            <v>4.1120463565640454E-2</v>
          </cell>
          <cell r="AC1581">
            <v>4.2765281831998597E-2</v>
          </cell>
          <cell r="AD1581">
            <v>4.2765281831998597E-2</v>
          </cell>
          <cell r="AE1581">
            <v>4.1120463565640454E-2</v>
          </cell>
          <cell r="AF1581">
            <v>4.1120463565640454E-2</v>
          </cell>
          <cell r="AG1581">
            <v>3.9475644148167829E-2</v>
          </cell>
          <cell r="AH1581">
            <v>4.1120463565640454E-2</v>
          </cell>
          <cell r="AI1581">
            <v>4.2765281831998597E-2</v>
          </cell>
          <cell r="AJ1581">
            <v>3.9475644148167829E-2</v>
          </cell>
          <cell r="AK1581">
            <v>3.9475644148167829E-2</v>
          </cell>
          <cell r="AL1581">
            <v>4.2765281831998597E-2</v>
          </cell>
          <cell r="AM1581">
            <v>4.441010009835674E-2</v>
          </cell>
          <cell r="AN1581">
            <v>3.4746791056830935E-2</v>
          </cell>
          <cell r="AO1581">
            <v>0</v>
          </cell>
          <cell r="AP1581">
            <v>0</v>
          </cell>
          <cell r="AQ1581">
            <v>0</v>
          </cell>
          <cell r="AR1581">
            <v>0</v>
          </cell>
        </row>
        <row r="1582">
          <cell r="B1582" t="str">
            <v xml:space="preserve">          CO2-1030</v>
          </cell>
          <cell r="C1582" t="str">
            <v>MEP Works for Office Building - 2</v>
          </cell>
          <cell r="D1582">
            <v>263719921</v>
          </cell>
          <cell r="E1582">
            <v>1</v>
          </cell>
          <cell r="F1582">
            <v>0.30357181186151017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1.7102637287972407E-2</v>
          </cell>
          <cell r="AC1582">
            <v>2.2233428474364131E-2</v>
          </cell>
          <cell r="AD1582">
            <v>2.2233428474364131E-2</v>
          </cell>
          <cell r="AE1582">
            <v>2.137829660996551E-2</v>
          </cell>
          <cell r="AF1582">
            <v>2.137829660996551E-2</v>
          </cell>
          <cell r="AG1582">
            <v>2.0523164745566889E-2</v>
          </cell>
          <cell r="AH1582">
            <v>2.137829660996551E-2</v>
          </cell>
          <cell r="AI1582">
            <v>2.2233428474364131E-2</v>
          </cell>
          <cell r="AJ1582">
            <v>2.0523164745566889E-2</v>
          </cell>
          <cell r="AK1582">
            <v>2.0523164745566889E-2</v>
          </cell>
          <cell r="AL1582">
            <v>2.2233428474364131E-2</v>
          </cell>
          <cell r="AM1582">
            <v>2.3088560338762748E-2</v>
          </cell>
          <cell r="AN1582">
            <v>2.0523164745566889E-2</v>
          </cell>
          <cell r="AO1582">
            <v>2.3088560338762748E-2</v>
          </cell>
          <cell r="AP1582">
            <v>5.1307911863917224E-3</v>
          </cell>
          <cell r="AQ1582">
            <v>0</v>
          </cell>
          <cell r="AR1582">
            <v>0</v>
          </cell>
        </row>
        <row r="1583">
          <cell r="B1583" t="str">
            <v xml:space="preserve">          COMPLETION &amp; HANDING OVER</v>
          </cell>
          <cell r="D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>
            <v>0</v>
          </cell>
          <cell r="AM1583">
            <v>0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  <cell r="AR1583">
            <v>0</v>
          </cell>
        </row>
        <row r="1584">
          <cell r="B1584" t="str">
            <v xml:space="preserve">            CO2-1040</v>
          </cell>
          <cell r="C1584" t="str">
            <v>Completion of Construction Work for Office Building - 2</v>
          </cell>
          <cell r="D1584">
            <v>0</v>
          </cell>
          <cell r="E1584">
            <v>1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>
            <v>0</v>
          </cell>
          <cell r="AM1584">
            <v>0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  <cell r="AR1584">
            <v>0</v>
          </cell>
        </row>
        <row r="1585">
          <cell r="B1585" t="str">
            <v xml:space="preserve">            CO2-1050</v>
          </cell>
          <cell r="C1585" t="str">
            <v>Testing &amp; Commissioning of Office Building - 2</v>
          </cell>
          <cell r="D1585">
            <v>0</v>
          </cell>
          <cell r="E1585">
            <v>1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>
            <v>0</v>
          </cell>
          <cell r="AM1585">
            <v>0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  <cell r="AR1585">
            <v>0</v>
          </cell>
        </row>
        <row r="1586">
          <cell r="B1586" t="str">
            <v xml:space="preserve">        OFFICE - 3</v>
          </cell>
          <cell r="D1586">
            <v>1457399563</v>
          </cell>
          <cell r="F1586">
            <v>1.6776337428710526</v>
          </cell>
          <cell r="G1586">
            <v>3.4511322532889709E-2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3.4511322532889709E-2</v>
          </cell>
          <cell r="V1586">
            <v>4.7932392982348498E-2</v>
          </cell>
          <cell r="W1586">
            <v>4.9849688103062915E-2</v>
          </cell>
          <cell r="X1586">
            <v>4.6015096710519607E-2</v>
          </cell>
          <cell r="Y1586">
            <v>4.7932392982348498E-2</v>
          </cell>
          <cell r="Z1586">
            <v>7.9388025733125395E-2</v>
          </cell>
          <cell r="AA1586">
            <v>9.8950433501057145E-2</v>
          </cell>
          <cell r="AB1586">
            <v>0.11057708569569527</v>
          </cell>
          <cell r="AC1586">
            <v>0.11992880876853043</v>
          </cell>
          <cell r="AD1586">
            <v>0.11992880876853043</v>
          </cell>
          <cell r="AE1586">
            <v>0.11531616413692569</v>
          </cell>
          <cell r="AF1586">
            <v>0.11531616413692569</v>
          </cell>
          <cell r="AG1586">
            <v>0.11070351605197758</v>
          </cell>
          <cell r="AH1586">
            <v>0.11531616413692569</v>
          </cell>
          <cell r="AI1586">
            <v>7.7748303450554113E-2</v>
          </cell>
          <cell r="AJ1586">
            <v>6.4688419341457956E-2</v>
          </cell>
          <cell r="AK1586">
            <v>6.4688419341457956E-2</v>
          </cell>
          <cell r="AL1586">
            <v>7.0079120665467509E-2</v>
          </cell>
          <cell r="AM1586">
            <v>7.2774472478586746E-2</v>
          </cell>
          <cell r="AN1586">
            <v>6.4688419341457956E-2</v>
          </cell>
          <cell r="AO1586">
            <v>4.6561445569977503E-2</v>
          </cell>
          <cell r="AP1586">
            <v>4.7390784412304271E-3</v>
          </cell>
          <cell r="AQ1586">
            <v>0</v>
          </cell>
          <cell r="AR1586">
            <v>0</v>
          </cell>
        </row>
        <row r="1587">
          <cell r="B1587" t="str">
            <v xml:space="preserve">          CO3-1010</v>
          </cell>
          <cell r="C1587" t="str">
            <v>Structure Works for Office Building - 3</v>
          </cell>
          <cell r="D1587">
            <v>582959825</v>
          </cell>
          <cell r="E1587">
            <v>1</v>
          </cell>
          <cell r="F1587">
            <v>0.67105349829953553</v>
          </cell>
          <cell r="G1587">
            <v>3.4511322532889709E-2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3.4511322532889709E-2</v>
          </cell>
          <cell r="V1587">
            <v>4.7932392982348498E-2</v>
          </cell>
          <cell r="W1587">
            <v>4.9849688103062915E-2</v>
          </cell>
          <cell r="X1587">
            <v>4.6015096710519607E-2</v>
          </cell>
          <cell r="Y1587">
            <v>4.7932392982348498E-2</v>
          </cell>
          <cell r="Z1587">
            <v>4.7932392982348498E-2</v>
          </cell>
          <cell r="AA1587">
            <v>5.1766984374891807E-2</v>
          </cell>
          <cell r="AB1587">
            <v>4.7932392982348498E-2</v>
          </cell>
          <cell r="AC1587">
            <v>4.9849688103062915E-2</v>
          </cell>
          <cell r="AD1587">
            <v>4.9849688103062915E-2</v>
          </cell>
          <cell r="AE1587">
            <v>4.7932392982348498E-2</v>
          </cell>
          <cell r="AF1587">
            <v>4.7932392982348498E-2</v>
          </cell>
          <cell r="AG1587">
            <v>4.6015096710519607E-2</v>
          </cell>
          <cell r="AH1587">
            <v>4.7932392982348498E-2</v>
          </cell>
          <cell r="AI1587">
            <v>7.6691827850866026E-3</v>
          </cell>
          <cell r="AJ1587">
            <v>0</v>
          </cell>
          <cell r="AK1587">
            <v>0</v>
          </cell>
          <cell r="AL1587">
            <v>0</v>
          </cell>
          <cell r="AM1587">
            <v>0</v>
          </cell>
          <cell r="AN1587">
            <v>0</v>
          </cell>
          <cell r="AO1587">
            <v>0</v>
          </cell>
          <cell r="AP1587">
            <v>0</v>
          </cell>
          <cell r="AQ1587">
            <v>0</v>
          </cell>
          <cell r="AR1587">
            <v>0</v>
          </cell>
        </row>
        <row r="1588">
          <cell r="B1588" t="str">
            <v xml:space="preserve">          CO3-1020</v>
          </cell>
          <cell r="C1588" t="str">
            <v>Finishes Works for Office Building - 3</v>
          </cell>
          <cell r="D1588">
            <v>582959825</v>
          </cell>
          <cell r="E1588">
            <v>1</v>
          </cell>
          <cell r="F1588">
            <v>0.67105349599730657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3.1455632750776896E-2</v>
          </cell>
          <cell r="AA1588">
            <v>4.7183449126165337E-2</v>
          </cell>
          <cell r="AB1588">
            <v>4.3688378948425068E-2</v>
          </cell>
          <cell r="AC1588">
            <v>4.5435913461737969E-2</v>
          </cell>
          <cell r="AD1588">
            <v>4.5435913461737969E-2</v>
          </cell>
          <cell r="AE1588">
            <v>4.3688378948425068E-2</v>
          </cell>
          <cell r="AF1588">
            <v>4.3688378948425068E-2</v>
          </cell>
          <cell r="AG1588">
            <v>4.1940843283997699E-2</v>
          </cell>
          <cell r="AH1588">
            <v>4.3688378948425068E-2</v>
          </cell>
          <cell r="AI1588">
            <v>4.5435913461737969E-2</v>
          </cell>
          <cell r="AJ1588">
            <v>4.1940843283997699E-2</v>
          </cell>
          <cell r="AK1588">
            <v>4.1940843283997699E-2</v>
          </cell>
          <cell r="AL1588">
            <v>4.5435913461737969E-2</v>
          </cell>
          <cell r="AM1588">
            <v>4.7183449126165337E-2</v>
          </cell>
          <cell r="AN1588">
            <v>4.1940843283997699E-2</v>
          </cell>
          <cell r="AO1588">
            <v>2.097042221755609E-2</v>
          </cell>
          <cell r="AP1588">
            <v>0</v>
          </cell>
          <cell r="AQ1588">
            <v>0</v>
          </cell>
          <cell r="AR1588">
            <v>0</v>
          </cell>
        </row>
        <row r="1589">
          <cell r="B1589" t="str">
            <v xml:space="preserve">          CO3-1030</v>
          </cell>
          <cell r="C1589" t="str">
            <v>MEP Works for Office Building - 3</v>
          </cell>
          <cell r="D1589">
            <v>291479913</v>
          </cell>
          <cell r="E1589">
            <v>1</v>
          </cell>
          <cell r="F1589">
            <v>0.33552674857421055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1.8956313764921708E-2</v>
          </cell>
          <cell r="AC1589">
            <v>2.464320720372954E-2</v>
          </cell>
          <cell r="AD1589">
            <v>2.464320720372954E-2</v>
          </cell>
          <cell r="AE1589">
            <v>2.3695392206152136E-2</v>
          </cell>
          <cell r="AF1589">
            <v>2.3695392206152136E-2</v>
          </cell>
          <cell r="AG1589">
            <v>2.2747576057460261E-2</v>
          </cell>
          <cell r="AH1589">
            <v>2.3695392206152136E-2</v>
          </cell>
          <cell r="AI1589">
            <v>2.464320720372954E-2</v>
          </cell>
          <cell r="AJ1589">
            <v>2.2747576057460261E-2</v>
          </cell>
          <cell r="AK1589">
            <v>2.2747576057460261E-2</v>
          </cell>
          <cell r="AL1589">
            <v>2.464320720372954E-2</v>
          </cell>
          <cell r="AM1589">
            <v>2.5591023352421409E-2</v>
          </cell>
          <cell r="AN1589">
            <v>2.2747576057460261E-2</v>
          </cell>
          <cell r="AO1589">
            <v>2.5591023352421409E-2</v>
          </cell>
          <cell r="AP1589">
            <v>4.7390784412304271E-3</v>
          </cell>
          <cell r="AQ1589">
            <v>0</v>
          </cell>
          <cell r="AR1589">
            <v>0</v>
          </cell>
        </row>
        <row r="1590">
          <cell r="B1590" t="str">
            <v xml:space="preserve">          COMPLETION &amp; HANDING OVER</v>
          </cell>
          <cell r="D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>
            <v>0</v>
          </cell>
          <cell r="AM1590">
            <v>0</v>
          </cell>
          <cell r="AN1590">
            <v>0</v>
          </cell>
          <cell r="AO1590">
            <v>0</v>
          </cell>
          <cell r="AP1590">
            <v>0</v>
          </cell>
          <cell r="AQ1590">
            <v>0</v>
          </cell>
          <cell r="AR1590">
            <v>0</v>
          </cell>
        </row>
        <row r="1591">
          <cell r="B1591" t="str">
            <v xml:space="preserve">            CO3-1040</v>
          </cell>
          <cell r="C1591" t="str">
            <v>Completion of Construction Work for Office Building - 3</v>
          </cell>
          <cell r="D1591">
            <v>0</v>
          </cell>
          <cell r="E1591">
            <v>1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>
            <v>0</v>
          </cell>
          <cell r="AM1591">
            <v>0</v>
          </cell>
          <cell r="AN1591">
            <v>0</v>
          </cell>
          <cell r="AO1591">
            <v>0</v>
          </cell>
          <cell r="AP1591">
            <v>0</v>
          </cell>
          <cell r="AQ1591">
            <v>0</v>
          </cell>
          <cell r="AR1591">
            <v>0</v>
          </cell>
        </row>
        <row r="1592">
          <cell r="B1592" t="str">
            <v xml:space="preserve">            CO3-1050</v>
          </cell>
          <cell r="C1592" t="str">
            <v>Testing &amp; Commissioning of Office Building - 3</v>
          </cell>
          <cell r="D1592">
            <v>0</v>
          </cell>
          <cell r="E1592">
            <v>1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>
            <v>0</v>
          </cell>
          <cell r="AM1592">
            <v>0</v>
          </cell>
          <cell r="AN1592">
            <v>0</v>
          </cell>
          <cell r="AO1592">
            <v>0</v>
          </cell>
          <cell r="AP1592">
            <v>0</v>
          </cell>
          <cell r="AQ1592">
            <v>0</v>
          </cell>
          <cell r="AR1592">
            <v>0</v>
          </cell>
        </row>
        <row r="1593">
          <cell r="B1593" t="str">
            <v xml:space="preserve">        OFFICE - 4</v>
          </cell>
          <cell r="D1593">
            <v>2428999272</v>
          </cell>
          <cell r="F1593">
            <v>2.7960562239213425</v>
          </cell>
          <cell r="G1593">
            <v>5.7518870888149519E-2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5.7518870888149519E-2</v>
          </cell>
          <cell r="V1593">
            <v>7.9887320486133021E-2</v>
          </cell>
          <cell r="W1593">
            <v>8.3082813121400034E-2</v>
          </cell>
          <cell r="X1593">
            <v>7.6691827850866021E-2</v>
          </cell>
          <cell r="Y1593">
            <v>7.9887320486133021E-2</v>
          </cell>
          <cell r="Z1593">
            <v>0.13612085349663305</v>
          </cell>
          <cell r="AA1593">
            <v>0.17062860642353156</v>
          </cell>
          <cell r="AB1593">
            <v>0.18949430906133197</v>
          </cell>
          <cell r="AC1593">
            <v>0.20526534402973542</v>
          </cell>
          <cell r="AD1593">
            <v>0.20526534402973542</v>
          </cell>
          <cell r="AE1593">
            <v>0.19737052323833573</v>
          </cell>
          <cell r="AF1593">
            <v>0.19737052323833573</v>
          </cell>
          <cell r="AG1593">
            <v>0.18947570244693604</v>
          </cell>
          <cell r="AH1593">
            <v>0.19737052323833573</v>
          </cell>
          <cell r="AI1593">
            <v>0.1349645026005179</v>
          </cell>
          <cell r="AJ1593">
            <v>0.11278387459607002</v>
          </cell>
          <cell r="AK1593">
            <v>0.11278387459607002</v>
          </cell>
          <cell r="AL1593">
            <v>0.12218253090833539</v>
          </cell>
          <cell r="AM1593">
            <v>0.12688185906446808</v>
          </cell>
          <cell r="AN1593">
            <v>6.904668263827482E-2</v>
          </cell>
          <cell r="AO1593">
            <v>4.2531559548718019E-2</v>
          </cell>
          <cell r="AP1593">
            <v>9.4514579332961087E-3</v>
          </cell>
          <cell r="AQ1593">
            <v>0</v>
          </cell>
          <cell r="AR1593">
            <v>0</v>
          </cell>
        </row>
        <row r="1594">
          <cell r="B1594" t="str">
            <v xml:space="preserve">          CO4-1010</v>
          </cell>
          <cell r="C1594" t="str">
            <v>Structure Works for Office Building - 4</v>
          </cell>
          <cell r="D1594">
            <v>971599709</v>
          </cell>
          <cell r="E1594">
            <v>1</v>
          </cell>
          <cell r="F1594">
            <v>1.1184224879569766</v>
          </cell>
          <cell r="G1594">
            <v>5.7518870888149519E-2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5.7518870888149519E-2</v>
          </cell>
          <cell r="V1594">
            <v>7.9887320486133021E-2</v>
          </cell>
          <cell r="W1594">
            <v>8.3082813121400034E-2</v>
          </cell>
          <cell r="X1594">
            <v>7.6691827850866021E-2</v>
          </cell>
          <cell r="Y1594">
            <v>7.9887320486133021E-2</v>
          </cell>
          <cell r="Z1594">
            <v>7.9887320486133021E-2</v>
          </cell>
          <cell r="AA1594">
            <v>8.6278306907781502E-2</v>
          </cell>
          <cell r="AB1594">
            <v>7.9887320486133021E-2</v>
          </cell>
          <cell r="AC1594">
            <v>8.3082813121400034E-2</v>
          </cell>
          <cell r="AD1594">
            <v>8.3082813121400034E-2</v>
          </cell>
          <cell r="AE1594">
            <v>7.9887320486133021E-2</v>
          </cell>
          <cell r="AF1594">
            <v>7.9887320486133021E-2</v>
          </cell>
          <cell r="AG1594">
            <v>7.6691827850866021E-2</v>
          </cell>
          <cell r="AH1594">
            <v>7.9887320486133021E-2</v>
          </cell>
          <cell r="AI1594">
            <v>1.2781971692182495E-2</v>
          </cell>
          <cell r="AJ1594">
            <v>0</v>
          </cell>
          <cell r="AK1594">
            <v>0</v>
          </cell>
          <cell r="AL1594">
            <v>0</v>
          </cell>
          <cell r="AM1594">
            <v>0</v>
          </cell>
          <cell r="AN1594">
            <v>0</v>
          </cell>
          <cell r="AO1594">
            <v>0</v>
          </cell>
          <cell r="AP1594">
            <v>0</v>
          </cell>
          <cell r="AQ1594">
            <v>0</v>
          </cell>
          <cell r="AR1594">
            <v>0</v>
          </cell>
        </row>
        <row r="1595">
          <cell r="B1595" t="str">
            <v xml:space="preserve">          CO4-1020</v>
          </cell>
          <cell r="C1595" t="str">
            <v>Finishes Works for Office Building - 4</v>
          </cell>
          <cell r="D1595">
            <v>971599709</v>
          </cell>
          <cell r="E1595">
            <v>1</v>
          </cell>
          <cell r="F1595">
            <v>1.1184224902592057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5.6233533010500047E-2</v>
          </cell>
          <cell r="AA1595">
            <v>8.4350299515750071E-2</v>
          </cell>
          <cell r="AB1595">
            <v>7.8102129564954895E-2</v>
          </cell>
          <cell r="AC1595">
            <v>8.1226213964795235E-2</v>
          </cell>
          <cell r="AD1595">
            <v>8.1226213964795235E-2</v>
          </cell>
          <cell r="AE1595">
            <v>7.8102129564954895E-2</v>
          </cell>
          <cell r="AF1595">
            <v>7.8102129564954895E-2</v>
          </cell>
          <cell r="AG1595">
            <v>7.4978044014000059E-2</v>
          </cell>
          <cell r="AH1595">
            <v>7.8102129564954895E-2</v>
          </cell>
          <cell r="AI1595">
            <v>8.1226213964795235E-2</v>
          </cell>
          <cell r="AJ1595">
            <v>7.4978044014000059E-2</v>
          </cell>
          <cell r="AK1595">
            <v>7.4978044014000059E-2</v>
          </cell>
          <cell r="AL1595">
            <v>8.1226213964795235E-2</v>
          </cell>
          <cell r="AM1595">
            <v>8.4350299515750071E-2</v>
          </cell>
          <cell r="AN1595">
            <v>3.1240852056204853E-2</v>
          </cell>
          <cell r="AO1595">
            <v>0</v>
          </cell>
          <cell r="AP1595">
            <v>0</v>
          </cell>
          <cell r="AQ1595">
            <v>0</v>
          </cell>
          <cell r="AR1595">
            <v>0</v>
          </cell>
        </row>
        <row r="1596">
          <cell r="B1596" t="str">
            <v xml:space="preserve">          CO4-1030</v>
          </cell>
          <cell r="C1596" t="str">
            <v>MEP Works for Office Building - 4</v>
          </cell>
          <cell r="D1596">
            <v>485799854</v>
          </cell>
          <cell r="E1596">
            <v>1</v>
          </cell>
          <cell r="F1596">
            <v>0.55921124570516012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3.1504859010244052E-2</v>
          </cell>
          <cell r="AC1596">
            <v>4.0956316943540155E-2</v>
          </cell>
          <cell r="AD1596">
            <v>4.0956316943540155E-2</v>
          </cell>
          <cell r="AE1596">
            <v>3.9381073187247824E-2</v>
          </cell>
          <cell r="AF1596">
            <v>3.9381073187247824E-2</v>
          </cell>
          <cell r="AG1596">
            <v>3.780583058206996E-2</v>
          </cell>
          <cell r="AH1596">
            <v>3.9381073187247824E-2</v>
          </cell>
          <cell r="AI1596">
            <v>4.0956316943540155E-2</v>
          </cell>
          <cell r="AJ1596">
            <v>3.780583058206996E-2</v>
          </cell>
          <cell r="AK1596">
            <v>3.780583058206996E-2</v>
          </cell>
          <cell r="AL1596">
            <v>4.0956316943540155E-2</v>
          </cell>
          <cell r="AM1596">
            <v>4.2531559548718019E-2</v>
          </cell>
          <cell r="AN1596">
            <v>3.780583058206996E-2</v>
          </cell>
          <cell r="AO1596">
            <v>4.2531559548718019E-2</v>
          </cell>
          <cell r="AP1596">
            <v>9.4514579332961087E-3</v>
          </cell>
          <cell r="AQ1596">
            <v>0</v>
          </cell>
          <cell r="AR1596">
            <v>0</v>
          </cell>
        </row>
        <row r="1597">
          <cell r="B1597" t="str">
            <v xml:space="preserve">          COMPLETION &amp; HANDING OVER</v>
          </cell>
          <cell r="D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>
            <v>0</v>
          </cell>
          <cell r="AM1597">
            <v>0</v>
          </cell>
          <cell r="AN1597">
            <v>0</v>
          </cell>
          <cell r="AO1597">
            <v>0</v>
          </cell>
          <cell r="AP1597">
            <v>0</v>
          </cell>
          <cell r="AQ1597">
            <v>0</v>
          </cell>
          <cell r="AR1597">
            <v>0</v>
          </cell>
        </row>
        <row r="1598">
          <cell r="B1598" t="str">
            <v xml:space="preserve">            CO4-1040</v>
          </cell>
          <cell r="C1598" t="str">
            <v>Completion of Construction Work for Office Building - 4</v>
          </cell>
          <cell r="D1598">
            <v>0</v>
          </cell>
          <cell r="E1598">
            <v>1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>
            <v>0</v>
          </cell>
          <cell r="AM1598">
            <v>0</v>
          </cell>
          <cell r="AN1598">
            <v>0</v>
          </cell>
          <cell r="AO1598">
            <v>0</v>
          </cell>
          <cell r="AP1598">
            <v>0</v>
          </cell>
          <cell r="AQ1598">
            <v>0</v>
          </cell>
          <cell r="AR1598">
            <v>0</v>
          </cell>
        </row>
        <row r="1599">
          <cell r="B1599" t="str">
            <v xml:space="preserve">            CO4-1050</v>
          </cell>
          <cell r="C1599" t="str">
            <v>Testing &amp; Commissioning of Office Building - 4</v>
          </cell>
          <cell r="D1599">
            <v>0</v>
          </cell>
          <cell r="E1599">
            <v>1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>
            <v>0</v>
          </cell>
          <cell r="AM1599">
            <v>0</v>
          </cell>
          <cell r="AN1599">
            <v>0</v>
          </cell>
          <cell r="AO1599">
            <v>0</v>
          </cell>
          <cell r="AP1599">
            <v>0</v>
          </cell>
          <cell r="AQ1599">
            <v>0</v>
          </cell>
          <cell r="AR1599">
            <v>0</v>
          </cell>
        </row>
        <row r="1600">
          <cell r="B1600" t="str">
            <v xml:space="preserve">        OFFICE - 5</v>
          </cell>
          <cell r="D1600">
            <v>971599708</v>
          </cell>
          <cell r="F1600">
            <v>1.1184224960147784</v>
          </cell>
          <cell r="G1600">
            <v>2.3007548355259803E-2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2.3007548355259803E-2</v>
          </cell>
          <cell r="V1600">
            <v>3.1954928654899004E-2</v>
          </cell>
          <cell r="W1600">
            <v>3.3233125018337112E-2</v>
          </cell>
          <cell r="X1600">
            <v>3.067673114034641E-2</v>
          </cell>
          <cell r="Y1600">
            <v>3.1954928654899004E-2</v>
          </cell>
          <cell r="Z1600">
            <v>5.292535087245509E-2</v>
          </cell>
          <cell r="AA1600">
            <v>6.5966955283666612E-2</v>
          </cell>
          <cell r="AB1600">
            <v>7.3682457764167542E-2</v>
          </cell>
          <cell r="AC1600">
            <v>7.9906260923727074E-2</v>
          </cell>
          <cell r="AD1600">
            <v>7.9906260923727074E-2</v>
          </cell>
          <cell r="AE1600">
            <v>7.6832944125637737E-2</v>
          </cell>
          <cell r="AF1600">
            <v>7.6832944125637737E-2</v>
          </cell>
          <cell r="AG1600">
            <v>7.3759626176433918E-2</v>
          </cell>
          <cell r="AH1600">
            <v>7.6832944125637737E-2</v>
          </cell>
          <cell r="AI1600">
            <v>5.1785924812485867E-2</v>
          </cell>
          <cell r="AJ1600">
            <v>4.3082895036087504E-2</v>
          </cell>
          <cell r="AK1600">
            <v>4.3082895036087504E-2</v>
          </cell>
          <cell r="AL1600">
            <v>4.6673135905389976E-2</v>
          </cell>
          <cell r="AM1600">
            <v>4.8468256340041205E-2</v>
          </cell>
          <cell r="AN1600">
            <v>4.3082895036087504E-2</v>
          </cell>
          <cell r="AO1600">
            <v>3.0992904300225388E-2</v>
          </cell>
          <cell r="AP1600">
            <v>3.7805834035413394E-3</v>
          </cell>
          <cell r="AQ1600">
            <v>0</v>
          </cell>
          <cell r="AR1600">
            <v>0</v>
          </cell>
        </row>
        <row r="1601">
          <cell r="B1601" t="str">
            <v xml:space="preserve">          CO5-1010</v>
          </cell>
          <cell r="C1601" t="str">
            <v>Structure Works for Office Building - 5</v>
          </cell>
          <cell r="D1601">
            <v>388639883</v>
          </cell>
          <cell r="E1601">
            <v>1</v>
          </cell>
          <cell r="F1601">
            <v>0.44736899771524263</v>
          </cell>
          <cell r="G1601">
            <v>2.3007548355259803E-2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2.3007548355259803E-2</v>
          </cell>
          <cell r="V1601">
            <v>3.1954928654899004E-2</v>
          </cell>
          <cell r="W1601">
            <v>3.3233125018337112E-2</v>
          </cell>
          <cell r="X1601">
            <v>3.067673114034641E-2</v>
          </cell>
          <cell r="Y1601">
            <v>3.1954928654899004E-2</v>
          </cell>
          <cell r="Z1601">
            <v>3.1954928654899004E-2</v>
          </cell>
          <cell r="AA1601">
            <v>3.4511322532889709E-2</v>
          </cell>
          <cell r="AB1601">
            <v>3.1954928654899004E-2</v>
          </cell>
          <cell r="AC1601">
            <v>3.3233125018337112E-2</v>
          </cell>
          <cell r="AD1601">
            <v>3.3233125018337112E-2</v>
          </cell>
          <cell r="AE1601">
            <v>3.1954928654899004E-2</v>
          </cell>
          <cell r="AF1601">
            <v>3.1954928654899004E-2</v>
          </cell>
          <cell r="AG1601">
            <v>3.067673114034641E-2</v>
          </cell>
          <cell r="AH1601">
            <v>3.1954928654899004E-2</v>
          </cell>
          <cell r="AI1601">
            <v>5.1127889070958941E-3</v>
          </cell>
          <cell r="AJ1601">
            <v>0</v>
          </cell>
          <cell r="AK1601">
            <v>0</v>
          </cell>
          <cell r="AL1601">
            <v>0</v>
          </cell>
          <cell r="AM1601">
            <v>0</v>
          </cell>
          <cell r="AN1601">
            <v>0</v>
          </cell>
          <cell r="AO1601">
            <v>0</v>
          </cell>
          <cell r="AP1601">
            <v>0</v>
          </cell>
          <cell r="AQ1601">
            <v>0</v>
          </cell>
          <cell r="AR1601">
            <v>0</v>
          </cell>
        </row>
        <row r="1602">
          <cell r="B1602" t="str">
            <v xml:space="preserve">          CO5-1020</v>
          </cell>
          <cell r="C1602" t="str">
            <v>Finishes Works for Office Building - 5</v>
          </cell>
          <cell r="D1602">
            <v>388639883</v>
          </cell>
          <cell r="E1602">
            <v>1</v>
          </cell>
          <cell r="F1602">
            <v>0.4473690000174716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2.097042221755609E-2</v>
          </cell>
          <cell r="AA1602">
            <v>3.1455632750776896E-2</v>
          </cell>
          <cell r="AB1602">
            <v>2.9125585965616714E-2</v>
          </cell>
          <cell r="AC1602">
            <v>3.0290609358196805E-2</v>
          </cell>
          <cell r="AD1602">
            <v>3.0290609358196805E-2</v>
          </cell>
          <cell r="AE1602">
            <v>2.9125585965616714E-2</v>
          </cell>
          <cell r="AF1602">
            <v>2.9125585965616714E-2</v>
          </cell>
          <cell r="AG1602">
            <v>2.7960562573036626E-2</v>
          </cell>
          <cell r="AH1602">
            <v>2.9125585965616714E-2</v>
          </cell>
          <cell r="AI1602">
            <v>3.0290609358196805E-2</v>
          </cell>
          <cell r="AJ1602">
            <v>2.7960562573036626E-2</v>
          </cell>
          <cell r="AK1602">
            <v>2.7960562573036626E-2</v>
          </cell>
          <cell r="AL1602">
            <v>3.0290609358196805E-2</v>
          </cell>
          <cell r="AM1602">
            <v>3.1455632750776896E-2</v>
          </cell>
          <cell r="AN1602">
            <v>2.7960562573036626E-2</v>
          </cell>
          <cell r="AO1602">
            <v>1.3980280710961074E-2</v>
          </cell>
          <cell r="AP1602">
            <v>0</v>
          </cell>
          <cell r="AQ1602">
            <v>0</v>
          </cell>
          <cell r="AR1602">
            <v>0</v>
          </cell>
        </row>
        <row r="1603">
          <cell r="B1603" t="str">
            <v xml:space="preserve">          CO5-1030</v>
          </cell>
          <cell r="C1603" t="str">
            <v>MEP Works for Office Building - 5</v>
          </cell>
          <cell r="D1603">
            <v>194319942</v>
          </cell>
          <cell r="E1603">
            <v>1</v>
          </cell>
          <cell r="F1603">
            <v>0.22368449828206408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1.2601943143651829E-2</v>
          </cell>
          <cell r="AC1603">
            <v>1.6382526547193167E-2</v>
          </cell>
          <cell r="AD1603">
            <v>1.6382526547193167E-2</v>
          </cell>
          <cell r="AE1603">
            <v>1.5752429505122026E-2</v>
          </cell>
          <cell r="AF1603">
            <v>1.5752429505122026E-2</v>
          </cell>
          <cell r="AG1603">
            <v>1.5122332463050881E-2</v>
          </cell>
          <cell r="AH1603">
            <v>1.5752429505122026E-2</v>
          </cell>
          <cell r="AI1603">
            <v>1.6382526547193167E-2</v>
          </cell>
          <cell r="AJ1603">
            <v>1.5122332463050881E-2</v>
          </cell>
          <cell r="AK1603">
            <v>1.5122332463050881E-2</v>
          </cell>
          <cell r="AL1603">
            <v>1.6382526547193167E-2</v>
          </cell>
          <cell r="AM1603">
            <v>1.7012623589264312E-2</v>
          </cell>
          <cell r="AN1603">
            <v>1.5122332463050881E-2</v>
          </cell>
          <cell r="AO1603">
            <v>1.7012623589264312E-2</v>
          </cell>
          <cell r="AP1603">
            <v>3.7805834035413394E-3</v>
          </cell>
          <cell r="AQ1603">
            <v>0</v>
          </cell>
          <cell r="AR1603">
            <v>0</v>
          </cell>
        </row>
        <row r="1604">
          <cell r="B1604" t="str">
            <v xml:space="preserve">          COMPLETION &amp; HANDING OVER</v>
          </cell>
          <cell r="D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>
            <v>0</v>
          </cell>
          <cell r="AM1604">
            <v>0</v>
          </cell>
          <cell r="AN1604">
            <v>0</v>
          </cell>
          <cell r="AO1604">
            <v>0</v>
          </cell>
          <cell r="AP1604">
            <v>0</v>
          </cell>
          <cell r="AQ1604">
            <v>0</v>
          </cell>
          <cell r="AR1604">
            <v>0</v>
          </cell>
        </row>
        <row r="1605">
          <cell r="B1605" t="str">
            <v xml:space="preserve">            CO5-1040</v>
          </cell>
          <cell r="C1605" t="str">
            <v>Completion of Construction Work for Office Building - 5</v>
          </cell>
          <cell r="D1605">
            <v>0</v>
          </cell>
          <cell r="E1605">
            <v>1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>
            <v>0</v>
          </cell>
          <cell r="AM1605">
            <v>0</v>
          </cell>
          <cell r="AN1605">
            <v>0</v>
          </cell>
          <cell r="AO1605">
            <v>0</v>
          </cell>
          <cell r="AP1605">
            <v>0</v>
          </cell>
          <cell r="AQ1605">
            <v>0</v>
          </cell>
          <cell r="AR1605">
            <v>0</v>
          </cell>
        </row>
        <row r="1606">
          <cell r="B1606" t="str">
            <v xml:space="preserve">            CO5-1050</v>
          </cell>
          <cell r="C1606" t="str">
            <v>Testing &amp; Commissioning of Office Building - 5</v>
          </cell>
          <cell r="D1606">
            <v>0</v>
          </cell>
          <cell r="E1606">
            <v>1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>
            <v>0</v>
          </cell>
          <cell r="AM1606">
            <v>0</v>
          </cell>
          <cell r="AN1606">
            <v>0</v>
          </cell>
          <cell r="AO1606">
            <v>0</v>
          </cell>
          <cell r="AP1606">
            <v>0</v>
          </cell>
          <cell r="AQ1606">
            <v>0</v>
          </cell>
          <cell r="AR1606">
            <v>0</v>
          </cell>
        </row>
        <row r="1607">
          <cell r="B1607" t="str">
            <v xml:space="preserve">  COMMISSIONING &amp; HANDING OVER</v>
          </cell>
          <cell r="D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>
            <v>0</v>
          </cell>
          <cell r="AM1607">
            <v>0</v>
          </cell>
          <cell r="AN1607">
            <v>0</v>
          </cell>
          <cell r="AO1607">
            <v>0</v>
          </cell>
          <cell r="AP1607">
            <v>0</v>
          </cell>
          <cell r="AQ1607">
            <v>0</v>
          </cell>
          <cell r="AR1607">
            <v>0</v>
          </cell>
        </row>
        <row r="1608">
          <cell r="B1608" t="str">
            <v xml:space="preserve">    COMMISSIONING OF WORK PACKAGES</v>
          </cell>
          <cell r="D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>
            <v>0</v>
          </cell>
          <cell r="AM1608">
            <v>0</v>
          </cell>
          <cell r="AN1608">
            <v>0</v>
          </cell>
          <cell r="AO1608">
            <v>0</v>
          </cell>
          <cell r="AP1608">
            <v>0</v>
          </cell>
          <cell r="AQ1608">
            <v>0</v>
          </cell>
          <cell r="AR1608">
            <v>0</v>
          </cell>
        </row>
        <row r="1609">
          <cell r="B1609" t="str">
            <v xml:space="preserve">      CP1-1000</v>
          </cell>
          <cell r="C1609" t="str">
            <v>Commissioning of 5 Star Hotel -1</v>
          </cell>
          <cell r="D1609">
            <v>0</v>
          </cell>
          <cell r="E1609">
            <v>1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>
            <v>0</v>
          </cell>
          <cell r="AM1609">
            <v>0</v>
          </cell>
          <cell r="AN1609">
            <v>0</v>
          </cell>
          <cell r="AO1609">
            <v>0</v>
          </cell>
          <cell r="AP1609">
            <v>0</v>
          </cell>
          <cell r="AQ1609">
            <v>0</v>
          </cell>
          <cell r="AR1609">
            <v>0</v>
          </cell>
        </row>
        <row r="1610">
          <cell r="B1610" t="str">
            <v xml:space="preserve">      CP1-1010</v>
          </cell>
          <cell r="C1610" t="str">
            <v>Commissioning of 5 Star Hotel -2</v>
          </cell>
          <cell r="D1610">
            <v>0</v>
          </cell>
          <cell r="E1610">
            <v>1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>
            <v>0</v>
          </cell>
          <cell r="AM1610">
            <v>0</v>
          </cell>
          <cell r="AN1610">
            <v>0</v>
          </cell>
          <cell r="AO1610">
            <v>0</v>
          </cell>
          <cell r="AP1610">
            <v>0</v>
          </cell>
          <cell r="AQ1610">
            <v>0</v>
          </cell>
          <cell r="AR1610">
            <v>0</v>
          </cell>
        </row>
        <row r="1611">
          <cell r="B1611" t="str">
            <v xml:space="preserve">      CP1-1020</v>
          </cell>
          <cell r="C1611" t="str">
            <v>Commissioning of 4 Star Hotel -1</v>
          </cell>
          <cell r="D1611">
            <v>0</v>
          </cell>
          <cell r="E1611">
            <v>1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>
            <v>0</v>
          </cell>
          <cell r="AM1611">
            <v>0</v>
          </cell>
          <cell r="AN1611">
            <v>0</v>
          </cell>
          <cell r="AO1611">
            <v>0</v>
          </cell>
          <cell r="AP1611">
            <v>0</v>
          </cell>
          <cell r="AQ1611">
            <v>0</v>
          </cell>
          <cell r="AR1611">
            <v>0</v>
          </cell>
        </row>
        <row r="1612">
          <cell r="B1612" t="str">
            <v xml:space="preserve">      CP1-1030</v>
          </cell>
          <cell r="C1612" t="str">
            <v>Commissioning of Office Building -1</v>
          </cell>
          <cell r="D1612">
            <v>0</v>
          </cell>
          <cell r="E1612">
            <v>1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>
            <v>0</v>
          </cell>
          <cell r="AM1612">
            <v>0</v>
          </cell>
          <cell r="AN1612">
            <v>0</v>
          </cell>
          <cell r="AO1612">
            <v>0</v>
          </cell>
          <cell r="AP1612">
            <v>0</v>
          </cell>
          <cell r="AQ1612">
            <v>0</v>
          </cell>
          <cell r="AR1612">
            <v>0</v>
          </cell>
        </row>
        <row r="1613">
          <cell r="B1613" t="str">
            <v xml:space="preserve">      CP1-1040</v>
          </cell>
          <cell r="C1613" t="str">
            <v>Commissioning of Office Building -2</v>
          </cell>
          <cell r="D1613">
            <v>0</v>
          </cell>
          <cell r="E1613">
            <v>1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>
            <v>0</v>
          </cell>
          <cell r="AM1613">
            <v>0</v>
          </cell>
          <cell r="AN1613">
            <v>0</v>
          </cell>
          <cell r="AO1613">
            <v>0</v>
          </cell>
          <cell r="AP1613">
            <v>0</v>
          </cell>
          <cell r="AQ1613">
            <v>0</v>
          </cell>
          <cell r="AR1613">
            <v>0</v>
          </cell>
        </row>
        <row r="1614">
          <cell r="B1614" t="str">
            <v xml:space="preserve">      CP1-1050</v>
          </cell>
          <cell r="C1614" t="str">
            <v>Commissioning of Office Building -3</v>
          </cell>
          <cell r="D1614">
            <v>0</v>
          </cell>
          <cell r="E1614">
            <v>1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>
            <v>0</v>
          </cell>
          <cell r="AM1614">
            <v>0</v>
          </cell>
          <cell r="AN1614">
            <v>0</v>
          </cell>
          <cell r="AO1614">
            <v>0</v>
          </cell>
          <cell r="AP1614">
            <v>0</v>
          </cell>
          <cell r="AQ1614">
            <v>0</v>
          </cell>
          <cell r="AR1614">
            <v>0</v>
          </cell>
        </row>
        <row r="1615">
          <cell r="B1615" t="str">
            <v xml:space="preserve">      CP1-1060</v>
          </cell>
          <cell r="C1615" t="str">
            <v>Commissioning of Retail -1</v>
          </cell>
          <cell r="D1615">
            <v>0</v>
          </cell>
          <cell r="E1615">
            <v>1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>
            <v>0</v>
          </cell>
          <cell r="AM1615">
            <v>0</v>
          </cell>
          <cell r="AN1615">
            <v>0</v>
          </cell>
          <cell r="AO1615">
            <v>0</v>
          </cell>
          <cell r="AP1615">
            <v>0</v>
          </cell>
          <cell r="AQ1615">
            <v>0</v>
          </cell>
          <cell r="AR1615">
            <v>0</v>
          </cell>
        </row>
        <row r="1616">
          <cell r="B1616" t="str">
            <v xml:space="preserve">      CP1-1070</v>
          </cell>
          <cell r="C1616" t="str">
            <v>Commissioning of Retail over Metro Station</v>
          </cell>
          <cell r="D1616">
            <v>0</v>
          </cell>
          <cell r="E1616">
            <v>1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>
            <v>0</v>
          </cell>
          <cell r="AM1616">
            <v>0</v>
          </cell>
          <cell r="AN1616">
            <v>0</v>
          </cell>
          <cell r="AO1616">
            <v>0</v>
          </cell>
          <cell r="AP1616">
            <v>0</v>
          </cell>
          <cell r="AQ1616">
            <v>0</v>
          </cell>
          <cell r="AR1616">
            <v>0</v>
          </cell>
        </row>
        <row r="1617">
          <cell r="B1617" t="str">
            <v xml:space="preserve">      CP1-1080</v>
          </cell>
          <cell r="C1617" t="str">
            <v>Commissioning of Exhibition Center -1</v>
          </cell>
          <cell r="D1617">
            <v>0</v>
          </cell>
          <cell r="E1617">
            <v>3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>
            <v>0</v>
          </cell>
          <cell r="AM1617">
            <v>0</v>
          </cell>
          <cell r="AN1617">
            <v>0</v>
          </cell>
          <cell r="AO1617">
            <v>0</v>
          </cell>
          <cell r="AP1617">
            <v>0</v>
          </cell>
          <cell r="AQ1617">
            <v>0</v>
          </cell>
          <cell r="AR1617">
            <v>0</v>
          </cell>
        </row>
        <row r="1618">
          <cell r="B1618" t="str">
            <v xml:space="preserve">      CP1-1090</v>
          </cell>
          <cell r="C1618" t="str">
            <v>Commissioning of Convention Center</v>
          </cell>
          <cell r="D1618">
            <v>0</v>
          </cell>
          <cell r="E1618">
            <v>3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>
            <v>0</v>
          </cell>
          <cell r="AM1618">
            <v>0</v>
          </cell>
          <cell r="AN1618">
            <v>0</v>
          </cell>
          <cell r="AO1618">
            <v>0</v>
          </cell>
          <cell r="AP1618">
            <v>0</v>
          </cell>
          <cell r="AQ1618">
            <v>0</v>
          </cell>
          <cell r="AR1618">
            <v>0</v>
          </cell>
        </row>
        <row r="1619">
          <cell r="B1619" t="str">
            <v xml:space="preserve">      CP1-1100</v>
          </cell>
          <cell r="C1619" t="str">
            <v>Commissioning of Trunk Infrastructure</v>
          </cell>
          <cell r="D1619">
            <v>0</v>
          </cell>
          <cell r="E1619">
            <v>3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>
            <v>0</v>
          </cell>
          <cell r="AM1619">
            <v>0</v>
          </cell>
          <cell r="AN1619">
            <v>0</v>
          </cell>
          <cell r="AO1619">
            <v>0</v>
          </cell>
          <cell r="AP1619">
            <v>0</v>
          </cell>
          <cell r="AQ1619">
            <v>0</v>
          </cell>
          <cell r="AR1619">
            <v>0</v>
          </cell>
        </row>
        <row r="1620">
          <cell r="B1620" t="str">
            <v xml:space="preserve">      CP1-1110</v>
          </cell>
          <cell r="C1620" t="str">
            <v>Commissioning of Office Building -4</v>
          </cell>
          <cell r="D1620">
            <v>0</v>
          </cell>
          <cell r="E1620">
            <v>1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>
            <v>0</v>
          </cell>
          <cell r="AM1620">
            <v>0</v>
          </cell>
          <cell r="AN1620">
            <v>0</v>
          </cell>
          <cell r="AO1620">
            <v>0</v>
          </cell>
          <cell r="AP1620">
            <v>0</v>
          </cell>
          <cell r="AQ1620">
            <v>0</v>
          </cell>
          <cell r="AR1620">
            <v>0</v>
          </cell>
        </row>
        <row r="1621">
          <cell r="B1621" t="str">
            <v xml:space="preserve">      CP1-1120</v>
          </cell>
          <cell r="C1621" t="str">
            <v>Commissioning of Office Building -5</v>
          </cell>
          <cell r="D1621">
            <v>0</v>
          </cell>
          <cell r="E1621">
            <v>1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>
            <v>0</v>
          </cell>
          <cell r="AM1621">
            <v>0</v>
          </cell>
          <cell r="AN1621">
            <v>0</v>
          </cell>
          <cell r="AO1621">
            <v>0</v>
          </cell>
          <cell r="AP1621">
            <v>0</v>
          </cell>
          <cell r="AQ1621">
            <v>0</v>
          </cell>
          <cell r="AR1621">
            <v>0</v>
          </cell>
        </row>
        <row r="1622">
          <cell r="B1622" t="str">
            <v xml:space="preserve">    COMPLETION OF PROGRAM MANAGEMENT SERVICES</v>
          </cell>
          <cell r="D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>
            <v>0</v>
          </cell>
          <cell r="AM1622">
            <v>0</v>
          </cell>
          <cell r="AN1622">
            <v>0</v>
          </cell>
          <cell r="AO1622">
            <v>0</v>
          </cell>
          <cell r="AP1622">
            <v>0</v>
          </cell>
          <cell r="AQ1622">
            <v>0</v>
          </cell>
          <cell r="AR1622">
            <v>0</v>
          </cell>
        </row>
        <row r="1623">
          <cell r="B1623" t="str">
            <v xml:space="preserve">      CPM-GY1</v>
          </cell>
          <cell r="C1623" t="str">
            <v>Completion of General Programme Management Scope of Service for Years 1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>
            <v>0</v>
          </cell>
          <cell r="AM1623">
            <v>0</v>
          </cell>
          <cell r="AN1623">
            <v>0</v>
          </cell>
          <cell r="AO1623">
            <v>0</v>
          </cell>
          <cell r="AP1623">
            <v>0</v>
          </cell>
          <cell r="AQ1623">
            <v>0</v>
          </cell>
          <cell r="AR1623">
            <v>0</v>
          </cell>
        </row>
        <row r="1624">
          <cell r="B1624" t="str">
            <v xml:space="preserve">      CPM-GY2</v>
          </cell>
          <cell r="C1624" t="str">
            <v>Completion of General Programme Management Scope of Service for Years 2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>
            <v>0</v>
          </cell>
          <cell r="AM1624">
            <v>0</v>
          </cell>
          <cell r="AN1624">
            <v>0</v>
          </cell>
          <cell r="AO1624">
            <v>0</v>
          </cell>
          <cell r="AP1624">
            <v>0</v>
          </cell>
          <cell r="AQ1624">
            <v>0</v>
          </cell>
          <cell r="AR1624">
            <v>0</v>
          </cell>
        </row>
        <row r="1625">
          <cell r="B1625" t="str">
            <v xml:space="preserve">      CPM-GY3</v>
          </cell>
          <cell r="C1625" t="str">
            <v>Completion of General Programme Management Scope of Service for Years 3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>
            <v>0</v>
          </cell>
          <cell r="AM1625">
            <v>0</v>
          </cell>
          <cell r="AN1625">
            <v>0</v>
          </cell>
          <cell r="AO1625">
            <v>0</v>
          </cell>
          <cell r="AP1625">
            <v>0</v>
          </cell>
          <cell r="AQ1625">
            <v>0</v>
          </cell>
          <cell r="AR1625">
            <v>0</v>
          </cell>
        </row>
        <row r="1626">
          <cell r="B1626" t="str">
            <v xml:space="preserve">      CPM-Y1</v>
          </cell>
          <cell r="C1626" t="str">
            <v>Completion of Programme Management Scope of Service for Year 1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>
            <v>0</v>
          </cell>
          <cell r="AM1626">
            <v>0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  <cell r="AR1626">
            <v>0</v>
          </cell>
        </row>
      </sheetData>
      <sheetData sheetId="1"/>
      <sheetData sheetId="2"/>
      <sheetData sheetId="3">
        <row r="2">
          <cell r="B2" t="str">
            <v>ACTIVITYID</v>
          </cell>
          <cell r="C2" t="str">
            <v>ACTIVITY NAME</v>
          </cell>
          <cell r="D2" t="str">
            <v>BUDGETED TOTAL COST</v>
          </cell>
          <cell r="E2" t="str">
            <v>% WEIGHTAGE</v>
          </cell>
          <cell r="F2" t="str">
            <v>Cumulative Actual %</v>
          </cell>
          <cell r="G2" t="str">
            <v>ACTUAL / ESTIMATED</v>
          </cell>
        </row>
        <row r="3">
          <cell r="G3" t="str">
            <v>Wtg.</v>
          </cell>
        </row>
        <row r="4">
          <cell r="G4">
            <v>42644</v>
          </cell>
          <cell r="H4">
            <v>42675</v>
          </cell>
          <cell r="I4">
            <v>42705</v>
          </cell>
          <cell r="J4">
            <v>42736</v>
          </cell>
          <cell r="K4">
            <v>42767</v>
          </cell>
          <cell r="L4">
            <v>42795</v>
          </cell>
          <cell r="M4">
            <v>42826</v>
          </cell>
          <cell r="N4">
            <v>42856</v>
          </cell>
          <cell r="O4">
            <v>42887</v>
          </cell>
          <cell r="P4">
            <v>42917</v>
          </cell>
          <cell r="Q4">
            <v>42948</v>
          </cell>
          <cell r="R4">
            <v>42979</v>
          </cell>
          <cell r="S4">
            <v>43009</v>
          </cell>
          <cell r="T4">
            <v>43040</v>
          </cell>
          <cell r="U4">
            <v>43070</v>
          </cell>
          <cell r="V4">
            <v>43101</v>
          </cell>
          <cell r="W4">
            <v>43132</v>
          </cell>
          <cell r="X4">
            <v>43160</v>
          </cell>
          <cell r="Y4">
            <v>43191</v>
          </cell>
          <cell r="Z4">
            <v>43221</v>
          </cell>
          <cell r="AA4">
            <v>43252</v>
          </cell>
          <cell r="AB4">
            <v>43282</v>
          </cell>
          <cell r="AC4">
            <v>43313</v>
          </cell>
          <cell r="AD4">
            <v>43344</v>
          </cell>
          <cell r="AE4">
            <v>43374</v>
          </cell>
          <cell r="AF4">
            <v>43405</v>
          </cell>
          <cell r="AG4">
            <v>43435</v>
          </cell>
          <cell r="AH4">
            <v>43466</v>
          </cell>
          <cell r="AI4">
            <v>43497</v>
          </cell>
          <cell r="AJ4">
            <v>43525</v>
          </cell>
          <cell r="AK4">
            <v>43556</v>
          </cell>
          <cell r="AL4">
            <v>43586</v>
          </cell>
          <cell r="AM4">
            <v>43617</v>
          </cell>
          <cell r="AN4">
            <v>43647</v>
          </cell>
          <cell r="AO4">
            <v>43678</v>
          </cell>
          <cell r="AP4">
            <v>43709</v>
          </cell>
          <cell r="AQ4">
            <v>43739</v>
          </cell>
        </row>
        <row r="5">
          <cell r="B5" t="str">
            <v>BaselineExhibitionCumConventionCenter,Dwarka,NewDelhi(DMICP)-B1</v>
          </cell>
          <cell r="D5">
            <v>51663513244</v>
          </cell>
          <cell r="E5">
            <v>99.999999998771571</v>
          </cell>
          <cell r="F5">
            <v>1.3594158122892615E-2</v>
          </cell>
          <cell r="G5">
            <v>5.3972185683895098E-4</v>
          </cell>
          <cell r="H5">
            <v>3.7514530716780276E-4</v>
          </cell>
          <cell r="I5">
            <v>6.4214557333916228E-4</v>
          </cell>
          <cell r="J5">
            <v>9.2405668577379238E-4</v>
          </cell>
          <cell r="K5">
            <v>1.2499719578019206E-3</v>
          </cell>
          <cell r="L5">
            <v>1.9161703328893255E-3</v>
          </cell>
          <cell r="M5">
            <v>1.8227909595983441E-3</v>
          </cell>
          <cell r="N5">
            <v>1.648870788465153E-3</v>
          </cell>
          <cell r="O5">
            <v>1.0582523452486203E-3</v>
          </cell>
          <cell r="P5">
            <v>6.8168915282406782E-4</v>
          </cell>
          <cell r="Q5">
            <v>5.2204870641997438E-4</v>
          </cell>
          <cell r="R5">
            <v>2.0379923520525447E-4</v>
          </cell>
          <cell r="S5">
            <v>1.0271384434779212E-3</v>
          </cell>
          <cell r="T5">
            <v>9.8235677784232287E-4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</row>
        <row r="6">
          <cell r="B6" t="str">
            <v>PROGRAM MANAGEMENT</v>
          </cell>
          <cell r="D6">
            <v>627222558</v>
          </cell>
          <cell r="E6">
            <v>0.76272930749295531</v>
          </cell>
          <cell r="F6">
            <v>0.40975206452874696</v>
          </cell>
          <cell r="G6">
            <v>6.2047452020859206E-2</v>
          </cell>
          <cell r="H6">
            <v>2.6375436771539362E-2</v>
          </cell>
          <cell r="I6">
            <v>2.6599268395004708E-2</v>
          </cell>
          <cell r="J6">
            <v>2.2033798114047536E-2</v>
          </cell>
          <cell r="K6">
            <v>2.0206513715541014E-2</v>
          </cell>
          <cell r="L6">
            <v>2.464947130561183E-2</v>
          </cell>
          <cell r="M6">
            <v>2.9835601922957554E-2</v>
          </cell>
          <cell r="N6">
            <v>3.7268649731204938E-2</v>
          </cell>
          <cell r="O6">
            <v>3.1671256369429079E-2</v>
          </cell>
          <cell r="P6">
            <v>2.7237077821733405E-2</v>
          </cell>
          <cell r="Q6">
            <v>4.2225657454229688E-2</v>
          </cell>
          <cell r="R6">
            <v>1.7247491980488808E-2</v>
          </cell>
          <cell r="S6">
            <v>2.1818694346627768E-2</v>
          </cell>
          <cell r="T6">
            <v>2.0535694579472082E-2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 t="str">
            <v>SPECIFIC SCOPE OF WORK FOR YEAR 1</v>
          </cell>
          <cell r="D7">
            <v>71295753</v>
          </cell>
          <cell r="E7">
            <v>0.11937109844903968</v>
          </cell>
          <cell r="F7">
            <v>0.9401290527666788</v>
          </cell>
          <cell r="G7">
            <v>0.33737760161204644</v>
          </cell>
          <cell r="H7">
            <v>7.6543721725896338E-2</v>
          </cell>
          <cell r="I7">
            <v>6.366996951932459E-2</v>
          </cell>
          <cell r="J7">
            <v>4.0334730247768048E-2</v>
          </cell>
          <cell r="K7">
            <v>9.4909224026763703E-3</v>
          </cell>
          <cell r="L7">
            <v>3.210538375828581E-2</v>
          </cell>
          <cell r="M7">
            <v>4.6936080070157447E-2</v>
          </cell>
          <cell r="N7">
            <v>7.0238706178134713E-2</v>
          </cell>
          <cell r="O7">
            <v>5.8880376401037687E-2</v>
          </cell>
          <cell r="P7">
            <v>3.442886433539185E-2</v>
          </cell>
          <cell r="Q7">
            <v>0.12682032706162205</v>
          </cell>
          <cell r="R7">
            <v>1.0075162831006975E-2</v>
          </cell>
          <cell r="S7">
            <v>1.7961138035668085E-2</v>
          </cell>
          <cell r="T7">
            <v>1.5266068587662362E-2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 t="str">
            <v>TASK1-SETTINGUPTHEPMO&amp;DRAFTPIPPREPARATION</v>
          </cell>
          <cell r="D8">
            <v>11878960</v>
          </cell>
          <cell r="E8">
            <v>4.0545729387845057E-2</v>
          </cell>
          <cell r="F8">
            <v>0.99999999999999989</v>
          </cell>
          <cell r="G8">
            <v>0.98088307076215853</v>
          </cell>
          <cell r="H8">
            <v>1.907252645932897E-2</v>
          </cell>
          <cell r="I8">
            <v>4.451634060576462E-5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-1.1356209338027063E-7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 t="str">
            <v>T01-1000</v>
          </cell>
          <cell r="C9" t="str">
            <v>Set up of Project Management Office (PMO)</v>
          </cell>
          <cell r="D9">
            <v>5689655</v>
          </cell>
          <cell r="E9">
            <v>1.9648332714578873E-2</v>
          </cell>
          <cell r="F9">
            <v>1</v>
          </cell>
          <cell r="G9">
            <v>1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</row>
        <row r="10">
          <cell r="B10" t="str">
            <v>T01-1010</v>
          </cell>
          <cell r="C10" t="str">
            <v>Mobilization of PMO Core Team</v>
          </cell>
          <cell r="D10">
            <v>5689655</v>
          </cell>
          <cell r="E10">
            <v>1.9648332714578873E-2</v>
          </cell>
          <cell r="F10">
            <v>1</v>
          </cell>
          <cell r="G10">
            <v>1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</row>
        <row r="11">
          <cell r="B11" t="str">
            <v>T01-1020</v>
          </cell>
          <cell r="C11" t="str">
            <v>Stakeholder Workshop for reviewing the Master Plan</v>
          </cell>
          <cell r="D11">
            <v>3736</v>
          </cell>
          <cell r="E11">
            <v>1.2901691055374478E-5</v>
          </cell>
          <cell r="F11">
            <v>1</v>
          </cell>
          <cell r="G11">
            <v>1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</row>
        <row r="12">
          <cell r="B12" t="str">
            <v>DRAFTPROGRAMMEIMPLEMENTATIONPLAN(PIP)</v>
          </cell>
          <cell r="D12">
            <v>340580</v>
          </cell>
          <cell r="E12">
            <v>9.1167921223977706E-4</v>
          </cell>
          <cell r="F12">
            <v>1</v>
          </cell>
          <cell r="G12">
            <v>0.47012425552116988</v>
          </cell>
          <cell r="H12">
            <v>0.5278921511066329</v>
          </cell>
          <cell r="I12">
            <v>1.9798054790611578E-3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3.787893136029048E-6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 t="str">
            <v>T01-1030</v>
          </cell>
          <cell r="C13" t="str">
            <v>Program Schedule Development</v>
          </cell>
          <cell r="D13">
            <v>34018</v>
          </cell>
          <cell r="E13">
            <v>1.1747583680988463E-4</v>
          </cell>
          <cell r="F13">
            <v>1</v>
          </cell>
          <cell r="G13">
            <v>0.64748074548768297</v>
          </cell>
          <cell r="H13">
            <v>0.35248985831030627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2.9396202010811834E-5</v>
          </cell>
          <cell r="T13">
            <v>0</v>
          </cell>
        </row>
        <row r="14">
          <cell r="B14" t="str">
            <v>T01-1040</v>
          </cell>
          <cell r="C14" t="str">
            <v>Program Budget Formulation</v>
          </cell>
          <cell r="D14">
            <v>132728</v>
          </cell>
          <cell r="E14">
            <v>4.5835536680881794E-4</v>
          </cell>
          <cell r="F14">
            <v>1</v>
          </cell>
          <cell r="G14">
            <v>0.63609788439515391</v>
          </cell>
          <cell r="H14">
            <v>0.36390211560484598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1.1102230246251565E-16</v>
          </cell>
          <cell r="T14">
            <v>0</v>
          </cell>
        </row>
        <row r="15">
          <cell r="B15" t="str">
            <v>T01-1050</v>
          </cell>
          <cell r="C15" t="str">
            <v>Preparation of General Procurement and Contracts Strategy (EPC versus PPP vs DB)</v>
          </cell>
          <cell r="D15">
            <v>25814</v>
          </cell>
          <cell r="E15">
            <v>8.9144607308200418E-5</v>
          </cell>
          <cell r="F15">
            <v>1</v>
          </cell>
          <cell r="G15">
            <v>0.63608894398388471</v>
          </cell>
          <cell r="H15">
            <v>0.36391105601611529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</row>
        <row r="16">
          <cell r="B16" t="str">
            <v>T01-1060</v>
          </cell>
          <cell r="C16" t="str">
            <v>Preparing Procedure for handling Payment Requests</v>
          </cell>
          <cell r="D16">
            <v>7555</v>
          </cell>
          <cell r="E16">
            <v>8.6966698718196092E-6</v>
          </cell>
          <cell r="F16">
            <v>1</v>
          </cell>
          <cell r="G16">
            <v>0.1499669093315685</v>
          </cell>
          <cell r="H16">
            <v>0.85003309066843147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</row>
        <row r="17">
          <cell r="B17" t="str">
            <v>T01-1110</v>
          </cell>
          <cell r="C17" t="str">
            <v>Preparation of Document Control System</v>
          </cell>
          <cell r="D17">
            <v>17933</v>
          </cell>
          <cell r="E17">
            <v>4.1285871822989027E-5</v>
          </cell>
          <cell r="F17">
            <v>1</v>
          </cell>
          <cell r="G17">
            <v>7.1990185691183844E-2</v>
          </cell>
          <cell r="H17">
            <v>0.92800981430881613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</row>
        <row r="18">
          <cell r="B18" t="str">
            <v>T01-1120</v>
          </cell>
          <cell r="C18" t="str">
            <v>Team Chartering</v>
          </cell>
          <cell r="D18">
            <v>9567</v>
          </cell>
          <cell r="E18">
            <v>1.1012712199033513E-5</v>
          </cell>
          <cell r="F18">
            <v>1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</row>
        <row r="19">
          <cell r="B19" t="str">
            <v>T01-1130</v>
          </cell>
          <cell r="C19" t="str">
            <v>Governance Setting (Organization Structure)</v>
          </cell>
          <cell r="D19">
            <v>9567</v>
          </cell>
          <cell r="E19">
            <v>1.1012712199033513E-5</v>
          </cell>
          <cell r="F19">
            <v>1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</row>
        <row r="20">
          <cell r="B20" t="str">
            <v>T01-1140</v>
          </cell>
          <cell r="C20" t="str">
            <v>Scope Definition</v>
          </cell>
          <cell r="D20">
            <v>7083</v>
          </cell>
          <cell r="E20">
            <v>8.1533438387952737E-6</v>
          </cell>
          <cell r="F20">
            <v>1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</row>
        <row r="21">
          <cell r="B21" t="str">
            <v>T01-1150</v>
          </cell>
          <cell r="C21" t="str">
            <v>Preparation of Program Policies (Internal Communication and Reporting)</v>
          </cell>
          <cell r="D21">
            <v>31355</v>
          </cell>
          <cell r="E21">
            <v>7.2186388836771378E-5</v>
          </cell>
          <cell r="F21">
            <v>1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</row>
        <row r="22">
          <cell r="B22" t="str">
            <v>T01-1160</v>
          </cell>
          <cell r="C22" t="str">
            <v>Preparation of Program Management Tool sets to be employed for monitoring</v>
          </cell>
          <cell r="D22">
            <v>17009</v>
          </cell>
          <cell r="E22">
            <v>3.9158612269961544E-5</v>
          </cell>
          <cell r="F22">
            <v>1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</row>
        <row r="23">
          <cell r="B23" t="str">
            <v>T01-1170</v>
          </cell>
          <cell r="C23" t="str">
            <v>Preparation of Stakeholder Management Procedure</v>
          </cell>
          <cell r="D23">
            <v>7555</v>
          </cell>
          <cell r="E23">
            <v>8.6966698718196092E-6</v>
          </cell>
          <cell r="F23">
            <v>1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</row>
        <row r="24">
          <cell r="B24" t="str">
            <v>T01-1180</v>
          </cell>
          <cell r="C24" t="str">
            <v>Conducting Chartering Workshop</v>
          </cell>
          <cell r="D24">
            <v>850</v>
          </cell>
          <cell r="E24">
            <v>9.7844730523450276E-7</v>
          </cell>
          <cell r="F24">
            <v>1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</row>
        <row r="25">
          <cell r="B25" t="str">
            <v>T01-1190</v>
          </cell>
          <cell r="C25" t="str">
            <v>Project Baseline Establishment</v>
          </cell>
          <cell r="D25">
            <v>5740</v>
          </cell>
          <cell r="E25">
            <v>6.607397096524759E-6</v>
          </cell>
          <cell r="F25">
            <v>1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</row>
        <row r="26">
          <cell r="B26" t="str">
            <v>T01-1200</v>
          </cell>
          <cell r="C26" t="str">
            <v>Program Cash Flow Development</v>
          </cell>
          <cell r="D26">
            <v>32238</v>
          </cell>
          <cell r="E26">
            <v>3.7109628501352823E-5</v>
          </cell>
          <cell r="F26">
            <v>1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</row>
        <row r="27">
          <cell r="B27" t="str">
            <v>T01-1210</v>
          </cell>
          <cell r="C27" t="str">
            <v>Submission of Draft PIP</v>
          </cell>
          <cell r="D27">
            <v>0</v>
          </cell>
          <cell r="E27">
            <v>0</v>
          </cell>
          <cell r="F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</row>
        <row r="28">
          <cell r="B28" t="str">
            <v>T01-1220</v>
          </cell>
          <cell r="C28" t="str">
            <v>Conducting Workshop for PIP</v>
          </cell>
          <cell r="D28">
            <v>1568</v>
          </cell>
          <cell r="E28">
            <v>1.8049474995384706E-6</v>
          </cell>
          <cell r="F28">
            <v>1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</row>
        <row r="29">
          <cell r="B29" t="str">
            <v>PROGRAMASSURANCEFUNCTION</v>
          </cell>
          <cell r="D29">
            <v>155334</v>
          </cell>
          <cell r="E29">
            <v>3.244830553921565E-4</v>
          </cell>
          <cell r="F29">
            <v>1</v>
          </cell>
          <cell r="G29">
            <v>0.10000496654676004</v>
          </cell>
          <cell r="H29">
            <v>0.90001986618704011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-2.4832733800163298E-5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 t="str">
            <v>T01-1070</v>
          </cell>
          <cell r="C30" t="str">
            <v>Preparation of Health and Safety Plan for Draft PIP</v>
          </cell>
          <cell r="D30">
            <v>31638</v>
          </cell>
          <cell r="E30">
            <v>3.6418959815304935E-5</v>
          </cell>
          <cell r="F30">
            <v>1</v>
          </cell>
          <cell r="G30">
            <v>0.1000063215121057</v>
          </cell>
          <cell r="H30">
            <v>0.90002528604842269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-3.1607560528446044E-5</v>
          </cell>
          <cell r="T30">
            <v>0</v>
          </cell>
        </row>
        <row r="31">
          <cell r="B31" t="str">
            <v>T01-1080</v>
          </cell>
          <cell r="C31" t="str">
            <v>Preparation of Environmental Management Plan for Draft PIP</v>
          </cell>
          <cell r="D31">
            <v>60420</v>
          </cell>
          <cell r="E31">
            <v>6.955033668502194E-5</v>
          </cell>
          <cell r="F31">
            <v>1</v>
          </cell>
          <cell r="G31">
            <v>0.1</v>
          </cell>
          <cell r="H31">
            <v>0.9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</row>
        <row r="32">
          <cell r="B32" t="str">
            <v>T01-1090</v>
          </cell>
          <cell r="C32" t="str">
            <v>Development of a Program Wide Strategic Health &amp; Safety Plan as Well as Project specific Plans</v>
          </cell>
          <cell r="D32">
            <v>31638</v>
          </cell>
          <cell r="E32">
            <v>1.092568794459148E-4</v>
          </cell>
          <cell r="F32">
            <v>1</v>
          </cell>
          <cell r="G32">
            <v>0.1000063215121057</v>
          </cell>
          <cell r="H32">
            <v>0.9000252860484228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-3.1607560528446044E-5</v>
          </cell>
          <cell r="T32">
            <v>0</v>
          </cell>
        </row>
        <row r="33">
          <cell r="B33" t="str">
            <v>T01-1100</v>
          </cell>
          <cell r="C33" t="str">
            <v>Development of Plans for the Communication of HSE requirement and Assessment of Performance against these</v>
          </cell>
          <cell r="D33">
            <v>31638</v>
          </cell>
          <cell r="E33">
            <v>1.092568794459148E-4</v>
          </cell>
          <cell r="F33">
            <v>1</v>
          </cell>
          <cell r="G33">
            <v>0.1000063215121057</v>
          </cell>
          <cell r="H33">
            <v>0.9000252860484228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-3.1607560528446044E-5</v>
          </cell>
          <cell r="T33">
            <v>0</v>
          </cell>
        </row>
        <row r="34">
          <cell r="B34" t="str">
            <v>TASK2-VALIDATIONSTUDY&amp;PMISIMPLEMENTATION</v>
          </cell>
          <cell r="D34">
            <v>6028984</v>
          </cell>
          <cell r="E34">
            <v>1.7746987435414224E-2</v>
          </cell>
          <cell r="F34">
            <v>1.0004158859560275</v>
          </cell>
          <cell r="G34">
            <v>2.8315529614268937E-2</v>
          </cell>
          <cell r="H34">
            <v>0.4634910232206555</v>
          </cell>
          <cell r="I34">
            <v>0.26238358635557041</v>
          </cell>
          <cell r="J34">
            <v>0.24063472654152609</v>
          </cell>
          <cell r="K34">
            <v>5.5910202240066435E-3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 t="str">
            <v>EXISTINGCONDITIONASSESSMENT</v>
          </cell>
          <cell r="D35">
            <v>362870</v>
          </cell>
          <cell r="E35">
            <v>5.2091843861998873E-4</v>
          </cell>
          <cell r="F35">
            <v>1</v>
          </cell>
          <cell r="G35">
            <v>0.20680435061232963</v>
          </cell>
          <cell r="H35">
            <v>0.7931956493876704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 t="str">
            <v>T02-1000</v>
          </cell>
          <cell r="C36" t="str">
            <v>Assessment of existing conditions based on Regional &amp; Local Context</v>
          </cell>
          <cell r="D36">
            <v>22416</v>
          </cell>
          <cell r="E36">
            <v>2.5803382110748957E-5</v>
          </cell>
          <cell r="F36">
            <v>1</v>
          </cell>
          <cell r="G36">
            <v>0.29331727337615987</v>
          </cell>
          <cell r="H36">
            <v>0.70668272662384013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</row>
        <row r="37">
          <cell r="B37" t="str">
            <v>T02-1010</v>
          </cell>
          <cell r="C37" t="str">
            <v>Access and mobility analysis including regional Connectivity, access, traffic and circulation</v>
          </cell>
          <cell r="D37">
            <v>8365</v>
          </cell>
          <cell r="E37">
            <v>9.6290725979842534E-6</v>
          </cell>
          <cell r="F37">
            <v>1</v>
          </cell>
          <cell r="G37">
            <v>0.29336521219366407</v>
          </cell>
          <cell r="H37">
            <v>0.70663478780633593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</row>
        <row r="38">
          <cell r="B38" t="str">
            <v>T02-1020</v>
          </cell>
          <cell r="C38" t="str">
            <v>Study of existing traffic condition, traffic bottlenecks, access road, to the site</v>
          </cell>
          <cell r="D38">
            <v>18261</v>
          </cell>
          <cell r="E38">
            <v>2.1020501459867356E-5</v>
          </cell>
          <cell r="F38">
            <v>1</v>
          </cell>
          <cell r="G38">
            <v>0.293357428399321</v>
          </cell>
          <cell r="H38">
            <v>0.706642571600679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</row>
        <row r="39">
          <cell r="B39" t="str">
            <v>T02-1030</v>
          </cell>
          <cell r="C39" t="str">
            <v>Review policies and schemes of the state and city across department having impact on Project</v>
          </cell>
          <cell r="D39">
            <v>22416</v>
          </cell>
          <cell r="E39">
            <v>5.1606764221497913E-5</v>
          </cell>
          <cell r="F39">
            <v>1</v>
          </cell>
          <cell r="G39">
            <v>0.29331727337615987</v>
          </cell>
          <cell r="H39">
            <v>0.70668272662384013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</row>
        <row r="40">
          <cell r="B40" t="str">
            <v>T02-1040</v>
          </cell>
          <cell r="C40" t="str">
            <v>Existing surrounding site infrastructure (power, water, sewer, storm water, etc.) based on secondary data</v>
          </cell>
          <cell r="D40">
            <v>22416</v>
          </cell>
          <cell r="E40">
            <v>5.1606764221497913E-5</v>
          </cell>
          <cell r="F40">
            <v>1</v>
          </cell>
          <cell r="G40">
            <v>0.29331727337615987</v>
          </cell>
          <cell r="H40">
            <v>0.70668272662384013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</row>
        <row r="41">
          <cell r="B41" t="str">
            <v>T02-1050</v>
          </cell>
          <cell r="C41" t="str">
            <v>Existing site features such as topography, Site slope and Drainage pattern</v>
          </cell>
          <cell r="D41">
            <v>22416</v>
          </cell>
          <cell r="E41">
            <v>5.1606764221497913E-5</v>
          </cell>
          <cell r="F41">
            <v>1</v>
          </cell>
          <cell r="G41">
            <v>0.29331727337615987</v>
          </cell>
          <cell r="H41">
            <v>0.70668272662384013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</row>
        <row r="42">
          <cell r="B42" t="str">
            <v>T02-1060</v>
          </cell>
          <cell r="C42" t="str">
            <v>Review of statutory compliance from planning authority which may influence the concept developments</v>
          </cell>
          <cell r="D42">
            <v>22416</v>
          </cell>
          <cell r="E42">
            <v>5.1606764221497913E-5</v>
          </cell>
          <cell r="F42">
            <v>1</v>
          </cell>
          <cell r="G42">
            <v>0.29331727337615987</v>
          </cell>
          <cell r="H42">
            <v>0.70668272662384013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</row>
        <row r="43">
          <cell r="B43" t="str">
            <v>T02-1120</v>
          </cell>
          <cell r="C43" t="str">
            <v>Review of available Baseline Data &amp; Maps</v>
          </cell>
          <cell r="D43">
            <v>89666</v>
          </cell>
          <cell r="E43">
            <v>1.0321583067194931E-4</v>
          </cell>
          <cell r="F43">
            <v>1</v>
          </cell>
          <cell r="G43">
            <v>7.5000557624963757E-2</v>
          </cell>
          <cell r="H43">
            <v>0.92499944237503628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</row>
        <row r="44">
          <cell r="B44" t="str">
            <v>T02-1130</v>
          </cell>
          <cell r="C44" t="str">
            <v>Review the collected data and carry out the GAP analysis for onward activities</v>
          </cell>
          <cell r="D44">
            <v>89666</v>
          </cell>
          <cell r="E44">
            <v>1.0321583067194931E-4</v>
          </cell>
          <cell r="F44">
            <v>1</v>
          </cell>
          <cell r="G44">
            <v>7.5000557624963757E-2</v>
          </cell>
          <cell r="H44">
            <v>0.92499944237503628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</row>
        <row r="45">
          <cell r="B45" t="str">
            <v>SWOTANALYSIS</v>
          </cell>
          <cell r="D45">
            <v>44832</v>
          </cell>
          <cell r="E45">
            <v>5.1606764221497913E-5</v>
          </cell>
          <cell r="F45">
            <v>1</v>
          </cell>
          <cell r="G45">
            <v>0.29331727337615987</v>
          </cell>
          <cell r="H45">
            <v>0.70668272662384013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 t="str">
            <v>T02-1070</v>
          </cell>
          <cell r="C46" t="str">
            <v>Determine industry specific standards and amenities/ facilities, infrastructure requirements, clustering needs etc.</v>
          </cell>
          <cell r="D46">
            <v>22416</v>
          </cell>
          <cell r="E46">
            <v>2.5803382110748957E-5</v>
          </cell>
          <cell r="F46">
            <v>1</v>
          </cell>
          <cell r="G46">
            <v>0.29331727337615987</v>
          </cell>
          <cell r="H46">
            <v>0.70668272662384013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</row>
        <row r="47">
          <cell r="B47" t="str">
            <v>T02-1080</v>
          </cell>
          <cell r="C47" t="str">
            <v>Conduct a SWOT analysis based on site location, physical attributes and real estate market factors</v>
          </cell>
          <cell r="D47">
            <v>22416</v>
          </cell>
          <cell r="E47">
            <v>2.5803382110748957E-5</v>
          </cell>
          <cell r="F47">
            <v>1</v>
          </cell>
          <cell r="G47">
            <v>0.29331727337615987</v>
          </cell>
          <cell r="H47">
            <v>0.70668272662384013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</row>
        <row r="48">
          <cell r="B48" t="str">
            <v>VALIDATIONSTUDIES</v>
          </cell>
          <cell r="D48">
            <v>2134775</v>
          </cell>
          <cell r="E48">
            <v>7.3721112212893607E-3</v>
          </cell>
          <cell r="F48">
            <v>1</v>
          </cell>
          <cell r="G48">
            <v>5.1088756426321276E-2</v>
          </cell>
          <cell r="H48">
            <v>0.94891124357367873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 t="str">
            <v>TECHNICALVALIDATION</v>
          </cell>
          <cell r="D49">
            <v>1015321</v>
          </cell>
          <cell r="E49">
            <v>3.5062521049341192E-3</v>
          </cell>
          <cell r="F49">
            <v>1</v>
          </cell>
          <cell r="G49">
            <v>2.4725185433966207E-2</v>
          </cell>
          <cell r="H49">
            <v>0.97527481456603382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 t="str">
            <v>T02-1090</v>
          </cell>
          <cell r="C50" t="str">
            <v>Preliminary Feasibility Assessment</v>
          </cell>
          <cell r="D50">
            <v>104600</v>
          </cell>
          <cell r="E50">
            <v>3.6121972280304346E-4</v>
          </cell>
          <cell r="F50">
            <v>1</v>
          </cell>
          <cell r="G50">
            <v>0.12</v>
          </cell>
          <cell r="H50">
            <v>0.88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</row>
        <row r="51">
          <cell r="B51" t="str">
            <v>T02-1100</v>
          </cell>
          <cell r="C51" t="str">
            <v>Identification of PPP Project Components</v>
          </cell>
          <cell r="D51">
            <v>48559</v>
          </cell>
          <cell r="E51">
            <v>1.6769090362899605E-4</v>
          </cell>
          <cell r="F51">
            <v>1</v>
          </cell>
          <cell r="G51">
            <v>0.11999835251961531</v>
          </cell>
          <cell r="H51">
            <v>0.88000164748038479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</row>
        <row r="52">
          <cell r="B52" t="str">
            <v>T02-1110</v>
          </cell>
          <cell r="C52" t="str">
            <v>Future Population Projection &amp; Demand Assesment</v>
          </cell>
          <cell r="D52">
            <v>56041</v>
          </cell>
          <cell r="E52">
            <v>1.9352881917404741E-4</v>
          </cell>
          <cell r="F52">
            <v>1</v>
          </cell>
          <cell r="G52">
            <v>0.12000142752627541</v>
          </cell>
          <cell r="H52">
            <v>0.87999857247372459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</row>
        <row r="53">
          <cell r="B53" t="str">
            <v>T02-1290</v>
          </cell>
          <cell r="C53" t="str">
            <v>Conceptual Infrastructure Plans &amp; Feasibility for ECC Projects / Modules</v>
          </cell>
          <cell r="D53">
            <v>56041</v>
          </cell>
          <cell r="E53">
            <v>1.9352881917404741E-4</v>
          </cell>
          <cell r="F53">
            <v>1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</row>
        <row r="54">
          <cell r="B54" t="str">
            <v>T02-1300</v>
          </cell>
          <cell r="C54" t="str">
            <v>Diagnostic Analysis for Infrastructure</v>
          </cell>
          <cell r="D54">
            <v>750080</v>
          </cell>
          <cell r="E54">
            <v>2.5902838401539851E-3</v>
          </cell>
          <cell r="F54">
            <v>1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</row>
        <row r="55">
          <cell r="B55" t="str">
            <v>ECONOMICVALIDATION</v>
          </cell>
          <cell r="D55">
            <v>1119454</v>
          </cell>
          <cell r="E55">
            <v>3.8658591163552411E-3</v>
          </cell>
          <cell r="F55">
            <v>1</v>
          </cell>
          <cell r="G55">
            <v>7.4999955335368851E-2</v>
          </cell>
          <cell r="H55">
            <v>0.92500004466463115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 t="str">
            <v>T02-1140</v>
          </cell>
          <cell r="C56" t="str">
            <v>Proposed Recommendation for preferred options based on Economic, Social and Financial Criteria</v>
          </cell>
          <cell r="D56">
            <v>167361</v>
          </cell>
          <cell r="E56">
            <v>5.7795500982829975E-4</v>
          </cell>
          <cell r="F56">
            <v>1</v>
          </cell>
          <cell r="G56">
            <v>7.4999551866922406E-2</v>
          </cell>
          <cell r="H56">
            <v>0.92500044813307758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</row>
        <row r="57">
          <cell r="B57" t="str">
            <v>T02-1150</v>
          </cell>
          <cell r="C57" t="str">
            <v>Preparation of Capital Investment and annual O&amp;M Costs</v>
          </cell>
          <cell r="D57">
            <v>952093</v>
          </cell>
          <cell r="E57">
            <v>3.2879041065269413E-3</v>
          </cell>
          <cell r="F57">
            <v>1</v>
          </cell>
          <cell r="G57">
            <v>7.5000026257939084E-2</v>
          </cell>
          <cell r="H57">
            <v>0.92499997374206089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</row>
        <row r="58">
          <cell r="B58" t="str">
            <v>REVISEDMASTERPLAN(DRAFT)</v>
          </cell>
          <cell r="D58">
            <v>778074</v>
          </cell>
          <cell r="E58">
            <v>1.2890387111212827E-3</v>
          </cell>
          <cell r="F58">
            <v>1.0057257573201706</v>
          </cell>
          <cell r="G58">
            <v>1.4084258433744168E-2</v>
          </cell>
          <cell r="H58">
            <v>0.63372798079687953</v>
          </cell>
          <cell r="I58">
            <v>0.3321048598968761</v>
          </cell>
          <cell r="J58">
            <v>2.5808658192670642E-2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 t="str">
            <v>ASPECTSTOBECOVEREDFORREVISEDMASTERPLAN(DRAFT)</v>
          </cell>
          <cell r="D59">
            <v>506502</v>
          </cell>
          <cell r="E59">
            <v>5.8304178470104239E-4</v>
          </cell>
          <cell r="F59">
            <v>1</v>
          </cell>
          <cell r="G59">
            <v>0</v>
          </cell>
          <cell r="H59">
            <v>0.98880162368559255</v>
          </cell>
          <cell r="I59">
            <v>1.1198376314407446E-2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 t="str">
            <v>T02-1170</v>
          </cell>
          <cell r="C60" t="str">
            <v>Connectivity with external arteries</v>
          </cell>
          <cell r="D60">
            <v>33898</v>
          </cell>
          <cell r="E60">
            <v>3.9020478532751967E-5</v>
          </cell>
          <cell r="F60">
            <v>1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</row>
        <row r="61">
          <cell r="B61" t="str">
            <v>T02-1180</v>
          </cell>
          <cell r="C61" t="str">
            <v>Study of layout of the land and buildable area</v>
          </cell>
          <cell r="D61">
            <v>18680</v>
          </cell>
          <cell r="E61">
            <v>2.1502818425624132E-5</v>
          </cell>
          <cell r="F61">
            <v>1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</row>
        <row r="62">
          <cell r="B62" t="str">
            <v>T02-1190</v>
          </cell>
          <cell r="C62" t="str">
            <v>Road ROWs for internal circulation</v>
          </cell>
          <cell r="D62">
            <v>33898</v>
          </cell>
          <cell r="E62">
            <v>3.9020478532751967E-5</v>
          </cell>
          <cell r="F62">
            <v>1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</row>
        <row r="63">
          <cell r="B63" t="str">
            <v>T02-1200</v>
          </cell>
          <cell r="C63" t="str">
            <v>Zoning of the revised Master Plan Area</v>
          </cell>
          <cell r="D63">
            <v>28158</v>
          </cell>
          <cell r="E63">
            <v>3.241308143622721E-5</v>
          </cell>
          <cell r="F63">
            <v>1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</row>
        <row r="64">
          <cell r="B64" t="str">
            <v>T02-1210</v>
          </cell>
          <cell r="C64" t="str">
            <v>FAR trends and Builtup Area Calculation</v>
          </cell>
          <cell r="D64">
            <v>18680</v>
          </cell>
          <cell r="E64">
            <v>2.1502818425624132E-5</v>
          </cell>
          <cell r="F64">
            <v>1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</row>
        <row r="65">
          <cell r="B65" t="str">
            <v>T02-1220</v>
          </cell>
          <cell r="C65" t="str">
            <v>Land Area Allocation for Utility Infrastructure</v>
          </cell>
          <cell r="D65">
            <v>61399</v>
          </cell>
          <cell r="E65">
            <v>7.0677277757756737E-5</v>
          </cell>
          <cell r="F65">
            <v>1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</row>
        <row r="66">
          <cell r="B66" t="str">
            <v>T02-1230</v>
          </cell>
          <cell r="C66" t="str">
            <v>Allocation of Building Envelopes informed by Height Restriction</v>
          </cell>
          <cell r="D66">
            <v>25222</v>
          </cell>
          <cell r="E66">
            <v>2.9033409332499558E-5</v>
          </cell>
          <cell r="F66">
            <v>1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</row>
        <row r="67">
          <cell r="B67" t="str">
            <v>T02-1240</v>
          </cell>
          <cell r="C67" t="str">
            <v>Identification of required surveys</v>
          </cell>
          <cell r="D67">
            <v>81172</v>
          </cell>
          <cell r="E67">
            <v>9.3438264306464771E-5</v>
          </cell>
          <cell r="F67">
            <v>1</v>
          </cell>
          <cell r="G67">
            <v>0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</row>
        <row r="68">
          <cell r="B68" t="str">
            <v>T02-1310</v>
          </cell>
          <cell r="C68" t="str">
            <v>Conducting Surveys for Revised Master Plan (Draft)</v>
          </cell>
          <cell r="D68">
            <v>70896</v>
          </cell>
          <cell r="E68">
            <v>8.1609411943418E-5</v>
          </cell>
          <cell r="F68">
            <v>1</v>
          </cell>
          <cell r="G68">
            <v>0</v>
          </cell>
          <cell r="H68">
            <v>0.91999548634619732</v>
          </cell>
          <cell r="I68">
            <v>8.0004513653802747E-2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</row>
        <row r="69">
          <cell r="B69" t="str">
            <v>AREAALLOCATION</v>
          </cell>
          <cell r="D69">
            <v>134499</v>
          </cell>
          <cell r="E69">
            <v>1.5482374600792395E-4</v>
          </cell>
          <cell r="F69">
            <v>1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 t="str">
            <v>T02-1250</v>
          </cell>
          <cell r="C70" t="str">
            <v>Land Area allocation for the Exhibition Space</v>
          </cell>
          <cell r="D70">
            <v>44833</v>
          </cell>
          <cell r="E70">
            <v>5.1607915335974655E-5</v>
          </cell>
          <cell r="F70">
            <v>1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</row>
        <row r="71">
          <cell r="B71" t="str">
            <v>T02-1260</v>
          </cell>
          <cell r="C71" t="str">
            <v>Land Area allocation for the Convention Space</v>
          </cell>
          <cell r="D71">
            <v>44833</v>
          </cell>
          <cell r="E71">
            <v>5.1607915335974655E-5</v>
          </cell>
          <cell r="F71">
            <v>1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</row>
        <row r="72">
          <cell r="B72" t="str">
            <v>T02-1280</v>
          </cell>
          <cell r="C72" t="str">
            <v>Area allocation for Commercial Real Estate, Arena, Public Realm and Landscape, Amenities</v>
          </cell>
          <cell r="D72">
            <v>44833</v>
          </cell>
          <cell r="E72">
            <v>5.1607915335974655E-5</v>
          </cell>
          <cell r="F72">
            <v>1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</row>
        <row r="73">
          <cell r="B73" t="str">
            <v>PREPARATIONOFDRAFT(REVISED)MASTERPLAN</v>
          </cell>
          <cell r="D73">
            <v>271572</v>
          </cell>
          <cell r="E73">
            <v>7.0599692642024029E-4</v>
          </cell>
          <cell r="F73">
            <v>1.0104543271506998</v>
          </cell>
          <cell r="G73">
            <v>2.5715628013550155E-2</v>
          </cell>
          <cell r="H73">
            <v>0.34049331828942991</v>
          </cell>
          <cell r="I73">
            <v>0.59712285347194594</v>
          </cell>
          <cell r="J73">
            <v>4.7122527375773743E-2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 t="str">
            <v>T02-1160</v>
          </cell>
          <cell r="C74" t="str">
            <v>Preparation of Design Basis report including all surveys</v>
          </cell>
          <cell r="D74">
            <v>121327</v>
          </cell>
          <cell r="E74">
            <v>4.1898379836065829E-4</v>
          </cell>
          <cell r="F74">
            <v>1</v>
          </cell>
          <cell r="G74">
            <v>2.5715628013550155E-2</v>
          </cell>
          <cell r="H74">
            <v>0.55713897153972314</v>
          </cell>
          <cell r="I74">
            <v>0.34143265719913946</v>
          </cell>
          <cell r="J74">
            <v>7.5712743247587283E-2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</row>
        <row r="75">
          <cell r="B75" t="str">
            <v>T02-1320</v>
          </cell>
          <cell r="C75" t="str">
            <v>Preparation of EIA report for Final Master plan</v>
          </cell>
          <cell r="D75">
            <v>100700</v>
          </cell>
          <cell r="E75">
            <v>1.159172278083699E-4</v>
          </cell>
          <cell r="F75">
            <v>1</v>
          </cell>
          <cell r="G75">
            <v>0</v>
          </cell>
          <cell r="H75">
            <v>6.0000000000000005E-2</v>
          </cell>
          <cell r="I75">
            <v>0.92666335650446885</v>
          </cell>
          <cell r="J75">
            <v>1.333664349553107E-2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</row>
        <row r="76">
          <cell r="B76" t="str">
            <v>T02-1340</v>
          </cell>
          <cell r="C76" t="str">
            <v>Preparation of Final master Plan (Draft) based on Final Site Boundary of Transferred land &amp; Operator Worskhop</v>
          </cell>
          <cell r="D76">
            <v>49545</v>
          </cell>
          <cell r="E76">
            <v>1.7109590025121213E-4</v>
          </cell>
          <cell r="F76">
            <v>1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</row>
        <row r="77">
          <cell r="B77" t="str">
            <v>PREPARATIONFOROBTAININGSTATUTORYAPPROVALSBASEDONDRAFT(REVISED)MASTERPLAN</v>
          </cell>
          <cell r="D77">
            <v>2530716</v>
          </cell>
          <cell r="E77">
            <v>8.1996658364540294E-3</v>
          </cell>
          <cell r="F77">
            <v>0.99999999999999967</v>
          </cell>
          <cell r="G77">
            <v>0</v>
          </cell>
          <cell r="H77">
            <v>0</v>
          </cell>
          <cell r="I77">
            <v>0.50928222139332346</v>
          </cell>
          <cell r="J77">
            <v>0.47899783258772222</v>
          </cell>
          <cell r="K77">
            <v>1.1719946018954031E-2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 t="str">
            <v>T02-1330</v>
          </cell>
          <cell r="C78" t="str">
            <v>Preparation for submission of Tree Cutting Approval from Forest Department</v>
          </cell>
          <cell r="D78">
            <v>133697</v>
          </cell>
          <cell r="E78">
            <v>1.5390055219757331E-4</v>
          </cell>
          <cell r="F78">
            <v>1</v>
          </cell>
          <cell r="G78">
            <v>0</v>
          </cell>
          <cell r="H78">
            <v>0</v>
          </cell>
          <cell r="I78">
            <v>0.94500250566579647</v>
          </cell>
          <cell r="J78">
            <v>5.4997494334203458E-2</v>
          </cell>
          <cell r="K78">
            <v>1.11022302462516E-16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</row>
        <row r="79">
          <cell r="B79" t="str">
            <v>T02-1360</v>
          </cell>
          <cell r="C79" t="str">
            <v>Preparation for submission of Obtaining Urban Design Approvals from DUAC</v>
          </cell>
          <cell r="D79">
            <v>459358</v>
          </cell>
          <cell r="E79">
            <v>1.58632093142792E-3</v>
          </cell>
          <cell r="F79">
            <v>1</v>
          </cell>
          <cell r="G79">
            <v>0</v>
          </cell>
          <cell r="H79">
            <v>0</v>
          </cell>
          <cell r="I79">
            <v>0.51219528124033975</v>
          </cell>
          <cell r="J79">
            <v>0.47317125205177663</v>
          </cell>
          <cell r="K79">
            <v>1.4633466707883611E-2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</row>
        <row r="80">
          <cell r="B80" t="str">
            <v>T02-1370</v>
          </cell>
          <cell r="C80" t="str">
            <v>Preparation for submission of Obtaining Building Heights Approvals from AAI</v>
          </cell>
          <cell r="D80">
            <v>279561</v>
          </cell>
          <cell r="E80">
            <v>9.6542014270116288E-4</v>
          </cell>
          <cell r="F80">
            <v>1</v>
          </cell>
          <cell r="G80">
            <v>0</v>
          </cell>
          <cell r="H80">
            <v>0</v>
          </cell>
          <cell r="I80">
            <v>0.69071508543752524</v>
          </cell>
          <cell r="J80">
            <v>0.3092849145624747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</row>
        <row r="81">
          <cell r="B81" t="str">
            <v>T02-1380</v>
          </cell>
          <cell r="C81" t="str">
            <v>Preparation for submission of Obtaining Land Use / Master Plan Approval from DDA</v>
          </cell>
          <cell r="D81">
            <v>459358</v>
          </cell>
          <cell r="E81">
            <v>1.58632093142792E-3</v>
          </cell>
          <cell r="F81">
            <v>1</v>
          </cell>
          <cell r="G81">
            <v>0</v>
          </cell>
          <cell r="H81">
            <v>0</v>
          </cell>
          <cell r="I81">
            <v>0.51219528124033975</v>
          </cell>
          <cell r="J81">
            <v>0.47317125205177663</v>
          </cell>
          <cell r="K81">
            <v>1.4633466707883611E-2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</row>
        <row r="82">
          <cell r="B82" t="str">
            <v>T02-1390</v>
          </cell>
          <cell r="C82" t="str">
            <v>Preparation for submission of Obtaining Water Requirement Approval from DJB</v>
          </cell>
          <cell r="D82">
            <v>190341</v>
          </cell>
          <cell r="E82">
            <v>6.5731284185520161E-4</v>
          </cell>
          <cell r="F82">
            <v>1</v>
          </cell>
          <cell r="G82">
            <v>0</v>
          </cell>
          <cell r="H82">
            <v>0</v>
          </cell>
          <cell r="I82">
            <v>0.51219653148822386</v>
          </cell>
          <cell r="J82">
            <v>0.47317183370897503</v>
          </cell>
          <cell r="K82">
            <v>1.4631634802801078E-2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</row>
        <row r="83">
          <cell r="B83" t="str">
            <v>T02-1410</v>
          </cell>
          <cell r="C83" t="str">
            <v>Preparation for submission of Obtaining Metro Alignment Approvals from DMRC</v>
          </cell>
          <cell r="D83">
            <v>183543</v>
          </cell>
          <cell r="E83">
            <v>6.3383701321643407E-4</v>
          </cell>
          <cell r="F83">
            <v>1</v>
          </cell>
          <cell r="G83">
            <v>0</v>
          </cell>
          <cell r="H83">
            <v>0</v>
          </cell>
          <cell r="I83">
            <v>0.51219605215126696</v>
          </cell>
          <cell r="J83">
            <v>0.47316977493012541</v>
          </cell>
          <cell r="K83">
            <v>1.4634172918607712E-2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</row>
        <row r="84">
          <cell r="B84" t="str">
            <v>T02-1420</v>
          </cell>
          <cell r="C84" t="str">
            <v>Preparation for submission of Obtaining Power Sourcing approval from Delhi Transco / Utility Agency</v>
          </cell>
          <cell r="D84">
            <v>241999</v>
          </cell>
          <cell r="E84">
            <v>8.3570565677450962E-4</v>
          </cell>
          <cell r="F84">
            <v>1</v>
          </cell>
          <cell r="G84">
            <v>0</v>
          </cell>
          <cell r="H84">
            <v>0</v>
          </cell>
          <cell r="I84">
            <v>0.51219633138979914</v>
          </cell>
          <cell r="J84">
            <v>0.47317137674122617</v>
          </cell>
          <cell r="K84">
            <v>1.4632291868974811E-2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</row>
        <row r="85">
          <cell r="B85" t="str">
            <v>T02-1430</v>
          </cell>
          <cell r="C85" t="str">
            <v>Preparation for submission of Obtaining Connectivity approval from DDA</v>
          </cell>
          <cell r="D85">
            <v>183543</v>
          </cell>
          <cell r="E85">
            <v>6.3383701321643407E-4</v>
          </cell>
          <cell r="F85">
            <v>1</v>
          </cell>
          <cell r="G85">
            <v>0</v>
          </cell>
          <cell r="H85">
            <v>0</v>
          </cell>
          <cell r="I85">
            <v>0.51219605215126696</v>
          </cell>
          <cell r="J85">
            <v>0.47316977493012541</v>
          </cell>
          <cell r="K85">
            <v>1.4634172918607712E-2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</row>
        <row r="86">
          <cell r="B86" t="str">
            <v>T02-1440</v>
          </cell>
          <cell r="C86" t="str">
            <v>Preparation for Submission for Unified Traffic &amp; Transportation Infrastructure Planning &amp; Engg Cent. (UTTIPEC)</v>
          </cell>
          <cell r="D86">
            <v>183543</v>
          </cell>
          <cell r="E86">
            <v>6.3383701321643407E-4</v>
          </cell>
          <cell r="F86">
            <v>1</v>
          </cell>
          <cell r="G86">
            <v>0</v>
          </cell>
          <cell r="H86">
            <v>0</v>
          </cell>
          <cell r="I86">
            <v>0.51219605215126696</v>
          </cell>
          <cell r="J86">
            <v>0.47316977493012541</v>
          </cell>
          <cell r="K86">
            <v>1.4634172918607712E-2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</row>
        <row r="87">
          <cell r="B87" t="str">
            <v>T02-1480</v>
          </cell>
          <cell r="C87" t="str">
            <v>Preparation for submission of EIA Approval from State Pollution Control Board</v>
          </cell>
          <cell r="D87">
            <v>201513</v>
          </cell>
          <cell r="E87">
            <v>4.6392906310522436E-4</v>
          </cell>
          <cell r="F87">
            <v>1</v>
          </cell>
          <cell r="G87">
            <v>0</v>
          </cell>
          <cell r="H87">
            <v>0</v>
          </cell>
          <cell r="I87">
            <v>0</v>
          </cell>
          <cell r="J87">
            <v>1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</row>
        <row r="88">
          <cell r="B88" t="str">
            <v>T02-1520</v>
          </cell>
          <cell r="C88" t="str">
            <v>Workshop for Statutory Approvals</v>
          </cell>
          <cell r="D88">
            <v>14260</v>
          </cell>
          <cell r="E88">
            <v>4.9244677315214153E-5</v>
          </cell>
          <cell r="F88">
            <v>1</v>
          </cell>
          <cell r="G88">
            <v>0</v>
          </cell>
          <cell r="H88">
            <v>0</v>
          </cell>
          <cell r="I88">
            <v>0</v>
          </cell>
          <cell r="J88">
            <v>1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</row>
        <row r="89">
          <cell r="B89" t="str">
            <v>IMPLEMENTATIONOFPMIS</v>
          </cell>
          <cell r="D89">
            <v>222549</v>
          </cell>
          <cell r="E89">
            <v>3.6525322792956304E-4</v>
          </cell>
          <cell r="F89">
            <v>1.0000000000000002</v>
          </cell>
          <cell r="G89">
            <v>0</v>
          </cell>
          <cell r="H89">
            <v>0</v>
          </cell>
          <cell r="I89">
            <v>0.14367609610972445</v>
          </cell>
          <cell r="J89">
            <v>0.84777059223961893</v>
          </cell>
          <cell r="K89">
            <v>8.5533116506568072E-3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 t="str">
            <v>T02-1350</v>
          </cell>
          <cell r="C90" t="str">
            <v>Logical Sequence and phasing of the Master Plan Projects</v>
          </cell>
          <cell r="D90">
            <v>33625</v>
          </cell>
          <cell r="E90">
            <v>3.870622428060018E-5</v>
          </cell>
          <cell r="F90">
            <v>1</v>
          </cell>
          <cell r="G90">
            <v>0</v>
          </cell>
          <cell r="H90">
            <v>0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</row>
        <row r="91">
          <cell r="B91" t="str">
            <v>T02-1460</v>
          </cell>
          <cell r="C91" t="str">
            <v>Creating Cost Breakdown Structure</v>
          </cell>
          <cell r="D91">
            <v>11297</v>
          </cell>
          <cell r="E91">
            <v>1.3004140243804914E-5</v>
          </cell>
          <cell r="F91">
            <v>1</v>
          </cell>
          <cell r="G91">
            <v>0</v>
          </cell>
          <cell r="H91">
            <v>0</v>
          </cell>
          <cell r="I91">
            <v>0.66893865628042837</v>
          </cell>
          <cell r="J91">
            <v>0.33106134371957163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</row>
        <row r="92">
          <cell r="B92" t="str">
            <v>T02-1470</v>
          </cell>
          <cell r="C92" t="str">
            <v>Preliminary Procurement Plan</v>
          </cell>
          <cell r="D92">
            <v>12592</v>
          </cell>
          <cell r="E92">
            <v>1.4494833491191596E-5</v>
          </cell>
          <cell r="F92">
            <v>1</v>
          </cell>
          <cell r="G92">
            <v>0</v>
          </cell>
          <cell r="H92">
            <v>0</v>
          </cell>
          <cell r="I92">
            <v>0.34998411689961884</v>
          </cell>
          <cell r="J92">
            <v>0.65001588310038116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</row>
        <row r="93">
          <cell r="B93" t="str">
            <v>T02-1490</v>
          </cell>
          <cell r="C93" t="str">
            <v>Preparation of Advanced System that covers all aspect of Project Performance and monitoring</v>
          </cell>
          <cell r="D93">
            <v>31585</v>
          </cell>
          <cell r="E93">
            <v>7.2715901496074741E-5</v>
          </cell>
          <cell r="F93">
            <v>1</v>
          </cell>
          <cell r="G93">
            <v>0</v>
          </cell>
          <cell r="H93">
            <v>0</v>
          </cell>
          <cell r="I93">
            <v>0</v>
          </cell>
          <cell r="J93">
            <v>1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</row>
        <row r="94">
          <cell r="B94" t="str">
            <v>T02-1500</v>
          </cell>
          <cell r="C94" t="str">
            <v>Creating Baseline Program Budget</v>
          </cell>
          <cell r="D94">
            <v>71641</v>
          </cell>
          <cell r="E94">
            <v>8.2466992228594121E-5</v>
          </cell>
          <cell r="F94">
            <v>1</v>
          </cell>
          <cell r="G94">
            <v>0</v>
          </cell>
          <cell r="H94">
            <v>0</v>
          </cell>
          <cell r="I94">
            <v>0</v>
          </cell>
          <cell r="J94">
            <v>1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</row>
        <row r="95">
          <cell r="B95" t="str">
            <v>T02-1510</v>
          </cell>
          <cell r="C95" t="str">
            <v>Preparation of Web Based Management Dash Board providing Cost &amp; Schedule Information</v>
          </cell>
          <cell r="D95">
            <v>31585</v>
          </cell>
          <cell r="E95">
            <v>1.0907385224411212E-4</v>
          </cell>
          <cell r="F95">
            <v>1</v>
          </cell>
          <cell r="G95">
            <v>0</v>
          </cell>
          <cell r="H95">
            <v>0</v>
          </cell>
          <cell r="I95">
            <v>0</v>
          </cell>
          <cell r="J95">
            <v>1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</row>
        <row r="96">
          <cell r="B96" t="str">
            <v>T02-1530</v>
          </cell>
          <cell r="C96" t="str">
            <v>Establishing procedures for preparation of revised Budget &amp; Cash Flow</v>
          </cell>
          <cell r="D96">
            <v>28656</v>
          </cell>
          <cell r="E96">
            <v>3.2986336445646956E-5</v>
          </cell>
          <cell r="F96">
            <v>1</v>
          </cell>
          <cell r="G96">
            <v>0</v>
          </cell>
          <cell r="H96">
            <v>0</v>
          </cell>
          <cell r="I96">
            <v>0</v>
          </cell>
          <cell r="J96">
            <v>0.96000837520937998</v>
          </cell>
          <cell r="K96">
            <v>3.9991624790620024E-2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</row>
        <row r="97">
          <cell r="B97" t="str">
            <v>T02-1540</v>
          </cell>
          <cell r="C97" t="str">
            <v>Conducting Workshop for PMIS</v>
          </cell>
          <cell r="D97">
            <v>1568</v>
          </cell>
          <cell r="E97">
            <v>1.8049474995384706E-6</v>
          </cell>
          <cell r="F97">
            <v>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</row>
        <row r="98">
          <cell r="B98" t="str">
            <v>TASK3-TECHNICALASSISTANCE</v>
          </cell>
          <cell r="D98">
            <v>53387809</v>
          </cell>
          <cell r="E98">
            <v>6.1078381625780394E-2</v>
          </cell>
          <cell r="F98">
            <v>0.88286786144571794</v>
          </cell>
          <cell r="G98">
            <v>0</v>
          </cell>
          <cell r="H98">
            <v>2.263145748655561E-3</v>
          </cell>
          <cell r="I98">
            <v>4.8168123706245826E-2</v>
          </cell>
          <cell r="J98">
            <v>8.9108383748539282E-3</v>
          </cell>
          <cell r="K98">
            <v>1.692445083383096E-2</v>
          </cell>
          <cell r="L98">
            <v>6.274650413685659E-2</v>
          </cell>
          <cell r="M98">
            <v>9.1731497884054936E-2</v>
          </cell>
          <cell r="N98">
            <v>0.13727396317561094</v>
          </cell>
          <cell r="O98">
            <v>0.11507533469285793</v>
          </cell>
          <cell r="P98">
            <v>6.7287495913840548E-2</v>
          </cell>
          <cell r="Q98">
            <v>0.24785662854928123</v>
          </cell>
          <cell r="R98">
            <v>1.9690817310107016E-2</v>
          </cell>
          <cell r="S98">
            <v>3.5103179293562999E-2</v>
          </cell>
          <cell r="T98">
            <v>2.9835881825959434E-2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 t="str">
            <v>MISCELLANEOUSWORKS</v>
          </cell>
          <cell r="D99">
            <v>4830664</v>
          </cell>
          <cell r="E99">
            <v>1.3087262220170776E-2</v>
          </cell>
          <cell r="F99">
            <v>0.99148182855273148</v>
          </cell>
          <cell r="G99">
            <v>0</v>
          </cell>
          <cell r="H99">
            <v>9.7362965412724368E-3</v>
          </cell>
          <cell r="I99">
            <v>0.12214041257044246</v>
          </cell>
          <cell r="J99">
            <v>3.3603917950323726E-2</v>
          </cell>
          <cell r="K99">
            <v>3.2502961947224129E-2</v>
          </cell>
          <cell r="L99">
            <v>0.17996448302036819</v>
          </cell>
          <cell r="M99">
            <v>0.14162980541304102</v>
          </cell>
          <cell r="N99">
            <v>6.069656554852975E-2</v>
          </cell>
          <cell r="O99">
            <v>3.9592724560457586E-2</v>
          </cell>
          <cell r="P99">
            <v>2.7607459093463838E-2</v>
          </cell>
          <cell r="Q99">
            <v>0.30997246070747225</v>
          </cell>
          <cell r="R99">
            <v>2.1821041215704527E-2</v>
          </cell>
          <cell r="S99">
            <v>1.2213699984431644E-2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 t="str">
            <v>T03-1000</v>
          </cell>
          <cell r="C100" t="str">
            <v>Traffic re-routing plan in compliance with the EMP</v>
          </cell>
          <cell r="D100">
            <v>395117</v>
          </cell>
          <cell r="E100">
            <v>4.5482489870863653E-4</v>
          </cell>
          <cell r="F100">
            <v>1</v>
          </cell>
          <cell r="G100">
            <v>0</v>
          </cell>
          <cell r="H100">
            <v>0.22935484932311184</v>
          </cell>
          <cell r="I100">
            <v>0.55871045791499729</v>
          </cell>
          <cell r="J100">
            <v>0.20548343908260083</v>
          </cell>
          <cell r="K100">
            <v>6.4512536792899321E-3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1.1102230246251565E-16</v>
          </cell>
          <cell r="T100">
            <v>0</v>
          </cell>
        </row>
        <row r="101">
          <cell r="B101" t="str">
            <v>T03-1200</v>
          </cell>
          <cell r="C101" t="str">
            <v>Providing Inputs (By In-house Design Team) for Preparation of Final Master Plan (Draft 2)  wrt  Trunk Services Engg.</v>
          </cell>
          <cell r="D101">
            <v>97062</v>
          </cell>
          <cell r="E101">
            <v>1.1172947334196624E-4</v>
          </cell>
          <cell r="F101">
            <v>1</v>
          </cell>
          <cell r="G101">
            <v>0</v>
          </cell>
          <cell r="H101">
            <v>0</v>
          </cell>
          <cell r="I101">
            <v>0.85499989697306877</v>
          </cell>
          <cell r="J101">
            <v>0.14500010302693125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</row>
        <row r="102">
          <cell r="B102" t="str">
            <v>T03-1210</v>
          </cell>
          <cell r="C102" t="str">
            <v>Coordination for Metro Connectivity &amp; Location</v>
          </cell>
          <cell r="D102">
            <v>246252</v>
          </cell>
          <cell r="E102">
            <v>2.8346424212777262E-4</v>
          </cell>
          <cell r="F102">
            <v>1</v>
          </cell>
          <cell r="G102">
            <v>0</v>
          </cell>
          <cell r="H102">
            <v>0</v>
          </cell>
          <cell r="I102">
            <v>0.52250134009063898</v>
          </cell>
          <cell r="J102">
            <v>0.46750077156733755</v>
          </cell>
          <cell r="K102">
            <v>1.0001949222747429E-2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-4.0608807239106426E-6</v>
          </cell>
          <cell r="T102">
            <v>0</v>
          </cell>
        </row>
        <row r="103">
          <cell r="B103" t="str">
            <v>T03-1250</v>
          </cell>
          <cell r="C103" t="str">
            <v>Assisting PMC/DMICDC in selection of Private Sector Developer Operator Partners</v>
          </cell>
          <cell r="D103">
            <v>154676</v>
          </cell>
          <cell r="E103">
            <v>5.3414934841571277E-4</v>
          </cell>
          <cell r="F103">
            <v>1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0.10421138379580543</v>
          </cell>
          <cell r="L103">
            <v>0.23684346634254824</v>
          </cell>
          <cell r="M103">
            <v>0.17631694639116605</v>
          </cell>
          <cell r="N103">
            <v>0.17210814864620239</v>
          </cell>
          <cell r="O103">
            <v>0.12579197807028886</v>
          </cell>
          <cell r="P103">
            <v>9.3686156869844051E-2</v>
          </cell>
          <cell r="Q103">
            <v>6.1580335669399258E-2</v>
          </cell>
          <cell r="R103">
            <v>2.9474514468954459E-2</v>
          </cell>
          <cell r="S103">
            <v>-1.2930254208676217E-5</v>
          </cell>
          <cell r="T103">
            <v>0</v>
          </cell>
        </row>
        <row r="104">
          <cell r="B104" t="str">
            <v>T03-1660</v>
          </cell>
          <cell r="C104" t="str">
            <v>Preparation of Standard Operating Procedures (SOP)</v>
          </cell>
          <cell r="D104">
            <v>249103</v>
          </cell>
          <cell r="E104">
            <v>8.6023820850293056E-4</v>
          </cell>
          <cell r="F104">
            <v>1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0.86666559615901861</v>
          </cell>
          <cell r="M104">
            <v>0.13333440384098144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</row>
        <row r="105">
          <cell r="B105" t="str">
            <v>T03-1780</v>
          </cell>
          <cell r="C105" t="str">
            <v>Preparation of Execution Philosophy</v>
          </cell>
          <cell r="D105">
            <v>12110</v>
          </cell>
          <cell r="E105">
            <v>4.1819988940199392E-5</v>
          </cell>
          <cell r="F105">
            <v>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0.89859620148637476</v>
          </cell>
          <cell r="M105">
            <v>0.1014037985136251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1.1102230246251565E-16</v>
          </cell>
          <cell r="T105">
            <v>0</v>
          </cell>
        </row>
        <row r="106">
          <cell r="B106" t="str">
            <v>T03-1790</v>
          </cell>
          <cell r="C106" t="str">
            <v>Preparation of Financial Feasibility</v>
          </cell>
          <cell r="D106">
            <v>31405</v>
          </cell>
          <cell r="E106">
            <v>1.0845225042666902E-4</v>
          </cell>
          <cell r="F106">
            <v>1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0.96000636841267317</v>
          </cell>
          <cell r="M106">
            <v>3.9993631587326862E-2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</row>
        <row r="107">
          <cell r="B107" t="str">
            <v>T03-1800</v>
          </cell>
          <cell r="C107" t="str">
            <v>Assessment for Utility Shifting and associated costs</v>
          </cell>
          <cell r="D107">
            <v>372394</v>
          </cell>
          <cell r="E107">
            <v>8.5733624890705262E-4</v>
          </cell>
          <cell r="F107">
            <v>1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1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</row>
        <row r="108">
          <cell r="B108" t="str">
            <v>T03-2260</v>
          </cell>
          <cell r="C108" t="str">
            <v>Completion of Final Design</v>
          </cell>
          <cell r="D108">
            <v>0</v>
          </cell>
          <cell r="E108">
            <v>0</v>
          </cell>
          <cell r="F108">
            <v>0</v>
          </cell>
          <cell r="S108">
            <v>0</v>
          </cell>
          <cell r="T108">
            <v>0</v>
          </cell>
        </row>
        <row r="109">
          <cell r="B109" t="str">
            <v>TECHNICALASSISTANCEFORONBOARDINGOFTASCONSULTANT</v>
          </cell>
          <cell r="D109">
            <v>455569</v>
          </cell>
          <cell r="E109">
            <v>1.3740726886330215E-3</v>
          </cell>
          <cell r="F109">
            <v>0.99999999999999989</v>
          </cell>
          <cell r="G109">
            <v>0</v>
          </cell>
          <cell r="H109">
            <v>1.6815100080506733E-2</v>
          </cell>
          <cell r="I109">
            <v>0.58044850878243825</v>
          </cell>
          <cell r="J109">
            <v>3.2362700837487823E-2</v>
          </cell>
          <cell r="K109">
            <v>0.12785239706489715</v>
          </cell>
          <cell r="L109">
            <v>0.23426453624017646</v>
          </cell>
          <cell r="M109">
            <v>8.2584324727797594E-3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-1.6754782862188724E-6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 t="str">
            <v>T03-1010</v>
          </cell>
          <cell r="C110" t="str">
            <v>PPP Feasibility Study</v>
          </cell>
          <cell r="D110">
            <v>16186</v>
          </cell>
          <cell r="E110">
            <v>1.8631938920618424E-5</v>
          </cell>
          <cell r="F110">
            <v>1</v>
          </cell>
          <cell r="G110">
            <v>0</v>
          </cell>
          <cell r="H110">
            <v>0.62004201161497596</v>
          </cell>
          <cell r="I110">
            <v>0.38001977017175337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-6.17817867292203E-5</v>
          </cell>
          <cell r="T110">
            <v>0</v>
          </cell>
        </row>
        <row r="111">
          <cell r="B111" t="str">
            <v>T03-1020</v>
          </cell>
          <cell r="C111" t="str">
            <v>Detail Financial Modeling</v>
          </cell>
          <cell r="D111">
            <v>16186</v>
          </cell>
          <cell r="E111">
            <v>1.8631938920618424E-5</v>
          </cell>
          <cell r="F111">
            <v>1</v>
          </cell>
          <cell r="G111">
            <v>0</v>
          </cell>
          <cell r="H111">
            <v>0.62004201161497596</v>
          </cell>
          <cell r="I111">
            <v>0.38001977017175337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-6.17817867292203E-5</v>
          </cell>
          <cell r="T111">
            <v>0</v>
          </cell>
        </row>
        <row r="112">
          <cell r="B112" t="str">
            <v>T03-1040</v>
          </cell>
          <cell r="C112" t="str">
            <v>Preparation of EOI for Transaction Advisor Consultant</v>
          </cell>
          <cell r="D112">
            <v>54137</v>
          </cell>
          <cell r="E112">
            <v>6.231788442762385E-5</v>
          </cell>
          <cell r="F112">
            <v>1</v>
          </cell>
          <cell r="G112">
            <v>0</v>
          </cell>
          <cell r="H112">
            <v>0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</row>
        <row r="113">
          <cell r="B113" t="str">
            <v>T03-1110</v>
          </cell>
          <cell r="C113" t="str">
            <v>Preparation of RFP for Transaction Advisor Consultant</v>
          </cell>
          <cell r="D113">
            <v>104406</v>
          </cell>
          <cell r="E113">
            <v>3.6054977417757702E-4</v>
          </cell>
          <cell r="F113">
            <v>1</v>
          </cell>
          <cell r="G113">
            <v>0</v>
          </cell>
          <cell r="H113">
            <v>0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</row>
        <row r="114">
          <cell r="B114" t="str">
            <v>T03-1220</v>
          </cell>
          <cell r="C114" t="str">
            <v>Preparation of RFQ for Transaction Advisor Consultant</v>
          </cell>
          <cell r="D114">
            <v>104406</v>
          </cell>
          <cell r="E114">
            <v>3.6054977417757702E-4</v>
          </cell>
          <cell r="F114">
            <v>1</v>
          </cell>
          <cell r="G114">
            <v>0</v>
          </cell>
          <cell r="H114">
            <v>0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</row>
        <row r="115">
          <cell r="B115" t="str">
            <v>T03-1270</v>
          </cell>
          <cell r="C115" t="str">
            <v>Selection of Transaction Advisor Consultant</v>
          </cell>
          <cell r="D115">
            <v>69604</v>
          </cell>
          <cell r="E115">
            <v>2.4036651611838468E-4</v>
          </cell>
          <cell r="F115">
            <v>1</v>
          </cell>
          <cell r="G115">
            <v>0</v>
          </cell>
          <cell r="H115">
            <v>0</v>
          </cell>
          <cell r="I115">
            <v>0</v>
          </cell>
          <cell r="J115">
            <v>0.18500373541750476</v>
          </cell>
          <cell r="K115">
            <v>0.49646572036089881</v>
          </cell>
          <cell r="L115">
            <v>0.27999827596115168</v>
          </cell>
          <cell r="M115">
            <v>3.8532268260444799E-2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</row>
        <row r="116">
          <cell r="B116" t="str">
            <v>T03-1460</v>
          </cell>
          <cell r="C116" t="str">
            <v>PPP Project Structuring</v>
          </cell>
          <cell r="D116">
            <v>90644</v>
          </cell>
          <cell r="E116">
            <v>3.1302486189062209E-4</v>
          </cell>
          <cell r="F116">
            <v>1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0.18000088257358457</v>
          </cell>
          <cell r="L116">
            <v>0.81333568686289226</v>
          </cell>
          <cell r="M116">
            <v>6.6634305635232339E-3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</row>
        <row r="117">
          <cell r="B117" t="str">
            <v>T03-1590</v>
          </cell>
          <cell r="C117" t="str">
            <v>Floating of RFQ/RFP for Transaction Advisor Consultant (By Client)</v>
          </cell>
          <cell r="D117">
            <v>0</v>
          </cell>
          <cell r="E117">
            <v>0</v>
          </cell>
          <cell r="F117">
            <v>0</v>
          </cell>
          <cell r="S117">
            <v>0</v>
          </cell>
          <cell r="T117">
            <v>0</v>
          </cell>
        </row>
        <row r="118">
          <cell r="B118" t="str">
            <v>FINANCE&amp;INVESTMENTMANAGEMENT</v>
          </cell>
          <cell r="D118">
            <v>2244644</v>
          </cell>
          <cell r="E118">
            <v>7.7515266106263341E-3</v>
          </cell>
          <cell r="F118">
            <v>1.0000000000000002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2.428714753876339E-2</v>
          </cell>
          <cell r="L118">
            <v>0.1315357802840896</v>
          </cell>
          <cell r="M118">
            <v>9.9000554208150626E-2</v>
          </cell>
          <cell r="N118">
            <v>9.0617042167933981E-2</v>
          </cell>
          <cell r="O118">
            <v>5.8178045159945201E-2</v>
          </cell>
          <cell r="P118">
            <v>4.0155142641773042E-2</v>
          </cell>
          <cell r="Q118">
            <v>0.51909746044361615</v>
          </cell>
          <cell r="R118">
            <v>3.4810419826039239E-2</v>
          </cell>
          <cell r="S118">
            <v>2.3184077296889861E-3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 t="str">
            <v>T03-1330</v>
          </cell>
          <cell r="C119" t="str">
            <v>Creation of System (Costing Structure) that is compatible with the existing DMICDC system</v>
          </cell>
          <cell r="D119">
            <v>18465</v>
          </cell>
          <cell r="E119">
            <v>6.3765986439370912E-5</v>
          </cell>
          <cell r="F119">
            <v>1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</row>
        <row r="120">
          <cell r="B120" t="str">
            <v>T03-1340</v>
          </cell>
          <cell r="C120" t="str">
            <v>Preparation of Comprehensive Financing Plan for all Components of the Project</v>
          </cell>
          <cell r="D120">
            <v>164875</v>
          </cell>
          <cell r="E120">
            <v>5.6936999806072458E-4</v>
          </cell>
          <cell r="F120">
            <v>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0.15918119787717969</v>
          </cell>
          <cell r="L120">
            <v>0.28224412433661866</v>
          </cell>
          <cell r="M120">
            <v>0.21000151630022743</v>
          </cell>
          <cell r="N120">
            <v>0.17714025777103867</v>
          </cell>
          <cell r="O120">
            <v>0.11081728582259287</v>
          </cell>
          <cell r="P120">
            <v>5.2451857467778619E-2</v>
          </cell>
          <cell r="Q120">
            <v>8.1637604245640635E-3</v>
          </cell>
          <cell r="R120">
            <v>0</v>
          </cell>
          <cell r="S120">
            <v>0</v>
          </cell>
          <cell r="T120">
            <v>0</v>
          </cell>
        </row>
        <row r="121">
          <cell r="B121" t="str">
            <v>T03-1480</v>
          </cell>
          <cell r="C121" t="str">
            <v>Development of Code of Accounting on the WBS for each Individual Projects</v>
          </cell>
          <cell r="D121">
            <v>67666</v>
          </cell>
          <cell r="E121">
            <v>2.3367393655058068E-4</v>
          </cell>
          <cell r="F121">
            <v>1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1.1541985635326458E-2</v>
          </cell>
          <cell r="L121">
            <v>0.29268761268583932</v>
          </cell>
          <cell r="M121">
            <v>0.22076079567286377</v>
          </cell>
          <cell r="N121">
            <v>0.20499216741051635</v>
          </cell>
          <cell r="O121">
            <v>0.1321786421541099</v>
          </cell>
          <cell r="P121">
            <v>9.5897496527059381E-2</v>
          </cell>
          <cell r="Q121">
            <v>4.0640794490586114E-2</v>
          </cell>
          <cell r="R121">
            <v>1.2857269529749063E-3</v>
          </cell>
          <cell r="S121">
            <v>1.4778470723841863E-5</v>
          </cell>
          <cell r="T121">
            <v>0</v>
          </cell>
        </row>
        <row r="122">
          <cell r="B122" t="str">
            <v>T03-1490</v>
          </cell>
          <cell r="C122" t="str">
            <v>Assessing the governments role (Corresponding to clients legal obligation) in the proposed PPP Project</v>
          </cell>
          <cell r="D122">
            <v>150809</v>
          </cell>
          <cell r="E122">
            <v>5.2079526937097692E-4</v>
          </cell>
          <cell r="F122">
            <v>1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1.1537772944585536E-2</v>
          </cell>
          <cell r="L122">
            <v>0.29269473307295985</v>
          </cell>
          <cell r="M122">
            <v>0.22076931748105219</v>
          </cell>
          <cell r="N122">
            <v>0.20500102779011861</v>
          </cell>
          <cell r="O122">
            <v>0.13218044015940691</v>
          </cell>
          <cell r="P122">
            <v>9.5896133519882756E-2</v>
          </cell>
          <cell r="Q122">
            <v>4.064081056170387E-2</v>
          </cell>
          <cell r="R122">
            <v>1.2797644702902348E-3</v>
          </cell>
          <cell r="S122">
            <v>0</v>
          </cell>
          <cell r="T122">
            <v>0</v>
          </cell>
        </row>
        <row r="123">
          <cell r="B123" t="str">
            <v>T03-1500</v>
          </cell>
          <cell r="C123" t="str">
            <v>Exploring possible convergences with state &amp; central government schemes for any of the sub-components of the project</v>
          </cell>
          <cell r="D123">
            <v>126254</v>
          </cell>
          <cell r="E123">
            <v>4.3599842144144787E-4</v>
          </cell>
          <cell r="F123">
            <v>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1.1540228428406228E-2</v>
          </cell>
          <cell r="L123">
            <v>0.29269567696865051</v>
          </cell>
          <cell r="M123">
            <v>0.22076924295467867</v>
          </cell>
          <cell r="N123">
            <v>0.20499944556212082</v>
          </cell>
          <cell r="O123">
            <v>0.13217799040030415</v>
          </cell>
          <cell r="P123">
            <v>9.5893991477497748E-2</v>
          </cell>
          <cell r="Q123">
            <v>4.0640296545059955E-2</v>
          </cell>
          <cell r="R123">
            <v>1.2831276632819554E-3</v>
          </cell>
          <cell r="S123">
            <v>0</v>
          </cell>
          <cell r="T123">
            <v>0</v>
          </cell>
        </row>
        <row r="124">
          <cell r="B124" t="str">
            <v>T03-1510</v>
          </cell>
          <cell r="C124" t="str">
            <v>Providing valuation of revenues based on different options and various assumptions</v>
          </cell>
          <cell r="D124">
            <v>126254</v>
          </cell>
          <cell r="E124">
            <v>4.3599842144144787E-4</v>
          </cell>
          <cell r="F124">
            <v>1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1.1540228428406228E-2</v>
          </cell>
          <cell r="L124">
            <v>0.29269567696865051</v>
          </cell>
          <cell r="M124">
            <v>0.22076924295467867</v>
          </cell>
          <cell r="N124">
            <v>0.20499944556212082</v>
          </cell>
          <cell r="O124">
            <v>0.13217799040030415</v>
          </cell>
          <cell r="P124">
            <v>9.5893991477497748E-2</v>
          </cell>
          <cell r="Q124">
            <v>4.0640296545059955E-2</v>
          </cell>
          <cell r="R124">
            <v>1.2831276632819554E-3</v>
          </cell>
          <cell r="S124">
            <v>0</v>
          </cell>
          <cell r="T124">
            <v>0</v>
          </cell>
        </row>
        <row r="125">
          <cell r="B125" t="str">
            <v>T03-1520</v>
          </cell>
          <cell r="C125" t="str">
            <v>Advising on financial (capital) structure for mobilizing debt, if required</v>
          </cell>
          <cell r="D125">
            <v>126254</v>
          </cell>
          <cell r="E125">
            <v>4.3599842144144787E-4</v>
          </cell>
          <cell r="F125">
            <v>1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1.1540228428406228E-2</v>
          </cell>
          <cell r="L125">
            <v>0.29269567696865051</v>
          </cell>
          <cell r="M125">
            <v>0.22076924295467867</v>
          </cell>
          <cell r="N125">
            <v>0.20499944556212082</v>
          </cell>
          <cell r="O125">
            <v>0.13217799040030415</v>
          </cell>
          <cell r="P125">
            <v>9.5893991477497748E-2</v>
          </cell>
          <cell r="Q125">
            <v>4.0640296545059955E-2</v>
          </cell>
          <cell r="R125">
            <v>1.2831276632819554E-3</v>
          </cell>
          <cell r="S125">
            <v>0</v>
          </cell>
          <cell r="T125">
            <v>0</v>
          </cell>
        </row>
        <row r="126">
          <cell r="B126" t="str">
            <v>T03-1530</v>
          </cell>
          <cell r="C126" t="str">
            <v>Assess the possibility of grant from multi-lateral and bi-lateral agencies, interested investor in the project</v>
          </cell>
          <cell r="D126">
            <v>126254</v>
          </cell>
          <cell r="E126">
            <v>4.3599842144144787E-4</v>
          </cell>
          <cell r="F126">
            <v>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1.1540228428406228E-2</v>
          </cell>
          <cell r="L126">
            <v>0.29269567696865051</v>
          </cell>
          <cell r="M126">
            <v>0.22076924295467867</v>
          </cell>
          <cell r="N126">
            <v>0.20499944556212082</v>
          </cell>
          <cell r="O126">
            <v>0.13217799040030415</v>
          </cell>
          <cell r="P126">
            <v>9.5893991477497748E-2</v>
          </cell>
          <cell r="Q126">
            <v>4.0640296545059955E-2</v>
          </cell>
          <cell r="R126">
            <v>1.2831276632819554E-3</v>
          </cell>
          <cell r="S126">
            <v>0</v>
          </cell>
          <cell r="T126">
            <v>0</v>
          </cell>
        </row>
        <row r="127">
          <cell r="B127" t="str">
            <v>T03-1540</v>
          </cell>
          <cell r="C127" t="str">
            <v>Finding investment commitment to be required, their nature and Management</v>
          </cell>
          <cell r="D127">
            <v>126254</v>
          </cell>
          <cell r="E127">
            <v>4.3599842144144787E-4</v>
          </cell>
          <cell r="F127">
            <v>1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1.1540228428406228E-2</v>
          </cell>
          <cell r="L127">
            <v>0.29269567696865051</v>
          </cell>
          <cell r="M127">
            <v>0.22076924295467867</v>
          </cell>
          <cell r="N127">
            <v>0.20499944556212082</v>
          </cell>
          <cell r="O127">
            <v>0.13217799040030415</v>
          </cell>
          <cell r="P127">
            <v>9.5893991477497748E-2</v>
          </cell>
          <cell r="Q127">
            <v>4.0640296545059955E-2</v>
          </cell>
          <cell r="R127">
            <v>1.2831276632819554E-3</v>
          </cell>
          <cell r="S127">
            <v>0</v>
          </cell>
          <cell r="T127">
            <v>0</v>
          </cell>
        </row>
        <row r="128">
          <cell r="B128" t="str">
            <v>T03-2120</v>
          </cell>
          <cell r="C128" t="str">
            <v>Development &amp; Implementation of Financial Management of the Programme</v>
          </cell>
          <cell r="D128">
            <v>77695</v>
          </cell>
          <cell r="E128">
            <v>2.6830751781245184E-4</v>
          </cell>
          <cell r="F128">
            <v>1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0.99165969496106565</v>
          </cell>
          <cell r="S128">
            <v>8.340305038934348E-3</v>
          </cell>
          <cell r="T128">
            <v>0</v>
          </cell>
        </row>
        <row r="129">
          <cell r="B129" t="str">
            <v>LANDMONETIZATION</v>
          </cell>
          <cell r="D129">
            <v>1133864</v>
          </cell>
          <cell r="E129">
            <v>3.915621795184991E-3</v>
          </cell>
          <cell r="F129">
            <v>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0.99598276336491864</v>
          </cell>
          <cell r="R129">
            <v>0</v>
          </cell>
          <cell r="S129">
            <v>4.0172366350814566E-3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 t="str">
            <v>T03-1300</v>
          </cell>
          <cell r="C130" t="str">
            <v>Assess the FAR regime and maximize the same for eventual land monetization</v>
          </cell>
          <cell r="D130">
            <v>464461</v>
          </cell>
          <cell r="E130">
            <v>1.6039433429524317E-3</v>
          </cell>
          <cell r="F130">
            <v>1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1</v>
          </cell>
          <cell r="R130">
            <v>0</v>
          </cell>
          <cell r="S130">
            <v>0</v>
          </cell>
          <cell r="T130">
            <v>0</v>
          </cell>
        </row>
        <row r="131">
          <cell r="B131" t="str">
            <v>T03-1310</v>
          </cell>
          <cell r="C131" t="str">
            <v>Assess the possibility of developing the station area for possible real estate gains</v>
          </cell>
          <cell r="D131">
            <v>221616</v>
          </cell>
          <cell r="E131">
            <v>7.6531615763593961E-4</v>
          </cell>
          <cell r="F131">
            <v>1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1</v>
          </cell>
          <cell r="R131">
            <v>0</v>
          </cell>
          <cell r="S131">
            <v>0</v>
          </cell>
          <cell r="T131">
            <v>0</v>
          </cell>
        </row>
        <row r="132">
          <cell r="B132" t="str">
            <v>T03-1320</v>
          </cell>
          <cell r="C132" t="str">
            <v>Explore various user charges such as parking fee, retail spend etc.</v>
          </cell>
          <cell r="D132">
            <v>221616</v>
          </cell>
          <cell r="E132">
            <v>7.6531615763593961E-4</v>
          </cell>
          <cell r="F132">
            <v>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1</v>
          </cell>
          <cell r="R132">
            <v>0</v>
          </cell>
          <cell r="S132">
            <v>0</v>
          </cell>
          <cell r="T132">
            <v>0</v>
          </cell>
        </row>
        <row r="133">
          <cell r="B133" t="str">
            <v>T03-1450</v>
          </cell>
          <cell r="C133" t="str">
            <v>Assessment of non-PPP project component, if any and forecast any possible revenue streams emanating</v>
          </cell>
          <cell r="D133">
            <v>221616</v>
          </cell>
          <cell r="E133">
            <v>7.6531615763593961E-4</v>
          </cell>
          <cell r="F133">
            <v>1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1</v>
          </cell>
          <cell r="R133">
            <v>0</v>
          </cell>
          <cell r="S133">
            <v>0</v>
          </cell>
          <cell r="T133">
            <v>0</v>
          </cell>
        </row>
        <row r="134">
          <cell r="B134" t="str">
            <v>T03-2240</v>
          </cell>
          <cell r="C134" t="str">
            <v>Workshop for Investment Strategy</v>
          </cell>
          <cell r="D134">
            <v>4555</v>
          </cell>
          <cell r="E134">
            <v>1.5729979324740566E-5</v>
          </cell>
          <cell r="F134">
            <v>1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1</v>
          </cell>
          <cell r="T134">
            <v>0</v>
          </cell>
        </row>
        <row r="135">
          <cell r="B135" t="str">
            <v>PREPARATIONFORRFP/RFQFORECCO&amp;MOPERATOR</v>
          </cell>
          <cell r="D135">
            <v>572332</v>
          </cell>
          <cell r="E135">
            <v>7.0964826154048003E-4</v>
          </cell>
          <cell r="F135">
            <v>0.84290873463879268</v>
          </cell>
          <cell r="G135">
            <v>0</v>
          </cell>
          <cell r="H135">
            <v>0</v>
          </cell>
          <cell r="I135">
            <v>0.42718430853479716</v>
          </cell>
          <cell r="J135">
            <v>0.21579008837154981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0.19993433773244573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 t="str">
            <v>T03-1060</v>
          </cell>
          <cell r="C136" t="str">
            <v>Workshop with Probable O&amp;M Operators</v>
          </cell>
          <cell r="D136">
            <v>22078</v>
          </cell>
          <cell r="E136">
            <v>7.6242916252825937E-5</v>
          </cell>
          <cell r="F136">
            <v>1</v>
          </cell>
          <cell r="G136">
            <v>0</v>
          </cell>
          <cell r="H136">
            <v>0</v>
          </cell>
          <cell r="I136">
            <v>1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</row>
        <row r="137">
          <cell r="B137" t="str">
            <v>T03-1070</v>
          </cell>
          <cell r="C137" t="str">
            <v>Preparation of RFP / RFQ for ECC O&amp;M Operator</v>
          </cell>
          <cell r="D137">
            <v>330152</v>
          </cell>
          <cell r="E137">
            <v>3.8004274672680179E-4</v>
          </cell>
          <cell r="F137">
            <v>1</v>
          </cell>
          <cell r="G137">
            <v>0</v>
          </cell>
          <cell r="H137">
            <v>0</v>
          </cell>
          <cell r="I137">
            <v>0.59705832465046405</v>
          </cell>
          <cell r="J137">
            <v>0.40294167534953595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</row>
        <row r="138">
          <cell r="B138" t="str">
            <v>T03-1230</v>
          </cell>
          <cell r="C138" t="str">
            <v>Selection of ECC O&amp;M Operaotor</v>
          </cell>
          <cell r="D138">
            <v>220102</v>
          </cell>
          <cell r="E138">
            <v>2.5336259856085234E-4</v>
          </cell>
          <cell r="F138">
            <v>0.56000000000000005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0.56000000000000005</v>
          </cell>
          <cell r="T138">
            <v>0</v>
          </cell>
        </row>
        <row r="139">
          <cell r="B139" t="str">
            <v>T03-1700</v>
          </cell>
          <cell r="C139" t="str">
            <v>Floating of RFQ/RFP ECC O&amp;M Operaotor (By Client)</v>
          </cell>
          <cell r="D139">
            <v>0</v>
          </cell>
          <cell r="E139">
            <v>0</v>
          </cell>
          <cell r="F139">
            <v>0</v>
          </cell>
          <cell r="S139">
            <v>0</v>
          </cell>
          <cell r="T139">
            <v>0</v>
          </cell>
        </row>
        <row r="140">
          <cell r="B140" t="str">
            <v>TECH.ASST.FORPRELIMINARYENGINEERING&amp;ARCHWORKS</v>
          </cell>
          <cell r="D140">
            <v>25269239</v>
          </cell>
          <cell r="E140">
            <v>2.9634129933334475E-3</v>
          </cell>
          <cell r="F140">
            <v>1</v>
          </cell>
          <cell r="G140">
            <v>0</v>
          </cell>
          <cell r="H140">
            <v>3.6470832268354477E-3</v>
          </cell>
          <cell r="I140">
            <v>0.45337839780048533</v>
          </cell>
          <cell r="J140">
            <v>3.5255396820834173E-2</v>
          </cell>
          <cell r="K140">
            <v>0.17136124885700899</v>
          </cell>
          <cell r="L140">
            <v>3.5425922919096048E-3</v>
          </cell>
          <cell r="M140">
            <v>0</v>
          </cell>
          <cell r="N140">
            <v>0</v>
          </cell>
          <cell r="O140">
            <v>0.18493574778607405</v>
          </cell>
          <cell r="P140">
            <v>0.14362065362381554</v>
          </cell>
          <cell r="Q140">
            <v>4.2581027087624001E-3</v>
          </cell>
          <cell r="R140">
            <v>0</v>
          </cell>
          <cell r="S140">
            <v>7.7688427453607471E-7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 t="str">
            <v>PREPARATIONOFRFQ/RFPFORPREL.ENG.&amp;ARCH.CONSULTANT</v>
          </cell>
          <cell r="D141">
            <v>88766</v>
          </cell>
          <cell r="E141">
            <v>1.3769170925050621E-4</v>
          </cell>
          <cell r="F141">
            <v>0.99999999999999989</v>
          </cell>
          <cell r="G141">
            <v>0</v>
          </cell>
          <cell r="H141">
            <v>7.849284376672018E-2</v>
          </cell>
          <cell r="I141">
            <v>0.92150715623327972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 t="str">
            <v>T03-1030</v>
          </cell>
          <cell r="C142" t="str">
            <v>Preparation of TOR for Preliminary Engineering &amp; Arch. Consultant based on Inputs from Inhouse Trunk Service Design</v>
          </cell>
          <cell r="D142">
            <v>73026</v>
          </cell>
          <cell r="E142">
            <v>8.4061285778887988E-5</v>
          </cell>
          <cell r="F142">
            <v>1</v>
          </cell>
          <cell r="G142">
            <v>0</v>
          </cell>
          <cell r="H142">
            <v>0.12857064607126231</v>
          </cell>
          <cell r="I142">
            <v>0.87142935392873777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</row>
        <row r="143">
          <cell r="B143" t="str">
            <v>T03-1080</v>
          </cell>
          <cell r="C143" t="str">
            <v>Workshop for RFQ cum RFP for onboarding of Preliminary Engineering and Architectural Consultants</v>
          </cell>
          <cell r="D143">
            <v>630</v>
          </cell>
          <cell r="E143">
            <v>1.4504042407005569E-6</v>
          </cell>
          <cell r="F143">
            <v>1</v>
          </cell>
          <cell r="G143">
            <v>0</v>
          </cell>
          <cell r="H143">
            <v>0</v>
          </cell>
          <cell r="I143">
            <v>1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</row>
        <row r="144">
          <cell r="B144" t="str">
            <v>T03-1090</v>
          </cell>
          <cell r="C144" t="str">
            <v>Preparation of RFQ for Preliminary Engineering and Architectural Consultants</v>
          </cell>
          <cell r="D144">
            <v>7555</v>
          </cell>
          <cell r="E144">
            <v>2.6090009615458826E-5</v>
          </cell>
          <cell r="F144">
            <v>1</v>
          </cell>
          <cell r="G144">
            <v>0</v>
          </cell>
          <cell r="H144">
            <v>0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</row>
        <row r="145">
          <cell r="B145" t="str">
            <v>T03-1100</v>
          </cell>
          <cell r="C145" t="str">
            <v>Preparation of RFP for Preliminary Engineering and Architectural Consultants</v>
          </cell>
          <cell r="D145">
            <v>7555</v>
          </cell>
          <cell r="E145">
            <v>2.6090009615458826E-5</v>
          </cell>
          <cell r="F145">
            <v>1</v>
          </cell>
          <cell r="G145">
            <v>0</v>
          </cell>
          <cell r="H145">
            <v>0</v>
          </cell>
          <cell r="I145">
            <v>1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</row>
        <row r="146">
          <cell r="B146" t="str">
            <v>TECHNICALASSISTANCEFORONBOARDINGOFARCH.&amp;ENGG.CONSULTANTS</v>
          </cell>
          <cell r="D146">
            <v>938892</v>
          </cell>
          <cell r="E146">
            <v>1.0807721733014503E-3</v>
          </cell>
          <cell r="F146">
            <v>1.0000000000000002</v>
          </cell>
          <cell r="G146">
            <v>0</v>
          </cell>
          <cell r="H146">
            <v>0</v>
          </cell>
          <cell r="I146">
            <v>0.90333286469583307</v>
          </cell>
          <cell r="J146">
            <v>9.6668200389395165E-2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-1.0650852281193956E-6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 t="str">
            <v>T03-1120</v>
          </cell>
          <cell r="C147" t="str">
            <v>Develop Program - Wide tender evaluation and Selection Criteria for Consultants</v>
          </cell>
          <cell r="D147">
            <v>39031</v>
          </cell>
          <cell r="E147">
            <v>4.4929149141891616E-5</v>
          </cell>
          <cell r="F147">
            <v>1</v>
          </cell>
          <cell r="G147">
            <v>0</v>
          </cell>
          <cell r="H147">
            <v>0</v>
          </cell>
          <cell r="I147">
            <v>0.90333324793113168</v>
          </cell>
          <cell r="J147">
            <v>9.6666752068868336E-2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</row>
        <row r="148">
          <cell r="B148" t="str">
            <v>T03-1130</v>
          </cell>
          <cell r="C148" t="str">
            <v>Create, administer or assist as required in the tendering and contract negotiation / award for the Consultant contracts</v>
          </cell>
          <cell r="D148">
            <v>106280</v>
          </cell>
          <cell r="E148">
            <v>1.2234044658861523E-4</v>
          </cell>
          <cell r="F148">
            <v>1</v>
          </cell>
          <cell r="G148">
            <v>0</v>
          </cell>
          <cell r="H148">
            <v>0</v>
          </cell>
          <cell r="I148">
            <v>0.90333082423786226</v>
          </cell>
          <cell r="J148">
            <v>9.6669175762137752E-2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</row>
        <row r="149">
          <cell r="B149" t="str">
            <v>T03-1140</v>
          </cell>
          <cell r="C149" t="str">
            <v>Create, review, monitor, evaluate and report on the Consultant procurement and Tendering Packages</v>
          </cell>
          <cell r="D149">
            <v>106280</v>
          </cell>
          <cell r="E149">
            <v>1.2234044658861523E-4</v>
          </cell>
          <cell r="F149">
            <v>1</v>
          </cell>
          <cell r="G149">
            <v>0</v>
          </cell>
          <cell r="H149">
            <v>0</v>
          </cell>
          <cell r="I149">
            <v>0.90333082423786226</v>
          </cell>
          <cell r="J149">
            <v>9.6669175762137752E-2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</row>
        <row r="150">
          <cell r="B150" t="str">
            <v>T03-1150</v>
          </cell>
          <cell r="C150" t="str">
            <v>For each project, oversee the development of the activities undertaken by the PM</v>
          </cell>
          <cell r="D150">
            <v>11333</v>
          </cell>
          <cell r="E150">
            <v>1.3045580364967786E-5</v>
          </cell>
          <cell r="F150">
            <v>1</v>
          </cell>
          <cell r="G150">
            <v>0</v>
          </cell>
          <cell r="H150">
            <v>0</v>
          </cell>
          <cell r="I150">
            <v>0.90337951116209303</v>
          </cell>
          <cell r="J150">
            <v>9.6708726727256694E-2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-8.8237889349640497E-5</v>
          </cell>
          <cell r="T150">
            <v>0</v>
          </cell>
        </row>
        <row r="151">
          <cell r="B151" t="str">
            <v>T03-1160</v>
          </cell>
          <cell r="C151" t="str">
            <v>Ensure record keeping of pre-tender and post-tender meetings with Consultant</v>
          </cell>
          <cell r="D151">
            <v>24245</v>
          </cell>
          <cell r="E151">
            <v>2.7908770488718255E-5</v>
          </cell>
          <cell r="F151">
            <v>1</v>
          </cell>
          <cell r="G151">
            <v>0</v>
          </cell>
          <cell r="H151">
            <v>0</v>
          </cell>
          <cell r="I151">
            <v>0.90332027222107647</v>
          </cell>
          <cell r="J151">
            <v>9.6679727778923488E-2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</row>
        <row r="152">
          <cell r="B152" t="str">
            <v>T03-1170</v>
          </cell>
          <cell r="C152" t="str">
            <v>Review the submitted tender and undertake technical and commercial evaluations of Consultant Bid</v>
          </cell>
          <cell r="D152">
            <v>39031</v>
          </cell>
          <cell r="E152">
            <v>4.4929149141891616E-5</v>
          </cell>
          <cell r="F152">
            <v>1</v>
          </cell>
          <cell r="G152">
            <v>0</v>
          </cell>
          <cell r="H152">
            <v>0</v>
          </cell>
          <cell r="I152">
            <v>0.90333324793113168</v>
          </cell>
          <cell r="J152">
            <v>9.6666752068868336E-2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</row>
        <row r="153">
          <cell r="B153" t="str">
            <v>T03-1180</v>
          </cell>
          <cell r="C153" t="str">
            <v>Keep DMICDC fully informed on any issues wrt Consultan selection, which may have a contractual,cost or time implication</v>
          </cell>
          <cell r="D153">
            <v>39031</v>
          </cell>
          <cell r="E153">
            <v>4.4929149141891616E-5</v>
          </cell>
          <cell r="F153">
            <v>1</v>
          </cell>
          <cell r="G153">
            <v>0</v>
          </cell>
          <cell r="H153">
            <v>0</v>
          </cell>
          <cell r="I153">
            <v>0.90333324793113168</v>
          </cell>
          <cell r="J153">
            <v>9.6666752068868336E-2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</row>
        <row r="154">
          <cell r="B154" t="str">
            <v>T03-1190</v>
          </cell>
          <cell r="C154" t="str">
            <v>Perform tendering, evaluation and selection of the Consultant</v>
          </cell>
          <cell r="D154">
            <v>573661</v>
          </cell>
          <cell r="E154">
            <v>6.603494818448589E-4</v>
          </cell>
          <cell r="F154">
            <v>1</v>
          </cell>
          <cell r="G154">
            <v>0</v>
          </cell>
          <cell r="H154">
            <v>0</v>
          </cell>
          <cell r="I154">
            <v>0.90333315320372132</v>
          </cell>
          <cell r="J154">
            <v>9.6666846796278641E-2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</row>
        <row r="155">
          <cell r="B155" t="str">
            <v>PREPARATIONOFFINALUPDATEDMASTERPLAN</v>
          </cell>
          <cell r="D155">
            <v>24241581</v>
          </cell>
          <cell r="E155">
            <v>1.7449491107814912E-3</v>
          </cell>
          <cell r="F155">
            <v>1</v>
          </cell>
          <cell r="G155">
            <v>0</v>
          </cell>
          <cell r="H155">
            <v>0</v>
          </cell>
          <cell r="I155">
            <v>0.13774987169152134</v>
          </cell>
          <cell r="J155">
            <v>0</v>
          </cell>
          <cell r="K155">
            <v>0.29101946198836581</v>
          </cell>
          <cell r="L155">
            <v>6.0163152971413267E-3</v>
          </cell>
          <cell r="M155">
            <v>0</v>
          </cell>
          <cell r="N155">
            <v>0</v>
          </cell>
          <cell r="O155">
            <v>0.31407276838901282</v>
          </cell>
          <cell r="P155">
            <v>0.24390815091979698</v>
          </cell>
          <cell r="Q155">
            <v>7.2314526630771073E-3</v>
          </cell>
          <cell r="R155">
            <v>0</v>
          </cell>
          <cell r="S155">
            <v>1.9790510845762673E-6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 t="str">
            <v>T03-1050</v>
          </cell>
          <cell r="C156" t="str">
            <v>Selection &amp; Appointment of PPP Specialist</v>
          </cell>
          <cell r="D156">
            <v>69604</v>
          </cell>
          <cell r="E156">
            <v>2.4036651611838468E-4</v>
          </cell>
          <cell r="F156">
            <v>1</v>
          </cell>
          <cell r="G156">
            <v>0</v>
          </cell>
          <cell r="H156">
            <v>0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</row>
        <row r="157">
          <cell r="B157" t="str">
            <v>T03-1280</v>
          </cell>
          <cell r="C157" t="str">
            <v>Finalize Site Layout wrt approved zonal controls, Site Layout, Land use Mix, Transportation &amp; Connectivity, Trunk Infra.</v>
          </cell>
          <cell r="D157">
            <v>29889</v>
          </cell>
          <cell r="E157">
            <v>1.0321698178642607E-4</v>
          </cell>
          <cell r="F157">
            <v>1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</row>
        <row r="158">
          <cell r="B158" t="str">
            <v>T03-1290</v>
          </cell>
          <cell r="C158" t="str">
            <v>Preparation of Final Updated Master Plan</v>
          </cell>
          <cell r="D158">
            <v>120202</v>
          </cell>
          <cell r="E158">
            <v>4.1509878700163891E-4</v>
          </cell>
          <cell r="F158">
            <v>1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0.97470092011780174</v>
          </cell>
          <cell r="L158">
            <v>2.5290760553068999E-2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8.3193291292582572E-6</v>
          </cell>
          <cell r="T158">
            <v>0</v>
          </cell>
        </row>
        <row r="159">
          <cell r="B159" t="str">
            <v>T03-2480</v>
          </cell>
          <cell r="C159" t="str">
            <v>Preparation of Final Plan for Next Year indicating timely implementation of Identified Projects</v>
          </cell>
          <cell r="D159">
            <v>274066</v>
          </cell>
          <cell r="E159">
            <v>9.4644402055199723E-4</v>
          </cell>
          <cell r="F159">
            <v>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0.56222223843891617</v>
          </cell>
          <cell r="P159">
            <v>0.42444520662906016</v>
          </cell>
          <cell r="Q159">
            <v>1.3332554932023673E-2</v>
          </cell>
          <cell r="R159">
            <v>0</v>
          </cell>
          <cell r="S159">
            <v>0</v>
          </cell>
          <cell r="T159">
            <v>0</v>
          </cell>
        </row>
        <row r="160">
          <cell r="B160" t="str">
            <v>T03-2520</v>
          </cell>
          <cell r="C160" t="str">
            <v>Workshop - 1 on Final Plan for Next Year 1</v>
          </cell>
          <cell r="D160">
            <v>6919</v>
          </cell>
          <cell r="E160">
            <v>1.5929122129217702E-5</v>
          </cell>
          <cell r="F160">
            <v>1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1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</row>
        <row r="161">
          <cell r="B161" t="str">
            <v>T03-2550</v>
          </cell>
          <cell r="C161" t="str">
            <v>Workshop - 2 on Final Plan for Next Year 1</v>
          </cell>
          <cell r="D161">
            <v>23740901</v>
          </cell>
          <cell r="E161">
            <v>2.3893683193826558E-5</v>
          </cell>
          <cell r="F161">
            <v>1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1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</row>
        <row r="162">
          <cell r="B162" t="str">
            <v>PRELIMINARYENGINEERINGANDARCHITECTURALCONSULTANTS-DETAILEDPROJECTREPORT</v>
          </cell>
          <cell r="D162">
            <v>17690274</v>
          </cell>
          <cell r="E162">
            <v>2.7105271863888634E-2</v>
          </cell>
          <cell r="F162">
            <v>0.83410958673599866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3.7088404790049105E-3</v>
          </cell>
          <cell r="L162">
            <v>4.3800645025337002E-2</v>
          </cell>
          <cell r="M162">
            <v>0.12818309369752778</v>
          </cell>
          <cell r="N162">
            <v>0.12248367964947693</v>
          </cell>
          <cell r="O162">
            <v>0.16030967365584262</v>
          </cell>
          <cell r="P162">
            <v>0.12094178353727032</v>
          </cell>
          <cell r="Q162">
            <v>8.0958697806793253E-2</v>
          </cell>
          <cell r="R162">
            <v>3.3750524801862081E-2</v>
          </cell>
          <cell r="S162">
            <v>7.2741174240503553E-2</v>
          </cell>
          <cell r="T162">
            <v>6.7231473842380318E-2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 t="str">
            <v>T03-1240</v>
          </cell>
          <cell r="C163" t="str">
            <v>Selection of Preliminary Engineering &amp; Architectural Consultants</v>
          </cell>
          <cell r="D163">
            <v>124760</v>
          </cell>
          <cell r="E163">
            <v>2.8722608423778013E-4</v>
          </cell>
          <cell r="F163">
            <v>1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0.35000000000000003</v>
          </cell>
          <cell r="L163">
            <v>0.65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</row>
        <row r="164">
          <cell r="B164" t="str">
            <v>T03-1380</v>
          </cell>
          <cell r="C164" t="str">
            <v>Floating of RFQ/RFP for Preliminary Engineering &amp; Architectural Consultants (By Client)</v>
          </cell>
          <cell r="D164">
            <v>0</v>
          </cell>
          <cell r="E164">
            <v>0</v>
          </cell>
          <cell r="F164">
            <v>0</v>
          </cell>
          <cell r="S164">
            <v>0</v>
          </cell>
          <cell r="T164">
            <v>0</v>
          </cell>
        </row>
        <row r="165">
          <cell r="B165" t="str">
            <v>PRELIMINARYDESIGNFOREXHIBITIONCENTER</v>
          </cell>
          <cell r="D165">
            <v>4223484</v>
          </cell>
          <cell r="E165">
            <v>6.0887440511950084E-3</v>
          </cell>
          <cell r="F165">
            <v>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3.3805318300596993E-2</v>
          </cell>
          <cell r="M165">
            <v>0.14111320795381885</v>
          </cell>
          <cell r="N165">
            <v>0.13529330359354136</v>
          </cell>
          <cell r="O165">
            <v>0.17788084698665299</v>
          </cell>
          <cell r="P165">
            <v>0.13421719601757012</v>
          </cell>
          <cell r="Q165">
            <v>8.9882206678446111E-2</v>
          </cell>
          <cell r="R165">
            <v>3.7461096971812102E-2</v>
          </cell>
          <cell r="S165">
            <v>0.14792360819702072</v>
          </cell>
          <cell r="T165">
            <v>0.10242321530054063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 t="str">
            <v>T03-1260</v>
          </cell>
          <cell r="C166" t="str">
            <v>Preparation of Operating Specification for Exhibition Center</v>
          </cell>
          <cell r="D166">
            <v>440203</v>
          </cell>
          <cell r="E166">
            <v>5.0672404600722804E-4</v>
          </cell>
          <cell r="F166">
            <v>1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5.5563001615163907E-2</v>
          </cell>
          <cell r="M166">
            <v>0.25878969475446556</v>
          </cell>
          <cell r="N166">
            <v>0.23502338693739022</v>
          </cell>
          <cell r="O166">
            <v>0.18050535775539919</v>
          </cell>
          <cell r="P166">
            <v>0.13227306492686328</v>
          </cell>
          <cell r="Q166">
            <v>9.3731755576404521E-2</v>
          </cell>
          <cell r="R166">
            <v>3.8702598573839786E-2</v>
          </cell>
          <cell r="S166">
            <v>5.4111398604734795E-3</v>
          </cell>
          <cell r="T166">
            <v>0</v>
          </cell>
        </row>
        <row r="167">
          <cell r="B167" t="str">
            <v>T03-1350</v>
          </cell>
          <cell r="C167" t="str">
            <v>Preparation of Preliminary Design for Exhibition Center</v>
          </cell>
          <cell r="D167">
            <v>487546</v>
          </cell>
          <cell r="E167">
            <v>1.1224425173596727E-3</v>
          </cell>
          <cell r="F167">
            <v>1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5.5818322783901413E-2</v>
          </cell>
          <cell r="M167">
            <v>0.25993854938816024</v>
          </cell>
          <cell r="N167">
            <v>0.23570698969943349</v>
          </cell>
          <cell r="O167">
            <v>0.18053475979702427</v>
          </cell>
          <cell r="P167">
            <v>0.13234853736878158</v>
          </cell>
          <cell r="Q167">
            <v>9.2780988870793724E-2</v>
          </cell>
          <cell r="R167">
            <v>3.8480471586270826E-2</v>
          </cell>
          <cell r="S167">
            <v>4.39138050563459E-3</v>
          </cell>
          <cell r="T167">
            <v>0</v>
          </cell>
        </row>
        <row r="168">
          <cell r="B168" t="str">
            <v>T03-1560</v>
          </cell>
          <cell r="C168" t="str">
            <v>Draft Prelim. Costing for Exhibition Center</v>
          </cell>
          <cell r="D168">
            <v>12390</v>
          </cell>
          <cell r="E168">
            <v>4.2786925100666434E-5</v>
          </cell>
          <cell r="F168">
            <v>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0.94995964487489903</v>
          </cell>
          <cell r="M168">
            <v>4.9959644874899109E-2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8.0710250201843081E-5</v>
          </cell>
          <cell r="T168">
            <v>0</v>
          </cell>
        </row>
        <row r="169">
          <cell r="B169" t="str">
            <v>T03-1670</v>
          </cell>
          <cell r="C169" t="str">
            <v>Preparation of 30% Design for Exhibition Center</v>
          </cell>
          <cell r="D169">
            <v>487546</v>
          </cell>
          <cell r="E169">
            <v>5.6122125867983633E-4</v>
          </cell>
          <cell r="F169">
            <v>1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4.4933196047142215E-2</v>
          </cell>
          <cell r="M169">
            <v>0.26212295865415774</v>
          </cell>
          <cell r="N169">
            <v>0.23911179663047177</v>
          </cell>
          <cell r="O169">
            <v>0.18293453335685245</v>
          </cell>
          <cell r="P169">
            <v>0.13377199279657712</v>
          </cell>
          <cell r="Q169">
            <v>9.3921394083840301E-2</v>
          </cell>
          <cell r="R169">
            <v>3.8781981597633859E-2</v>
          </cell>
          <cell r="S169">
            <v>4.4221468333244252E-3</v>
          </cell>
          <cell r="T169">
            <v>0</v>
          </cell>
        </row>
        <row r="170">
          <cell r="B170" t="str">
            <v>T03-1810</v>
          </cell>
          <cell r="C170" t="str">
            <v>Preparation of 60% Design for Exhibition Center</v>
          </cell>
          <cell r="D170">
            <v>487546</v>
          </cell>
          <cell r="E170">
            <v>5.6122125867983633E-4</v>
          </cell>
          <cell r="F170">
            <v>1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4.394662247254618E-2</v>
          </cell>
          <cell r="M170">
            <v>0.25657681531588811</v>
          </cell>
          <cell r="N170">
            <v>0.23577057344332636</v>
          </cell>
          <cell r="O170">
            <v>0.18061475224901855</v>
          </cell>
          <cell r="P170">
            <v>0.13550721367829907</v>
          </cell>
          <cell r="Q170">
            <v>9.8441993165773081E-2</v>
          </cell>
          <cell r="R170">
            <v>3.9842394358686153E-2</v>
          </cell>
          <cell r="S170">
            <v>9.2996353164623846E-3</v>
          </cell>
          <cell r="T170">
            <v>0</v>
          </cell>
        </row>
        <row r="171">
          <cell r="B171" t="str">
            <v>T03-1920</v>
          </cell>
          <cell r="C171" t="str">
            <v>Detail Costing for Preparation of RFQ/RFP for Exhibition Center</v>
          </cell>
          <cell r="D171">
            <v>33039</v>
          </cell>
          <cell r="E171">
            <v>1.1409501359168024E-4</v>
          </cell>
          <cell r="F171">
            <v>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3.383879657374618E-2</v>
          </cell>
          <cell r="O171">
            <v>0.39138593783104808</v>
          </cell>
          <cell r="P171">
            <v>0.30258179726989315</v>
          </cell>
          <cell r="Q171">
            <v>0.18735433881170738</v>
          </cell>
          <cell r="R171">
            <v>7.9754229849571714E-2</v>
          </cell>
          <cell r="S171">
            <v>5.084899664033582E-3</v>
          </cell>
          <cell r="T171">
            <v>0</v>
          </cell>
        </row>
        <row r="172">
          <cell r="B172" t="str">
            <v>T03-2020</v>
          </cell>
          <cell r="C172" t="str">
            <v>Preparation of 90% Design for Exhibition Center</v>
          </cell>
          <cell r="D172">
            <v>487546</v>
          </cell>
          <cell r="E172">
            <v>5.6122125867983633E-4</v>
          </cell>
          <cell r="F172">
            <v>1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4.3649214638208492E-2</v>
          </cell>
          <cell r="M172">
            <v>0.25490517817805908</v>
          </cell>
          <cell r="N172">
            <v>0.23476348898360361</v>
          </cell>
          <cell r="O172">
            <v>0.17991738215470948</v>
          </cell>
          <cell r="P172">
            <v>0.13603024124903085</v>
          </cell>
          <cell r="Q172">
            <v>9.980801811521374E-2</v>
          </cell>
          <cell r="R172">
            <v>4.0162364166663245E-2</v>
          </cell>
          <cell r="S172">
            <v>1.0764112514511481E-2</v>
          </cell>
          <cell r="T172">
            <v>0</v>
          </cell>
        </row>
        <row r="173">
          <cell r="B173" t="str">
            <v>T03-2140</v>
          </cell>
          <cell r="C173" t="str">
            <v>Preparation of Final Design for Exhibition Center</v>
          </cell>
          <cell r="D173">
            <v>487546</v>
          </cell>
          <cell r="E173">
            <v>1.1224425173596727E-3</v>
          </cell>
          <cell r="F173">
            <v>1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3.3834756105064957E-2</v>
          </cell>
          <cell r="O173">
            <v>0.39138255672285277</v>
          </cell>
          <cell r="P173">
            <v>0.30259298609772206</v>
          </cell>
          <cell r="Q173">
            <v>0.18734437365910087</v>
          </cell>
          <cell r="R173">
            <v>7.975657681531588E-2</v>
          </cell>
          <cell r="S173">
            <v>5.0887505999434035E-3</v>
          </cell>
          <cell r="T173">
            <v>0</v>
          </cell>
        </row>
        <row r="174">
          <cell r="B174" t="str">
            <v>T03-2270</v>
          </cell>
          <cell r="C174" t="str">
            <v>Replying to Design RFI for Exhibition Center</v>
          </cell>
          <cell r="D174">
            <v>1300122</v>
          </cell>
          <cell r="E174">
            <v>1.4965892557365788E-3</v>
          </cell>
          <cell r="F174">
            <v>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0.58330000000000004</v>
          </cell>
          <cell r="T174">
            <v>0.41669999999999996</v>
          </cell>
        </row>
        <row r="175">
          <cell r="B175" t="str">
            <v>DESIGNFORPRIMARYTRUNKINFRASTRUCTURE</v>
          </cell>
          <cell r="D175">
            <v>2445106</v>
          </cell>
          <cell r="E175">
            <v>3.6127083228581101E-3</v>
          </cell>
          <cell r="F175">
            <v>1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2.6691570727405044E-2</v>
          </cell>
          <cell r="M175">
            <v>0.12938067399004091</v>
          </cell>
          <cell r="N175">
            <v>0.12585663468903699</v>
          </cell>
          <cell r="O175">
            <v>0.18097566819736149</v>
          </cell>
          <cell r="P175">
            <v>0.13698762826419714</v>
          </cell>
          <cell r="Q175">
            <v>9.1101195369425098E-2</v>
          </cell>
          <cell r="R175">
            <v>3.8020751684592742E-2</v>
          </cell>
          <cell r="S175">
            <v>0.15994187622911235</v>
          </cell>
          <cell r="T175">
            <v>0.11104400084882826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 t="str">
            <v>T03-1360</v>
          </cell>
          <cell r="C176" t="str">
            <v>Preparation of Preliminary Design for Primary Trunk Infrastructure  and MEP Design</v>
          </cell>
          <cell r="D176">
            <v>313630</v>
          </cell>
          <cell r="E176">
            <v>7.2204806668399316E-4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5.5817364410292378E-2</v>
          </cell>
          <cell r="M176">
            <v>0.25994005675477472</v>
          </cell>
          <cell r="N176">
            <v>0.23570768102541209</v>
          </cell>
          <cell r="O176">
            <v>0.18053438765424226</v>
          </cell>
          <cell r="P176">
            <v>0.13234703312820839</v>
          </cell>
          <cell r="Q176">
            <v>9.2781302809042496E-2</v>
          </cell>
          <cell r="R176">
            <v>3.848165035232598E-2</v>
          </cell>
          <cell r="S176">
            <v>4.390523865701712E-3</v>
          </cell>
          <cell r="T176">
            <v>0</v>
          </cell>
        </row>
        <row r="177">
          <cell r="B177" t="str">
            <v>T03-1570</v>
          </cell>
          <cell r="C177" t="str">
            <v>Draft Prelim. Costing for Primary Trunk Infrastructure  and MEP Works</v>
          </cell>
          <cell r="D177">
            <v>7571</v>
          </cell>
          <cell r="E177">
            <v>8.7150877034475525E-6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0.95007264562145022</v>
          </cell>
          <cell r="M177">
            <v>5.0059437326641129E-2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-1.320829480913055E-4</v>
          </cell>
          <cell r="T177">
            <v>0</v>
          </cell>
        </row>
        <row r="178">
          <cell r="B178" t="str">
            <v>T03-1680</v>
          </cell>
          <cell r="C178" t="str">
            <v>Preparation of 30% Design for Primary Trunk Infrastructure  and MEP Works</v>
          </cell>
          <cell r="D178">
            <v>313630</v>
          </cell>
          <cell r="E178">
            <v>3.6102403334199658E-4</v>
          </cell>
          <cell r="F178">
            <v>1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4.4931926155023429E-2</v>
          </cell>
          <cell r="M178">
            <v>0.26212097057041733</v>
          </cell>
          <cell r="N178">
            <v>0.23910977903899497</v>
          </cell>
          <cell r="O178">
            <v>0.18293530593374357</v>
          </cell>
          <cell r="P178">
            <v>0.13377227943755379</v>
          </cell>
          <cell r="Q178">
            <v>9.3922775244715095E-2</v>
          </cell>
          <cell r="R178">
            <v>3.8781366578452318E-2</v>
          </cell>
          <cell r="S178">
            <v>4.4255970410994605E-3</v>
          </cell>
          <cell r="T178">
            <v>0</v>
          </cell>
        </row>
        <row r="179">
          <cell r="B179" t="str">
            <v>T03-1820</v>
          </cell>
          <cell r="C179" t="str">
            <v>Preparation of 60% Design for Primary Trunk Infrastructure  and MEP Works</v>
          </cell>
          <cell r="D179">
            <v>313630</v>
          </cell>
          <cell r="E179">
            <v>3.6102403334199658E-4</v>
          </cell>
          <cell r="F179">
            <v>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4.3946688773395408E-2</v>
          </cell>
          <cell r="M179">
            <v>0.25657622038708028</v>
          </cell>
          <cell r="N179">
            <v>0.23577145043522621</v>
          </cell>
          <cell r="O179">
            <v>0.18061409941650988</v>
          </cell>
          <cell r="P179">
            <v>0.13550680738449766</v>
          </cell>
          <cell r="Q179">
            <v>9.8440837930044947E-2</v>
          </cell>
          <cell r="R179">
            <v>3.9843127251857277E-2</v>
          </cell>
          <cell r="S179">
            <v>9.3007684213882724E-3</v>
          </cell>
          <cell r="T179">
            <v>0</v>
          </cell>
        </row>
        <row r="180">
          <cell r="B180" t="str">
            <v>T03-1930</v>
          </cell>
          <cell r="C180" t="str">
            <v>Detail Costing  for Preparation of RFQ/RFP for Primary Trunk Infrastructure  and MEP Works</v>
          </cell>
          <cell r="D180">
            <v>33039</v>
          </cell>
          <cell r="E180">
            <v>1.1409501359168024E-4</v>
          </cell>
          <cell r="F180">
            <v>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3.383879657374618E-2</v>
          </cell>
          <cell r="O180">
            <v>0.39138593783104808</v>
          </cell>
          <cell r="P180">
            <v>0.30258179726989315</v>
          </cell>
          <cell r="Q180">
            <v>0.18735433881170738</v>
          </cell>
          <cell r="R180">
            <v>7.9754229849571714E-2</v>
          </cell>
          <cell r="S180">
            <v>5.084899664033582E-3</v>
          </cell>
          <cell r="T180">
            <v>0</v>
          </cell>
        </row>
        <row r="181">
          <cell r="B181" t="str">
            <v>T03-2030</v>
          </cell>
          <cell r="C181" t="str">
            <v>Preparation of 90% Design for Primary Trunk Infrastructure  and MEP Works</v>
          </cell>
          <cell r="D181">
            <v>313630</v>
          </cell>
          <cell r="E181">
            <v>3.6102403334199658E-4</v>
          </cell>
          <cell r="F181">
            <v>1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4.365016101775978E-2</v>
          </cell>
          <cell r="M181">
            <v>0.25490546184995055</v>
          </cell>
          <cell r="N181">
            <v>0.23476389376016321</v>
          </cell>
          <cell r="O181">
            <v>0.17991582437904535</v>
          </cell>
          <cell r="P181">
            <v>0.13602971654497337</v>
          </cell>
          <cell r="Q181">
            <v>9.980869177055765E-2</v>
          </cell>
          <cell r="R181">
            <v>4.0161974300927841E-2</v>
          </cell>
          <cell r="S181">
            <v>1.0764276376622472E-2</v>
          </cell>
          <cell r="T181">
            <v>0</v>
          </cell>
        </row>
        <row r="182">
          <cell r="B182" t="str">
            <v>T03-2150</v>
          </cell>
          <cell r="C182" t="str">
            <v>Preparation of Final Design for Primary Trunk Infrastructure  and MEP Works</v>
          </cell>
          <cell r="D182">
            <v>313630</v>
          </cell>
          <cell r="E182">
            <v>7.2204806668399316E-4</v>
          </cell>
          <cell r="F182">
            <v>1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3.3836048847367919E-2</v>
          </cell>
          <cell r="O182">
            <v>0.39138475273411338</v>
          </cell>
          <cell r="P182">
            <v>0.30259222650894363</v>
          </cell>
          <cell r="Q182">
            <v>0.18734496062238945</v>
          </cell>
          <cell r="R182">
            <v>7.9756400854510079E-2</v>
          </cell>
          <cell r="S182">
            <v>5.0856104326755247E-3</v>
          </cell>
          <cell r="T182">
            <v>0</v>
          </cell>
        </row>
        <row r="183">
          <cell r="B183" t="str">
            <v>T03-2280</v>
          </cell>
          <cell r="C183" t="str">
            <v>Replying to Design RFI for Primary Trunk Infrastructure  and MEP Works</v>
          </cell>
          <cell r="D183">
            <v>836346</v>
          </cell>
          <cell r="E183">
            <v>9.6272998816900632E-4</v>
          </cell>
          <cell r="F183">
            <v>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0.58330000000000004</v>
          </cell>
          <cell r="T183">
            <v>0.41669999999999996</v>
          </cell>
        </row>
        <row r="184">
          <cell r="B184" t="str">
            <v>DESIGNFORSECONDARYINFRASTRUCTURE&amp;MEPWORKS</v>
          </cell>
          <cell r="D184">
            <v>2554469</v>
          </cell>
          <cell r="E184">
            <v>3.7671222721123126E-3</v>
          </cell>
          <cell r="F184">
            <v>0.99999999999999989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3.41891598298227E-2</v>
          </cell>
          <cell r="M184">
            <v>0.1245290041181487</v>
          </cell>
          <cell r="N184">
            <v>0.12069778435225707</v>
          </cell>
          <cell r="O184">
            <v>0.17355749442260818</v>
          </cell>
          <cell r="P184">
            <v>0.13137251966105101</v>
          </cell>
          <cell r="Q184">
            <v>8.7366966867496551E-2</v>
          </cell>
          <cell r="R184">
            <v>3.6462285036272517E-2</v>
          </cell>
          <cell r="S184">
            <v>0.17202083153175154</v>
          </cell>
          <cell r="T184">
            <v>0.11980395418059166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 t="str">
            <v>T03-1370</v>
          </cell>
          <cell r="C185" t="str">
            <v>Preparation of Preliminary Design for Secondary Trunk Infrastructure  and MEP Works</v>
          </cell>
          <cell r="D185">
            <v>313630</v>
          </cell>
          <cell r="E185">
            <v>7.2204806668399316E-4</v>
          </cell>
          <cell r="F185">
            <v>1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5.5817364410292378E-2</v>
          </cell>
          <cell r="M185">
            <v>0.25994005675477472</v>
          </cell>
          <cell r="N185">
            <v>0.23570768102541209</v>
          </cell>
          <cell r="O185">
            <v>0.18053438765424226</v>
          </cell>
          <cell r="P185">
            <v>0.13234703312820839</v>
          </cell>
          <cell r="Q185">
            <v>9.2781302809042496E-2</v>
          </cell>
          <cell r="R185">
            <v>3.848165035232598E-2</v>
          </cell>
          <cell r="S185">
            <v>4.390523865701712E-3</v>
          </cell>
          <cell r="T185">
            <v>0</v>
          </cell>
        </row>
        <row r="186">
          <cell r="B186" t="str">
            <v>T03-1580</v>
          </cell>
          <cell r="C186" t="str">
            <v>Draft Prelim. Costing for Secondary Trunk Infrastructure  and MEP Works</v>
          </cell>
          <cell r="D186">
            <v>12390</v>
          </cell>
          <cell r="E186">
            <v>4.2786925100666434E-5</v>
          </cell>
          <cell r="F186">
            <v>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0.94995964487489903</v>
          </cell>
          <cell r="M186">
            <v>4.9959644874899109E-2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8.0710250201843081E-5</v>
          </cell>
          <cell r="T186">
            <v>0</v>
          </cell>
        </row>
        <row r="187">
          <cell r="B187" t="str">
            <v>T03-1690</v>
          </cell>
          <cell r="C187" t="str">
            <v>Preparation of 30% Design for Secondary Trunk Infrastructure  and MEP Works</v>
          </cell>
          <cell r="D187">
            <v>313630</v>
          </cell>
          <cell r="E187">
            <v>3.6102403334199658E-4</v>
          </cell>
          <cell r="F187">
            <v>1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4.4931926155023429E-2</v>
          </cell>
          <cell r="M187">
            <v>0.26212097057041733</v>
          </cell>
          <cell r="N187">
            <v>0.23910977903899497</v>
          </cell>
          <cell r="O187">
            <v>0.18293530593374357</v>
          </cell>
          <cell r="P187">
            <v>0.13377227943755379</v>
          </cell>
          <cell r="Q187">
            <v>9.3922775244715095E-2</v>
          </cell>
          <cell r="R187">
            <v>3.8781366578452318E-2</v>
          </cell>
          <cell r="S187">
            <v>4.4255970410994605E-3</v>
          </cell>
          <cell r="T187">
            <v>0</v>
          </cell>
        </row>
        <row r="188">
          <cell r="B188" t="str">
            <v>T03-1830</v>
          </cell>
          <cell r="C188" t="str">
            <v>Preparation of 60% Design for Secondary Trunk Infrastructure  and MEP Works</v>
          </cell>
          <cell r="D188">
            <v>313630</v>
          </cell>
          <cell r="E188">
            <v>3.6102403334199658E-4</v>
          </cell>
          <cell r="F188">
            <v>1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4.3946688773395408E-2</v>
          </cell>
          <cell r="M188">
            <v>0.25657622038708028</v>
          </cell>
          <cell r="N188">
            <v>0.23577145043522621</v>
          </cell>
          <cell r="O188">
            <v>0.18061409941650988</v>
          </cell>
          <cell r="P188">
            <v>0.13550680738449766</v>
          </cell>
          <cell r="Q188">
            <v>9.8440837930044947E-2</v>
          </cell>
          <cell r="R188">
            <v>3.9843127251857277E-2</v>
          </cell>
          <cell r="S188">
            <v>9.3007684213882724E-3</v>
          </cell>
          <cell r="T188">
            <v>0</v>
          </cell>
        </row>
        <row r="189">
          <cell r="B189" t="str">
            <v>T03-1940</v>
          </cell>
          <cell r="C189" t="str">
            <v>Detail Costing  for Preparation of RFQ/RFP for Secondary Trunk Infrastructure  and MEP Works</v>
          </cell>
          <cell r="D189">
            <v>33039</v>
          </cell>
          <cell r="E189">
            <v>1.1409501359168024E-4</v>
          </cell>
          <cell r="F189">
            <v>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3.383879657374618E-2</v>
          </cell>
          <cell r="O189">
            <v>0.39138593783104808</v>
          </cell>
          <cell r="P189">
            <v>0.30258179726989315</v>
          </cell>
          <cell r="Q189">
            <v>0.18735433881170738</v>
          </cell>
          <cell r="R189">
            <v>7.9754229849571714E-2</v>
          </cell>
          <cell r="S189">
            <v>5.084899664033582E-3</v>
          </cell>
          <cell r="T189">
            <v>0</v>
          </cell>
        </row>
        <row r="190">
          <cell r="B190" t="str">
            <v>T03-2040</v>
          </cell>
          <cell r="C190" t="str">
            <v>Preparation of 90% Design for Secondary Trunk Infrastructure  and MEP Works</v>
          </cell>
          <cell r="D190">
            <v>313630</v>
          </cell>
          <cell r="E190">
            <v>3.6102403334199658E-4</v>
          </cell>
          <cell r="F190">
            <v>1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4.365016101775978E-2</v>
          </cell>
          <cell r="M190">
            <v>0.25490546184995055</v>
          </cell>
          <cell r="N190">
            <v>0.23476389376016321</v>
          </cell>
          <cell r="O190">
            <v>0.17991582437904535</v>
          </cell>
          <cell r="P190">
            <v>0.13602971654497337</v>
          </cell>
          <cell r="Q190">
            <v>9.980869177055765E-2</v>
          </cell>
          <cell r="R190">
            <v>4.0161974300927841E-2</v>
          </cell>
          <cell r="S190">
            <v>1.0764276376622472E-2</v>
          </cell>
          <cell r="T190">
            <v>0</v>
          </cell>
        </row>
        <row r="191">
          <cell r="B191" t="str">
            <v>T03-2160</v>
          </cell>
          <cell r="C191" t="str">
            <v>Preparation of Final Design for Secondary Trunk Infrastructure  and MEP Works</v>
          </cell>
          <cell r="D191">
            <v>313630</v>
          </cell>
          <cell r="E191">
            <v>7.2204806668399316E-4</v>
          </cell>
          <cell r="F191">
            <v>1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3.3836048847367919E-2</v>
          </cell>
          <cell r="O191">
            <v>0.39138475273411338</v>
          </cell>
          <cell r="P191">
            <v>0.30259222650894363</v>
          </cell>
          <cell r="Q191">
            <v>0.18734496062238945</v>
          </cell>
          <cell r="R191">
            <v>7.9756400854510079E-2</v>
          </cell>
          <cell r="S191">
            <v>5.0856104326755247E-3</v>
          </cell>
          <cell r="T191">
            <v>0</v>
          </cell>
        </row>
        <row r="192">
          <cell r="B192" t="str">
            <v>T03-2300</v>
          </cell>
          <cell r="C192" t="str">
            <v>Replying to Design RFI for Secondary Trunk Infrastructure  and MEP Works</v>
          </cell>
          <cell r="D192">
            <v>940890</v>
          </cell>
          <cell r="E192">
            <v>1.0830721000259897E-3</v>
          </cell>
          <cell r="F192">
            <v>1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0.58330000000000004</v>
          </cell>
          <cell r="T192">
            <v>0.41669999999999996</v>
          </cell>
        </row>
        <row r="193">
          <cell r="B193" t="str">
            <v>DESIGNFORRETAILS</v>
          </cell>
          <cell r="D193">
            <v>757219</v>
          </cell>
          <cell r="E193">
            <v>2.1783713380239805E-3</v>
          </cell>
          <cell r="F193">
            <v>0.37236210910789563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4.1032507892086352E-2</v>
          </cell>
          <cell r="M193">
            <v>0.10516951472255893</v>
          </cell>
          <cell r="N193">
            <v>9.4475698081063125E-2</v>
          </cell>
          <cell r="O193">
            <v>7.2362003422105872E-2</v>
          </cell>
          <cell r="P193">
            <v>5.3047925335103219E-2</v>
          </cell>
          <cell r="Q193">
            <v>3.7188715716850861E-2</v>
          </cell>
          <cell r="R193">
            <v>1.5423784164252627E-2</v>
          </cell>
          <cell r="S193">
            <v>-4.6338040226125324E-2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 t="str">
            <v>T03-1390</v>
          </cell>
          <cell r="C194" t="str">
            <v>Preparation of Preliminary Design for Retail Buildings</v>
          </cell>
          <cell r="D194">
            <v>379255</v>
          </cell>
          <cell r="E194">
            <v>8.7313184175696792E-4</v>
          </cell>
          <cell r="F194">
            <v>0.88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5.5819962821848083E-2</v>
          </cell>
          <cell r="M194">
            <v>0.25993856376316721</v>
          </cell>
          <cell r="N194">
            <v>0.23570684631712172</v>
          </cell>
          <cell r="O194">
            <v>0.18053552359230596</v>
          </cell>
          <cell r="P194">
            <v>0.1323489472782165</v>
          </cell>
          <cell r="Q194">
            <v>9.2781901359243774E-2</v>
          </cell>
          <cell r="R194">
            <v>3.8480705593861644E-2</v>
          </cell>
          <cell r="S194">
            <v>-0.11561245072576498</v>
          </cell>
          <cell r="T194">
            <v>0</v>
          </cell>
        </row>
        <row r="195">
          <cell r="B195" t="str">
            <v>T03-1600</v>
          </cell>
          <cell r="C195" t="str">
            <v>Draft Prelim. Costing for Retail Buildings</v>
          </cell>
          <cell r="D195">
            <v>12390</v>
          </cell>
          <cell r="E195">
            <v>4.2786925100666434E-5</v>
          </cell>
          <cell r="F195">
            <v>1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0.94995964487489903</v>
          </cell>
          <cell r="M195">
            <v>4.9959644874899109E-2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8.0710250201843081E-5</v>
          </cell>
          <cell r="T195">
            <v>0</v>
          </cell>
        </row>
        <row r="196">
          <cell r="B196" t="str">
            <v>T03-2320</v>
          </cell>
          <cell r="C196" t="str">
            <v>Replying to Design RFI for Retail Buildings</v>
          </cell>
          <cell r="D196">
            <v>365574</v>
          </cell>
          <cell r="E196">
            <v>1.2624525711663461E-3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</row>
        <row r="197">
          <cell r="B197" t="str">
            <v>DESIGNFORHOTELS</v>
          </cell>
          <cell r="D197">
            <v>546690</v>
          </cell>
          <cell r="E197">
            <v>8.5205033122983287E-4</v>
          </cell>
          <cell r="F197">
            <v>0.45140443882431136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7.3150895168306779E-2</v>
          </cell>
          <cell r="M197">
            <v>0.12101524461088684</v>
          </cell>
          <cell r="N197">
            <v>0.10745802463131388</v>
          </cell>
          <cell r="O197">
            <v>8.2305227264130046E-2</v>
          </cell>
          <cell r="P197">
            <v>6.033807261860373E-2</v>
          </cell>
          <cell r="Q197">
            <v>4.2299607131084202E-2</v>
          </cell>
          <cell r="R197">
            <v>1.7544001858967085E-2</v>
          </cell>
          <cell r="S197">
            <v>-5.2706634458981175E-2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 t="str">
            <v>T03-1400</v>
          </cell>
          <cell r="C198" t="str">
            <v>Preparation of Preliminary Design for Hotel Buildings</v>
          </cell>
          <cell r="D198">
            <v>168726</v>
          </cell>
          <cell r="E198">
            <v>3.8844588240705109E-4</v>
          </cell>
          <cell r="F198">
            <v>0.88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5.5818308974313384E-2</v>
          </cell>
          <cell r="M198">
            <v>0.25994215473608095</v>
          </cell>
          <cell r="N198">
            <v>0.23570759693230445</v>
          </cell>
          <cell r="O198">
            <v>0.18053530576200469</v>
          </cell>
          <cell r="P198">
            <v>0.13235067505897136</v>
          </cell>
          <cell r="Q198">
            <v>9.2783566255348907E-2</v>
          </cell>
          <cell r="R198">
            <v>3.848251010514088E-2</v>
          </cell>
          <cell r="S198">
            <v>-0.1156201178241647</v>
          </cell>
          <cell r="T198">
            <v>0</v>
          </cell>
        </row>
        <row r="199">
          <cell r="B199" t="str">
            <v>T03-1610</v>
          </cell>
          <cell r="C199" t="str">
            <v>Draft Prelim. Costing for Hotel Buildings</v>
          </cell>
          <cell r="D199">
            <v>12390</v>
          </cell>
          <cell r="E199">
            <v>4.2786925100666434E-5</v>
          </cell>
          <cell r="F199">
            <v>1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0.94995964487489903</v>
          </cell>
          <cell r="M199">
            <v>4.9959644874899109E-2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8.0710250201843081E-5</v>
          </cell>
          <cell r="T199">
            <v>0</v>
          </cell>
        </row>
        <row r="200">
          <cell r="B200" t="str">
            <v>T03-2330</v>
          </cell>
          <cell r="C200" t="str">
            <v>Replying to Design RFI for Hotel Buildings</v>
          </cell>
          <cell r="D200">
            <v>365574</v>
          </cell>
          <cell r="E200">
            <v>4.208175237221154E-4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</row>
        <row r="201">
          <cell r="B201" t="str">
            <v>DESIGNFORSERVICEDAPARTMENTS</v>
          </cell>
          <cell r="D201">
            <v>546690</v>
          </cell>
          <cell r="E201">
            <v>8.5205033122983287E-4</v>
          </cell>
          <cell r="F201">
            <v>0.45140443882431136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7.3150895168306779E-2</v>
          </cell>
          <cell r="M201">
            <v>0.12101524461088684</v>
          </cell>
          <cell r="N201">
            <v>0.10745802463131388</v>
          </cell>
          <cell r="O201">
            <v>8.2305227264130046E-2</v>
          </cell>
          <cell r="P201">
            <v>6.033807261860373E-2</v>
          </cell>
          <cell r="Q201">
            <v>4.2299607131084202E-2</v>
          </cell>
          <cell r="R201">
            <v>1.7544001858967085E-2</v>
          </cell>
          <cell r="S201">
            <v>-5.2706634458981175E-2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 t="str">
            <v>T03-1410</v>
          </cell>
          <cell r="C202" t="str">
            <v>Preparation of Preliminary Design for Serviced Apartments</v>
          </cell>
          <cell r="D202">
            <v>168726</v>
          </cell>
          <cell r="E202">
            <v>3.8844588240705109E-4</v>
          </cell>
          <cell r="F202">
            <v>0.88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5.5818308974313384E-2</v>
          </cell>
          <cell r="M202">
            <v>0.25994215473608095</v>
          </cell>
          <cell r="N202">
            <v>0.23570759693230445</v>
          </cell>
          <cell r="O202">
            <v>0.18053530576200469</v>
          </cell>
          <cell r="P202">
            <v>0.13235067505897136</v>
          </cell>
          <cell r="Q202">
            <v>9.2783566255348907E-2</v>
          </cell>
          <cell r="R202">
            <v>3.848251010514088E-2</v>
          </cell>
          <cell r="S202">
            <v>-0.1156201178241647</v>
          </cell>
          <cell r="T202">
            <v>0</v>
          </cell>
        </row>
        <row r="203">
          <cell r="B203" t="str">
            <v>T03-1620</v>
          </cell>
          <cell r="C203" t="str">
            <v>Draft Prelim. Costing for Serviced Apartments</v>
          </cell>
          <cell r="D203">
            <v>12390</v>
          </cell>
          <cell r="E203">
            <v>4.2786925100666434E-5</v>
          </cell>
          <cell r="F203">
            <v>1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0.94995964487489903</v>
          </cell>
          <cell r="M203">
            <v>4.9959644874899109E-2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8.0710250201843081E-5</v>
          </cell>
          <cell r="T203">
            <v>0</v>
          </cell>
        </row>
        <row r="204">
          <cell r="B204" t="str">
            <v>T03-2340</v>
          </cell>
          <cell r="C204" t="str">
            <v>Replying to Design RFI for Serviced Apartments</v>
          </cell>
          <cell r="D204">
            <v>365574</v>
          </cell>
          <cell r="E204">
            <v>4.208175237221154E-4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</row>
        <row r="205">
          <cell r="B205" t="str">
            <v>DESIGNFORCONVENTIONCENTER</v>
          </cell>
          <cell r="D205">
            <v>1160896</v>
          </cell>
          <cell r="E205">
            <v>1.8293580331323568E-3</v>
          </cell>
          <cell r="F205">
            <v>0.99999999999999989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4.814165061043061E-2</v>
          </cell>
          <cell r="M205">
            <v>0.13849809275827049</v>
          </cell>
          <cell r="N205">
            <v>0.13468864325958999</v>
          </cell>
          <cell r="O205">
            <v>0.20355259167156425</v>
          </cell>
          <cell r="P205">
            <v>0.15425942262991707</v>
          </cell>
          <cell r="Q205">
            <v>0.10218750747228489</v>
          </cell>
          <cell r="R205">
            <v>4.2692388526094159E-2</v>
          </cell>
          <cell r="S205">
            <v>0.10470229919846767</v>
          </cell>
          <cell r="T205">
            <v>7.1277403873380787E-2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 t="str">
            <v>T03-1420</v>
          </cell>
          <cell r="C206" t="str">
            <v>Preparation of Preliminary Design for Convention Building</v>
          </cell>
          <cell r="D206">
            <v>168726</v>
          </cell>
          <cell r="E206">
            <v>3.8844588240705109E-4</v>
          </cell>
          <cell r="F206">
            <v>1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5.5818308974313384E-2</v>
          </cell>
          <cell r="M206">
            <v>0.25994215473608095</v>
          </cell>
          <cell r="N206">
            <v>0.23570759693230445</v>
          </cell>
          <cell r="O206">
            <v>0.18053530576200469</v>
          </cell>
          <cell r="P206">
            <v>0.13235067505897136</v>
          </cell>
          <cell r="Q206">
            <v>9.2783566255348907E-2</v>
          </cell>
          <cell r="R206">
            <v>3.848251010514088E-2</v>
          </cell>
          <cell r="S206">
            <v>4.3798821758352924E-3</v>
          </cell>
          <cell r="T206">
            <v>0</v>
          </cell>
        </row>
        <row r="207">
          <cell r="B207" t="str">
            <v>T03-1630</v>
          </cell>
          <cell r="C207" t="str">
            <v>Draft Prelim. Costing for Convention Building</v>
          </cell>
          <cell r="D207">
            <v>12390</v>
          </cell>
          <cell r="E207">
            <v>4.2786925100666434E-5</v>
          </cell>
          <cell r="F207">
            <v>1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0.94995964487489903</v>
          </cell>
          <cell r="M207">
            <v>4.9959644874899109E-2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8.0710250201843081E-5</v>
          </cell>
          <cell r="T207">
            <v>0</v>
          </cell>
        </row>
        <row r="208">
          <cell r="B208" t="str">
            <v>T03-1740</v>
          </cell>
          <cell r="C208" t="str">
            <v>Preparation of 30% Design for Convention Building</v>
          </cell>
          <cell r="D208">
            <v>168726</v>
          </cell>
          <cell r="E208">
            <v>1.9422294120352554E-4</v>
          </cell>
          <cell r="F208">
            <v>1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4.4930834607588628E-2</v>
          </cell>
          <cell r="M208">
            <v>0.26212320567073238</v>
          </cell>
          <cell r="N208">
            <v>0.23910956224885316</v>
          </cell>
          <cell r="O208">
            <v>0.1829356471438901</v>
          </cell>
          <cell r="P208">
            <v>0.1337730995815701</v>
          </cell>
          <cell r="Q208">
            <v>9.3921505873427916E-2</v>
          </cell>
          <cell r="R208">
            <v>3.8784775316193121E-2</v>
          </cell>
          <cell r="S208">
            <v>4.4213695577446366E-3</v>
          </cell>
          <cell r="T208">
            <v>0</v>
          </cell>
        </row>
        <row r="209">
          <cell r="B209" t="str">
            <v>T03-1880</v>
          </cell>
          <cell r="C209" t="str">
            <v>Preparation of 60% Design for Convention Building</v>
          </cell>
          <cell r="D209">
            <v>168726</v>
          </cell>
          <cell r="E209">
            <v>1.9422294120352554E-4</v>
          </cell>
          <cell r="F209">
            <v>1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4.3946990979457812E-2</v>
          </cell>
          <cell r="M209">
            <v>0.25657575003259725</v>
          </cell>
          <cell r="N209">
            <v>0.2357727913895902</v>
          </cell>
          <cell r="O209">
            <v>0.18061828052582293</v>
          </cell>
          <cell r="P209">
            <v>0.13550964285290942</v>
          </cell>
          <cell r="Q209">
            <v>9.8443630501523174E-2</v>
          </cell>
          <cell r="R209">
            <v>3.9839740170453865E-2</v>
          </cell>
          <cell r="S209">
            <v>9.2931735476452504E-3</v>
          </cell>
          <cell r="T209">
            <v>0</v>
          </cell>
        </row>
        <row r="210">
          <cell r="B210" t="str">
            <v>T03-1990</v>
          </cell>
          <cell r="C210" t="str">
            <v>Detail Costing  for Preparation of RFQ/RFP for Convention Building</v>
          </cell>
          <cell r="D210">
            <v>33039</v>
          </cell>
          <cell r="E210">
            <v>1.1409501359168024E-4</v>
          </cell>
          <cell r="F210">
            <v>1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3.383879657374618E-2</v>
          </cell>
          <cell r="O210">
            <v>0.39138593783104808</v>
          </cell>
          <cell r="P210">
            <v>0.30258179726989315</v>
          </cell>
          <cell r="Q210">
            <v>0.18735433881170738</v>
          </cell>
          <cell r="R210">
            <v>7.9754229849571714E-2</v>
          </cell>
          <cell r="S210">
            <v>5.084899664033582E-3</v>
          </cell>
          <cell r="T210">
            <v>0</v>
          </cell>
        </row>
        <row r="211">
          <cell r="B211" t="str">
            <v>T03-2090</v>
          </cell>
          <cell r="C211" t="str">
            <v>Preparation of 90% Design for Convention Building</v>
          </cell>
          <cell r="D211">
            <v>168726</v>
          </cell>
          <cell r="E211">
            <v>1.9422294120352554E-4</v>
          </cell>
          <cell r="F211">
            <v>1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4.3650652537249736E-2</v>
          </cell>
          <cell r="M211">
            <v>0.25490440121854363</v>
          </cell>
          <cell r="N211">
            <v>0.23476524068608273</v>
          </cell>
          <cell r="O211">
            <v>0.17991892180221183</v>
          </cell>
          <cell r="P211">
            <v>0.13603119851119566</v>
          </cell>
          <cell r="Q211">
            <v>9.9806787335680325E-2</v>
          </cell>
          <cell r="R211">
            <v>4.0159785688038595E-2</v>
          </cell>
          <cell r="S211">
            <v>1.0763012220997514E-2</v>
          </cell>
          <cell r="T211">
            <v>0</v>
          </cell>
        </row>
        <row r="212">
          <cell r="B212" t="str">
            <v>T03-2210</v>
          </cell>
          <cell r="C212" t="str">
            <v>Preparation of Final Design for Convention Building</v>
          </cell>
          <cell r="D212">
            <v>168726</v>
          </cell>
          <cell r="E212">
            <v>3.8844588240705109E-4</v>
          </cell>
          <cell r="F212">
            <v>1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3.3835923331318227E-2</v>
          </cell>
          <cell r="O212">
            <v>0.3913860341618956</v>
          </cell>
          <cell r="P212">
            <v>0.30259118333866741</v>
          </cell>
          <cell r="Q212">
            <v>0.18734516316394625</v>
          </cell>
          <cell r="R212">
            <v>7.9756528335881843E-2</v>
          </cell>
          <cell r="S212">
            <v>5.0851676682905911E-3</v>
          </cell>
          <cell r="T212">
            <v>0</v>
          </cell>
        </row>
        <row r="213">
          <cell r="B213" t="str">
            <v>T03-2350</v>
          </cell>
          <cell r="C213" t="str">
            <v>Replying to Design RFI for Convention Building</v>
          </cell>
          <cell r="D213">
            <v>271837</v>
          </cell>
          <cell r="E213">
            <v>3.1291550601533118E-4</v>
          </cell>
          <cell r="F213">
            <v>1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0.58330000000000004</v>
          </cell>
          <cell r="T213">
            <v>0.41669999999999996</v>
          </cell>
        </row>
        <row r="214">
          <cell r="B214" t="str">
            <v>DESIGNFORARENA</v>
          </cell>
          <cell r="D214">
            <v>3991964</v>
          </cell>
          <cell r="E214">
            <v>5.8355241908292716E-3</v>
          </cell>
          <cell r="F214">
            <v>0.62395592444238601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3.0725387497198917E-2</v>
          </cell>
          <cell r="M214">
            <v>0.12623701635836274</v>
          </cell>
          <cell r="N214">
            <v>0.12217740917368648</v>
          </cell>
          <cell r="O214">
            <v>0.1718464466404285</v>
          </cell>
          <cell r="P214">
            <v>0.13000704612092501</v>
          </cell>
          <cell r="Q214">
            <v>8.6613829965187586E-2</v>
          </cell>
          <cell r="R214">
            <v>3.6130306683794085E-2</v>
          </cell>
          <cell r="S214">
            <v>-7.9781517997197307E-2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 t="str">
            <v>T03-1430</v>
          </cell>
          <cell r="C215" t="str">
            <v>Preparation of Preliminary Design for Arena</v>
          </cell>
          <cell r="D215">
            <v>493317</v>
          </cell>
          <cell r="E215">
            <v>1.1357286806502804E-3</v>
          </cell>
          <cell r="F215">
            <v>0.88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5.5818064246721678E-2</v>
          </cell>
          <cell r="M215">
            <v>0.25993833579625275</v>
          </cell>
          <cell r="N215">
            <v>0.23570645244335792</v>
          </cell>
          <cell r="O215">
            <v>0.18053503122738521</v>
          </cell>
          <cell r="P215">
            <v>0.13234897641881385</v>
          </cell>
          <cell r="Q215">
            <v>9.2782125894708661E-2</v>
          </cell>
          <cell r="R215">
            <v>3.8480328064915664E-2</v>
          </cell>
          <cell r="S215">
            <v>-0.11560931409215569</v>
          </cell>
          <cell r="T215">
            <v>0</v>
          </cell>
        </row>
        <row r="216">
          <cell r="B216" t="str">
            <v>T03-1640</v>
          </cell>
          <cell r="C216" t="str">
            <v>Draft Prelim. Costing for Arena</v>
          </cell>
          <cell r="D216">
            <v>12390</v>
          </cell>
          <cell r="E216">
            <v>4.2786925100666434E-5</v>
          </cell>
          <cell r="F216">
            <v>1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0.94995964487489903</v>
          </cell>
          <cell r="M216">
            <v>4.9959644874899109E-2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8.0710250201843081E-5</v>
          </cell>
          <cell r="T216">
            <v>0</v>
          </cell>
        </row>
        <row r="217">
          <cell r="B217" t="str">
            <v>T03-1750</v>
          </cell>
          <cell r="C217" t="str">
            <v>Preparation of 30% Design for Arena</v>
          </cell>
          <cell r="D217">
            <v>493317</v>
          </cell>
          <cell r="E217">
            <v>5.678643403251402E-4</v>
          </cell>
          <cell r="F217">
            <v>0.88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4.4932568713423625E-2</v>
          </cell>
          <cell r="M217">
            <v>0.26212151618533314</v>
          </cell>
          <cell r="N217">
            <v>0.23911197059902656</v>
          </cell>
          <cell r="O217">
            <v>0.18293511068947554</v>
          </cell>
          <cell r="P217">
            <v>0.1337719965052897</v>
          </cell>
          <cell r="Q217">
            <v>9.3921352801545455E-2</v>
          </cell>
          <cell r="R217">
            <v>3.8782365091817227E-2</v>
          </cell>
          <cell r="S217">
            <v>-0.1155768805859112</v>
          </cell>
          <cell r="T217">
            <v>0</v>
          </cell>
        </row>
        <row r="218">
          <cell r="B218" t="str">
            <v>T03-1890</v>
          </cell>
          <cell r="C218" t="str">
            <v>Preparation of 60% Design for Arena</v>
          </cell>
          <cell r="D218">
            <v>493317</v>
          </cell>
          <cell r="E218">
            <v>5.678643403251402E-4</v>
          </cell>
          <cell r="F218">
            <v>0.88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4.3947400961248037E-2</v>
          </cell>
          <cell r="M218">
            <v>0.2565774137116702</v>
          </cell>
          <cell r="N218">
            <v>0.23577131945584687</v>
          </cell>
          <cell r="O218">
            <v>0.18061408789885608</v>
          </cell>
          <cell r="P218">
            <v>0.13550718908936848</v>
          </cell>
          <cell r="Q218">
            <v>9.844177273436755E-2</v>
          </cell>
          <cell r="R218">
            <v>3.9842535327183126E-2</v>
          </cell>
          <cell r="S218">
            <v>-0.11070171917854033</v>
          </cell>
          <cell r="T218">
            <v>0</v>
          </cell>
        </row>
        <row r="219">
          <cell r="B219" t="str">
            <v>T03-2000</v>
          </cell>
          <cell r="C219" t="str">
            <v>Detail Costing  for Preparation of RFQ/RFP for Arena</v>
          </cell>
          <cell r="D219">
            <v>33039</v>
          </cell>
          <cell r="E219">
            <v>1.1409501359168024E-4</v>
          </cell>
          <cell r="F219">
            <v>0.87990000000000002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3.383879657374618E-2</v>
          </cell>
          <cell r="O219">
            <v>0.39138593783104808</v>
          </cell>
          <cell r="P219">
            <v>0.30258179726989315</v>
          </cell>
          <cell r="Q219">
            <v>0.18735433881170738</v>
          </cell>
          <cell r="R219">
            <v>7.9754229849571714E-2</v>
          </cell>
          <cell r="S219">
            <v>-0.1150151003359664</v>
          </cell>
          <cell r="T219">
            <v>0</v>
          </cell>
        </row>
        <row r="220">
          <cell r="B220" t="str">
            <v>T03-2100</v>
          </cell>
          <cell r="C220" t="str">
            <v>Preparation of 90% Design for Arena</v>
          </cell>
          <cell r="D220">
            <v>493317</v>
          </cell>
          <cell r="E220">
            <v>5.678643403251402E-4</v>
          </cell>
          <cell r="F220">
            <v>0.88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4.3649418122627036E-2</v>
          </cell>
          <cell r="M220">
            <v>0.25490506104594002</v>
          </cell>
          <cell r="N220">
            <v>0.23476385366812821</v>
          </cell>
          <cell r="O220">
            <v>0.17991676751460015</v>
          </cell>
          <cell r="P220">
            <v>0.13603017937756048</v>
          </cell>
          <cell r="Q220">
            <v>9.9808034184915587E-2</v>
          </cell>
          <cell r="R220">
            <v>4.0162816201347207E-2</v>
          </cell>
          <cell r="S220">
            <v>-0.10923613011511868</v>
          </cell>
          <cell r="T220">
            <v>0</v>
          </cell>
        </row>
        <row r="221">
          <cell r="B221" t="str">
            <v>T03-2220</v>
          </cell>
          <cell r="C221" t="str">
            <v>Preparation of Final Design for Arena</v>
          </cell>
          <cell r="D221">
            <v>493317</v>
          </cell>
          <cell r="E221">
            <v>1.1357286806502804E-3</v>
          </cell>
          <cell r="F221">
            <v>0.87990000000000002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3.3834228295396264E-2</v>
          </cell>
          <cell r="O221">
            <v>0.39138322822850219</v>
          </cell>
          <cell r="P221">
            <v>0.30259245069600277</v>
          </cell>
          <cell r="Q221">
            <v>0.18734404044458228</v>
          </cell>
          <cell r="R221">
            <v>7.9756018949276017E-2</v>
          </cell>
          <cell r="S221">
            <v>-0.11500996661375951</v>
          </cell>
          <cell r="T221">
            <v>0</v>
          </cell>
        </row>
        <row r="222">
          <cell r="B222" t="str">
            <v>T03-2360</v>
          </cell>
          <cell r="C222" t="str">
            <v>Replying to Design RFI for Arena</v>
          </cell>
          <cell r="D222">
            <v>1479950</v>
          </cell>
          <cell r="E222">
            <v>1.7035918698609437E-3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</row>
        <row r="223">
          <cell r="B223" t="str">
            <v>DESIGNFORPUBLICREALM&amp;LANDSCAPES</v>
          </cell>
          <cell r="D223">
            <v>1338996</v>
          </cell>
          <cell r="E223">
            <v>1.8021169090401512E-3</v>
          </cell>
          <cell r="F223">
            <v>1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4.8869368480288923E-2</v>
          </cell>
          <cell r="M223">
            <v>0.14059165489757217</v>
          </cell>
          <cell r="N223">
            <v>0.13236382822295936</v>
          </cell>
          <cell r="O223">
            <v>0.15618818031594192</v>
          </cell>
          <cell r="P223">
            <v>0.11759385413732379</v>
          </cell>
          <cell r="Q223">
            <v>7.9587184238547576E-2</v>
          </cell>
          <cell r="R223">
            <v>3.3058859525237606E-2</v>
          </cell>
          <cell r="S223">
            <v>0.17198735267872256</v>
          </cell>
          <cell r="T223">
            <v>0.11975971750340615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 t="str">
            <v>T03-1440</v>
          </cell>
          <cell r="C224" t="str">
            <v>Preparation of Preliminary Design for Public Realm and Landscape</v>
          </cell>
          <cell r="D224">
            <v>168726</v>
          </cell>
          <cell r="E224">
            <v>3.8844588240705109E-4</v>
          </cell>
          <cell r="F224">
            <v>1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5.5818308974313384E-2</v>
          </cell>
          <cell r="M224">
            <v>0.25994215473608095</v>
          </cell>
          <cell r="N224">
            <v>0.23570759693230445</v>
          </cell>
          <cell r="O224">
            <v>0.18053530576200469</v>
          </cell>
          <cell r="P224">
            <v>0.13235067505897136</v>
          </cell>
          <cell r="Q224">
            <v>9.2783566255348907E-2</v>
          </cell>
          <cell r="R224">
            <v>3.848251010514088E-2</v>
          </cell>
          <cell r="S224">
            <v>4.3798821758352924E-3</v>
          </cell>
          <cell r="T224">
            <v>0</v>
          </cell>
        </row>
        <row r="225">
          <cell r="B225" t="str">
            <v>T03-1650</v>
          </cell>
          <cell r="C225" t="str">
            <v>Draft Prelim. Costing for Public Realm and Landscape</v>
          </cell>
          <cell r="D225">
            <v>12390</v>
          </cell>
          <cell r="E225">
            <v>4.2786925100666434E-5</v>
          </cell>
          <cell r="F225">
            <v>1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0.94995964487489903</v>
          </cell>
          <cell r="M225">
            <v>4.9959644874899109E-2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8.0710250201843081E-5</v>
          </cell>
          <cell r="T225">
            <v>0</v>
          </cell>
        </row>
        <row r="226">
          <cell r="B226" t="str">
            <v>T03-1760</v>
          </cell>
          <cell r="C226" t="str">
            <v>Preparation of 30% Design for Public Realm and Landscape</v>
          </cell>
          <cell r="D226">
            <v>168726</v>
          </cell>
          <cell r="E226">
            <v>1.9422294120352554E-4</v>
          </cell>
          <cell r="F226">
            <v>1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4.4930834607588628E-2</v>
          </cell>
          <cell r="M226">
            <v>0.26212320567073238</v>
          </cell>
          <cell r="N226">
            <v>0.23910956224885316</v>
          </cell>
          <cell r="O226">
            <v>0.1829356471438901</v>
          </cell>
          <cell r="P226">
            <v>0.1337730995815701</v>
          </cell>
          <cell r="Q226">
            <v>9.3921505873427916E-2</v>
          </cell>
          <cell r="R226">
            <v>3.8784775316193121E-2</v>
          </cell>
          <cell r="S226">
            <v>4.4213695577446366E-3</v>
          </cell>
          <cell r="T226">
            <v>0</v>
          </cell>
        </row>
        <row r="227">
          <cell r="B227" t="str">
            <v>T03-1900</v>
          </cell>
          <cell r="C227" t="str">
            <v>Preparation of 60% Design for Public Realm and Landscape</v>
          </cell>
          <cell r="D227">
            <v>168726</v>
          </cell>
          <cell r="E227">
            <v>1.9422294120352554E-4</v>
          </cell>
          <cell r="F227">
            <v>1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4.3946990979457812E-2</v>
          </cell>
          <cell r="M227">
            <v>0.25657575003259725</v>
          </cell>
          <cell r="N227">
            <v>0.2357727913895902</v>
          </cell>
          <cell r="O227">
            <v>0.18061828052582293</v>
          </cell>
          <cell r="P227">
            <v>0.13550964285290942</v>
          </cell>
          <cell r="Q227">
            <v>9.8443630501523174E-2</v>
          </cell>
          <cell r="R227">
            <v>3.9839740170453865E-2</v>
          </cell>
          <cell r="S227">
            <v>9.2931735476452504E-3</v>
          </cell>
          <cell r="T227">
            <v>0</v>
          </cell>
        </row>
        <row r="228">
          <cell r="B228" t="str">
            <v>T03-2010</v>
          </cell>
          <cell r="C228" t="str">
            <v>Detail Costing  for Preparation of RFQ/RFP for Public Realm and Landscape</v>
          </cell>
          <cell r="D228">
            <v>33039</v>
          </cell>
          <cell r="E228">
            <v>7.6063342394453495E-5</v>
          </cell>
          <cell r="F228">
            <v>1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3.3838796573746173E-2</v>
          </cell>
          <cell r="O228">
            <v>0.39138593783104814</v>
          </cell>
          <cell r="P228">
            <v>0.30258179726989315</v>
          </cell>
          <cell r="Q228">
            <v>0.18735433881170738</v>
          </cell>
          <cell r="R228">
            <v>7.9754229849571714E-2</v>
          </cell>
          <cell r="S228">
            <v>5.0848996640334709E-3</v>
          </cell>
          <cell r="T228">
            <v>0</v>
          </cell>
        </row>
        <row r="229">
          <cell r="B229" t="str">
            <v>T03-2110</v>
          </cell>
          <cell r="C229" t="str">
            <v>Preparation of 90% Design for Public Realm and Landscape</v>
          </cell>
          <cell r="D229">
            <v>168726</v>
          </cell>
          <cell r="E229">
            <v>1.9422294120352554E-4</v>
          </cell>
          <cell r="F229">
            <v>1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4.3650652537249736E-2</v>
          </cell>
          <cell r="M229">
            <v>0.25490440121854363</v>
          </cell>
          <cell r="N229">
            <v>0.23476524068608273</v>
          </cell>
          <cell r="O229">
            <v>0.17991892180221183</v>
          </cell>
          <cell r="P229">
            <v>0.13603119851119566</v>
          </cell>
          <cell r="Q229">
            <v>9.9806787335680325E-2</v>
          </cell>
          <cell r="R229">
            <v>4.0159785688038595E-2</v>
          </cell>
          <cell r="S229">
            <v>1.0763012220997514E-2</v>
          </cell>
          <cell r="T229">
            <v>0</v>
          </cell>
        </row>
        <row r="230">
          <cell r="B230" t="str">
            <v>T03-2230</v>
          </cell>
          <cell r="C230" t="str">
            <v>Preparation of Final Design for Public Realm and Landscape</v>
          </cell>
          <cell r="D230">
            <v>168726</v>
          </cell>
          <cell r="E230">
            <v>1.9422294120352554E-4</v>
          </cell>
          <cell r="F230">
            <v>1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3.3835923331318227E-2</v>
          </cell>
          <cell r="O230">
            <v>0.3913860341618956</v>
          </cell>
          <cell r="P230">
            <v>0.30259118333866741</v>
          </cell>
          <cell r="Q230">
            <v>0.18734516316394625</v>
          </cell>
          <cell r="R230">
            <v>7.9756528335881843E-2</v>
          </cell>
          <cell r="S230">
            <v>5.0851676682905911E-3</v>
          </cell>
          <cell r="T230">
            <v>0</v>
          </cell>
        </row>
        <row r="231">
          <cell r="B231" t="str">
            <v>T03-2290</v>
          </cell>
          <cell r="C231" t="str">
            <v>Replying to Design RFI for Public Realm and Landscape</v>
          </cell>
          <cell r="D231">
            <v>449937</v>
          </cell>
          <cell r="E231">
            <v>5.1792899432387808E-4</v>
          </cell>
          <cell r="F231">
            <v>1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0.58330000000000004</v>
          </cell>
          <cell r="T231">
            <v>0.41669999999999996</v>
          </cell>
        </row>
        <row r="232">
          <cell r="B232" t="str">
            <v>TECHNICALASSISTANCEFORPPPPROJECTS</v>
          </cell>
          <cell r="D232">
            <v>3450167</v>
          </cell>
          <cell r="E232">
            <v>1.1498839353708318E-2</v>
          </cell>
          <cell r="F232">
            <v>0.82139837486272815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2.4305582667871951E-2</v>
          </cell>
          <cell r="M232">
            <v>2.3900449580601661E-2</v>
          </cell>
          <cell r="N232">
            <v>4.0513308727029192E-4</v>
          </cell>
          <cell r="O232">
            <v>0</v>
          </cell>
          <cell r="P232">
            <v>0</v>
          </cell>
          <cell r="Q232">
            <v>0.77181396913300304</v>
          </cell>
          <cell r="R232">
            <v>1.9901274462400307E-4</v>
          </cell>
          <cell r="S232">
            <v>7.7422764935716282E-4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 t="str">
            <v>TASCONSULTANT-PREPARATIONOFPPPBIDDOCUMENTS</v>
          </cell>
          <cell r="D233">
            <v>3450167</v>
          </cell>
          <cell r="E233">
            <v>1.1498839353708318E-2</v>
          </cell>
          <cell r="F233">
            <v>0.82139837486272815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2.4305582667871951E-2</v>
          </cell>
          <cell r="M233">
            <v>2.3900449580601661E-2</v>
          </cell>
          <cell r="N233">
            <v>4.0513308727029192E-4</v>
          </cell>
          <cell r="O233">
            <v>0</v>
          </cell>
          <cell r="P233">
            <v>0</v>
          </cell>
          <cell r="Q233">
            <v>0.77181396913300304</v>
          </cell>
          <cell r="R233">
            <v>1.9901274462400307E-4</v>
          </cell>
          <cell r="S233">
            <v>7.7422764935716282E-4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 t="str">
            <v>T03-1470</v>
          </cell>
          <cell r="C234" t="str">
            <v>Preparation of Bid Model for PPP component of the Project</v>
          </cell>
          <cell r="D234">
            <v>80932</v>
          </cell>
          <cell r="E234">
            <v>2.7948599049613682E-4</v>
          </cell>
          <cell r="F234">
            <v>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1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</row>
        <row r="235">
          <cell r="B235" t="str">
            <v>T03-1550</v>
          </cell>
          <cell r="C235" t="str">
            <v>Preparation of approval note for approval of Draft PPP Bid Document by PPAC</v>
          </cell>
          <cell r="D235">
            <v>80932</v>
          </cell>
          <cell r="E235">
            <v>2.7948599049613682E-4</v>
          </cell>
          <cell r="F235">
            <v>1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0.98333168585973407</v>
          </cell>
          <cell r="N235">
            <v>1.6668314140265903E-2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</row>
        <row r="236">
          <cell r="B236" t="str">
            <v>T03-1770</v>
          </cell>
          <cell r="C236" t="str">
            <v>Conducting TAS Technical Workshop-1</v>
          </cell>
          <cell r="D236">
            <v>3867</v>
          </cell>
          <cell r="E236">
            <v>4.4513596815786142E-6</v>
          </cell>
          <cell r="F236">
            <v>1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1</v>
          </cell>
          <cell r="R236">
            <v>0</v>
          </cell>
          <cell r="S236">
            <v>0</v>
          </cell>
          <cell r="T236">
            <v>0</v>
          </cell>
        </row>
        <row r="237">
          <cell r="B237" t="str">
            <v>T03-1910</v>
          </cell>
          <cell r="C237" t="str">
            <v>Conducting TAS Technical / PPAC Workshop - 2</v>
          </cell>
          <cell r="D237">
            <v>3867</v>
          </cell>
          <cell r="E237">
            <v>8.9027193631572283E-6</v>
          </cell>
          <cell r="F237">
            <v>1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1</v>
          </cell>
          <cell r="T237">
            <v>0</v>
          </cell>
        </row>
        <row r="238">
          <cell r="B238" t="str">
            <v>T03-2130</v>
          </cell>
          <cell r="C238" t="str">
            <v>Preparation of EOI for Independent Engineer</v>
          </cell>
          <cell r="D238">
            <v>28180</v>
          </cell>
          <cell r="E238">
            <v>3.2438405954715627E-5</v>
          </cell>
          <cell r="F238">
            <v>1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1</v>
          </cell>
          <cell r="R238">
            <v>0</v>
          </cell>
          <cell r="S238">
            <v>0</v>
          </cell>
          <cell r="T238">
            <v>0</v>
          </cell>
        </row>
        <row r="239">
          <cell r="B239" t="str">
            <v>T03-2250</v>
          </cell>
          <cell r="C239" t="str">
            <v>Preparation of RFP including ToR of independent Engineer</v>
          </cell>
          <cell r="D239">
            <v>28180</v>
          </cell>
          <cell r="E239">
            <v>3.2438405954715627E-5</v>
          </cell>
          <cell r="F239">
            <v>1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1</v>
          </cell>
          <cell r="R239">
            <v>0</v>
          </cell>
          <cell r="S239">
            <v>0</v>
          </cell>
          <cell r="T239">
            <v>0</v>
          </cell>
        </row>
        <row r="240">
          <cell r="B240" t="str">
            <v>T03-2530</v>
          </cell>
          <cell r="C240" t="str">
            <v>Preparation of Draft Concession Agreement</v>
          </cell>
          <cell r="D240">
            <v>109325</v>
          </cell>
          <cell r="E240">
            <v>1.2584559017030824E-4</v>
          </cell>
          <cell r="F240">
            <v>1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0.98181568717127832</v>
          </cell>
          <cell r="R240">
            <v>1.8184312828721703E-2</v>
          </cell>
          <cell r="S240">
            <v>0</v>
          </cell>
          <cell r="T240">
            <v>0</v>
          </cell>
        </row>
        <row r="241">
          <cell r="B241" t="str">
            <v>PREPARATIONOFRFQCUMRFPFORSELECTIONOFCONCESSIONAIREFORPHASEIDEVELOPMENT</v>
          </cell>
          <cell r="D241">
            <v>2517145</v>
          </cell>
          <cell r="E241">
            <v>8.6820794958268471E-3</v>
          </cell>
          <cell r="F241">
            <v>1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1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 t="str">
            <v>T03-2430</v>
          </cell>
          <cell r="C242" t="str">
            <v>Preparation  of RFQ Cum RFP for Retails Concessionaire</v>
          </cell>
          <cell r="D242">
            <v>837530</v>
          </cell>
          <cell r="E242">
            <v>2.8922787231284225E-3</v>
          </cell>
          <cell r="F242">
            <v>1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1</v>
          </cell>
          <cell r="R242">
            <v>0</v>
          </cell>
          <cell r="S242">
            <v>0</v>
          </cell>
          <cell r="T242">
            <v>0</v>
          </cell>
        </row>
        <row r="243">
          <cell r="B243" t="str">
            <v>T03-2440</v>
          </cell>
          <cell r="C243" t="str">
            <v>Preparation  of RFQ Cum RFP for Hotels Concessionaire</v>
          </cell>
          <cell r="D243">
            <v>837530</v>
          </cell>
          <cell r="E243">
            <v>2.8922787231284225E-3</v>
          </cell>
          <cell r="F243">
            <v>1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1</v>
          </cell>
          <cell r="R243">
            <v>0</v>
          </cell>
          <cell r="S243">
            <v>0</v>
          </cell>
          <cell r="T243">
            <v>0</v>
          </cell>
        </row>
        <row r="244">
          <cell r="B244" t="str">
            <v>T03-2450</v>
          </cell>
          <cell r="C244" t="str">
            <v>Preparation  of RFQ Cum RFP for Services Apartments Concessionaire</v>
          </cell>
          <cell r="D244">
            <v>837530</v>
          </cell>
          <cell r="E244">
            <v>2.8922787231284225E-3</v>
          </cell>
          <cell r="F244">
            <v>1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1</v>
          </cell>
          <cell r="R244">
            <v>0</v>
          </cell>
          <cell r="S244">
            <v>0</v>
          </cell>
          <cell r="T244">
            <v>0</v>
          </cell>
        </row>
        <row r="245">
          <cell r="B245" t="str">
            <v>T03-2490</v>
          </cell>
          <cell r="C245" t="str">
            <v>Workshop for PPP Draft Bid Documents (Pre Bid)</v>
          </cell>
          <cell r="D245">
            <v>4555</v>
          </cell>
          <cell r="E245">
            <v>5.2433264415801879E-6</v>
          </cell>
          <cell r="F245">
            <v>1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1</v>
          </cell>
          <cell r="R245">
            <v>0</v>
          </cell>
          <cell r="S245">
            <v>0</v>
          </cell>
          <cell r="T245">
            <v>0</v>
          </cell>
        </row>
        <row r="246">
          <cell r="B246" t="str">
            <v>BIDPROCESSMANAGEMENT(FORPPPCOMPONENT)</v>
          </cell>
          <cell r="D246">
            <v>597739</v>
          </cell>
          <cell r="E246">
            <v>2.0537113957647211E-3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 t="str">
            <v>STAGE1-LAUNCHINGRFQ</v>
          </cell>
          <cell r="D247">
            <v>363453</v>
          </cell>
          <cell r="E247">
            <v>1.2446413768676479E-3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 t="str">
            <v>T03-2510</v>
          </cell>
          <cell r="C248" t="str">
            <v>Launching of RFQ Process for PPP Components</v>
          </cell>
          <cell r="D248">
            <v>11333</v>
          </cell>
          <cell r="E248">
            <v>3.913674109490336E-5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</row>
        <row r="249">
          <cell r="B249" t="str">
            <v>T03-2540</v>
          </cell>
          <cell r="C249" t="str">
            <v>Technical &amp; Financial Capacity Evaluation of Bidder</v>
          </cell>
          <cell r="D249">
            <v>343787</v>
          </cell>
          <cell r="E249">
            <v>1.1872145778517198E-3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</row>
        <row r="250">
          <cell r="B250" t="str">
            <v>T03-2570</v>
          </cell>
          <cell r="C250" t="str">
            <v>Approval from Technical Committees &amp; Preparing draft evaluation reports</v>
          </cell>
          <cell r="D250">
            <v>3778</v>
          </cell>
          <cell r="E250">
            <v>1.3046731479444533E-5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</row>
        <row r="251">
          <cell r="B251" t="str">
            <v>T03-2580</v>
          </cell>
          <cell r="C251" t="str">
            <v>Workshop for PPP Draft Bid Documents (Post Bid)</v>
          </cell>
          <cell r="D251">
            <v>4555</v>
          </cell>
          <cell r="E251">
            <v>5.2433264415801879E-6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</row>
        <row r="252">
          <cell r="B252" t="str">
            <v>STAGEII-LAUNCHINGRFP(BIDDINGSTAGE)</v>
          </cell>
          <cell r="D252">
            <v>234286</v>
          </cell>
          <cell r="E252">
            <v>8.0907001889707298E-4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 t="str">
            <v>T03-2590</v>
          </cell>
          <cell r="C253" t="str">
            <v>Receipt of Bids &amp; Bid Evaluation for PPP Components</v>
          </cell>
          <cell r="D253">
            <v>167933</v>
          </cell>
          <cell r="E253">
            <v>5.7993032227039666E-4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</row>
        <row r="254">
          <cell r="B254" t="str">
            <v>T03-2600</v>
          </cell>
          <cell r="C254" t="str">
            <v>Preparing Bid Evaluation Report for PPP Components</v>
          </cell>
          <cell r="D254">
            <v>10842</v>
          </cell>
          <cell r="E254">
            <v>3.7441149470655806E-5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</row>
        <row r="255">
          <cell r="B255" t="str">
            <v>T03-2610</v>
          </cell>
          <cell r="C255" t="str">
            <v>Negotiation &amp; Financial Closure for PPP Components</v>
          </cell>
          <cell r="D255">
            <v>49844</v>
          </cell>
          <cell r="E255">
            <v>1.7212844993685371E-4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</row>
        <row r="256">
          <cell r="B256" t="str">
            <v>T03-2620</v>
          </cell>
          <cell r="C256" t="str">
            <v>Assisting DMICDC in Issuing Letter of Award for PPP Components</v>
          </cell>
          <cell r="D256">
            <v>5667</v>
          </cell>
          <cell r="E256">
            <v>1.95700972191668E-5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</row>
        <row r="257">
          <cell r="B257" t="str">
            <v>TECHNICALASSISTANCEFOREPCPROJECTS</v>
          </cell>
          <cell r="D257">
            <v>2147465</v>
          </cell>
          <cell r="E257">
            <v>6.4235951946792196E-3</v>
          </cell>
          <cell r="F257">
            <v>0.92332241461835474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0.66403743006458216</v>
          </cell>
          <cell r="O257">
            <v>0.25175567668346316</v>
          </cell>
          <cell r="P257">
            <v>6.9646456202297818E-3</v>
          </cell>
          <cell r="Q257">
            <v>0</v>
          </cell>
          <cell r="R257">
            <v>0</v>
          </cell>
          <cell r="S257">
            <v>5.6466225007961398E-4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 t="str">
            <v>PREPARATIONOFRFQCUMRFPFORSELECTIONOFEPCCONTRACTORFORPHASEIDEVELOPMENT</v>
          </cell>
          <cell r="D258">
            <v>1716431</v>
          </cell>
          <cell r="E258">
            <v>5.9274257173092797E-3</v>
          </cell>
          <cell r="F258">
            <v>0.99999999999999989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0.71962228601091449</v>
          </cell>
          <cell r="O258">
            <v>0.27282949329160333</v>
          </cell>
          <cell r="P258">
            <v>7.5476380932294976E-3</v>
          </cell>
          <cell r="Q258">
            <v>0</v>
          </cell>
          <cell r="R258">
            <v>0</v>
          </cell>
          <cell r="S258">
            <v>5.8260425266584858E-7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 t="str">
            <v>T03-2390</v>
          </cell>
          <cell r="C259" t="str">
            <v>Preparation of RFQ Cum RFP for ECC Complex EPC Contractor</v>
          </cell>
          <cell r="D259">
            <v>593935</v>
          </cell>
          <cell r="E259">
            <v>2.0510615302392508E-3</v>
          </cell>
          <cell r="F259">
            <v>1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0.71962251761556395</v>
          </cell>
          <cell r="O259">
            <v>0.27282951838164105</v>
          </cell>
          <cell r="P259">
            <v>7.5479640027949178E-3</v>
          </cell>
          <cell r="Q259">
            <v>0</v>
          </cell>
          <cell r="R259">
            <v>0</v>
          </cell>
          <cell r="S259">
            <v>1.1102230246251565E-16</v>
          </cell>
          <cell r="T259">
            <v>0</v>
          </cell>
        </row>
        <row r="260">
          <cell r="B260" t="str">
            <v>T03-2400</v>
          </cell>
          <cell r="C260" t="str">
            <v>Preparation  of RFQ Cum RFP for Primary Trunk Infrastructure &amp; MEP Works  EPC Contractor</v>
          </cell>
          <cell r="D260">
            <v>347114</v>
          </cell>
          <cell r="E260">
            <v>1.1987038514441263E-3</v>
          </cell>
          <cell r="F260">
            <v>1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0.71962237190087408</v>
          </cell>
          <cell r="O260">
            <v>0.27282967555327647</v>
          </cell>
          <cell r="P260">
            <v>7.5479525458494916E-3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</row>
        <row r="261">
          <cell r="B261" t="str">
            <v>T03-2410</v>
          </cell>
          <cell r="C261" t="str">
            <v>Preparation of RFQ Cum RFP for Convention Center EPC Contractor</v>
          </cell>
          <cell r="D261">
            <v>328253</v>
          </cell>
          <cell r="E261">
            <v>1.1335703410063807E-3</v>
          </cell>
          <cell r="F261">
            <v>1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0.71962175517055449</v>
          </cell>
          <cell r="O261">
            <v>0.2728291896799116</v>
          </cell>
          <cell r="P261">
            <v>7.5460087188845204E-3</v>
          </cell>
          <cell r="Q261">
            <v>0</v>
          </cell>
          <cell r="R261">
            <v>0</v>
          </cell>
          <cell r="S261">
            <v>3.0464306493005466E-6</v>
          </cell>
          <cell r="T261">
            <v>0</v>
          </cell>
        </row>
        <row r="262">
          <cell r="B262" t="str">
            <v>T03-2470</v>
          </cell>
          <cell r="C262" t="str">
            <v>Preparation  of RFQ Cum RFP for Public Realm &amp; Landscape  EPC Contractor</v>
          </cell>
          <cell r="D262">
            <v>75223</v>
          </cell>
          <cell r="E262">
            <v>2.597708528529E-4</v>
          </cell>
          <cell r="F262">
            <v>1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0.71962032888877059</v>
          </cell>
          <cell r="O262">
            <v>0.27282878906717356</v>
          </cell>
          <cell r="P262">
            <v>7.5508820440556741E-3</v>
          </cell>
          <cell r="Q262">
            <v>0</v>
          </cell>
          <cell r="R262">
            <v>0</v>
          </cell>
          <cell r="S262">
            <v>2.2204460492503131E-16</v>
          </cell>
          <cell r="T262">
            <v>0</v>
          </cell>
        </row>
        <row r="263">
          <cell r="B263" t="str">
            <v>T03-2500</v>
          </cell>
          <cell r="C263" t="str">
            <v>Preparation  of RFQ Cum RFP for Secondary Trunk Infrastructure &amp; MEP Works EPC Contractor</v>
          </cell>
          <cell r="D263">
            <v>371906</v>
          </cell>
          <cell r="E263">
            <v>1.2843191417666222E-3</v>
          </cell>
          <cell r="F263">
            <v>1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0.71962270035976839</v>
          </cell>
          <cell r="O263">
            <v>0.27282969352470787</v>
          </cell>
          <cell r="P263">
            <v>7.5476061155238154E-3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</row>
        <row r="264">
          <cell r="B264" t="str">
            <v>BIDPROCESSMANAGEMENT(FOREPCCOMPONENT)</v>
          </cell>
          <cell r="D264">
            <v>431034</v>
          </cell>
          <cell r="E264">
            <v>4.9616947736993945E-4</v>
          </cell>
          <cell r="F264">
            <v>7.303368179772363E-3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7.303368179772363E-3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 t="str">
            <v>STAGE1-LAUNCHINGRFQ</v>
          </cell>
          <cell r="D265">
            <v>350083</v>
          </cell>
          <cell r="E265">
            <v>4.0298560936283571E-4</v>
          </cell>
          <cell r="F265">
            <v>8.992153289362809E-3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8.992153289362809E-3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 t="str">
            <v>T03-2630</v>
          </cell>
          <cell r="C266" t="str">
            <v>Launching of RFQ Process for EPC Components</v>
          </cell>
          <cell r="D266">
            <v>3148</v>
          </cell>
          <cell r="E266">
            <v>3.6237083727978991E-6</v>
          </cell>
          <cell r="F266">
            <v>1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1</v>
          </cell>
          <cell r="T266">
            <v>0</v>
          </cell>
        </row>
        <row r="267">
          <cell r="B267" t="str">
            <v>T03-2640</v>
          </cell>
          <cell r="C267" t="str">
            <v>Technical &amp; Financial Capacity Evaluation of Bidder</v>
          </cell>
          <cell r="D267">
            <v>343787</v>
          </cell>
          <cell r="E267">
            <v>3.9573819261723995E-4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</row>
        <row r="268">
          <cell r="B268" t="str">
            <v>T03-2660</v>
          </cell>
          <cell r="C268" t="str">
            <v>Approval from Technical Committees &amp; Preparing draft evaluation reports</v>
          </cell>
          <cell r="D268">
            <v>3148</v>
          </cell>
          <cell r="E268">
            <v>3.6237083727978991E-6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</row>
        <row r="269">
          <cell r="B269" t="str">
            <v>STAGEII-LAUNCHINGRFP(BIDDINGSTAGE)</v>
          </cell>
          <cell r="D269">
            <v>80951</v>
          </cell>
          <cell r="E269">
            <v>9.3183868007103794E-5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 t="str">
            <v>T03-2670</v>
          </cell>
          <cell r="C270" t="str">
            <v>Receipt of Bids &amp; Bid Evaluation for EPC Components</v>
          </cell>
          <cell r="D270">
            <v>65117</v>
          </cell>
          <cell r="E270">
            <v>7.4957121382300133E-5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</row>
        <row r="271">
          <cell r="B271" t="str">
            <v>T03-2680</v>
          </cell>
          <cell r="C271" t="str">
            <v>Preparing Bid Evaluation Report for EPC Components</v>
          </cell>
          <cell r="D271">
            <v>8673</v>
          </cell>
          <cell r="E271">
            <v>9.9836158568221661E-6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</row>
        <row r="272">
          <cell r="B272" t="str">
            <v>T03-2690</v>
          </cell>
          <cell r="C272" t="str">
            <v>Negotiation &amp; Financial Closure for EPC Components</v>
          </cell>
          <cell r="D272">
            <v>5272</v>
          </cell>
          <cell r="E272">
            <v>6.0686755214074098E-6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</row>
        <row r="273">
          <cell r="B273" t="str">
            <v>T03-2700</v>
          </cell>
          <cell r="C273" t="str">
            <v>Assisting DMICDC in Issuing Letter of Award for EPC Components</v>
          </cell>
          <cell r="D273">
            <v>1889</v>
          </cell>
          <cell r="E273">
            <v>2.174455246574089E-6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</row>
        <row r="274">
          <cell r="B274" t="str">
            <v>SPECIFIC SCOPE OF WORK FOR YEAR 2</v>
          </cell>
          <cell r="E274">
            <v>6.8737027034192516E-2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 t="str">
            <v>BID &amp; AWARD STAGE</v>
          </cell>
          <cell r="E275">
            <v>0</v>
          </cell>
          <cell r="F275">
            <v>0</v>
          </cell>
        </row>
        <row r="276">
          <cell r="B276" t="str">
            <v>BID PROCESS MANAGEMENT (FOR EPC COMPONENT)</v>
          </cell>
          <cell r="E276">
            <v>0</v>
          </cell>
          <cell r="F276">
            <v>0</v>
          </cell>
        </row>
        <row r="277">
          <cell r="B277" t="str">
            <v>DELIVERABLES BY PRELIMINARY ENGINEERING AND ARCHITECTURAL (PEAC)</v>
          </cell>
          <cell r="E277">
            <v>0</v>
          </cell>
          <cell r="F277">
            <v>0</v>
          </cell>
        </row>
        <row r="278">
          <cell r="B278" t="str">
            <v>ECC EPC PACKAGE, PHASE I</v>
          </cell>
          <cell r="E278">
            <v>0</v>
          </cell>
          <cell r="F278">
            <v>0</v>
          </cell>
        </row>
        <row r="279"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</row>
        <row r="280">
          <cell r="F280">
            <v>0</v>
          </cell>
          <cell r="S280">
            <v>0</v>
          </cell>
          <cell r="T280">
            <v>0</v>
          </cell>
        </row>
        <row r="281">
          <cell r="F281">
            <v>0</v>
          </cell>
          <cell r="S281">
            <v>0</v>
          </cell>
          <cell r="T281">
            <v>0</v>
          </cell>
        </row>
        <row r="282">
          <cell r="F282">
            <v>0</v>
          </cell>
          <cell r="S282">
            <v>0</v>
          </cell>
          <cell r="T282">
            <v>0</v>
          </cell>
        </row>
        <row r="283">
          <cell r="F283">
            <v>0</v>
          </cell>
          <cell r="S283">
            <v>0</v>
          </cell>
          <cell r="T283">
            <v>0</v>
          </cell>
        </row>
        <row r="284">
          <cell r="F284">
            <v>0</v>
          </cell>
          <cell r="S284">
            <v>0</v>
          </cell>
          <cell r="T284">
            <v>0</v>
          </cell>
        </row>
        <row r="285">
          <cell r="B285" t="str">
            <v>LAUNCHING RFQ CUM RFP</v>
          </cell>
          <cell r="E285">
            <v>0</v>
          </cell>
          <cell r="F285">
            <v>0</v>
          </cell>
        </row>
        <row r="286">
          <cell r="F286">
            <v>0</v>
          </cell>
          <cell r="S286">
            <v>0</v>
          </cell>
          <cell r="T286">
            <v>0</v>
          </cell>
        </row>
        <row r="287">
          <cell r="F287">
            <v>0</v>
          </cell>
          <cell r="S287">
            <v>0</v>
          </cell>
          <cell r="T287">
            <v>0</v>
          </cell>
        </row>
        <row r="288">
          <cell r="F288">
            <v>0</v>
          </cell>
          <cell r="S288">
            <v>0</v>
          </cell>
          <cell r="T288">
            <v>0</v>
          </cell>
        </row>
        <row r="289">
          <cell r="F289">
            <v>0</v>
          </cell>
          <cell r="S289">
            <v>0</v>
          </cell>
          <cell r="T289">
            <v>0</v>
          </cell>
        </row>
        <row r="290">
          <cell r="F290">
            <v>0</v>
          </cell>
          <cell r="S290">
            <v>0</v>
          </cell>
          <cell r="T290">
            <v>0</v>
          </cell>
        </row>
        <row r="291">
          <cell r="F291">
            <v>0</v>
          </cell>
          <cell r="S291">
            <v>0</v>
          </cell>
          <cell r="T291">
            <v>0</v>
          </cell>
        </row>
        <row r="292">
          <cell r="F292">
            <v>0</v>
          </cell>
          <cell r="S292">
            <v>0</v>
          </cell>
          <cell r="T292">
            <v>0</v>
          </cell>
        </row>
        <row r="293">
          <cell r="F293">
            <v>0</v>
          </cell>
          <cell r="S293">
            <v>0</v>
          </cell>
          <cell r="T293">
            <v>0</v>
          </cell>
        </row>
        <row r="294">
          <cell r="B294" t="str">
            <v>SELECTION OF EPC CONTRACTOR FOR PHASE I DEVELOPMENT</v>
          </cell>
          <cell r="E294">
            <v>0</v>
          </cell>
          <cell r="F294">
            <v>0</v>
          </cell>
        </row>
        <row r="295">
          <cell r="F295">
            <v>0</v>
          </cell>
          <cell r="S295">
            <v>0</v>
          </cell>
          <cell r="T295">
            <v>0</v>
          </cell>
        </row>
        <row r="296">
          <cell r="F296">
            <v>0</v>
          </cell>
          <cell r="S296">
            <v>0</v>
          </cell>
          <cell r="T296">
            <v>0</v>
          </cell>
        </row>
        <row r="297">
          <cell r="F297">
            <v>0</v>
          </cell>
          <cell r="S297">
            <v>0</v>
          </cell>
          <cell r="T297">
            <v>0</v>
          </cell>
        </row>
        <row r="298">
          <cell r="F298">
            <v>0</v>
          </cell>
          <cell r="S298">
            <v>0</v>
          </cell>
          <cell r="T298">
            <v>0</v>
          </cell>
        </row>
        <row r="299">
          <cell r="F299">
            <v>0</v>
          </cell>
          <cell r="S299">
            <v>0</v>
          </cell>
          <cell r="T299">
            <v>0</v>
          </cell>
        </row>
        <row r="300">
          <cell r="F300">
            <v>0</v>
          </cell>
          <cell r="S300">
            <v>0</v>
          </cell>
          <cell r="T300">
            <v>0</v>
          </cell>
        </row>
        <row r="301">
          <cell r="F301">
            <v>0</v>
          </cell>
          <cell r="S301">
            <v>0</v>
          </cell>
          <cell r="T301">
            <v>0</v>
          </cell>
        </row>
        <row r="302">
          <cell r="F302">
            <v>0</v>
          </cell>
          <cell r="S302">
            <v>0</v>
          </cell>
          <cell r="T302">
            <v>0</v>
          </cell>
        </row>
        <row r="303">
          <cell r="B303" t="str">
            <v>BID PROCESS MANAGEMENT (FOR PPP COMPONENT)</v>
          </cell>
          <cell r="E303">
            <v>0</v>
          </cell>
          <cell r="F303">
            <v>0</v>
          </cell>
        </row>
        <row r="304">
          <cell r="B304" t="str">
            <v>DELIVERABLES BY PRELIMINARY ENGINEERING AND ARCHITECTURAL (PEAC)</v>
          </cell>
          <cell r="E304">
            <v>0</v>
          </cell>
          <cell r="F304">
            <v>0</v>
          </cell>
        </row>
        <row r="305">
          <cell r="B305" t="str">
            <v>ECC PPP PACKAGE, PHASE I</v>
          </cell>
          <cell r="F305">
            <v>0</v>
          </cell>
        </row>
        <row r="306">
          <cell r="F306">
            <v>0</v>
          </cell>
          <cell r="S306">
            <v>0</v>
          </cell>
          <cell r="T306">
            <v>0</v>
          </cell>
        </row>
        <row r="307">
          <cell r="F307">
            <v>0</v>
          </cell>
          <cell r="S307">
            <v>0</v>
          </cell>
          <cell r="T307">
            <v>0</v>
          </cell>
        </row>
        <row r="308">
          <cell r="F308">
            <v>0</v>
          </cell>
          <cell r="S308">
            <v>0</v>
          </cell>
          <cell r="T308">
            <v>0</v>
          </cell>
        </row>
        <row r="309">
          <cell r="F309">
            <v>0</v>
          </cell>
          <cell r="S309">
            <v>0</v>
          </cell>
          <cell r="T309">
            <v>0</v>
          </cell>
        </row>
        <row r="310">
          <cell r="B310" t="str">
            <v>DESIGN FOR RETAILS</v>
          </cell>
          <cell r="F310">
            <v>0</v>
          </cell>
        </row>
        <row r="311">
          <cell r="B311" t="str">
            <v>DESIGN FOR HOTELS</v>
          </cell>
          <cell r="F311">
            <v>0</v>
          </cell>
        </row>
        <row r="312">
          <cell r="B312" t="str">
            <v>DESIGN FOR SERVICED APARTMENTS</v>
          </cell>
          <cell r="F312">
            <v>0</v>
          </cell>
        </row>
        <row r="313">
          <cell r="B313" t="str">
            <v>DESIGN FOR ARENA</v>
          </cell>
          <cell r="F313">
            <v>0</v>
          </cell>
        </row>
        <row r="314">
          <cell r="B314" t="str">
            <v>DELIVERABLES BY TRANSCTION ADVISOR CONSULTANT (CPTAC)</v>
          </cell>
          <cell r="E314">
            <v>0</v>
          </cell>
          <cell r="F314">
            <v>0</v>
          </cell>
        </row>
        <row r="315">
          <cell r="F315">
            <v>0</v>
          </cell>
          <cell r="S315">
            <v>0</v>
          </cell>
          <cell r="T315">
            <v>0</v>
          </cell>
        </row>
        <row r="316">
          <cell r="F316">
            <v>0</v>
          </cell>
          <cell r="S316">
            <v>0</v>
          </cell>
          <cell r="T316">
            <v>0</v>
          </cell>
        </row>
        <row r="317">
          <cell r="F317">
            <v>0</v>
          </cell>
          <cell r="S317">
            <v>0</v>
          </cell>
          <cell r="T317">
            <v>0</v>
          </cell>
        </row>
        <row r="318">
          <cell r="F318">
            <v>0</v>
          </cell>
          <cell r="S318">
            <v>0</v>
          </cell>
          <cell r="T318">
            <v>0</v>
          </cell>
        </row>
        <row r="319">
          <cell r="F319">
            <v>0</v>
          </cell>
          <cell r="S319">
            <v>0</v>
          </cell>
          <cell r="T319">
            <v>0</v>
          </cell>
        </row>
        <row r="320">
          <cell r="F320">
            <v>0</v>
          </cell>
          <cell r="S320">
            <v>0</v>
          </cell>
          <cell r="T320">
            <v>0</v>
          </cell>
        </row>
        <row r="321">
          <cell r="F321">
            <v>0</v>
          </cell>
          <cell r="S321">
            <v>0</v>
          </cell>
          <cell r="T321">
            <v>0</v>
          </cell>
        </row>
        <row r="322">
          <cell r="F322">
            <v>0</v>
          </cell>
          <cell r="S322">
            <v>0</v>
          </cell>
          <cell r="T322">
            <v>0</v>
          </cell>
        </row>
        <row r="323">
          <cell r="F323">
            <v>0</v>
          </cell>
          <cell r="S323">
            <v>0</v>
          </cell>
          <cell r="T323">
            <v>0</v>
          </cell>
        </row>
        <row r="324">
          <cell r="F324">
            <v>0</v>
          </cell>
          <cell r="S324">
            <v>0</v>
          </cell>
          <cell r="T324">
            <v>0</v>
          </cell>
        </row>
        <row r="325">
          <cell r="F325">
            <v>0</v>
          </cell>
          <cell r="S325">
            <v>0</v>
          </cell>
          <cell r="T325">
            <v>0</v>
          </cell>
        </row>
        <row r="326">
          <cell r="B326" t="str">
            <v>RELATED (TAC) DELIVERABLES BY PMC</v>
          </cell>
          <cell r="E326">
            <v>0</v>
          </cell>
          <cell r="F326">
            <v>0</v>
          </cell>
        </row>
        <row r="327">
          <cell r="F327">
            <v>0</v>
          </cell>
          <cell r="S327">
            <v>0</v>
          </cell>
          <cell r="T327">
            <v>0</v>
          </cell>
        </row>
        <row r="328">
          <cell r="B328" t="str">
            <v>STAGE 1 - LAUNCHING RFQ FOR EPC CONTRACTOR</v>
          </cell>
          <cell r="E328">
            <v>0</v>
          </cell>
          <cell r="F328">
            <v>0</v>
          </cell>
        </row>
        <row r="329">
          <cell r="F329">
            <v>0</v>
          </cell>
          <cell r="S329">
            <v>0</v>
          </cell>
          <cell r="T329">
            <v>0</v>
          </cell>
        </row>
        <row r="330">
          <cell r="F330">
            <v>0</v>
          </cell>
          <cell r="S330">
            <v>0</v>
          </cell>
          <cell r="T330">
            <v>0</v>
          </cell>
        </row>
        <row r="331">
          <cell r="F331">
            <v>0</v>
          </cell>
          <cell r="S331">
            <v>0</v>
          </cell>
          <cell r="T331">
            <v>0</v>
          </cell>
        </row>
        <row r="332">
          <cell r="F332">
            <v>0</v>
          </cell>
          <cell r="S332">
            <v>0</v>
          </cell>
          <cell r="T332">
            <v>0</v>
          </cell>
        </row>
        <row r="333">
          <cell r="F333">
            <v>0</v>
          </cell>
          <cell r="S333">
            <v>0</v>
          </cell>
          <cell r="T333">
            <v>0</v>
          </cell>
        </row>
        <row r="334">
          <cell r="B334" t="str">
            <v>STAGE II - LAUNCHING RFP  FOR EPC CONTRACTOR (BIDDING STAGE)</v>
          </cell>
          <cell r="E334">
            <v>0</v>
          </cell>
          <cell r="F334">
            <v>0</v>
          </cell>
        </row>
        <row r="335">
          <cell r="F335">
            <v>0</v>
          </cell>
          <cell r="S335">
            <v>0</v>
          </cell>
          <cell r="T335">
            <v>0</v>
          </cell>
        </row>
        <row r="336">
          <cell r="F336">
            <v>0</v>
          </cell>
          <cell r="S336">
            <v>0</v>
          </cell>
          <cell r="T336">
            <v>0</v>
          </cell>
        </row>
        <row r="337">
          <cell r="F337">
            <v>0</v>
          </cell>
          <cell r="S337">
            <v>0</v>
          </cell>
          <cell r="T337">
            <v>0</v>
          </cell>
        </row>
        <row r="338">
          <cell r="F338">
            <v>0</v>
          </cell>
          <cell r="S338">
            <v>0</v>
          </cell>
          <cell r="T338">
            <v>0</v>
          </cell>
        </row>
        <row r="339">
          <cell r="B339" t="str">
            <v>SELECTION OF PPP CONCESSIONAIRE FOR PHASE I &amp; II DEVELOPMENT</v>
          </cell>
          <cell r="E339">
            <v>0</v>
          </cell>
          <cell r="F339">
            <v>0</v>
          </cell>
        </row>
        <row r="340">
          <cell r="F340">
            <v>0</v>
          </cell>
          <cell r="S340">
            <v>0</v>
          </cell>
          <cell r="T340">
            <v>0</v>
          </cell>
        </row>
        <row r="341">
          <cell r="F341">
            <v>0</v>
          </cell>
          <cell r="S341">
            <v>0</v>
          </cell>
          <cell r="T341">
            <v>0</v>
          </cell>
        </row>
        <row r="342">
          <cell r="F342">
            <v>0</v>
          </cell>
          <cell r="S342">
            <v>0</v>
          </cell>
          <cell r="T342">
            <v>0</v>
          </cell>
        </row>
        <row r="343">
          <cell r="F343">
            <v>0</v>
          </cell>
          <cell r="S343">
            <v>0</v>
          </cell>
          <cell r="T343">
            <v>0</v>
          </cell>
        </row>
        <row r="344">
          <cell r="B344" t="str">
            <v>BID PROCESS MANAGEMENT (FOR ECC OPERATOR )</v>
          </cell>
          <cell r="E344">
            <v>0</v>
          </cell>
          <cell r="F344">
            <v>0</v>
          </cell>
        </row>
        <row r="345">
          <cell r="F345">
            <v>0</v>
          </cell>
          <cell r="S345">
            <v>0</v>
          </cell>
          <cell r="T345">
            <v>0</v>
          </cell>
        </row>
        <row r="346">
          <cell r="B346" t="str">
            <v>PLANNING &amp; CONTROL STAGE (EPC PROJECT)</v>
          </cell>
          <cell r="E346">
            <v>3.8851363106282726E-2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 t="str">
            <v>SUBMISSIONS DURING KICK OF MEETING (WITHIN 1 WEEK)</v>
          </cell>
          <cell r="E347">
            <v>1.4942831963954894E-2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 t="str">
            <v>DELIVERABLES BY EPC CONTRACTOR</v>
          </cell>
          <cell r="E348">
            <v>0</v>
          </cell>
          <cell r="F348">
            <v>0</v>
          </cell>
        </row>
        <row r="349">
          <cell r="F349">
            <v>0</v>
          </cell>
          <cell r="S349">
            <v>0</v>
          </cell>
          <cell r="T349">
            <v>0</v>
          </cell>
        </row>
        <row r="350">
          <cell r="F350">
            <v>0</v>
          </cell>
          <cell r="S350">
            <v>0</v>
          </cell>
          <cell r="T350">
            <v>0</v>
          </cell>
        </row>
        <row r="351">
          <cell r="F351">
            <v>0</v>
          </cell>
          <cell r="S351">
            <v>0</v>
          </cell>
          <cell r="T351">
            <v>0</v>
          </cell>
        </row>
        <row r="352">
          <cell r="F352">
            <v>0</v>
          </cell>
          <cell r="S352">
            <v>0</v>
          </cell>
          <cell r="T352">
            <v>0</v>
          </cell>
        </row>
        <row r="353">
          <cell r="F353">
            <v>0</v>
          </cell>
          <cell r="S353">
            <v>0</v>
          </cell>
          <cell r="T353">
            <v>0</v>
          </cell>
        </row>
        <row r="354">
          <cell r="F354">
            <v>0</v>
          </cell>
          <cell r="S354">
            <v>0</v>
          </cell>
          <cell r="T354">
            <v>0</v>
          </cell>
        </row>
        <row r="355">
          <cell r="F355">
            <v>0</v>
          </cell>
          <cell r="S355">
            <v>0</v>
          </cell>
          <cell r="T355">
            <v>0</v>
          </cell>
        </row>
        <row r="356">
          <cell r="F356">
            <v>0</v>
          </cell>
          <cell r="S356">
            <v>0</v>
          </cell>
          <cell r="T356">
            <v>0</v>
          </cell>
        </row>
        <row r="357">
          <cell r="F357">
            <v>0</v>
          </cell>
          <cell r="S357">
            <v>0</v>
          </cell>
          <cell r="T357">
            <v>0</v>
          </cell>
        </row>
        <row r="358">
          <cell r="F358">
            <v>0</v>
          </cell>
          <cell r="S358">
            <v>0</v>
          </cell>
          <cell r="T358">
            <v>0</v>
          </cell>
        </row>
        <row r="359">
          <cell r="F359">
            <v>0</v>
          </cell>
          <cell r="S359">
            <v>0</v>
          </cell>
          <cell r="T359">
            <v>0</v>
          </cell>
        </row>
        <row r="360">
          <cell r="F360">
            <v>0</v>
          </cell>
          <cell r="S360">
            <v>0</v>
          </cell>
          <cell r="T360">
            <v>0</v>
          </cell>
        </row>
        <row r="361">
          <cell r="B361" t="str">
            <v>REVIEW &amp; VALIDATION OF EPC CONTRACTOR SUBMISSIONS</v>
          </cell>
          <cell r="E361">
            <v>1.4942831963954894E-2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 t="str">
            <v>Y2S-4031</v>
          </cell>
          <cell r="C362" t="str">
            <v>Review of Overall Project Schedule (Baseline Programme)</v>
          </cell>
          <cell r="E362">
            <v>2.9885663927909788E-3</v>
          </cell>
          <cell r="F362">
            <v>0</v>
          </cell>
          <cell r="S362">
            <v>0</v>
          </cell>
          <cell r="T362">
            <v>0</v>
          </cell>
        </row>
        <row r="363">
          <cell r="B363" t="str">
            <v>Y2S-4061</v>
          </cell>
          <cell r="C363" t="str">
            <v>Review of Organizational set up (Manpower Deployment Schedule)</v>
          </cell>
          <cell r="E363">
            <v>2.9885663927909788E-3</v>
          </cell>
          <cell r="F363">
            <v>0</v>
          </cell>
          <cell r="S363">
            <v>0</v>
          </cell>
          <cell r="T363">
            <v>0</v>
          </cell>
        </row>
        <row r="364">
          <cell r="B364" t="str">
            <v>Y2S-4081</v>
          </cell>
          <cell r="C364" t="str">
            <v>Review of Resource Deployment Schedules (Manpower Deployment Schedule)</v>
          </cell>
          <cell r="E364">
            <v>2.9885663927909788E-3</v>
          </cell>
          <cell r="F364">
            <v>0</v>
          </cell>
          <cell r="S364">
            <v>0</v>
          </cell>
          <cell r="T364">
            <v>0</v>
          </cell>
        </row>
        <row r="365">
          <cell r="B365" t="str">
            <v>Y2S-4091</v>
          </cell>
          <cell r="C365" t="str">
            <v>Review &amp; Validation of Cost Loading Schedules</v>
          </cell>
          <cell r="E365">
            <v>2.9885663927909788E-3</v>
          </cell>
          <cell r="F365">
            <v>0</v>
          </cell>
          <cell r="S365">
            <v>0</v>
          </cell>
          <cell r="T365">
            <v>0</v>
          </cell>
        </row>
        <row r="366">
          <cell r="B366" t="str">
            <v>Y2S-4101</v>
          </cell>
          <cell r="C366" t="str">
            <v>Review of 90 Days Front End schedule (3 Month Look Ahead)</v>
          </cell>
          <cell r="E366">
            <v>2.9885663927909788E-3</v>
          </cell>
          <cell r="F366">
            <v>0</v>
          </cell>
          <cell r="S366">
            <v>0</v>
          </cell>
          <cell r="T366">
            <v>0</v>
          </cell>
        </row>
        <row r="367">
          <cell r="F367">
            <v>0</v>
          </cell>
          <cell r="S367">
            <v>0</v>
          </cell>
          <cell r="T367">
            <v>0</v>
          </cell>
        </row>
        <row r="368">
          <cell r="F368">
            <v>0</v>
          </cell>
          <cell r="S368">
            <v>0</v>
          </cell>
          <cell r="T368">
            <v>0</v>
          </cell>
        </row>
        <row r="369">
          <cell r="F369">
            <v>0</v>
          </cell>
          <cell r="S369">
            <v>0</v>
          </cell>
          <cell r="T369">
            <v>0</v>
          </cell>
        </row>
        <row r="370">
          <cell r="F370">
            <v>0</v>
          </cell>
          <cell r="S370">
            <v>0</v>
          </cell>
          <cell r="T370">
            <v>0</v>
          </cell>
        </row>
        <row r="371">
          <cell r="F371">
            <v>0</v>
          </cell>
          <cell r="S371">
            <v>0</v>
          </cell>
          <cell r="T371">
            <v>0</v>
          </cell>
        </row>
        <row r="372">
          <cell r="F372">
            <v>0</v>
          </cell>
          <cell r="S372">
            <v>0</v>
          </cell>
          <cell r="T372">
            <v>0</v>
          </cell>
        </row>
        <row r="373">
          <cell r="F373">
            <v>0</v>
          </cell>
          <cell r="S373">
            <v>0</v>
          </cell>
          <cell r="T373">
            <v>0</v>
          </cell>
        </row>
        <row r="374">
          <cell r="B374" t="str">
            <v>SUBMISSION WITHIN 2ND WEEK</v>
          </cell>
          <cell r="E374">
            <v>0</v>
          </cell>
          <cell r="F374">
            <v>0</v>
          </cell>
        </row>
        <row r="375">
          <cell r="B375" t="str">
            <v>DELIVERABLES BY EPC CONTRACTOR</v>
          </cell>
          <cell r="E375">
            <v>0</v>
          </cell>
          <cell r="F375">
            <v>0</v>
          </cell>
        </row>
        <row r="376">
          <cell r="F376">
            <v>0</v>
          </cell>
          <cell r="S376">
            <v>0</v>
          </cell>
          <cell r="T376">
            <v>0</v>
          </cell>
        </row>
        <row r="377">
          <cell r="B377" t="str">
            <v>REVIEW &amp; VALIDATION OF EPC CONTRACTOR SUBMISSIONS</v>
          </cell>
          <cell r="E377">
            <v>0</v>
          </cell>
          <cell r="F377">
            <v>0</v>
          </cell>
        </row>
        <row r="378">
          <cell r="F378">
            <v>0</v>
          </cell>
          <cell r="S378">
            <v>0</v>
          </cell>
          <cell r="T378">
            <v>0</v>
          </cell>
        </row>
        <row r="379">
          <cell r="B379" t="str">
            <v>SUBMISSION WITHIN 4TH WEEK (BASELINE PROGRAMME)</v>
          </cell>
          <cell r="E379">
            <v>2.390853114232783E-2</v>
          </cell>
          <cell r="F379">
            <v>0</v>
          </cell>
        </row>
        <row r="380">
          <cell r="B380" t="str">
            <v>DELIVERABLES BY EPC CONTRACTOR</v>
          </cell>
          <cell r="E380">
            <v>0</v>
          </cell>
          <cell r="F380">
            <v>0</v>
          </cell>
        </row>
        <row r="381">
          <cell r="F381">
            <v>0</v>
          </cell>
          <cell r="S381">
            <v>0</v>
          </cell>
          <cell r="T381">
            <v>0</v>
          </cell>
        </row>
        <row r="382">
          <cell r="F382">
            <v>0</v>
          </cell>
          <cell r="S382">
            <v>0</v>
          </cell>
          <cell r="T382">
            <v>0</v>
          </cell>
        </row>
        <row r="383">
          <cell r="F383">
            <v>0</v>
          </cell>
          <cell r="S383">
            <v>0</v>
          </cell>
          <cell r="T383">
            <v>0</v>
          </cell>
        </row>
        <row r="384">
          <cell r="F384">
            <v>0</v>
          </cell>
          <cell r="S384">
            <v>0</v>
          </cell>
          <cell r="T384">
            <v>0</v>
          </cell>
        </row>
        <row r="385">
          <cell r="F385">
            <v>0</v>
          </cell>
          <cell r="S385">
            <v>0</v>
          </cell>
          <cell r="T385">
            <v>0</v>
          </cell>
        </row>
        <row r="386">
          <cell r="F386">
            <v>0</v>
          </cell>
          <cell r="S386">
            <v>0</v>
          </cell>
          <cell r="T386">
            <v>0</v>
          </cell>
        </row>
        <row r="387">
          <cell r="F387">
            <v>0</v>
          </cell>
          <cell r="S387">
            <v>0</v>
          </cell>
          <cell r="T387">
            <v>0</v>
          </cell>
        </row>
        <row r="388">
          <cell r="F388">
            <v>0</v>
          </cell>
          <cell r="S388">
            <v>0</v>
          </cell>
          <cell r="T388">
            <v>0</v>
          </cell>
        </row>
        <row r="389">
          <cell r="B389" t="str">
            <v>REVIEW &amp; VALIDATION OF EPC CONTRACTOR SUBMISSIONS</v>
          </cell>
          <cell r="E389">
            <v>2.390853114232783E-2</v>
          </cell>
          <cell r="F389">
            <v>0</v>
          </cell>
        </row>
        <row r="390">
          <cell r="B390" t="str">
            <v>Y2S-6001</v>
          </cell>
          <cell r="C390" t="str">
            <v>Review &amp; Validation of Construction Network (Unit wise) with contract level, unit level and discipline S curves.</v>
          </cell>
          <cell r="E390">
            <v>2.9885663927909788E-3</v>
          </cell>
          <cell r="F390">
            <v>0</v>
          </cell>
          <cell r="S390">
            <v>0</v>
          </cell>
          <cell r="T390">
            <v>0</v>
          </cell>
        </row>
        <row r="391">
          <cell r="B391" t="str">
            <v>Y2S-6011</v>
          </cell>
          <cell r="C391" t="str">
            <v>Review &amp; Validation of Overall Project Schedule ( Unit wise ), Detailed &amp; Summarized</v>
          </cell>
          <cell r="E391">
            <v>2.9885663927909788E-3</v>
          </cell>
          <cell r="F391">
            <v>0</v>
          </cell>
          <cell r="S391">
            <v>0</v>
          </cell>
          <cell r="T391">
            <v>0</v>
          </cell>
        </row>
        <row r="392">
          <cell r="B392" t="str">
            <v>Y2S-6021</v>
          </cell>
          <cell r="C392" t="str">
            <v>Review &amp; Validation of Planning Package</v>
          </cell>
          <cell r="E392">
            <v>2.9885663927909788E-3</v>
          </cell>
          <cell r="F392">
            <v>0</v>
          </cell>
          <cell r="S392">
            <v>0</v>
          </cell>
          <cell r="T392">
            <v>0</v>
          </cell>
        </row>
        <row r="393">
          <cell r="B393" t="str">
            <v>Y2S-6031</v>
          </cell>
          <cell r="C393" t="str">
            <v>Review &amp; Validation of Resource based bar chart with S curves - Residual Basic Engineering Schedules</v>
          </cell>
          <cell r="E393">
            <v>2.9885663927909788E-3</v>
          </cell>
          <cell r="F393">
            <v>0</v>
          </cell>
          <cell r="S393">
            <v>0</v>
          </cell>
          <cell r="T393">
            <v>0</v>
          </cell>
        </row>
        <row r="394">
          <cell r="B394" t="str">
            <v>Y2S-6041</v>
          </cell>
          <cell r="C394" t="str">
            <v>Review &amp; Validation of Resource based bar chart with S curves - Detailed Engineering Schedules</v>
          </cell>
          <cell r="E394">
            <v>2.9885663927909788E-3</v>
          </cell>
          <cell r="F394">
            <v>0</v>
          </cell>
          <cell r="S394">
            <v>0</v>
          </cell>
          <cell r="T394">
            <v>0</v>
          </cell>
        </row>
        <row r="395">
          <cell r="B395" t="str">
            <v>Y2S-6051</v>
          </cell>
          <cell r="C395" t="str">
            <v>Review &amp; Validation of Resource based bar chart with S curves - Ordering Schedules</v>
          </cell>
          <cell r="E395">
            <v>2.9885663927909788E-3</v>
          </cell>
          <cell r="F395">
            <v>0</v>
          </cell>
          <cell r="S395">
            <v>0</v>
          </cell>
          <cell r="T395">
            <v>0</v>
          </cell>
        </row>
        <row r="396">
          <cell r="B396" t="str">
            <v>Y2S-6061</v>
          </cell>
          <cell r="C396" t="str">
            <v>Review &amp; Validation of Resource based bar chart with S curves - Manufacturing &amp; Delivery Schedule</v>
          </cell>
          <cell r="E396">
            <v>2.9885663927909788E-3</v>
          </cell>
          <cell r="F396">
            <v>0</v>
          </cell>
          <cell r="S396">
            <v>0</v>
          </cell>
          <cell r="T396">
            <v>0</v>
          </cell>
        </row>
        <row r="397">
          <cell r="B397" t="str">
            <v>Y2S-6071</v>
          </cell>
          <cell r="C397" t="str">
            <v>Review &amp; Validation of Resource based bar chart with S curves - Sub-contracting Schedule</v>
          </cell>
          <cell r="E397">
            <v>2.9885663927909788E-3</v>
          </cell>
          <cell r="F397">
            <v>0</v>
          </cell>
          <cell r="S397">
            <v>0</v>
          </cell>
          <cell r="T397">
            <v>0</v>
          </cell>
        </row>
        <row r="398">
          <cell r="B398" t="str">
            <v>PROJECT DEVELOPMENT &amp; DESIGN STAGE (EPC PROJECT)</v>
          </cell>
          <cell r="E398">
            <v>0</v>
          </cell>
          <cell r="F398">
            <v>0</v>
          </cell>
        </row>
        <row r="399">
          <cell r="B399" t="str">
            <v>SUBMISSION OF DESING &amp; WORKING/GFC DRAWINGS</v>
          </cell>
          <cell r="E399">
            <v>0</v>
          </cell>
        </row>
        <row r="400">
          <cell r="B400" t="str">
            <v>BUILDING WORKS</v>
          </cell>
          <cell r="E400">
            <v>0</v>
          </cell>
          <cell r="F400">
            <v>0</v>
          </cell>
        </row>
        <row r="401">
          <cell r="F401">
            <v>0</v>
          </cell>
          <cell r="S401">
            <v>0</v>
          </cell>
          <cell r="T401">
            <v>0</v>
          </cell>
        </row>
        <row r="402">
          <cell r="F402">
            <v>0</v>
          </cell>
          <cell r="S402">
            <v>0</v>
          </cell>
          <cell r="T402">
            <v>0</v>
          </cell>
        </row>
        <row r="403">
          <cell r="F403">
            <v>0</v>
          </cell>
          <cell r="S403">
            <v>0</v>
          </cell>
          <cell r="T403">
            <v>0</v>
          </cell>
        </row>
        <row r="404">
          <cell r="F404">
            <v>0</v>
          </cell>
          <cell r="S404">
            <v>0</v>
          </cell>
          <cell r="T404">
            <v>0</v>
          </cell>
        </row>
        <row r="405">
          <cell r="F405">
            <v>0</v>
          </cell>
          <cell r="S405">
            <v>0</v>
          </cell>
          <cell r="T405">
            <v>0</v>
          </cell>
        </row>
        <row r="406">
          <cell r="F406">
            <v>0</v>
          </cell>
          <cell r="S406">
            <v>0</v>
          </cell>
          <cell r="T406">
            <v>0</v>
          </cell>
        </row>
        <row r="407">
          <cell r="F407">
            <v>0</v>
          </cell>
          <cell r="S407">
            <v>0</v>
          </cell>
          <cell r="T407">
            <v>0</v>
          </cell>
        </row>
        <row r="408">
          <cell r="B408" t="str">
            <v>INFRASTRUCTURE FOR WHOLE COMPLEX</v>
          </cell>
          <cell r="E408">
            <v>0</v>
          </cell>
          <cell r="F408">
            <v>0</v>
          </cell>
        </row>
        <row r="409">
          <cell r="F409">
            <v>0</v>
          </cell>
          <cell r="S409">
            <v>0</v>
          </cell>
          <cell r="T409">
            <v>0</v>
          </cell>
        </row>
        <row r="410">
          <cell r="F410">
            <v>0</v>
          </cell>
          <cell r="S410">
            <v>0</v>
          </cell>
          <cell r="T410">
            <v>0</v>
          </cell>
        </row>
        <row r="411">
          <cell r="F411">
            <v>0</v>
          </cell>
          <cell r="S411">
            <v>0</v>
          </cell>
          <cell r="T411">
            <v>0</v>
          </cell>
        </row>
        <row r="412">
          <cell r="F412">
            <v>0</v>
          </cell>
          <cell r="S412">
            <v>0</v>
          </cell>
          <cell r="T412">
            <v>0</v>
          </cell>
        </row>
        <row r="413">
          <cell r="F413">
            <v>0</v>
          </cell>
          <cell r="S413">
            <v>0</v>
          </cell>
          <cell r="T413">
            <v>0</v>
          </cell>
        </row>
        <row r="414">
          <cell r="F414">
            <v>0</v>
          </cell>
          <cell r="S414">
            <v>0</v>
          </cell>
          <cell r="T414">
            <v>0</v>
          </cell>
        </row>
        <row r="415">
          <cell r="F415">
            <v>0</v>
          </cell>
          <cell r="S415">
            <v>0</v>
          </cell>
          <cell r="T415">
            <v>0</v>
          </cell>
        </row>
        <row r="416">
          <cell r="F416">
            <v>0</v>
          </cell>
          <cell r="S416">
            <v>0</v>
          </cell>
          <cell r="T416">
            <v>0</v>
          </cell>
        </row>
        <row r="417">
          <cell r="F417">
            <v>0</v>
          </cell>
          <cell r="S417">
            <v>0</v>
          </cell>
          <cell r="T417">
            <v>0</v>
          </cell>
        </row>
        <row r="418">
          <cell r="B418" t="str">
            <v>REVIEW OF DESING &amp; WORKING/GFC DRAWINGS</v>
          </cell>
          <cell r="E418">
            <v>0</v>
          </cell>
          <cell r="F418">
            <v>0</v>
          </cell>
        </row>
        <row r="419">
          <cell r="B419" t="str">
            <v>BUILDING WORKS</v>
          </cell>
          <cell r="E419">
            <v>0</v>
          </cell>
          <cell r="F419">
            <v>0</v>
          </cell>
        </row>
        <row r="420">
          <cell r="F420">
            <v>0</v>
          </cell>
          <cell r="S420">
            <v>0</v>
          </cell>
          <cell r="T420">
            <v>0</v>
          </cell>
        </row>
        <row r="421">
          <cell r="F421">
            <v>0</v>
          </cell>
          <cell r="S421">
            <v>0</v>
          </cell>
          <cell r="T421">
            <v>0</v>
          </cell>
        </row>
        <row r="422">
          <cell r="F422">
            <v>0</v>
          </cell>
          <cell r="S422">
            <v>0</v>
          </cell>
          <cell r="T422">
            <v>0</v>
          </cell>
        </row>
        <row r="423">
          <cell r="F423">
            <v>0</v>
          </cell>
          <cell r="S423">
            <v>0</v>
          </cell>
          <cell r="T423">
            <v>0</v>
          </cell>
        </row>
        <row r="424">
          <cell r="F424">
            <v>0</v>
          </cell>
          <cell r="S424">
            <v>0</v>
          </cell>
          <cell r="T424">
            <v>0</v>
          </cell>
        </row>
        <row r="425">
          <cell r="F425">
            <v>0</v>
          </cell>
          <cell r="S425">
            <v>0</v>
          </cell>
          <cell r="T425">
            <v>0</v>
          </cell>
        </row>
        <row r="426">
          <cell r="F426">
            <v>0</v>
          </cell>
          <cell r="S426">
            <v>0</v>
          </cell>
          <cell r="T426">
            <v>0</v>
          </cell>
        </row>
        <row r="427">
          <cell r="B427" t="str">
            <v>INFRASTRUCTURE FOR WHOLE COMPLEX</v>
          </cell>
          <cell r="E427">
            <v>0</v>
          </cell>
          <cell r="F427">
            <v>0</v>
          </cell>
        </row>
        <row r="428">
          <cell r="F428">
            <v>0</v>
          </cell>
          <cell r="S428">
            <v>0</v>
          </cell>
          <cell r="T428">
            <v>0</v>
          </cell>
        </row>
        <row r="429">
          <cell r="F429">
            <v>0</v>
          </cell>
          <cell r="S429">
            <v>0</v>
          </cell>
          <cell r="T429">
            <v>0</v>
          </cell>
        </row>
        <row r="430">
          <cell r="F430">
            <v>0</v>
          </cell>
          <cell r="S430">
            <v>0</v>
          </cell>
          <cell r="T430">
            <v>0</v>
          </cell>
        </row>
        <row r="431">
          <cell r="F431">
            <v>0</v>
          </cell>
          <cell r="S431">
            <v>0</v>
          </cell>
          <cell r="T431">
            <v>0</v>
          </cell>
        </row>
        <row r="432">
          <cell r="F432">
            <v>0</v>
          </cell>
          <cell r="S432">
            <v>0</v>
          </cell>
          <cell r="T432">
            <v>0</v>
          </cell>
        </row>
        <row r="433">
          <cell r="F433">
            <v>0</v>
          </cell>
          <cell r="S433">
            <v>0</v>
          </cell>
          <cell r="T433">
            <v>0</v>
          </cell>
        </row>
        <row r="434">
          <cell r="F434">
            <v>0</v>
          </cell>
          <cell r="S434">
            <v>0</v>
          </cell>
          <cell r="T434">
            <v>0</v>
          </cell>
        </row>
        <row r="435">
          <cell r="F435">
            <v>0</v>
          </cell>
          <cell r="S435">
            <v>0</v>
          </cell>
          <cell r="T435">
            <v>0</v>
          </cell>
        </row>
        <row r="436">
          <cell r="F436">
            <v>0</v>
          </cell>
          <cell r="S436">
            <v>0</v>
          </cell>
          <cell r="T436">
            <v>0</v>
          </cell>
        </row>
        <row r="437">
          <cell r="B437" t="str">
            <v>CONSTRUCTION STAGE</v>
          </cell>
          <cell r="E437">
            <v>2.9885663927909787E-2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 t="str">
            <v>DELIVERABLES BY EPC CONTRACTOR</v>
          </cell>
          <cell r="E438">
            <v>0</v>
          </cell>
          <cell r="F438">
            <v>0</v>
          </cell>
        </row>
        <row r="439">
          <cell r="F439">
            <v>0</v>
          </cell>
          <cell r="S439">
            <v>0</v>
          </cell>
          <cell r="T439">
            <v>0</v>
          </cell>
        </row>
        <row r="440">
          <cell r="F440">
            <v>0</v>
          </cell>
          <cell r="S440">
            <v>0</v>
          </cell>
          <cell r="T440">
            <v>0</v>
          </cell>
        </row>
        <row r="441">
          <cell r="F441">
            <v>0</v>
          </cell>
          <cell r="S441">
            <v>0</v>
          </cell>
          <cell r="T441">
            <v>0</v>
          </cell>
        </row>
        <row r="442">
          <cell r="F442">
            <v>0</v>
          </cell>
          <cell r="S442">
            <v>0</v>
          </cell>
          <cell r="T442">
            <v>0</v>
          </cell>
        </row>
        <row r="443">
          <cell r="F443">
            <v>0</v>
          </cell>
          <cell r="S443">
            <v>0</v>
          </cell>
          <cell r="T443">
            <v>0</v>
          </cell>
        </row>
        <row r="444">
          <cell r="F444">
            <v>0</v>
          </cell>
          <cell r="S444">
            <v>0</v>
          </cell>
          <cell r="T444">
            <v>0</v>
          </cell>
        </row>
        <row r="445">
          <cell r="F445">
            <v>0</v>
          </cell>
          <cell r="S445">
            <v>0</v>
          </cell>
          <cell r="T445">
            <v>0</v>
          </cell>
        </row>
        <row r="446">
          <cell r="F446">
            <v>0</v>
          </cell>
          <cell r="S446">
            <v>0</v>
          </cell>
          <cell r="T446">
            <v>0</v>
          </cell>
        </row>
        <row r="447">
          <cell r="F447">
            <v>0</v>
          </cell>
          <cell r="S447">
            <v>0</v>
          </cell>
          <cell r="T447">
            <v>0</v>
          </cell>
        </row>
        <row r="448">
          <cell r="F448">
            <v>0</v>
          </cell>
          <cell r="S448">
            <v>0</v>
          </cell>
          <cell r="T448">
            <v>0</v>
          </cell>
        </row>
        <row r="449">
          <cell r="B449" t="str">
            <v>REVIEW &amp; VALIDATION OF EPC CONTRACTOR SUBMISSIONS</v>
          </cell>
          <cell r="E449">
            <v>2.9885663927909787E-2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 t="str">
            <v>Y2S-2001</v>
          </cell>
          <cell r="C450" t="str">
            <v>Review &amp; Validation of Quality Assurance Plan submitted by EPC Contractor (D+5)</v>
          </cell>
          <cell r="E450">
            <v>2.9885663927909788E-3</v>
          </cell>
          <cell r="F450">
            <v>0</v>
          </cell>
          <cell r="S450">
            <v>0</v>
          </cell>
          <cell r="T450">
            <v>0</v>
          </cell>
        </row>
        <row r="451">
          <cell r="B451" t="str">
            <v>Y2S-2006</v>
          </cell>
          <cell r="C451" t="str">
            <v>Review &amp; Validation of SH&amp;E Plan submitted by EPC Contractor (D+5)</v>
          </cell>
          <cell r="E451">
            <v>2.9885663927909788E-3</v>
          </cell>
          <cell r="F451">
            <v>0</v>
          </cell>
          <cell r="S451">
            <v>0</v>
          </cell>
          <cell r="T451">
            <v>0</v>
          </cell>
        </row>
        <row r="452">
          <cell r="B452" t="str">
            <v>Y2S-2011</v>
          </cell>
          <cell r="C452" t="str">
            <v>Review &amp; Validation of Risk Management Plan submitted by EPC Contractor (D+5)</v>
          </cell>
          <cell r="E452">
            <v>2.9885663927909788E-3</v>
          </cell>
          <cell r="F452">
            <v>0</v>
          </cell>
          <cell r="S452">
            <v>0</v>
          </cell>
          <cell r="T452">
            <v>0</v>
          </cell>
        </row>
        <row r="453">
          <cell r="B453" t="str">
            <v>Y2S-2021</v>
          </cell>
          <cell r="C453" t="str">
            <v>Review &amp; submission of First Six-Monthly Environmental Compliance Report (D+6)</v>
          </cell>
          <cell r="E453">
            <v>2.9885663927909788E-3</v>
          </cell>
          <cell r="F453">
            <v>0</v>
          </cell>
          <cell r="S453">
            <v>0</v>
          </cell>
          <cell r="T453">
            <v>0</v>
          </cell>
        </row>
        <row r="454">
          <cell r="B454" t="str">
            <v>Y2S-2031</v>
          </cell>
          <cell r="C454" t="str">
            <v>Review &amp; submission of Quality documentation audit (D+7)</v>
          </cell>
          <cell r="E454">
            <v>2.9885663927909788E-3</v>
          </cell>
          <cell r="F454">
            <v>0</v>
          </cell>
          <cell r="S454">
            <v>0</v>
          </cell>
          <cell r="T454">
            <v>0</v>
          </cell>
        </row>
        <row r="455">
          <cell r="B455" t="str">
            <v>Y2S-2041</v>
          </cell>
          <cell r="C455" t="str">
            <v>Review &amp; submission of SH&amp;E documentation audit. (D+8)</v>
          </cell>
          <cell r="E455">
            <v>2.9885663927909788E-3</v>
          </cell>
          <cell r="F455">
            <v>0</v>
          </cell>
          <cell r="S455">
            <v>0</v>
          </cell>
          <cell r="T455">
            <v>0</v>
          </cell>
        </row>
        <row r="456">
          <cell r="B456" t="str">
            <v>Y2S-2051</v>
          </cell>
          <cell r="C456" t="str">
            <v>Review &amp; submission of Risk Assessment Report along with Risk Register. (D+9)</v>
          </cell>
          <cell r="E456">
            <v>2.9885663927909788E-3</v>
          </cell>
          <cell r="F456">
            <v>0</v>
          </cell>
          <cell r="S456">
            <v>0</v>
          </cell>
          <cell r="T456">
            <v>0</v>
          </cell>
        </row>
        <row r="457">
          <cell r="B457" t="str">
            <v>Y2S-2061</v>
          </cell>
          <cell r="C457" t="str">
            <v>Review &amp; submission of Final Plan for next year. (D+10)</v>
          </cell>
          <cell r="E457">
            <v>2.9885663927909788E-3</v>
          </cell>
          <cell r="F457">
            <v>0</v>
          </cell>
          <cell r="S457">
            <v>0</v>
          </cell>
          <cell r="T457">
            <v>0</v>
          </cell>
        </row>
        <row r="458">
          <cell r="B458" t="str">
            <v>Y2S-2071</v>
          </cell>
          <cell r="C458" t="str">
            <v>Review &amp; submission of change management reports &amp; documentation - Detailed Summary. (D+11)</v>
          </cell>
          <cell r="E458">
            <v>2.9885663927909788E-3</v>
          </cell>
          <cell r="F458">
            <v>0</v>
          </cell>
          <cell r="S458">
            <v>0</v>
          </cell>
          <cell r="T458">
            <v>0</v>
          </cell>
        </row>
        <row r="459">
          <cell r="B459" t="str">
            <v>Y2S-2081</v>
          </cell>
          <cell r="C459" t="str">
            <v>Review &amp; submission of second Six-Monthly Environmental Compliance Report. (D+12)</v>
          </cell>
          <cell r="E459">
            <v>2.9885663927909788E-3</v>
          </cell>
          <cell r="F459">
            <v>0</v>
          </cell>
          <cell r="S459">
            <v>0</v>
          </cell>
          <cell r="T459">
            <v>0</v>
          </cell>
        </row>
        <row r="460">
          <cell r="F460">
            <v>0</v>
          </cell>
          <cell r="S460">
            <v>0</v>
          </cell>
          <cell r="T460">
            <v>0</v>
          </cell>
        </row>
        <row r="461">
          <cell r="B461" t="str">
            <v>GENERAL PROGRAM MANAGEMENT SCOPE OF SERVICES (OVER 3 YEARS)</v>
          </cell>
          <cell r="D461">
            <v>555926805</v>
          </cell>
          <cell r="E461">
            <v>0.57462118200972312</v>
          </cell>
          <cell r="F461">
            <v>0.34858734237509698</v>
          </cell>
          <cell r="G461">
            <v>1.2272912025927538E-2</v>
          </cell>
          <cell r="H461">
            <v>1.9108607245175973E-2</v>
          </cell>
          <cell r="I461">
            <v>2.2080089910065052E-2</v>
          </cell>
          <cell r="J461">
            <v>2.0867700142391171E-2</v>
          </cell>
          <cell r="K461">
            <v>2.4849690244028992E-2</v>
          </cell>
          <cell r="L461">
            <v>2.6049195056281393E-2</v>
          </cell>
          <cell r="M461">
            <v>2.9852147981164871E-2</v>
          </cell>
          <cell r="N461">
            <v>3.4877621149401079E-2</v>
          </cell>
          <cell r="O461">
            <v>2.9807429252950667E-2</v>
          </cell>
          <cell r="P461">
            <v>2.9001204050204642E-2</v>
          </cell>
          <cell r="Q461">
            <v>2.9703159674330019E-2</v>
          </cell>
          <cell r="R461">
            <v>2.0800633067988857E-2</v>
          </cell>
          <cell r="S461">
            <v>2.52300425159858E-2</v>
          </cell>
          <cell r="T461">
            <v>2.4086910059200956E-2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 t="str">
            <v>GENERALPRORAMMEMANAGEMENTFORYEAR1</v>
          </cell>
          <cell r="D462">
            <v>153400994</v>
          </cell>
          <cell r="E462">
            <v>0.1801498829633007</v>
          </cell>
          <cell r="F462">
            <v>0.95646339090008503</v>
          </cell>
          <cell r="G462">
            <v>3.9146709945276428E-2</v>
          </cell>
          <cell r="H462">
            <v>6.095041695930168E-2</v>
          </cell>
          <cell r="I462">
            <v>7.0428507386747607E-2</v>
          </cell>
          <cell r="J462">
            <v>6.6561367259328375E-2</v>
          </cell>
          <cell r="K462">
            <v>7.926265699272371E-2</v>
          </cell>
          <cell r="L462">
            <v>8.3088698185230278E-2</v>
          </cell>
          <cell r="M462">
            <v>9.521891591770057E-2</v>
          </cell>
          <cell r="N462">
            <v>0.11124858679280358</v>
          </cell>
          <cell r="O462">
            <v>9.5076277310104845E-2</v>
          </cell>
          <cell r="P462">
            <v>9.2504673757843159E-2</v>
          </cell>
          <cell r="Q462">
            <v>9.4743690313493487E-2</v>
          </cell>
          <cell r="R462">
            <v>6.6347444491613658E-2</v>
          </cell>
          <cell r="S462">
            <v>1.8854455879175629E-3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 t="str">
            <v>ORGANIZATION&amp;GOVERNANCE</v>
          </cell>
          <cell r="D463">
            <v>32081</v>
          </cell>
          <cell r="E463">
            <v>3.6928903528503625E-5</v>
          </cell>
          <cell r="F463">
            <v>1.0000000000000002</v>
          </cell>
          <cell r="G463">
            <v>0.21215049406190581</v>
          </cell>
          <cell r="H463">
            <v>0.78788067703625209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-3.1171098157822619E-5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 t="str">
            <v>GY1-1030</v>
          </cell>
          <cell r="C464" t="str">
            <v>Identifying various Stakeholders and their Coordination</v>
          </cell>
          <cell r="D464">
            <v>23201</v>
          </cell>
          <cell r="E464">
            <v>2.6707006974994936E-5</v>
          </cell>
          <cell r="F464">
            <v>1</v>
          </cell>
          <cell r="G464">
            <v>0.29334942459376756</v>
          </cell>
          <cell r="H464">
            <v>0.70669367699668129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-4.3101590448735294E-5</v>
          </cell>
          <cell r="T464">
            <v>0</v>
          </cell>
        </row>
        <row r="465">
          <cell r="B465" t="str">
            <v>GY1-1280</v>
          </cell>
          <cell r="C465" t="str">
            <v>Establishing a Process for Issue resolution and decision making (Preparation of RACI Chart (Resp., Appr., Inf., Consu.)</v>
          </cell>
          <cell r="D465">
            <v>8880</v>
          </cell>
          <cell r="E465">
            <v>1.0221896553508687E-5</v>
          </cell>
          <cell r="F465">
            <v>1</v>
          </cell>
          <cell r="G465">
            <v>0</v>
          </cell>
          <cell r="H465">
            <v>1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</row>
        <row r="466">
          <cell r="B466" t="str">
            <v>PROGRAMCONTROLS</v>
          </cell>
          <cell r="D466">
            <v>153368913</v>
          </cell>
          <cell r="E466">
            <v>6.7955003678355566E-2</v>
          </cell>
          <cell r="F466">
            <v>0.8988648035049982</v>
          </cell>
          <cell r="G466">
            <v>1.921194796966235E-3</v>
          </cell>
          <cell r="H466">
            <v>2.8423133159807629E-2</v>
          </cell>
          <cell r="I466">
            <v>4.1606141616767678E-2</v>
          </cell>
          <cell r="J466">
            <v>3.6315724453276549E-2</v>
          </cell>
          <cell r="K466">
            <v>7.1765610304837912E-2</v>
          </cell>
          <cell r="L466">
            <v>6.9050061018126552E-2</v>
          </cell>
          <cell r="M466">
            <v>0.11729538270061117</v>
          </cell>
          <cell r="N466">
            <v>0.14875897906933344</v>
          </cell>
          <cell r="O466">
            <v>0.12215941915737273</v>
          </cell>
          <cell r="P466">
            <v>0.10318489329988398</v>
          </cell>
          <cell r="Q466">
            <v>0.10815363195950979</v>
          </cell>
          <cell r="R466">
            <v>4.9792393707656792E-2</v>
          </cell>
          <cell r="S466">
            <v>4.3823826084778459E-4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 t="str">
            <v>SCHEDULEMANAGEMENT</v>
          </cell>
          <cell r="D467">
            <v>1256414</v>
          </cell>
          <cell r="E467">
            <v>1.4462763441869442E-3</v>
          </cell>
          <cell r="F467">
            <v>0.99999999999999989</v>
          </cell>
          <cell r="G467">
            <v>2.3559113476927188E-3</v>
          </cell>
          <cell r="H467">
            <v>0</v>
          </cell>
          <cell r="I467">
            <v>8.3180384809465657E-2</v>
          </cell>
          <cell r="J467">
            <v>0.15505637472998549</v>
          </cell>
          <cell r="K467">
            <v>0.15734224547004408</v>
          </cell>
          <cell r="L467">
            <v>0.152432239691694</v>
          </cell>
          <cell r="M467">
            <v>0.12218106452172608</v>
          </cell>
          <cell r="N467">
            <v>0.1141773332675376</v>
          </cell>
          <cell r="O467">
            <v>8.1811409296617191E-2</v>
          </cell>
          <cell r="P467">
            <v>6.9168283702664868E-2</v>
          </cell>
          <cell r="Q467">
            <v>3.923865859501724E-2</v>
          </cell>
          <cell r="R467">
            <v>2.2209239947978934E-2</v>
          </cell>
          <cell r="S467">
            <v>8.4685461957603812E-4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</row>
        <row r="468">
          <cell r="B468" t="str">
            <v>GY1-1010</v>
          </cell>
          <cell r="C468" t="str">
            <v>Ensuring inclusion of Deliverables &amp; Milestones</v>
          </cell>
          <cell r="D468">
            <v>2960</v>
          </cell>
          <cell r="E468">
            <v>3.4072988511695622E-6</v>
          </cell>
          <cell r="F468">
            <v>1</v>
          </cell>
          <cell r="G468">
            <v>1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</row>
        <row r="469">
          <cell r="B469" t="str">
            <v>GY1-1470</v>
          </cell>
          <cell r="C469" t="str">
            <v>Ensuring Implementation of Change Management Processes (wrt Schedule)</v>
          </cell>
          <cell r="D469">
            <v>520494</v>
          </cell>
          <cell r="E469">
            <v>5.9914817845967909E-4</v>
          </cell>
          <cell r="F469">
            <v>1</v>
          </cell>
          <cell r="G469">
            <v>0</v>
          </cell>
          <cell r="H469">
            <v>0</v>
          </cell>
          <cell r="I469">
            <v>9.6694678516947366E-2</v>
          </cell>
          <cell r="J469">
            <v>0.18024799517381562</v>
          </cell>
          <cell r="K469">
            <v>0.15173469819056512</v>
          </cell>
          <cell r="L469">
            <v>0.14404969125484637</v>
          </cell>
          <cell r="M469">
            <v>0.11636445376891952</v>
          </cell>
          <cell r="N469">
            <v>0.10785138733587707</v>
          </cell>
          <cell r="O469">
            <v>7.7437972387770088E-2</v>
          </cell>
          <cell r="P469">
            <v>6.6694332691635258E-2</v>
          </cell>
          <cell r="Q469">
            <v>3.6693986866323143E-2</v>
          </cell>
          <cell r="R469">
            <v>2.1404665567710677E-2</v>
          </cell>
          <cell r="S469">
            <v>8.2613824558974702E-4</v>
          </cell>
          <cell r="T469">
            <v>0</v>
          </cell>
        </row>
        <row r="470">
          <cell r="B470" t="str">
            <v>GY1-1480</v>
          </cell>
          <cell r="C470" t="str">
            <v>Monitoring perceived viability of the Contractor Schedule &amp; Prepare alternatives</v>
          </cell>
          <cell r="D470">
            <v>560320</v>
          </cell>
          <cell r="E470">
            <v>6.4499246361058422E-4</v>
          </cell>
          <cell r="F470">
            <v>1</v>
          </cell>
          <cell r="G470">
            <v>0</v>
          </cell>
          <cell r="H470">
            <v>0</v>
          </cell>
          <cell r="I470">
            <v>9.6694745859508838E-2</v>
          </cell>
          <cell r="J470">
            <v>0.18024878640776698</v>
          </cell>
          <cell r="K470">
            <v>0.15173472301541974</v>
          </cell>
          <cell r="L470">
            <v>0.1440498286693318</v>
          </cell>
          <cell r="M470">
            <v>0.11636386350656766</v>
          </cell>
          <cell r="N470">
            <v>0.10785087093089663</v>
          </cell>
          <cell r="O470">
            <v>7.7437892632781252E-2</v>
          </cell>
          <cell r="P470">
            <v>6.6694031981724716E-2</v>
          </cell>
          <cell r="Q470">
            <v>3.6695102798400908E-2</v>
          </cell>
          <cell r="R470">
            <v>2.1405625356938893E-2</v>
          </cell>
          <cell r="S470">
            <v>8.2452884066253063E-4</v>
          </cell>
          <cell r="T470">
            <v>0</v>
          </cell>
        </row>
        <row r="471">
          <cell r="B471" t="str">
            <v>GY1-2020</v>
          </cell>
          <cell r="C471" t="str">
            <v>Maintaining the Program Master Schedule</v>
          </cell>
          <cell r="D471">
            <v>172640</v>
          </cell>
          <cell r="E471">
            <v>1.9872840326551122E-4</v>
          </cell>
          <cell r="F471">
            <v>1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0.19514596848934199</v>
          </cell>
          <cell r="L471">
            <v>0.20752432808155702</v>
          </cell>
          <cell r="M471">
            <v>0.16069277108433735</v>
          </cell>
          <cell r="N471">
            <v>0.15574026876737723</v>
          </cell>
          <cell r="O471">
            <v>0.11059430027803521</v>
          </cell>
          <cell r="P471">
            <v>8.5843373493975902E-2</v>
          </cell>
          <cell r="Q471">
            <v>5.5838739573679338E-2</v>
          </cell>
          <cell r="R471">
            <v>2.7623957367933275E-2</v>
          </cell>
          <cell r="S471">
            <v>9.9629286376268222E-4</v>
          </cell>
          <cell r="T471">
            <v>0</v>
          </cell>
        </row>
        <row r="472">
          <cell r="B472" t="str">
            <v>COSTMANAGEMENT</v>
          </cell>
          <cell r="D472">
            <v>313738</v>
          </cell>
          <cell r="E472">
            <v>3.6114835370548519E-4</v>
          </cell>
          <cell r="F472">
            <v>1</v>
          </cell>
          <cell r="G472">
            <v>3.9491550274432805E-3</v>
          </cell>
          <cell r="H472">
            <v>8.8854394431022055E-2</v>
          </cell>
          <cell r="I472">
            <v>6.3183293066188986E-2</v>
          </cell>
          <cell r="J472">
            <v>2.7424156461761079E-2</v>
          </cell>
          <cell r="K472">
            <v>3.072627478979276E-3</v>
          </cell>
          <cell r="L472">
            <v>0</v>
          </cell>
          <cell r="M472">
            <v>0</v>
          </cell>
          <cell r="N472">
            <v>0</v>
          </cell>
          <cell r="O472">
            <v>0.16065953120119333</v>
          </cell>
          <cell r="P472">
            <v>0.20723342406721532</v>
          </cell>
          <cell r="Q472">
            <v>0.19420025626478146</v>
          </cell>
          <cell r="R472">
            <v>0.24850671579470768</v>
          </cell>
          <cell r="S472">
            <v>2.9164462067074667E-3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</row>
        <row r="473">
          <cell r="B473" t="str">
            <v>GY1-1090</v>
          </cell>
          <cell r="C473" t="str">
            <v>Assuming Responsibility for Cost Management in each Stage of Project</v>
          </cell>
          <cell r="D473">
            <v>58507</v>
          </cell>
          <cell r="E473">
            <v>6.7348254691005935E-5</v>
          </cell>
          <cell r="F473">
            <v>1</v>
          </cell>
          <cell r="G473">
            <v>2.1176953185088963E-2</v>
          </cell>
          <cell r="H473">
            <v>0.4764729006785513</v>
          </cell>
          <cell r="I473">
            <v>0.33881415898952266</v>
          </cell>
          <cell r="J473">
            <v>0.14705932623446766</v>
          </cell>
          <cell r="K473">
            <v>1.6476660912369462E-2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</row>
        <row r="474">
          <cell r="B474" t="str">
            <v>GY1-2340</v>
          </cell>
          <cell r="C474" t="str">
            <v>Preparing Costing for Design Submissions (For PPP Projects)</v>
          </cell>
          <cell r="D474">
            <v>172726</v>
          </cell>
          <cell r="E474">
            <v>1.988273991105114E-4</v>
          </cell>
          <cell r="F474">
            <v>1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0.29182057130947281</v>
          </cell>
          <cell r="P474">
            <v>0.37641698412514624</v>
          </cell>
          <cell r="Q474">
            <v>0.23492120468256086</v>
          </cell>
          <cell r="R474">
            <v>9.4704908351956288E-2</v>
          </cell>
          <cell r="S474">
            <v>2.1363315308637887E-3</v>
          </cell>
          <cell r="T474">
            <v>0</v>
          </cell>
        </row>
        <row r="475">
          <cell r="B475" t="str">
            <v>GY1-2490</v>
          </cell>
          <cell r="C475" t="str">
            <v>Preparing Cash Flow Estimate</v>
          </cell>
          <cell r="D475">
            <v>27698</v>
          </cell>
          <cell r="E475">
            <v>3.1883568776923834E-5</v>
          </cell>
          <cell r="F475">
            <v>1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0.36695790309769655</v>
          </cell>
          <cell r="R475">
            <v>0.62697667701639093</v>
          </cell>
          <cell r="S475">
            <v>6.0654198859124708E-3</v>
          </cell>
          <cell r="T475">
            <v>0</v>
          </cell>
        </row>
        <row r="476">
          <cell r="B476" t="str">
            <v>GY1-2580</v>
          </cell>
          <cell r="C476" t="str">
            <v>Prepare complete life-cycle cost analysis</v>
          </cell>
          <cell r="D476">
            <v>54807</v>
          </cell>
          <cell r="E476">
            <v>6.3089131127043989E-5</v>
          </cell>
          <cell r="F476">
            <v>1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0.1858704180122977</v>
          </cell>
          <cell r="R476">
            <v>0.807232652763333</v>
          </cell>
          <cell r="S476">
            <v>6.8969292243692415E-3</v>
          </cell>
          <cell r="T476">
            <v>0</v>
          </cell>
        </row>
        <row r="477">
          <cell r="B477" t="str">
            <v>DOCUMENTCONTROL</v>
          </cell>
          <cell r="D477">
            <v>183725</v>
          </cell>
          <cell r="E477">
            <v>2.9075885456691507E-4</v>
          </cell>
          <cell r="F477">
            <v>0.99999999999999978</v>
          </cell>
          <cell r="G477">
            <v>0</v>
          </cell>
          <cell r="H477">
            <v>1.5333209284648182E-2</v>
          </cell>
          <cell r="I477">
            <v>0.2491201121188967</v>
          </cell>
          <cell r="J477">
            <v>0.17005491133818176</v>
          </cell>
          <cell r="K477">
            <v>0.12035757693327896</v>
          </cell>
          <cell r="L477">
            <v>0.11412611000479039</v>
          </cell>
          <cell r="M477">
            <v>9.0716539516764394E-2</v>
          </cell>
          <cell r="N477">
            <v>8.5656936762883593E-2</v>
          </cell>
          <cell r="O477">
            <v>6.0418308002327892E-2</v>
          </cell>
          <cell r="P477">
            <v>4.8474003222626481E-2</v>
          </cell>
          <cell r="Q477">
            <v>3.0242805506178017E-2</v>
          </cell>
          <cell r="R477">
            <v>1.5424266298215677E-2</v>
          </cell>
          <cell r="S477">
            <v>7.5221011207778836E-5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</row>
        <row r="478">
          <cell r="B478" t="str">
            <v>GY1-1390</v>
          </cell>
          <cell r="C478" t="str">
            <v>Implementing Electronic Document Management System (EDMS)</v>
          </cell>
          <cell r="D478">
            <v>17216</v>
          </cell>
          <cell r="E478">
            <v>5.9452760495001878E-5</v>
          </cell>
          <cell r="F478">
            <v>1</v>
          </cell>
          <cell r="G478">
            <v>0</v>
          </cell>
          <cell r="H478">
            <v>7.4988382899628253E-2</v>
          </cell>
          <cell r="I478">
            <v>0.92501161710037172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</row>
        <row r="479">
          <cell r="B479" t="str">
            <v>GY1-1510</v>
          </cell>
          <cell r="C479" t="str">
            <v>Implementing Documentation Handling &amp; Control Procedure</v>
          </cell>
          <cell r="D479">
            <v>17216</v>
          </cell>
          <cell r="E479">
            <v>5.9452760495001878E-5</v>
          </cell>
          <cell r="F479">
            <v>1</v>
          </cell>
          <cell r="G479">
            <v>0</v>
          </cell>
          <cell r="H479">
            <v>0</v>
          </cell>
          <cell r="I479">
            <v>0.29333178438661711</v>
          </cell>
          <cell r="J479">
            <v>0.70666821561338289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</row>
        <row r="480">
          <cell r="B480" t="str">
            <v>GY1-1710</v>
          </cell>
          <cell r="C480" t="str">
            <v>Training of Program Staff for Documentation Handling &amp; Control</v>
          </cell>
          <cell r="D480">
            <v>149293</v>
          </cell>
          <cell r="E480">
            <v>1.7185333357691129E-4</v>
          </cell>
          <cell r="F480">
            <v>1</v>
          </cell>
          <cell r="G480">
            <v>0</v>
          </cell>
          <cell r="H480">
            <v>0</v>
          </cell>
          <cell r="I480">
            <v>0</v>
          </cell>
          <cell r="J480">
            <v>4.3243822550287025E-2</v>
          </cell>
          <cell r="K480">
            <v>0.20363312412504272</v>
          </cell>
          <cell r="L480">
            <v>0.19309009799521748</v>
          </cell>
          <cell r="M480">
            <v>0.15348341851258937</v>
          </cell>
          <cell r="N480">
            <v>0.14492307074008831</v>
          </cell>
          <cell r="O480">
            <v>0.10222180544298796</v>
          </cell>
          <cell r="P480">
            <v>8.2013222321207307E-2</v>
          </cell>
          <cell r="Q480">
            <v>5.1167837741890106E-2</v>
          </cell>
          <cell r="R480">
            <v>2.609633405451026E-2</v>
          </cell>
          <cell r="S480">
            <v>1.2726651617933626E-4</v>
          </cell>
          <cell r="T480">
            <v>0</v>
          </cell>
        </row>
        <row r="481">
          <cell r="B481" t="str">
            <v>RISKMANAGEMENT</v>
          </cell>
          <cell r="D481">
            <v>1190978</v>
          </cell>
          <cell r="E481">
            <v>2.0501981943816909E-3</v>
          </cell>
          <cell r="F481">
            <v>0.99999999999999989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0.80071193758755332</v>
          </cell>
          <cell r="R481">
            <v>0.1992863780175233</v>
          </cell>
          <cell r="S481">
            <v>1.6843949232414728E-6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</row>
        <row r="482">
          <cell r="B482" t="str">
            <v>GY1-2190</v>
          </cell>
          <cell r="C482" t="str">
            <v>Risk Identification</v>
          </cell>
          <cell r="D482">
            <v>866165</v>
          </cell>
          <cell r="E482">
            <v>9.9705507075110934E-4</v>
          </cell>
          <cell r="F482">
            <v>1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1</v>
          </cell>
          <cell r="R482">
            <v>0</v>
          </cell>
          <cell r="S482">
            <v>0</v>
          </cell>
          <cell r="T482">
            <v>0</v>
          </cell>
        </row>
        <row r="483">
          <cell r="B483" t="str">
            <v>GY1-2670</v>
          </cell>
          <cell r="C483" t="str">
            <v>Developing a systematic risk (Internal / External) management Plan/Strategy</v>
          </cell>
          <cell r="D483">
            <v>259850</v>
          </cell>
          <cell r="E483">
            <v>8.9735129034771365E-4</v>
          </cell>
          <cell r="F483">
            <v>1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0.71829517029055223</v>
          </cell>
          <cell r="R483">
            <v>0.28170098133538579</v>
          </cell>
          <cell r="S483">
            <v>3.8483740619765783E-6</v>
          </cell>
          <cell r="T483">
            <v>0</v>
          </cell>
        </row>
        <row r="484">
          <cell r="B484" t="str">
            <v>GY1-3620</v>
          </cell>
          <cell r="C484" t="str">
            <v>Conduct Risk Assessment Workshop with various Stakeholders</v>
          </cell>
          <cell r="D484">
            <v>5414</v>
          </cell>
          <cell r="E484">
            <v>1.8696401331316228E-5</v>
          </cell>
          <cell r="F484">
            <v>1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1</v>
          </cell>
          <cell r="S484">
            <v>0</v>
          </cell>
          <cell r="T484">
            <v>0</v>
          </cell>
        </row>
        <row r="485">
          <cell r="B485" t="str">
            <v>GY1-3630</v>
          </cell>
          <cell r="C485" t="str">
            <v>Tracking &amp; Managing Significant Risks (Internal &amp; External) ie Risk identification, Analysis, Evaluation, Treatment</v>
          </cell>
          <cell r="D485">
            <v>59549</v>
          </cell>
          <cell r="E485">
            <v>1.3709543195155154E-4</v>
          </cell>
          <cell r="F485">
            <v>1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1</v>
          </cell>
          <cell r="S485">
            <v>0</v>
          </cell>
          <cell r="T485">
            <v>0</v>
          </cell>
        </row>
        <row r="486">
          <cell r="B486" t="str">
            <v>SCOPE&amp;CHANGEMANAGEMENT</v>
          </cell>
          <cell r="D486">
            <v>660171</v>
          </cell>
          <cell r="E486">
            <v>7.5993239522819636E-4</v>
          </cell>
          <cell r="F486">
            <v>0.99999999999999989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0.12384972984272256</v>
          </cell>
          <cell r="R486">
            <v>0.87192560715329803</v>
          </cell>
          <cell r="S486">
            <v>4.22466300397929E-3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</row>
        <row r="487">
          <cell r="B487" t="str">
            <v>GY1-2540</v>
          </cell>
          <cell r="C487" t="str">
            <v>Creating and Implementing Internal Change Management Plan / System</v>
          </cell>
          <cell r="D487">
            <v>81762</v>
          </cell>
          <cell r="E487">
            <v>9.4117421847745192E-5</v>
          </cell>
          <cell r="F487">
            <v>1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1</v>
          </cell>
          <cell r="R487">
            <v>0</v>
          </cell>
          <cell r="S487">
            <v>0</v>
          </cell>
          <cell r="T487">
            <v>0</v>
          </cell>
        </row>
        <row r="488">
          <cell r="B488" t="str">
            <v>GY1-2760</v>
          </cell>
          <cell r="C488" t="str">
            <v>Reviewing and Updating Internal Change Management Plan / System</v>
          </cell>
          <cell r="D488">
            <v>99745</v>
          </cell>
          <cell r="E488">
            <v>1.1481791348307703E-4</v>
          </cell>
          <cell r="F488">
            <v>1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0.9990074690460673</v>
          </cell>
          <cell r="S488">
            <v>9.9253095393270208E-4</v>
          </cell>
          <cell r="T488">
            <v>0</v>
          </cell>
        </row>
        <row r="489">
          <cell r="B489" t="str">
            <v>GY1-2770</v>
          </cell>
          <cell r="C489" t="str">
            <v>Assessing any Change Request</v>
          </cell>
          <cell r="D489">
            <v>99745</v>
          </cell>
          <cell r="E489">
            <v>1.1481791348307703E-4</v>
          </cell>
          <cell r="F489">
            <v>1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0.99231039149832068</v>
          </cell>
          <cell r="S489">
            <v>7.6896085016793236E-3</v>
          </cell>
          <cell r="T489">
            <v>0</v>
          </cell>
        </row>
        <row r="490">
          <cell r="B490" t="str">
            <v>GY1-2780</v>
          </cell>
          <cell r="C490" t="str">
            <v>Monitoring Changes &amp; Its Processing</v>
          </cell>
          <cell r="D490">
            <v>169379</v>
          </cell>
          <cell r="E490">
            <v>1.9497461895684099E-4</v>
          </cell>
          <cell r="F490">
            <v>1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0.99230719274526369</v>
          </cell>
          <cell r="S490">
            <v>7.6928072547363113E-3</v>
          </cell>
          <cell r="T490">
            <v>0</v>
          </cell>
        </row>
        <row r="491">
          <cell r="B491" t="str">
            <v>GY1-2790</v>
          </cell>
          <cell r="C491" t="str">
            <v>Advising DMICDC on matters affecting the project budget</v>
          </cell>
          <cell r="D491">
            <v>209540</v>
          </cell>
          <cell r="E491">
            <v>2.4120452745745612E-4</v>
          </cell>
          <cell r="F491">
            <v>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0.99704113773026626</v>
          </cell>
          <cell r="S491">
            <v>2.9588622697337419E-3</v>
          </cell>
          <cell r="T491">
            <v>0</v>
          </cell>
        </row>
        <row r="492">
          <cell r="B492" t="str">
            <v>PERFORMANCEMEASUREMENT</v>
          </cell>
          <cell r="D492">
            <v>886621</v>
          </cell>
          <cell r="E492">
            <v>1.0206022684874352E-3</v>
          </cell>
          <cell r="F492">
            <v>1</v>
          </cell>
          <cell r="G492">
            <v>1.7267806650192133E-3</v>
          </cell>
          <cell r="H492">
            <v>5.755221227559465E-2</v>
          </cell>
          <cell r="I492">
            <v>5.9584647780731567E-2</v>
          </cell>
          <cell r="J492">
            <v>5.3029422943963657E-2</v>
          </cell>
          <cell r="K492">
            <v>0.15822882607111721</v>
          </cell>
          <cell r="L492">
            <v>0.15592457205502691</v>
          </cell>
          <cell r="M492">
            <v>0.12687269983454036</v>
          </cell>
          <cell r="N492">
            <v>0.12212433497514721</v>
          </cell>
          <cell r="O492">
            <v>9.1889319111548226E-2</v>
          </cell>
          <cell r="P492">
            <v>7.7664526330867414E-2</v>
          </cell>
          <cell r="Q492">
            <v>5.8230066736519891E-2</v>
          </cell>
          <cell r="R492">
            <v>3.1643735034473583E-2</v>
          </cell>
          <cell r="S492">
            <v>5.528856185450258E-3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</row>
        <row r="493">
          <cell r="B493" t="str">
            <v>GY1-1230</v>
          </cell>
          <cell r="C493" t="str">
            <v>Assisting DMICDC in Preparing Program Status Reports</v>
          </cell>
          <cell r="D493">
            <v>239825</v>
          </cell>
          <cell r="E493">
            <v>2.7606602938572307E-4</v>
          </cell>
          <cell r="F493">
            <v>1</v>
          </cell>
          <cell r="G493">
            <v>6.3838215365370574E-3</v>
          </cell>
          <cell r="H493">
            <v>0.15957468987803605</v>
          </cell>
          <cell r="I493">
            <v>0.1635442510163661</v>
          </cell>
          <cell r="J493">
            <v>0.12773063692275619</v>
          </cell>
          <cell r="K493">
            <v>0.11297821328051705</v>
          </cell>
          <cell r="L493">
            <v>0.10907953716251433</v>
          </cell>
          <cell r="M493">
            <v>8.5816741373918481E-2</v>
          </cell>
          <cell r="N493">
            <v>7.9220264776399457E-2</v>
          </cell>
          <cell r="O493">
            <v>5.9714375065151669E-2</v>
          </cell>
          <cell r="P493">
            <v>5.0636922756176379E-2</v>
          </cell>
          <cell r="Q493">
            <v>2.6877931825289272E-2</v>
          </cell>
          <cell r="R493">
            <v>1.7729594495986659E-2</v>
          </cell>
          <cell r="S493">
            <v>7.1301991035133128E-4</v>
          </cell>
          <cell r="T493">
            <v>0</v>
          </cell>
        </row>
        <row r="494">
          <cell r="B494" t="str">
            <v>GY1-1830</v>
          </cell>
          <cell r="C494" t="str">
            <v>Tracking, Analyzing &amp; Reporting Project Cost, Schedule and Budget Information</v>
          </cell>
          <cell r="D494">
            <v>316296</v>
          </cell>
          <cell r="E494">
            <v>3.640929045370027E-4</v>
          </cell>
          <cell r="F494">
            <v>1</v>
          </cell>
          <cell r="G494">
            <v>0</v>
          </cell>
          <cell r="H494">
            <v>0</v>
          </cell>
          <cell r="I494">
            <v>0</v>
          </cell>
          <cell r="J494">
            <v>8.7797506133495198E-3</v>
          </cell>
          <cell r="K494">
            <v>0.20853567544325563</v>
          </cell>
          <cell r="L494">
            <v>0.20097630068037534</v>
          </cell>
          <cell r="M494">
            <v>0.15731782886916051</v>
          </cell>
          <cell r="N494">
            <v>0.1517059969142828</v>
          </cell>
          <cell r="O494">
            <v>0.10634026355059817</v>
          </cell>
          <cell r="P494">
            <v>8.4145863368490267E-2</v>
          </cell>
          <cell r="Q494">
            <v>5.414548397703417E-2</v>
          </cell>
          <cell r="R494">
            <v>2.7072741988517085E-2</v>
          </cell>
          <cell r="S494">
            <v>9.8009459493653139E-4</v>
          </cell>
          <cell r="T494">
            <v>0</v>
          </cell>
        </row>
        <row r="495">
          <cell r="B495" t="str">
            <v>GY1-2030</v>
          </cell>
          <cell r="C495" t="str">
            <v>Conducting Program Progress Review meetings</v>
          </cell>
          <cell r="D495">
            <v>172321</v>
          </cell>
          <cell r="E495">
            <v>1.9836119774742912E-4</v>
          </cell>
          <cell r="F495">
            <v>1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0.19514742834593576</v>
          </cell>
          <cell r="L495">
            <v>0.20752549021883576</v>
          </cell>
          <cell r="M495">
            <v>0.16069428566454463</v>
          </cell>
          <cell r="N495">
            <v>0.15574422154003284</v>
          </cell>
          <cell r="O495">
            <v>0.11059592272561092</v>
          </cell>
          <cell r="P495">
            <v>8.5839798979810922E-2</v>
          </cell>
          <cell r="Q495">
            <v>5.5843454947452721E-2</v>
          </cell>
          <cell r="R495">
            <v>2.7622866626818551E-2</v>
          </cell>
          <cell r="S495">
            <v>9.8653095095802001E-4</v>
          </cell>
          <cell r="T495">
            <v>0</v>
          </cell>
        </row>
        <row r="496">
          <cell r="B496" t="str">
            <v>MONTHLYPROGRESSREPORT</v>
          </cell>
          <cell r="D496">
            <v>158179</v>
          </cell>
          <cell r="E496">
            <v>1.8208213681728043E-4</v>
          </cell>
          <cell r="F496">
            <v>1.0000000000000002</v>
          </cell>
          <cell r="G496">
            <v>0</v>
          </cell>
          <cell r="H496">
            <v>8.064913800188396E-2</v>
          </cell>
          <cell r="I496">
            <v>8.602279695787686E-2</v>
          </cell>
          <cell r="J496">
            <v>8.602279695787686E-2</v>
          </cell>
          <cell r="K496">
            <v>8.602279695787686E-2</v>
          </cell>
          <cell r="L496">
            <v>8.064913800188396E-2</v>
          </cell>
          <cell r="M496">
            <v>9.1396455913869745E-2</v>
          </cell>
          <cell r="N496">
            <v>9.1396455913869745E-2</v>
          </cell>
          <cell r="O496">
            <v>9.1396455913869745E-2</v>
          </cell>
          <cell r="P496">
            <v>9.6776436821575579E-2</v>
          </cell>
          <cell r="Q496">
            <v>0.11653253592449063</v>
          </cell>
          <cell r="R496">
            <v>6.6260375903248861E-2</v>
          </cell>
          <cell r="S496">
            <v>2.6874616731677427E-2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</row>
        <row r="497">
          <cell r="B497" t="str">
            <v>GY1-1260</v>
          </cell>
          <cell r="C497" t="str">
            <v>Preparation of MPR for D+1 Month</v>
          </cell>
          <cell r="D497">
            <v>12757</v>
          </cell>
          <cell r="E497">
            <v>1.4684767379854766E-5</v>
          </cell>
          <cell r="F497">
            <v>1</v>
          </cell>
          <cell r="G497">
            <v>0</v>
          </cell>
          <cell r="H497">
            <v>1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</row>
        <row r="498">
          <cell r="B498" t="str">
            <v>GY1-1300</v>
          </cell>
          <cell r="C498" t="str">
            <v>Submission of MPR for D+1 Month</v>
          </cell>
          <cell r="D498">
            <v>850</v>
          </cell>
          <cell r="E498">
            <v>9.7844730523450276E-7</v>
          </cell>
          <cell r="F498">
            <v>1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1</v>
          </cell>
          <cell r="T498">
            <v>0</v>
          </cell>
        </row>
        <row r="499">
          <cell r="B499" t="str">
            <v>GY1-1410</v>
          </cell>
          <cell r="C499" t="str">
            <v>Preparation of MPR for D+2 Month</v>
          </cell>
          <cell r="D499">
            <v>13607</v>
          </cell>
          <cell r="E499">
            <v>1.5663214685089268E-5</v>
          </cell>
          <cell r="F499">
            <v>1</v>
          </cell>
          <cell r="G499">
            <v>0</v>
          </cell>
          <cell r="H499">
            <v>0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</row>
        <row r="500">
          <cell r="B500" t="str">
            <v>GY1-1450</v>
          </cell>
          <cell r="C500" t="str">
            <v>Submission of MPR for D+2 Month</v>
          </cell>
          <cell r="D500">
            <v>850</v>
          </cell>
          <cell r="E500">
            <v>9.7844730523450276E-7</v>
          </cell>
          <cell r="F500">
            <v>1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1</v>
          </cell>
          <cell r="T500">
            <v>0</v>
          </cell>
        </row>
        <row r="501">
          <cell r="B501" t="str">
            <v>GY1-1570</v>
          </cell>
          <cell r="C501" t="str">
            <v>Preparation of MPR for D+3 Month</v>
          </cell>
          <cell r="D501">
            <v>13607</v>
          </cell>
          <cell r="E501">
            <v>1.5663214685089268E-5</v>
          </cell>
          <cell r="F501">
            <v>1</v>
          </cell>
          <cell r="G501">
            <v>0</v>
          </cell>
          <cell r="H501">
            <v>0</v>
          </cell>
          <cell r="I501">
            <v>0</v>
          </cell>
          <cell r="J501">
            <v>1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</row>
        <row r="502">
          <cell r="B502" t="str">
            <v>GY1-1670</v>
          </cell>
          <cell r="C502" t="str">
            <v>Submission of MPR for D+3 Month</v>
          </cell>
          <cell r="D502">
            <v>850</v>
          </cell>
          <cell r="E502">
            <v>9.7844730523450276E-7</v>
          </cell>
          <cell r="F502">
            <v>1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1</v>
          </cell>
          <cell r="T502">
            <v>0</v>
          </cell>
        </row>
        <row r="503">
          <cell r="B503" t="str">
            <v>GY1-1990</v>
          </cell>
          <cell r="C503" t="str">
            <v>Preparation of MPR for D+4 Month</v>
          </cell>
          <cell r="D503">
            <v>13607</v>
          </cell>
          <cell r="E503">
            <v>1.5663214685089268E-5</v>
          </cell>
          <cell r="F503">
            <v>1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1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</row>
        <row r="504">
          <cell r="B504" t="str">
            <v>GY1-2130</v>
          </cell>
          <cell r="C504" t="str">
            <v>Submission of MPR for D+4 Month</v>
          </cell>
          <cell r="D504">
            <v>850</v>
          </cell>
          <cell r="E504">
            <v>9.7844730523450276E-7</v>
          </cell>
          <cell r="F504">
            <v>1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1</v>
          </cell>
          <cell r="T504">
            <v>0</v>
          </cell>
        </row>
        <row r="505">
          <cell r="B505" t="str">
            <v>GY1-2170</v>
          </cell>
          <cell r="C505" t="str">
            <v>Preparation of MPR for D+5 Month</v>
          </cell>
          <cell r="D505">
            <v>12757</v>
          </cell>
          <cell r="E505">
            <v>1.4684767379854766E-5</v>
          </cell>
          <cell r="F505">
            <v>1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1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</row>
        <row r="506">
          <cell r="B506" t="str">
            <v>GY1-2270</v>
          </cell>
          <cell r="C506" t="str">
            <v>Submission of MPR for D+5 Month</v>
          </cell>
          <cell r="D506">
            <v>850</v>
          </cell>
          <cell r="E506">
            <v>9.7844730523450276E-7</v>
          </cell>
          <cell r="F506">
            <v>1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1</v>
          </cell>
          <cell r="T506">
            <v>0</v>
          </cell>
        </row>
        <row r="507">
          <cell r="B507" t="str">
            <v>GY1-2300</v>
          </cell>
          <cell r="C507" t="str">
            <v>Preparation of MPR for D+6 Month</v>
          </cell>
          <cell r="D507">
            <v>13607</v>
          </cell>
          <cell r="E507">
            <v>1.5663214685089268E-5</v>
          </cell>
          <cell r="F507">
            <v>1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1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</row>
        <row r="508">
          <cell r="B508" t="str">
            <v>GY1-2350</v>
          </cell>
          <cell r="C508" t="str">
            <v>Submission of MPR for D+6 Month</v>
          </cell>
          <cell r="D508">
            <v>850</v>
          </cell>
          <cell r="E508">
            <v>9.7844730523450276E-7</v>
          </cell>
          <cell r="F508">
            <v>1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1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</row>
        <row r="509">
          <cell r="B509" t="str">
            <v>GY1-2400</v>
          </cell>
          <cell r="C509" t="str">
            <v>Preparation of MPR for D+7 Month</v>
          </cell>
          <cell r="D509">
            <v>13607</v>
          </cell>
          <cell r="E509">
            <v>1.5663214685089268E-5</v>
          </cell>
          <cell r="F509">
            <v>1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1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</row>
        <row r="510">
          <cell r="B510" t="str">
            <v>GY1-2470</v>
          </cell>
          <cell r="C510" t="str">
            <v>Submission of MPR for D+7 Month</v>
          </cell>
          <cell r="D510">
            <v>850</v>
          </cell>
          <cell r="E510">
            <v>9.7844730523450276E-7</v>
          </cell>
          <cell r="F510">
            <v>1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1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</row>
        <row r="511">
          <cell r="B511" t="str">
            <v>GY1-2500</v>
          </cell>
          <cell r="C511" t="str">
            <v>Preparation of MPR for D+8 Month</v>
          </cell>
          <cell r="D511">
            <v>13607</v>
          </cell>
          <cell r="E511">
            <v>1.5663214685089268E-5</v>
          </cell>
          <cell r="F511">
            <v>1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1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</row>
        <row r="512">
          <cell r="B512" t="str">
            <v>GY1-2560</v>
          </cell>
          <cell r="C512" t="str">
            <v>Submission of MPR for D+8 Month</v>
          </cell>
          <cell r="D512">
            <v>850</v>
          </cell>
          <cell r="E512">
            <v>9.7844730523450276E-7</v>
          </cell>
          <cell r="F512">
            <v>1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1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</row>
        <row r="513">
          <cell r="B513" t="str">
            <v>GY1-2610</v>
          </cell>
          <cell r="C513" t="str">
            <v>Preparation of MPR for D+9 Month</v>
          </cell>
          <cell r="D513">
            <v>14458</v>
          </cell>
          <cell r="E513">
            <v>1.6642813104800518E-5</v>
          </cell>
          <cell r="F513">
            <v>1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1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</row>
        <row r="514">
          <cell r="B514" t="str">
            <v>GY1-2660</v>
          </cell>
          <cell r="C514" t="str">
            <v>Submission of MPR for D+9 Month</v>
          </cell>
          <cell r="D514">
            <v>850</v>
          </cell>
          <cell r="E514">
            <v>9.7844730523450276E-7</v>
          </cell>
          <cell r="F514">
            <v>1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1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</row>
        <row r="515">
          <cell r="B515" t="str">
            <v>GY1-2740</v>
          </cell>
          <cell r="C515" t="str">
            <v>Preparation of MPR for D+10 Month</v>
          </cell>
          <cell r="D515">
            <v>12757</v>
          </cell>
          <cell r="E515">
            <v>1.4684767379854766E-5</v>
          </cell>
          <cell r="F515">
            <v>1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1</v>
          </cell>
          <cell r="R515">
            <v>0</v>
          </cell>
          <cell r="S515">
            <v>0</v>
          </cell>
          <cell r="T515">
            <v>0</v>
          </cell>
        </row>
        <row r="516">
          <cell r="B516" t="str">
            <v>GY1-2830</v>
          </cell>
          <cell r="C516" t="str">
            <v>Submission of MPR for D+10 Month</v>
          </cell>
          <cell r="D516">
            <v>850</v>
          </cell>
          <cell r="E516">
            <v>9.7844730523450276E-7</v>
          </cell>
          <cell r="F516">
            <v>1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1</v>
          </cell>
          <cell r="R516">
            <v>0</v>
          </cell>
          <cell r="S516">
            <v>0</v>
          </cell>
          <cell r="T516">
            <v>0</v>
          </cell>
        </row>
        <row r="517">
          <cell r="B517" t="str">
            <v>GY1-3060</v>
          </cell>
          <cell r="C517" t="str">
            <v>Preparation of MPR for D+11 Month</v>
          </cell>
          <cell r="D517">
            <v>14458</v>
          </cell>
          <cell r="E517">
            <v>1.6642813104800518E-5</v>
          </cell>
          <cell r="F517">
            <v>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0.33379443906487755</v>
          </cell>
          <cell r="R517">
            <v>0.66613639507539069</v>
          </cell>
          <cell r="S517">
            <v>6.9165859731823431E-5</v>
          </cell>
          <cell r="T517">
            <v>0</v>
          </cell>
        </row>
        <row r="518">
          <cell r="B518" t="str">
            <v>GY1-3640</v>
          </cell>
          <cell r="C518" t="str">
            <v>Submission of MPR for D+11 Month</v>
          </cell>
          <cell r="D518">
            <v>850</v>
          </cell>
          <cell r="E518">
            <v>9.7844730523450276E-7</v>
          </cell>
          <cell r="F518">
            <v>1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1</v>
          </cell>
          <cell r="S518">
            <v>0</v>
          </cell>
          <cell r="T518">
            <v>0</v>
          </cell>
        </row>
        <row r="519">
          <cell r="B519" t="str">
            <v>GY1-3660</v>
          </cell>
          <cell r="C519" t="str">
            <v>Preparation of MPR for D+12 Month</v>
          </cell>
          <cell r="D519">
            <v>0</v>
          </cell>
          <cell r="E519">
            <v>0</v>
          </cell>
          <cell r="F519">
            <v>0</v>
          </cell>
          <cell r="S519">
            <v>0</v>
          </cell>
          <cell r="T519">
            <v>0</v>
          </cell>
        </row>
        <row r="520">
          <cell r="B520" t="str">
            <v>GY1-3690</v>
          </cell>
          <cell r="C520" t="str">
            <v>Submission of MPR for D+12 Month</v>
          </cell>
          <cell r="D520">
            <v>0</v>
          </cell>
          <cell r="E520">
            <v>0</v>
          </cell>
          <cell r="F520">
            <v>0</v>
          </cell>
          <cell r="S520">
            <v>0</v>
          </cell>
          <cell r="T520">
            <v>0</v>
          </cell>
        </row>
        <row r="521">
          <cell r="B521" t="str">
            <v>INTERFACEMANAGEMENT</v>
          </cell>
          <cell r="D521">
            <v>3902621</v>
          </cell>
          <cell r="E521">
            <v>4.4923635303548001E-3</v>
          </cell>
          <cell r="F521">
            <v>1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0.20049961295242352</v>
          </cell>
          <cell r="O521">
            <v>0.19393479407813363</v>
          </cell>
          <cell r="P521">
            <v>0.15023749423784685</v>
          </cell>
          <cell r="Q521">
            <v>0.31189167485133712</v>
          </cell>
          <cell r="R521">
            <v>0.1409737199692207</v>
          </cell>
          <cell r="S521">
            <v>2.462703911038173E-3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</row>
        <row r="522">
          <cell r="B522" t="str">
            <v>GY1-2220</v>
          </cell>
          <cell r="C522" t="str">
            <v>Coordinating with the DMICDC regarding interface issues</v>
          </cell>
          <cell r="D522">
            <v>1251691</v>
          </cell>
          <cell r="E522">
            <v>1.4408396305132705E-3</v>
          </cell>
          <cell r="F522">
            <v>1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0.6714892093975271</v>
          </cell>
          <cell r="R522">
            <v>0.32425494790647208</v>
          </cell>
          <cell r="S522">
            <v>4.2558426960008777E-3</v>
          </cell>
          <cell r="T522">
            <v>0</v>
          </cell>
        </row>
        <row r="523">
          <cell r="B523" t="str">
            <v>GY1-2230</v>
          </cell>
          <cell r="C523" t="str">
            <v>Managing External interfaces with major stakeholders (Meetings)</v>
          </cell>
          <cell r="D523">
            <v>1325465</v>
          </cell>
          <cell r="E523">
            <v>1.5257619499207647E-3</v>
          </cell>
          <cell r="F523">
            <v>1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0.29516961971836303</v>
          </cell>
          <cell r="O523">
            <v>0.28550508689403342</v>
          </cell>
          <cell r="P523">
            <v>0.22117521020924735</v>
          </cell>
          <cell r="Q523">
            <v>0.14210031951051141</v>
          </cell>
          <cell r="R523">
            <v>5.44337270316455E-2</v>
          </cell>
          <cell r="S523">
            <v>1.6160366361992473E-3</v>
          </cell>
          <cell r="T523">
            <v>0</v>
          </cell>
        </row>
        <row r="524">
          <cell r="B524" t="str">
            <v>GY1-2240</v>
          </cell>
          <cell r="C524" t="str">
            <v>Managing interface between DMICDC / SPV / GOI &amp; PPP Concessionaire</v>
          </cell>
          <cell r="D524">
            <v>1325465</v>
          </cell>
          <cell r="E524">
            <v>1.5257619499207647E-3</v>
          </cell>
          <cell r="F524">
            <v>1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0.29516961971836303</v>
          </cell>
          <cell r="O524">
            <v>0.28550508689403342</v>
          </cell>
          <cell r="P524">
            <v>0.22117521020924735</v>
          </cell>
          <cell r="Q524">
            <v>0.14210031951051141</v>
          </cell>
          <cell r="R524">
            <v>5.44337270316455E-2</v>
          </cell>
          <cell r="S524">
            <v>1.6160366361992473E-3</v>
          </cell>
          <cell r="T524">
            <v>0</v>
          </cell>
        </row>
        <row r="525">
          <cell r="B525" t="str">
            <v>STAKEHOLDERMANAGEMENT</v>
          </cell>
          <cell r="D525">
            <v>931952</v>
          </cell>
          <cell r="E525">
            <v>1.0727834388328298E-3</v>
          </cell>
          <cell r="F525">
            <v>1</v>
          </cell>
          <cell r="G525">
            <v>0</v>
          </cell>
          <cell r="H525">
            <v>2.4325287139251805E-3</v>
          </cell>
          <cell r="I525">
            <v>2.6294272666403412E-2</v>
          </cell>
          <cell r="J525">
            <v>1.045762013494257E-2</v>
          </cell>
          <cell r="K525">
            <v>0.16568557178910501</v>
          </cell>
          <cell r="L525">
            <v>0.20616405136745236</v>
          </cell>
          <cell r="M525">
            <v>0.15762721685237008</v>
          </cell>
          <cell r="N525">
            <v>0.15352614726938724</v>
          </cell>
          <cell r="O525">
            <v>0.1103919515168163</v>
          </cell>
          <cell r="P525">
            <v>8.409660583377683E-2</v>
          </cell>
          <cell r="Q525">
            <v>5.5292547255652656E-2</v>
          </cell>
          <cell r="R525">
            <v>2.7066844644359364E-2</v>
          </cell>
          <cell r="S525">
            <v>9.6464195580897398E-4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</row>
        <row r="526">
          <cell r="B526" t="str">
            <v>GY1-1330</v>
          </cell>
          <cell r="C526" t="str">
            <v>Preparation of engagement strategy with private sector providers</v>
          </cell>
          <cell r="D526">
            <v>37147</v>
          </cell>
          <cell r="E526">
            <v>4.2760449467701262E-5</v>
          </cell>
          <cell r="F526">
            <v>1</v>
          </cell>
          <cell r="G526">
            <v>0</v>
          </cell>
          <cell r="H526">
            <v>6.1027808436751284E-2</v>
          </cell>
          <cell r="I526">
            <v>0.65967642070692101</v>
          </cell>
          <cell r="J526">
            <v>0.26236304412200173</v>
          </cell>
          <cell r="K526">
            <v>1.6959646808625189E-2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-2.6920074299274788E-5</v>
          </cell>
          <cell r="T526">
            <v>0</v>
          </cell>
        </row>
        <row r="527">
          <cell r="B527" t="str">
            <v>GY1-2010</v>
          </cell>
          <cell r="C527" t="str">
            <v>Implementation of stakeholder management and Coordination strategy</v>
          </cell>
          <cell r="D527">
            <v>769512</v>
          </cell>
          <cell r="E527">
            <v>8.8579640323013255E-4</v>
          </cell>
          <cell r="F527">
            <v>1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0.1718595681418873</v>
          </cell>
          <cell r="L527">
            <v>0.21472309723565061</v>
          </cell>
          <cell r="M527">
            <v>0.16417027934587114</v>
          </cell>
          <cell r="N527">
            <v>0.15990004054517667</v>
          </cell>
          <cell r="O527">
            <v>0.11497416544511325</v>
          </cell>
          <cell r="P527">
            <v>8.7587977835303407E-2</v>
          </cell>
          <cell r="Q527">
            <v>5.7588445664265152E-2</v>
          </cell>
          <cell r="R527">
            <v>2.819059351900945E-2</v>
          </cell>
          <cell r="S527">
            <v>1.0058322677229947E-3</v>
          </cell>
          <cell r="T527">
            <v>0</v>
          </cell>
        </row>
        <row r="528">
          <cell r="B528" t="str">
            <v>GY1-2040</v>
          </cell>
          <cell r="C528" t="str">
            <v>Initiation of Contacts with all governments and non governmental activity</v>
          </cell>
          <cell r="D528">
            <v>125293</v>
          </cell>
          <cell r="E528">
            <v>1.4422658613499594E-4</v>
          </cell>
          <cell r="F528">
            <v>1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0.17186115744694436</v>
          </cell>
          <cell r="L528">
            <v>0.21472069469164276</v>
          </cell>
          <cell r="M528">
            <v>0.16417517339356547</v>
          </cell>
          <cell r="N528">
            <v>0.15989720096094753</v>
          </cell>
          <cell r="O528">
            <v>0.11497849041845914</v>
          </cell>
          <cell r="P528">
            <v>8.7586696782741252E-2</v>
          </cell>
          <cell r="Q528">
            <v>5.7585020711452356E-2</v>
          </cell>
          <cell r="R528">
            <v>2.8189922820907789E-2</v>
          </cell>
          <cell r="S528">
            <v>1.0056427733394768E-3</v>
          </cell>
          <cell r="T528">
            <v>0</v>
          </cell>
        </row>
        <row r="529">
          <cell r="B529" t="str">
            <v>COMMUNICATIONS</v>
          </cell>
          <cell r="D529">
            <v>767140</v>
          </cell>
          <cell r="E529">
            <v>8.8306595969128991E-4</v>
          </cell>
          <cell r="F529">
            <v>0.99999999999999989</v>
          </cell>
          <cell r="G529">
            <v>3.678598430534192E-3</v>
          </cell>
          <cell r="H529">
            <v>6.164976405871158E-2</v>
          </cell>
          <cell r="I529">
            <v>0.16960268008446958</v>
          </cell>
          <cell r="J529">
            <v>0.15548139844096254</v>
          </cell>
          <cell r="K529">
            <v>0.1245730896576896</v>
          </cell>
          <cell r="L529">
            <v>0.12474776442370362</v>
          </cell>
          <cell r="M529">
            <v>9.8006882707198151E-2</v>
          </cell>
          <cell r="N529">
            <v>9.0997731835127868E-2</v>
          </cell>
          <cell r="O529">
            <v>6.4998566102667049E-2</v>
          </cell>
          <cell r="P529">
            <v>5.7892953046380057E-2</v>
          </cell>
          <cell r="Q529">
            <v>2.9424876815183666E-2</v>
          </cell>
          <cell r="R529">
            <v>1.8472508277498238E-2</v>
          </cell>
          <cell r="S529">
            <v>4.7318611987381249E-4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</row>
        <row r="530">
          <cell r="B530" t="str">
            <v>GY1-1070</v>
          </cell>
          <cell r="C530" t="str">
            <v>Developing a Program Communication Plan, Procedure and Flow Chart</v>
          </cell>
          <cell r="D530">
            <v>45857</v>
          </cell>
          <cell r="E530">
            <v>5.2786656560163048E-5</v>
          </cell>
          <cell r="F530">
            <v>1</v>
          </cell>
          <cell r="G530">
            <v>6.1539132520662058E-2</v>
          </cell>
          <cell r="H530">
            <v>0.91512746145626611</v>
          </cell>
          <cell r="I530">
            <v>2.3333406023071719E-2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1.1102230246251565E-16</v>
          </cell>
          <cell r="T530">
            <v>0</v>
          </cell>
        </row>
        <row r="531">
          <cell r="B531" t="str">
            <v>GY1-1360</v>
          </cell>
          <cell r="C531" t="str">
            <v>Scheduling Status Review Meeting and its Documentation</v>
          </cell>
          <cell r="D531">
            <v>219414</v>
          </cell>
          <cell r="E531">
            <v>2.5257063180085082E-4</v>
          </cell>
          <cell r="F531">
            <v>1</v>
          </cell>
          <cell r="G531">
            <v>0</v>
          </cell>
          <cell r="H531">
            <v>1.3955353806047014E-2</v>
          </cell>
          <cell r="I531">
            <v>0.1871302651608375</v>
          </cell>
          <cell r="J531">
            <v>0.16193588376311446</v>
          </cell>
          <cell r="K531">
            <v>0.13000082036697747</v>
          </cell>
          <cell r="L531">
            <v>0.13038821588412769</v>
          </cell>
          <cell r="M531">
            <v>0.102327107659493</v>
          </cell>
          <cell r="N531">
            <v>9.4807077032459178E-2</v>
          </cell>
          <cell r="O531">
            <v>6.7830676255845115E-2</v>
          </cell>
          <cell r="P531">
            <v>6.0698041145961522E-2</v>
          </cell>
          <cell r="Q531">
            <v>3.0699955335575665E-2</v>
          </cell>
          <cell r="R531">
            <v>1.9456370149580241E-2</v>
          </cell>
          <cell r="S531">
            <v>7.7023343998094962E-4</v>
          </cell>
          <cell r="T531">
            <v>0</v>
          </cell>
        </row>
        <row r="532">
          <cell r="B532" t="str">
            <v>GY1-1380</v>
          </cell>
          <cell r="C532" t="str">
            <v>Providing DMICDC with responses to public queries</v>
          </cell>
          <cell r="D532">
            <v>162441</v>
          </cell>
          <cell r="E532">
            <v>1.8698818671717394E-4</v>
          </cell>
          <cell r="F532">
            <v>1</v>
          </cell>
          <cell r="G532">
            <v>0</v>
          </cell>
          <cell r="H532">
            <v>1.3955836272862147E-2</v>
          </cell>
          <cell r="I532">
            <v>0.18713255889830768</v>
          </cell>
          <cell r="J532">
            <v>0.16193571819922309</v>
          </cell>
          <cell r="K532">
            <v>0.12999796849317599</v>
          </cell>
          <cell r="L532">
            <v>0.13038580161412452</v>
          </cell>
          <cell r="M532">
            <v>0.10232638311756269</v>
          </cell>
          <cell r="N532">
            <v>9.4803651787418203E-2</v>
          </cell>
          <cell r="O532">
            <v>6.7827703596998287E-2</v>
          </cell>
          <cell r="P532">
            <v>6.0698961469087237E-2</v>
          </cell>
          <cell r="Q532">
            <v>3.0700377367782767E-2</v>
          </cell>
          <cell r="R532">
            <v>1.9459372941560322E-2</v>
          </cell>
          <cell r="S532">
            <v>7.7566624189706612E-4</v>
          </cell>
          <cell r="T532">
            <v>0</v>
          </cell>
        </row>
        <row r="533">
          <cell r="B533" t="str">
            <v>GY1-1430</v>
          </cell>
          <cell r="C533" t="str">
            <v>Delivery &amp; Distribution of information / communication to various Stakeholders</v>
          </cell>
          <cell r="D533">
            <v>339428</v>
          </cell>
          <cell r="E533">
            <v>3.9072048461310214E-4</v>
          </cell>
          <cell r="F533">
            <v>1</v>
          </cell>
          <cell r="G533">
            <v>0</v>
          </cell>
          <cell r="H533">
            <v>0</v>
          </cell>
          <cell r="I533">
            <v>0.16964422499027776</v>
          </cell>
          <cell r="J533">
            <v>0.16922587411763318</v>
          </cell>
          <cell r="K533">
            <v>0.13529820757274</v>
          </cell>
          <cell r="L533">
            <v>0.13525696171205676</v>
          </cell>
          <cell r="M533">
            <v>0.10638780536667568</v>
          </cell>
          <cell r="N533">
            <v>9.9007742437276822E-2</v>
          </cell>
          <cell r="O533">
            <v>7.0595236692317653E-2</v>
          </cell>
          <cell r="P533">
            <v>6.2558186124892445E-2</v>
          </cell>
          <cell r="Q533">
            <v>3.1965542029532029E-2</v>
          </cell>
          <cell r="R533">
            <v>1.9859881918993124E-2</v>
          </cell>
          <cell r="S533">
            <v>2.0033703760446997E-4</v>
          </cell>
          <cell r="T533">
            <v>0</v>
          </cell>
        </row>
        <row r="534">
          <cell r="B534" t="str">
            <v>DELIVERYSYSTEMS</v>
          </cell>
          <cell r="D534">
            <v>143275553</v>
          </cell>
          <cell r="E534">
            <v>5.5577874338919982E-2</v>
          </cell>
          <cell r="F534">
            <v>0.87634211038876852</v>
          </cell>
          <cell r="G534">
            <v>2.1719158914469548E-3</v>
          </cell>
          <cell r="H534">
            <v>3.2011982321452997E-2</v>
          </cell>
          <cell r="I534">
            <v>4.269685825274603E-2</v>
          </cell>
          <cell r="J534">
            <v>3.5654307474394693E-2</v>
          </cell>
          <cell r="K534">
            <v>7.4920597402797537E-2</v>
          </cell>
          <cell r="L534">
            <v>7.1038844536769119E-2</v>
          </cell>
          <cell r="M534">
            <v>0.13283327322786423</v>
          </cell>
          <cell r="N534">
            <v>0.15560984931049374</v>
          </cell>
          <cell r="O534">
            <v>0.12534844395597877</v>
          </cell>
          <cell r="P534">
            <v>0.10665090006179556</v>
          </cell>
          <cell r="Q534">
            <v>7.0753063949816619E-2</v>
          </cell>
          <cell r="R534">
            <v>2.6542177511375102E-2</v>
          </cell>
          <cell r="S534">
            <v>1.0989649183720411E-4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</row>
        <row r="535">
          <cell r="B535" t="str">
            <v>PLANNING(REVIEWOFEXISTINGMASTERPLAN)(D+5MONTH)</v>
          </cell>
          <cell r="D535">
            <v>1905572</v>
          </cell>
          <cell r="E535">
            <v>3.3722520198105391E-3</v>
          </cell>
          <cell r="F535">
            <v>1</v>
          </cell>
          <cell r="G535">
            <v>3.3617062528971987E-2</v>
          </cell>
          <cell r="H535">
            <v>0.39856920200139684</v>
          </cell>
          <cell r="I535">
            <v>0</v>
          </cell>
          <cell r="J535">
            <v>0</v>
          </cell>
          <cell r="K535">
            <v>0.56781373546963121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-2.5441999886394056E-18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</row>
        <row r="536">
          <cell r="B536" t="str">
            <v>GY1-1040</v>
          </cell>
          <cell r="C536" t="str">
            <v>Providing input for Implementation of Environmental Clearances</v>
          </cell>
          <cell r="D536">
            <v>33567</v>
          </cell>
          <cell r="E536">
            <v>3.8639459640948879E-5</v>
          </cell>
          <cell r="F536">
            <v>1</v>
          </cell>
          <cell r="G536">
            <v>0.1799982125301636</v>
          </cell>
          <cell r="H536">
            <v>0.82000178746983665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-2.2204460492503131E-16</v>
          </cell>
          <cell r="T536">
            <v>0</v>
          </cell>
        </row>
        <row r="537">
          <cell r="B537" t="str">
            <v>GY1-1050</v>
          </cell>
          <cell r="C537" t="str">
            <v>Providing input for Obtaining Approval from Govt. Agencies, Implementation Authority, etc..</v>
          </cell>
          <cell r="D537">
            <v>1232546</v>
          </cell>
          <cell r="E537">
            <v>1.4188015438559593E-3</v>
          </cell>
          <cell r="F537">
            <v>1</v>
          </cell>
          <cell r="G537">
            <v>7.5000040566437276E-2</v>
          </cell>
          <cell r="H537">
            <v>0.92499995943356272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</row>
        <row r="538">
          <cell r="B538" t="str">
            <v>GY1-1730</v>
          </cell>
          <cell r="C538" t="str">
            <v>Providing input for Final Site Layout wrt approved Zonal Controls</v>
          </cell>
          <cell r="D538">
            <v>72809</v>
          </cell>
          <cell r="E538">
            <v>2.51434481812302E-4</v>
          </cell>
          <cell r="F538">
            <v>1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1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</row>
        <row r="539">
          <cell r="B539" t="str">
            <v>GY1-1740</v>
          </cell>
          <cell r="C539" t="str">
            <v>Providing input for Site Layout and Land use and Mix</v>
          </cell>
          <cell r="D539">
            <v>72809</v>
          </cell>
          <cell r="E539">
            <v>2.51434481812302E-4</v>
          </cell>
          <cell r="F539">
            <v>1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1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</row>
        <row r="540">
          <cell r="B540" t="str">
            <v>GY1-1750</v>
          </cell>
          <cell r="C540" t="str">
            <v>Providing input for Transportation &amp; its Connectivity</v>
          </cell>
          <cell r="D540">
            <v>43518</v>
          </cell>
          <cell r="E540">
            <v>1.5028259939715911E-4</v>
          </cell>
          <cell r="F540">
            <v>1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1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</row>
        <row r="541">
          <cell r="B541" t="str">
            <v>GY1-1760</v>
          </cell>
          <cell r="C541" t="str">
            <v>Providing input for Trunk Infrastructure for entire site &amp; MEP for ECC &amp; Arena</v>
          </cell>
          <cell r="D541">
            <v>322855</v>
          </cell>
          <cell r="E541">
            <v>1.1149291931699483E-3</v>
          </cell>
          <cell r="F541">
            <v>1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</row>
        <row r="542">
          <cell r="B542" t="str">
            <v>GY1-1770</v>
          </cell>
          <cell r="C542" t="str">
            <v>Providing input for Project Phasing</v>
          </cell>
          <cell r="D542">
            <v>69734</v>
          </cell>
          <cell r="E542">
            <v>8.0271816921438608E-5</v>
          </cell>
          <cell r="F542">
            <v>1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</row>
        <row r="543">
          <cell r="B543" t="str">
            <v>GY1-1780</v>
          </cell>
          <cell r="C543" t="str">
            <v>Providing input for Utility Capacity viz. Power, Water &amp; Waste Water Facilities</v>
          </cell>
          <cell r="D543">
            <v>57734</v>
          </cell>
          <cell r="E543">
            <v>6.645844320048092E-5</v>
          </cell>
          <cell r="F543">
            <v>1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1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</row>
        <row r="544">
          <cell r="B544" t="str">
            <v>SITECONTROL/MAPPING</v>
          </cell>
          <cell r="D544">
            <v>618187</v>
          </cell>
          <cell r="E544">
            <v>7.1160400503647234E-4</v>
          </cell>
          <cell r="F544">
            <v>1</v>
          </cell>
          <cell r="G544">
            <v>1.0322119358705376E-2</v>
          </cell>
          <cell r="H544">
            <v>0.37669184243602671</v>
          </cell>
          <cell r="I544">
            <v>0.12978435327821516</v>
          </cell>
          <cell r="J544">
            <v>0.40007149940066683</v>
          </cell>
          <cell r="K544">
            <v>1.9096163458629831E-2</v>
          </cell>
          <cell r="L544">
            <v>0</v>
          </cell>
          <cell r="M544">
            <v>0</v>
          </cell>
          <cell r="N544">
            <v>0</v>
          </cell>
          <cell r="O544">
            <v>2.4607440790569843E-2</v>
          </cell>
          <cell r="P544">
            <v>3.4499269638475098E-2</v>
          </cell>
          <cell r="Q544">
            <v>4.9273116387112629E-3</v>
          </cell>
          <cell r="R544">
            <v>0</v>
          </cell>
          <cell r="S544">
            <v>5.8076373497697186E-17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</row>
        <row r="545">
          <cell r="B545" t="str">
            <v>GY1-1080</v>
          </cell>
          <cell r="C545" t="str">
            <v>Determining Appropriate Technique, Equipment &amp; Materials as per Current Best Practices</v>
          </cell>
          <cell r="D545">
            <v>207370</v>
          </cell>
          <cell r="E545">
            <v>2.3870660904291629E-4</v>
          </cell>
          <cell r="F545">
            <v>1</v>
          </cell>
          <cell r="G545">
            <v>3.0771085499348986E-2</v>
          </cell>
          <cell r="H545">
            <v>0.63812026811978584</v>
          </cell>
          <cell r="I545">
            <v>0.31230650528041659</v>
          </cell>
          <cell r="J545">
            <v>1.8802141100448474E-2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1.1102230246251565E-16</v>
          </cell>
          <cell r="T545">
            <v>0</v>
          </cell>
        </row>
        <row r="546">
          <cell r="B546" t="str">
            <v>GY1-1290</v>
          </cell>
          <cell r="C546" t="str">
            <v>Identifying Stakeholder Requirements</v>
          </cell>
          <cell r="D546">
            <v>116007</v>
          </cell>
          <cell r="E546">
            <v>1.3353733710392819E-4</v>
          </cell>
          <cell r="F546">
            <v>1</v>
          </cell>
          <cell r="G546">
            <v>0</v>
          </cell>
          <cell r="H546">
            <v>0.86666321859887752</v>
          </cell>
          <cell r="I546">
            <v>0.13333678140112235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1.1102230246251565E-16</v>
          </cell>
          <cell r="T546">
            <v>0</v>
          </cell>
        </row>
        <row r="547">
          <cell r="B547" t="str">
            <v>GY1-1620</v>
          </cell>
          <cell r="C547" t="str">
            <v>Providing a System to coordinate site Control &amp; Mapping Information</v>
          </cell>
          <cell r="D547">
            <v>85075</v>
          </cell>
          <cell r="E547">
            <v>9.793106410920626E-5</v>
          </cell>
          <cell r="F547">
            <v>1</v>
          </cell>
          <cell r="G547">
            <v>0</v>
          </cell>
          <cell r="H547">
            <v>0</v>
          </cell>
          <cell r="I547">
            <v>0</v>
          </cell>
          <cell r="J547">
            <v>0.95374669409344692</v>
          </cell>
          <cell r="K547">
            <v>4.6253305906553036E-2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</row>
        <row r="548">
          <cell r="B548" t="str">
            <v>GY1-1630</v>
          </cell>
          <cell r="C548" t="str">
            <v>Providing the Standards, Means and Method for Site Control &amp; Mapping</v>
          </cell>
          <cell r="D548">
            <v>85075</v>
          </cell>
          <cell r="E548">
            <v>9.793106410920626E-5</v>
          </cell>
          <cell r="F548">
            <v>1</v>
          </cell>
          <cell r="G548">
            <v>0</v>
          </cell>
          <cell r="H548">
            <v>0</v>
          </cell>
          <cell r="I548">
            <v>0</v>
          </cell>
          <cell r="J548">
            <v>0.95374669409344692</v>
          </cell>
          <cell r="K548">
            <v>4.6253305906553036E-2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</row>
        <row r="549">
          <cell r="B549" t="str">
            <v>GY1-1640</v>
          </cell>
          <cell r="C549" t="str">
            <v>Devising &amp; Maintaing a Horizontal &amp; Vertical Control System</v>
          </cell>
          <cell r="D549">
            <v>85075</v>
          </cell>
          <cell r="E549">
            <v>9.793106410920626E-5</v>
          </cell>
          <cell r="F549">
            <v>1</v>
          </cell>
          <cell r="G549">
            <v>0</v>
          </cell>
          <cell r="H549">
            <v>0</v>
          </cell>
          <cell r="I549">
            <v>0</v>
          </cell>
          <cell r="J549">
            <v>0.95374669409344692</v>
          </cell>
          <cell r="K549">
            <v>4.6253305906553036E-2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</row>
        <row r="550">
          <cell r="B550" t="str">
            <v>GY1-1650</v>
          </cell>
          <cell r="C550" t="str">
            <v>Collecting additional Data Types to Coordinate for various Services</v>
          </cell>
          <cell r="D550">
            <v>39585</v>
          </cell>
          <cell r="E550">
            <v>4.5566866562009165E-5</v>
          </cell>
          <cell r="F550">
            <v>1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0.38428697739042561</v>
          </cell>
          <cell r="P550">
            <v>0.53876468359226981</v>
          </cell>
          <cell r="Q550">
            <v>7.6948339017304523E-2</v>
          </cell>
          <cell r="R550">
            <v>0</v>
          </cell>
          <cell r="S550">
            <v>0</v>
          </cell>
          <cell r="T550">
            <v>0</v>
          </cell>
        </row>
        <row r="551">
          <cell r="B551" t="str">
            <v>DESIGNMANAGEMENT</v>
          </cell>
          <cell r="D551">
            <v>34967906</v>
          </cell>
          <cell r="E551">
            <v>4.0252062818109877E-2</v>
          </cell>
          <cell r="F551">
            <v>0.97584433566024809</v>
          </cell>
          <cell r="G551">
            <v>0</v>
          </cell>
          <cell r="H551">
            <v>2.3277344659986222E-3</v>
          </cell>
          <cell r="I551">
            <v>5.0944772043255898E-2</v>
          </cell>
          <cell r="J551">
            <v>3.6629302309380496E-2</v>
          </cell>
          <cell r="K551">
            <v>2.7592244156684702E-2</v>
          </cell>
          <cell r="L551">
            <v>8.738558722961566E-2</v>
          </cell>
          <cell r="M551">
            <v>0.17256949844237174</v>
          </cell>
          <cell r="N551">
            <v>0.20697190160600409</v>
          </cell>
          <cell r="O551">
            <v>0.16367605769702082</v>
          </cell>
          <cell r="P551">
            <v>0.12294425065086825</v>
          </cell>
          <cell r="Q551">
            <v>7.6552567946161831E-2</v>
          </cell>
          <cell r="R551">
            <v>2.8250390515234175E-2</v>
          </cell>
          <cell r="S551">
            <v>2.859765179097957E-8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</row>
        <row r="552">
          <cell r="B552" t="str">
            <v>GY1-1340</v>
          </cell>
          <cell r="C552" t="str">
            <v>Implementing technology and ICT innovations to be incorporated into the design of ECC</v>
          </cell>
          <cell r="D552">
            <v>331897</v>
          </cell>
          <cell r="E552">
            <v>3.8205144148872444E-4</v>
          </cell>
          <cell r="F552">
            <v>1</v>
          </cell>
          <cell r="G552">
            <v>0</v>
          </cell>
          <cell r="H552">
            <v>2.5712796439859353E-2</v>
          </cell>
          <cell r="I552">
            <v>0.3342844316158326</v>
          </cell>
          <cell r="J552">
            <v>0.24142731027999648</v>
          </cell>
          <cell r="K552">
            <v>0.179998614027846</v>
          </cell>
          <cell r="L552">
            <v>0.13428563680901001</v>
          </cell>
          <cell r="M552">
            <v>6.7141311913033241E-2</v>
          </cell>
          <cell r="N552">
            <v>1.7143872948535237E-2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6.025965887057616E-6</v>
          </cell>
          <cell r="T552">
            <v>0</v>
          </cell>
        </row>
        <row r="553">
          <cell r="B553" t="str">
            <v>GY1-1350</v>
          </cell>
          <cell r="C553" t="str">
            <v>Creating a set of Vision Documents for entire Design Development</v>
          </cell>
          <cell r="D553">
            <v>706211</v>
          </cell>
          <cell r="E553">
            <v>8.1292970573760399E-4</v>
          </cell>
          <cell r="F553">
            <v>1</v>
          </cell>
          <cell r="G553">
            <v>0</v>
          </cell>
          <cell r="H553">
            <v>2.5714694333563198E-2</v>
          </cell>
          <cell r="I553">
            <v>0.33428536230673267</v>
          </cell>
          <cell r="J553">
            <v>0.24142926122646066</v>
          </cell>
          <cell r="K553">
            <v>0.18000002832014797</v>
          </cell>
          <cell r="L553">
            <v>0.13428564550821215</v>
          </cell>
          <cell r="M553">
            <v>6.7142822754106074E-2</v>
          </cell>
          <cell r="N553">
            <v>1.7142185550777317E-2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</row>
        <row r="554">
          <cell r="B554" t="str">
            <v>GY1-1400</v>
          </cell>
          <cell r="C554" t="str">
            <v>Reviewing and Updating design Basis, Criteria &amp; Standards</v>
          </cell>
          <cell r="D554">
            <v>4254600</v>
          </cell>
          <cell r="E554">
            <v>4.8975316527655466E-3</v>
          </cell>
          <cell r="F554">
            <v>1</v>
          </cell>
          <cell r="G554">
            <v>0</v>
          </cell>
          <cell r="H554">
            <v>1.285714285714286E-2</v>
          </cell>
          <cell r="I554">
            <v>0.33714285714285724</v>
          </cell>
          <cell r="J554">
            <v>0.24214285714285716</v>
          </cell>
          <cell r="K554">
            <v>0.18285714285714286</v>
          </cell>
          <cell r="L554">
            <v>0.13642857142857145</v>
          </cell>
          <cell r="M554">
            <v>7.0000000000000007E-2</v>
          </cell>
          <cell r="N554">
            <v>1.8571428571428572E-2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</row>
        <row r="555">
          <cell r="B555" t="str">
            <v>GY1-1920</v>
          </cell>
          <cell r="C555" t="str">
            <v>Design coordination between project related consultants, government agencies and stakeholders</v>
          </cell>
          <cell r="D555">
            <v>5464054</v>
          </cell>
          <cell r="E555">
            <v>6.2897516611244769E-3</v>
          </cell>
          <cell r="F555">
            <v>1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0.24876401294716341</v>
          </cell>
          <cell r="M555">
            <v>0.20662918045831907</v>
          </cell>
          <cell r="N555">
            <v>0.19426967595854652</v>
          </cell>
          <cell r="O555">
            <v>0.14101123451561789</v>
          </cell>
          <cell r="P555">
            <v>0.10741566609700418</v>
          </cell>
          <cell r="Q555">
            <v>6.9775298706784381E-2</v>
          </cell>
          <cell r="R555">
            <v>3.2134748302267875E-2</v>
          </cell>
          <cell r="S555">
            <v>1.8301429671740976E-7</v>
          </cell>
          <cell r="T555">
            <v>0</v>
          </cell>
        </row>
        <row r="556">
          <cell r="B556" t="str">
            <v>GY1-1930</v>
          </cell>
          <cell r="C556" t="str">
            <v>Monitoring the Design Schedule &amp; Managing any Changes &amp; Delay</v>
          </cell>
          <cell r="D556">
            <v>583644</v>
          </cell>
          <cell r="E556">
            <v>6.7184105766621898E-4</v>
          </cell>
          <cell r="F556">
            <v>1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5.9210751759634292E-2</v>
          </cell>
          <cell r="M556">
            <v>0.27513175840066889</v>
          </cell>
          <cell r="N556">
            <v>0.24460458772813565</v>
          </cell>
          <cell r="O556">
            <v>0.18065807238659182</v>
          </cell>
          <cell r="P556">
            <v>0.13276243737620877</v>
          </cell>
          <cell r="Q556">
            <v>8.0131038783916211E-2</v>
          </cell>
          <cell r="R556">
            <v>2.749964019162366E-2</v>
          </cell>
          <cell r="S556">
            <v>1.7133732207463837E-6</v>
          </cell>
          <cell r="T556">
            <v>0</v>
          </cell>
        </row>
        <row r="557">
          <cell r="B557" t="str">
            <v>GY1-1940</v>
          </cell>
          <cell r="C557" t="str">
            <v>Initiating &amp; conducting all Design Value Engineering Workshop</v>
          </cell>
          <cell r="D557">
            <v>6759624</v>
          </cell>
          <cell r="E557">
            <v>7.7811010437629068E-3</v>
          </cell>
          <cell r="F557">
            <v>1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5.921054188812868E-2</v>
          </cell>
          <cell r="M557">
            <v>0.27513157536573035</v>
          </cell>
          <cell r="N557">
            <v>0.24460532124272</v>
          </cell>
          <cell r="O557">
            <v>0.18065782948874076</v>
          </cell>
          <cell r="P557">
            <v>0.13276315369020522</v>
          </cell>
          <cell r="Q557">
            <v>8.0131528025819174E-2</v>
          </cell>
          <cell r="R557">
            <v>2.7500050298655657E-2</v>
          </cell>
          <cell r="S557">
            <v>2.2204460492503131E-16</v>
          </cell>
          <cell r="T557">
            <v>0</v>
          </cell>
        </row>
        <row r="558">
          <cell r="B558" t="str">
            <v>GY1-1950</v>
          </cell>
          <cell r="C558" t="str">
            <v>Implementing a Stage Review Process to provide benefits of controlling Quality, Cost &amp; Schedule</v>
          </cell>
          <cell r="D558">
            <v>695273</v>
          </cell>
          <cell r="E558">
            <v>8.0033881559095094E-4</v>
          </cell>
          <cell r="F558">
            <v>1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5.9211273844950119E-2</v>
          </cell>
          <cell r="M558">
            <v>0.27513221425253104</v>
          </cell>
          <cell r="N558">
            <v>0.24460607559908126</v>
          </cell>
          <cell r="O558">
            <v>0.18065853269147517</v>
          </cell>
          <cell r="P558">
            <v>0.13276367700169575</v>
          </cell>
          <cell r="Q558">
            <v>8.0131113965305742E-2</v>
          </cell>
          <cell r="R558">
            <v>2.7499989212870345E-2</v>
          </cell>
          <cell r="S558">
            <v>-2.8765679094266972E-6</v>
          </cell>
          <cell r="T558">
            <v>0</v>
          </cell>
        </row>
        <row r="559">
          <cell r="B559" t="str">
            <v>GY1-1960</v>
          </cell>
          <cell r="C559" t="str">
            <v>Technical review and approval of Consultants and Contractors Designs</v>
          </cell>
          <cell r="D559">
            <v>8144469</v>
          </cell>
          <cell r="E559">
            <v>9.3752161713128758E-3</v>
          </cell>
          <cell r="F559">
            <v>1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5.9210489965644174E-2</v>
          </cell>
          <cell r="M559">
            <v>0.27513162613793485</v>
          </cell>
          <cell r="N559">
            <v>0.24460526524196974</v>
          </cell>
          <cell r="O559">
            <v>0.18065794099038257</v>
          </cell>
          <cell r="P559">
            <v>0.13276310585748438</v>
          </cell>
          <cell r="Q559">
            <v>8.0131559221356244E-2</v>
          </cell>
          <cell r="R559">
            <v>2.7500012585228082E-2</v>
          </cell>
          <cell r="S559">
            <v>-2.2204460492503131E-16</v>
          </cell>
          <cell r="T559">
            <v>0</v>
          </cell>
        </row>
        <row r="560">
          <cell r="B560" t="str">
            <v>GY1-1970</v>
          </cell>
          <cell r="C560" t="str">
            <v>Supervising and Overseeing the work of all bidders, contractors, vendors &amp; Supplier</v>
          </cell>
          <cell r="D560">
            <v>310324</v>
          </cell>
          <cell r="E560">
            <v>3.5721844888187272E-4</v>
          </cell>
          <cell r="F560">
            <v>1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5.9209084698573104E-2</v>
          </cell>
          <cell r="M560">
            <v>0.27513179773398122</v>
          </cell>
          <cell r="N560">
            <v>0.24460563797837101</v>
          </cell>
          <cell r="O560">
            <v>0.18065956870883335</v>
          </cell>
          <cell r="P560">
            <v>0.1327644655263531</v>
          </cell>
          <cell r="Q560">
            <v>8.0132377772908325E-2</v>
          </cell>
          <cell r="R560">
            <v>2.7500290019463532E-2</v>
          </cell>
          <cell r="S560">
            <v>-3.2224384838297482E-6</v>
          </cell>
          <cell r="T560">
            <v>0</v>
          </cell>
        </row>
        <row r="561">
          <cell r="B561" t="str">
            <v>GY1-2210</v>
          </cell>
          <cell r="C561" t="str">
            <v>Reviewing &amp; ensuring Costructability of the proposed Designs</v>
          </cell>
          <cell r="D561">
            <v>6873137</v>
          </cell>
          <cell r="E561">
            <v>7.9117675013618272E-3</v>
          </cell>
          <cell r="F561">
            <v>1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0.29749254234274691</v>
          </cell>
          <cell r="O561">
            <v>0.28709801652433231</v>
          </cell>
          <cell r="P561">
            <v>0.22151035255080759</v>
          </cell>
          <cell r="Q561">
            <v>0.14170981896621587</v>
          </cell>
          <cell r="R561">
            <v>5.2189269615897378E-2</v>
          </cell>
          <cell r="S561">
            <v>0</v>
          </cell>
          <cell r="T561">
            <v>0</v>
          </cell>
        </row>
        <row r="562">
          <cell r="B562" t="str">
            <v>GY1-2890</v>
          </cell>
          <cell r="C562" t="str">
            <v>Providing Design Coordination between PPP Concessionaires and all Stakeholders</v>
          </cell>
          <cell r="D562">
            <v>819816</v>
          </cell>
          <cell r="E562">
            <v>9.4370206586838717E-4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</row>
        <row r="563">
          <cell r="B563" t="str">
            <v>GY1-2900</v>
          </cell>
          <cell r="C563" t="str">
            <v>Coordinating Design &amp; Design issues between contractors</v>
          </cell>
          <cell r="D563">
            <v>24857</v>
          </cell>
          <cell r="E563">
            <v>2.8613252548487096E-5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</row>
        <row r="564">
          <cell r="B564" t="str">
            <v>PERMITS&amp;APPROVALS</v>
          </cell>
          <cell r="D564">
            <v>1913668</v>
          </cell>
          <cell r="E564">
            <v>2.2028509384864709E-3</v>
          </cell>
          <cell r="F564">
            <v>0.99999999999999989</v>
          </cell>
          <cell r="G564">
            <v>0</v>
          </cell>
          <cell r="H564">
            <v>0</v>
          </cell>
          <cell r="I564">
            <v>0</v>
          </cell>
          <cell r="J564">
            <v>8.6421469136757259E-2</v>
          </cell>
          <cell r="K564">
            <v>0.1873219388107028</v>
          </cell>
          <cell r="L564">
            <v>0.18451789965657575</v>
          </cell>
          <cell r="M564">
            <v>0.14742055570767759</v>
          </cell>
          <cell r="N564">
            <v>0.13974367549648109</v>
          </cell>
          <cell r="O564">
            <v>9.951882980746922E-2</v>
          </cell>
          <cell r="P564">
            <v>7.9833597050272043E-2</v>
          </cell>
          <cell r="Q564">
            <v>4.9310016157452598E-2</v>
          </cell>
          <cell r="R564">
            <v>2.5495540501278172E-2</v>
          </cell>
          <cell r="S564">
            <v>4.1647767533341658E-4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</row>
        <row r="565">
          <cell r="B565" t="str">
            <v>GY1-1600</v>
          </cell>
          <cell r="C565" t="str">
            <v>Ensuring the Process for obtaining the approval</v>
          </cell>
          <cell r="D565">
            <v>266532</v>
          </cell>
          <cell r="E565">
            <v>3.0680884371619114E-4</v>
          </cell>
          <cell r="F565">
            <v>1</v>
          </cell>
          <cell r="G565">
            <v>0</v>
          </cell>
          <cell r="H565">
            <v>0</v>
          </cell>
          <cell r="I565">
            <v>0</v>
          </cell>
          <cell r="J565">
            <v>0.18224828538411897</v>
          </cell>
          <cell r="K565">
            <v>0.17762219921060135</v>
          </cell>
          <cell r="L565">
            <v>0.15819488841865142</v>
          </cell>
          <cell r="M565">
            <v>0.13198415199675836</v>
          </cell>
          <cell r="N565">
            <v>0.12158765176414089</v>
          </cell>
          <cell r="O565">
            <v>8.7843110770939328E-2</v>
          </cell>
          <cell r="P565">
            <v>7.3083156994282111E-2</v>
          </cell>
          <cell r="Q565">
            <v>4.3083006918493837E-2</v>
          </cell>
          <cell r="R565">
            <v>2.3479357075323035E-2</v>
          </cell>
          <cell r="S565">
            <v>8.7419146669065473E-4</v>
          </cell>
          <cell r="T565">
            <v>0</v>
          </cell>
        </row>
        <row r="566">
          <cell r="B566" t="str">
            <v>GY1-1610</v>
          </cell>
          <cell r="C566" t="str">
            <v>Assisting DMICDC and Speciality 3rd Party Consultant in Approval Process</v>
          </cell>
          <cell r="D566">
            <v>640930</v>
          </cell>
          <cell r="E566">
            <v>7.3778380158111745E-4</v>
          </cell>
          <cell r="F566">
            <v>1</v>
          </cell>
          <cell r="G566">
            <v>0</v>
          </cell>
          <cell r="H566">
            <v>0</v>
          </cell>
          <cell r="I566">
            <v>0</v>
          </cell>
          <cell r="J566">
            <v>0.18224611111977909</v>
          </cell>
          <cell r="K566">
            <v>0.17762158113990603</v>
          </cell>
          <cell r="L566">
            <v>0.15819356247952193</v>
          </cell>
          <cell r="M566">
            <v>0.13198165166242803</v>
          </cell>
          <cell r="N566">
            <v>0.12158582060443418</v>
          </cell>
          <cell r="O566">
            <v>8.7841105892999233E-2</v>
          </cell>
          <cell r="P566">
            <v>7.3084424196090042E-2</v>
          </cell>
          <cell r="Q566">
            <v>4.3084268172811385E-2</v>
          </cell>
          <cell r="R566">
            <v>2.3479943207526558E-2</v>
          </cell>
          <cell r="S566">
            <v>8.8153152450343164E-4</v>
          </cell>
          <cell r="T566">
            <v>0</v>
          </cell>
        </row>
        <row r="567">
          <cell r="B567" t="str">
            <v>GY1-1720</v>
          </cell>
          <cell r="C567" t="str">
            <v>Preparing Monthly updates on Status of environmental and other regulatory approvals</v>
          </cell>
          <cell r="D567">
            <v>1006206</v>
          </cell>
          <cell r="E567">
            <v>1.1582582931891623E-3</v>
          </cell>
          <cell r="F567">
            <v>1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0.19607018841072307</v>
          </cell>
          <cell r="L567">
            <v>0.2082585474544974</v>
          </cell>
          <cell r="M567">
            <v>0.16134370099164586</v>
          </cell>
          <cell r="N567">
            <v>0.15611912471203712</v>
          </cell>
          <cell r="O567">
            <v>0.11005002951681862</v>
          </cell>
          <cell r="P567">
            <v>8.5920775666215476E-2</v>
          </cell>
          <cell r="Q567">
            <v>5.4925134614581914E-2</v>
          </cell>
          <cell r="R567">
            <v>2.7313492465757507E-2</v>
          </cell>
          <cell r="S567">
            <v>-9.9383227691873799E-7</v>
          </cell>
          <cell r="T567">
            <v>0</v>
          </cell>
        </row>
        <row r="568">
          <cell r="B568" t="str">
            <v>PROCUREMENT&amp;SUPPLYCHAINMANAGEMENT</v>
          </cell>
          <cell r="D568">
            <v>2355812</v>
          </cell>
          <cell r="E568">
            <v>2.8702843788212273E-3</v>
          </cell>
          <cell r="F568">
            <v>0.95303316685936901</v>
          </cell>
          <cell r="G568">
            <v>0</v>
          </cell>
          <cell r="H568">
            <v>0</v>
          </cell>
          <cell r="I568">
            <v>0</v>
          </cell>
          <cell r="J568">
            <v>3.10569592814549E-3</v>
          </cell>
          <cell r="K568">
            <v>0.22140315374117253</v>
          </cell>
          <cell r="L568">
            <v>8.4564442588940855E-3</v>
          </cell>
          <cell r="M568">
            <v>3.886972560069589E-2</v>
          </cell>
          <cell r="N568">
            <v>3.3391043772907215E-3</v>
          </cell>
          <cell r="O568">
            <v>4.9320969904346652E-2</v>
          </cell>
          <cell r="P568">
            <v>0.27114361718126817</v>
          </cell>
          <cell r="Q568">
            <v>0.2573881594540649</v>
          </cell>
          <cell r="R568">
            <v>9.8198784591673582E-2</v>
          </cell>
          <cell r="S568">
            <v>1.8075118218170833E-3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</row>
        <row r="569">
          <cell r="B569" t="str">
            <v>PROCUREMENTMANAGEMENT</v>
          </cell>
          <cell r="D569">
            <v>220467</v>
          </cell>
          <cell r="E569">
            <v>4.1225783647302861E-4</v>
          </cell>
          <cell r="F569">
            <v>0.67300035181968976</v>
          </cell>
          <cell r="G569">
            <v>0</v>
          </cell>
          <cell r="H569">
            <v>0</v>
          </cell>
          <cell r="I569">
            <v>0</v>
          </cell>
          <cell r="J569">
            <v>2.1622949812642057E-2</v>
          </cell>
          <cell r="K569">
            <v>0.17205099710167587</v>
          </cell>
          <cell r="L569">
            <v>5.8876745835404226E-2</v>
          </cell>
          <cell r="M569">
            <v>0.27062473124884817</v>
          </cell>
          <cell r="N569">
            <v>2.3248021712300844E-2</v>
          </cell>
          <cell r="O569">
            <v>4.8475727233636197E-2</v>
          </cell>
          <cell r="P569">
            <v>4.7277864957083582E-2</v>
          </cell>
          <cell r="Q569">
            <v>2.5833617209008817E-2</v>
          </cell>
          <cell r="R569">
            <v>4.9924889288486558E-3</v>
          </cell>
          <cell r="S569">
            <v>-2.7922197588742329E-6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</row>
        <row r="570">
          <cell r="B570" t="str">
            <v>GY1-1680</v>
          </cell>
          <cell r="C570" t="str">
            <v>Developing a Procurement Strategy</v>
          </cell>
          <cell r="D570">
            <v>9444</v>
          </cell>
          <cell r="E570">
            <v>1.0871125118393698E-5</v>
          </cell>
          <cell r="F570">
            <v>1</v>
          </cell>
          <cell r="G570">
            <v>0</v>
          </cell>
          <cell r="H570">
            <v>0</v>
          </cell>
          <cell r="I570">
            <v>0</v>
          </cell>
          <cell r="J570">
            <v>0.8199915290131301</v>
          </cell>
          <cell r="K570">
            <v>0.18000847098686998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</row>
        <row r="571">
          <cell r="B571" t="str">
            <v>GY1-1910</v>
          </cell>
          <cell r="C571" t="str">
            <v>Establishing an approach that provides certainty of delivery, Cost Efficiency and Compliance</v>
          </cell>
          <cell r="D571">
            <v>66428</v>
          </cell>
          <cell r="E571">
            <v>7.6466232461314761E-5</v>
          </cell>
          <cell r="F571">
            <v>1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0.90199915698199551</v>
          </cell>
          <cell r="L571">
            <v>9.8000843018004449E-2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</row>
        <row r="572">
          <cell r="B572" t="str">
            <v>GY1-2150</v>
          </cell>
          <cell r="C572" t="str">
            <v>Setting a Strategic Procurement Plan &amp; Manging the Procurement Timetable</v>
          </cell>
          <cell r="D572">
            <v>15740</v>
          </cell>
          <cell r="E572">
            <v>1.8118541863989495E-5</v>
          </cell>
          <cell r="F572">
            <v>1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0.92604828462515898</v>
          </cell>
          <cell r="M572">
            <v>7.401524777636595E-2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-6.3532401525012716E-5</v>
          </cell>
          <cell r="T572">
            <v>0</v>
          </cell>
        </row>
        <row r="573">
          <cell r="B573" t="str">
            <v>GY1-2290</v>
          </cell>
          <cell r="C573" t="str">
            <v>Developing an Appropriate Packaging Strategy</v>
          </cell>
          <cell r="D573">
            <v>52041</v>
          </cell>
          <cell r="E573">
            <v>1.1981029696872649E-4</v>
          </cell>
          <cell r="F573">
            <v>1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0.92000538037316726</v>
          </cell>
          <cell r="N573">
            <v>7.9994619626832686E-2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</row>
        <row r="574">
          <cell r="B574" t="str">
            <v>GY1-2370</v>
          </cell>
          <cell r="C574" t="str">
            <v>Setting up the Contract  - Strategy, Structure &amp; Procurement Options</v>
          </cell>
          <cell r="D574">
            <v>15111</v>
          </cell>
          <cell r="E574">
            <v>5.2183472574347891E-5</v>
          </cell>
          <cell r="F574">
            <v>1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0.38296605122096489</v>
          </cell>
          <cell r="P574">
            <v>0.37350274634372316</v>
          </cell>
          <cell r="Q574">
            <v>0.20408973595394084</v>
          </cell>
          <cell r="R574">
            <v>3.9441466481371187E-2</v>
          </cell>
          <cell r="S574">
            <v>0</v>
          </cell>
          <cell r="T574">
            <v>0</v>
          </cell>
        </row>
        <row r="575">
          <cell r="B575" t="str">
            <v>SELECTIONOFEPCCONTRACTORFORPHASEIDEVELOPMENT</v>
          </cell>
          <cell r="D575">
            <v>6295</v>
          </cell>
          <cell r="E575">
            <v>7.2462656311190513E-6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</row>
        <row r="576">
          <cell r="B576" t="str">
            <v>GY1-2910</v>
          </cell>
          <cell r="C576" t="str">
            <v>Selection of EPC Contractor for Exhibition Center</v>
          </cell>
          <cell r="D576">
            <v>1259</v>
          </cell>
          <cell r="E576">
            <v>1.4492531262238103E-6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</row>
        <row r="577">
          <cell r="B577" t="str">
            <v>GY1-2920</v>
          </cell>
          <cell r="C577" t="str">
            <v>Selection of EPC Contractor for Primary Trunk infrastructure and MEP Works</v>
          </cell>
          <cell r="D577">
            <v>1259</v>
          </cell>
          <cell r="E577">
            <v>1.4492531262238103E-6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</row>
        <row r="578">
          <cell r="B578" t="str">
            <v>GY1-2930</v>
          </cell>
          <cell r="C578" t="str">
            <v>Selection of EPC Contractor for Secondary Trunk Infrastructure and MEP Works</v>
          </cell>
          <cell r="D578">
            <v>1259</v>
          </cell>
          <cell r="E578">
            <v>1.4492531262238103E-6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</row>
        <row r="579">
          <cell r="B579" t="str">
            <v>GY1-2940</v>
          </cell>
          <cell r="C579" t="str">
            <v>Selection of EPC Contractor for Convention Center</v>
          </cell>
          <cell r="D579">
            <v>1259</v>
          </cell>
          <cell r="E579">
            <v>1.4492531262238103E-6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</row>
        <row r="580">
          <cell r="B580" t="str">
            <v>GY1-3000</v>
          </cell>
          <cell r="C580" t="str">
            <v>Selection of EPC Contractor for Public Realm and Landscape</v>
          </cell>
          <cell r="D580">
            <v>1259</v>
          </cell>
          <cell r="E580">
            <v>1.4492531262238103E-6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</row>
        <row r="581">
          <cell r="B581" t="str">
            <v>SELECTIONOFPPPCONCESSIONAIREFORPHASEI&amp;IIDEVELOPMENT</v>
          </cell>
          <cell r="D581">
            <v>55408</v>
          </cell>
          <cell r="E581">
            <v>1.2756190185513725E-4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</row>
        <row r="582">
          <cell r="B582" t="str">
            <v>GY1-2960</v>
          </cell>
          <cell r="C582" t="str">
            <v>Selection of Concessionaire for Office Building</v>
          </cell>
          <cell r="D582">
            <v>13852</v>
          </cell>
          <cell r="E582">
            <v>4.7835713195676465E-5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</row>
        <row r="583">
          <cell r="B583" t="str">
            <v>GY1-2970</v>
          </cell>
          <cell r="C583" t="str">
            <v>Selection of Concessionaire for Retail</v>
          </cell>
          <cell r="D583">
            <v>13852</v>
          </cell>
          <cell r="E583">
            <v>4.7835713195676465E-5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</row>
        <row r="584">
          <cell r="B584" t="str">
            <v>GY1-2980</v>
          </cell>
          <cell r="C584" t="str">
            <v>Selection of Concessionaire for Hotels</v>
          </cell>
          <cell r="D584">
            <v>13852</v>
          </cell>
          <cell r="E584">
            <v>1.5945237731892156E-5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</row>
        <row r="585">
          <cell r="B585" t="str">
            <v>GY1-2990</v>
          </cell>
          <cell r="C585" t="str">
            <v>Selection of Concessionaire for Serviced Apartments</v>
          </cell>
          <cell r="D585">
            <v>13852</v>
          </cell>
          <cell r="E585">
            <v>1.5945237731892156E-5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</row>
        <row r="586">
          <cell r="B586" t="str">
            <v>SUPPLYCHAINMANAGEMENT</v>
          </cell>
          <cell r="D586">
            <v>1644898</v>
          </cell>
          <cell r="E586">
            <v>1.8934659005713211E-3</v>
          </cell>
          <cell r="F586">
            <v>1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6.4210668381869271E-2</v>
          </cell>
          <cell r="P586">
            <v>0.40073001487022297</v>
          </cell>
          <cell r="Q586">
            <v>0.3845472485224008</v>
          </cell>
          <cell r="R586">
            <v>0.1477714727600131</v>
          </cell>
          <cell r="S586">
            <v>2.7405954654938659E-3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</row>
        <row r="587">
          <cell r="B587" t="str">
            <v>GY1-2380</v>
          </cell>
          <cell r="C587" t="str">
            <v>Undertaking a Supply Chain Analysis &amp; Recommendations by inputs from PMs, Bidders, Contractors &amp; Suppliers</v>
          </cell>
          <cell r="D587">
            <v>279405</v>
          </cell>
          <cell r="E587">
            <v>3.216271403753485E-4</v>
          </cell>
          <cell r="F587">
            <v>1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0.37801757305703187</v>
          </cell>
          <cell r="P587">
            <v>0.33001198976396273</v>
          </cell>
          <cell r="Q587">
            <v>0.20599488198135321</v>
          </cell>
          <cell r="R587">
            <v>8.3985612283244748E-2</v>
          </cell>
          <cell r="S587">
            <v>1.989942914407461E-3</v>
          </cell>
          <cell r="T587">
            <v>0</v>
          </cell>
        </row>
        <row r="588">
          <cell r="B588" t="str">
            <v>GY1-2420</v>
          </cell>
          <cell r="C588" t="str">
            <v>Meeting PMs, Bidders, Contractors, Suppliers &amp; Supervision Bidders to discuss Potential Issues, Conflicts or Problems</v>
          </cell>
          <cell r="D588">
            <v>266544</v>
          </cell>
          <cell r="E588">
            <v>3.068226570899121E-4</v>
          </cell>
          <cell r="F588">
            <v>1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0.5105273425775857</v>
          </cell>
          <cell r="Q588">
            <v>0.35000225103547633</v>
          </cell>
          <cell r="R588">
            <v>0.13684044660543851</v>
          </cell>
          <cell r="S588">
            <v>2.6299597814994913E-3</v>
          </cell>
          <cell r="T588">
            <v>0</v>
          </cell>
        </row>
        <row r="589">
          <cell r="B589" t="str">
            <v>GY1-2440</v>
          </cell>
          <cell r="C589" t="str">
            <v>Forecasting /Analyzing / Assessing Impact on Supply Chain</v>
          </cell>
          <cell r="D589">
            <v>253684</v>
          </cell>
          <cell r="E589">
            <v>2.9201932491895244E-4</v>
          </cell>
          <cell r="F589">
            <v>1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0.42999952697056176</v>
          </cell>
          <cell r="Q589">
            <v>0.40999826555872665</v>
          </cell>
          <cell r="R589">
            <v>0.15714432128159442</v>
          </cell>
          <cell r="S589">
            <v>2.8578861891171981E-3</v>
          </cell>
          <cell r="T589">
            <v>0</v>
          </cell>
        </row>
        <row r="590">
          <cell r="B590" t="str">
            <v>GY1-2450</v>
          </cell>
          <cell r="C590" t="str">
            <v>Recommending Mitigation tools to ease to avoid delays, interruptions on local supply chain</v>
          </cell>
          <cell r="D590">
            <v>433679</v>
          </cell>
          <cell r="E590">
            <v>4.9921417516093393E-4</v>
          </cell>
          <cell r="F590">
            <v>1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0.43000006917558847</v>
          </cell>
          <cell r="Q590">
            <v>0.40999910071735091</v>
          </cell>
          <cell r="R590">
            <v>0.15714387830630494</v>
          </cell>
          <cell r="S590">
            <v>2.8569518007556249E-3</v>
          </cell>
          <cell r="T590">
            <v>0</v>
          </cell>
        </row>
        <row r="591">
          <cell r="B591" t="str">
            <v>GY1-2460</v>
          </cell>
          <cell r="C591" t="str">
            <v>Developing Strategic Sourcing Solutions &amp; Value Buying</v>
          </cell>
          <cell r="D591">
            <v>411586</v>
          </cell>
          <cell r="E591">
            <v>4.7378260302617409E-4</v>
          </cell>
          <cell r="F591">
            <v>1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0.32875024903665334</v>
          </cell>
          <cell r="Q591">
            <v>0.48562390363131885</v>
          </cell>
          <cell r="R591">
            <v>0.18249891881648064</v>
          </cell>
          <cell r="S591">
            <v>3.1269285155471893E-3</v>
          </cell>
          <cell r="T591">
            <v>0</v>
          </cell>
        </row>
        <row r="592">
          <cell r="B592" t="str">
            <v>TENDERINGADMINISTRATION</v>
          </cell>
          <cell r="D592">
            <v>490447</v>
          </cell>
          <cell r="E592">
            <v>5.6456064177687782E-4</v>
          </cell>
          <cell r="F592">
            <v>1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1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</row>
        <row r="593">
          <cell r="B593" t="str">
            <v>GY1-1840</v>
          </cell>
          <cell r="C593" t="str">
            <v>Developing Program wide Tender Evaluation &amp; Selection Criteria</v>
          </cell>
          <cell r="D593">
            <v>26020</v>
          </cell>
          <cell r="E593">
            <v>2.9951998684943247E-5</v>
          </cell>
          <cell r="F593">
            <v>1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1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</row>
        <row r="594">
          <cell r="B594" t="str">
            <v>GY1-1850</v>
          </cell>
          <cell r="C594" t="str">
            <v>Creating, Administering, Assisting in Tendering, Contract Negotiation, Contract Awards</v>
          </cell>
          <cell r="D594">
            <v>26020</v>
          </cell>
          <cell r="E594">
            <v>2.9951998684943247E-5</v>
          </cell>
          <cell r="F594">
            <v>1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</row>
        <row r="595">
          <cell r="B595" t="str">
            <v>GY1-1860</v>
          </cell>
          <cell r="C595" t="str">
            <v>Creating, Reviewing, Monitoring, Evaluating &amp; Reporting on Procurement &amp; Tendering Packages</v>
          </cell>
          <cell r="D595">
            <v>26020</v>
          </cell>
          <cell r="E595">
            <v>2.9951998684943247E-5</v>
          </cell>
          <cell r="F595">
            <v>1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1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</row>
        <row r="596">
          <cell r="B596" t="str">
            <v>GY1-1870</v>
          </cell>
          <cell r="C596" t="str">
            <v>Overseeing the Development of Activities (By PM) from EOI to Tender</v>
          </cell>
          <cell r="D596">
            <v>7555</v>
          </cell>
          <cell r="E596">
            <v>8.6966698718196092E-6</v>
          </cell>
          <cell r="F596">
            <v>1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1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</row>
        <row r="597">
          <cell r="B597" t="str">
            <v>GY1-1880</v>
          </cell>
          <cell r="C597" t="str">
            <v>Ensuring record keeping of Pre-tender &amp; Post-tender Meetings</v>
          </cell>
          <cell r="D597">
            <v>16163</v>
          </cell>
          <cell r="E597">
            <v>1.8605463287653255E-5</v>
          </cell>
          <cell r="F597">
            <v>1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1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</row>
        <row r="598">
          <cell r="B598" t="str">
            <v>GY1-1890</v>
          </cell>
          <cell r="C598" t="str">
            <v>Participating &amp; Assisting DMICDC in Negotiation &amp; Contract Finalization upto Award</v>
          </cell>
          <cell r="D598">
            <v>362649</v>
          </cell>
          <cell r="E598">
            <v>4.1745051387763194E-4</v>
          </cell>
          <cell r="F598">
            <v>1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1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</row>
        <row r="599">
          <cell r="B599" t="str">
            <v>GY1-1900</v>
          </cell>
          <cell r="C599" t="str">
            <v>Keeping DMICDC informed on any issues that may have any implication</v>
          </cell>
          <cell r="D599">
            <v>26020</v>
          </cell>
          <cell r="E599">
            <v>2.9951998684943247E-5</v>
          </cell>
          <cell r="F599">
            <v>1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1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</row>
        <row r="600">
          <cell r="B600" t="str">
            <v>SITELOGISTICS</v>
          </cell>
          <cell r="D600">
            <v>221507</v>
          </cell>
          <cell r="E600">
            <v>2.5497991440068116E-4</v>
          </cell>
          <cell r="F600">
            <v>1</v>
          </cell>
          <cell r="G600">
            <v>0</v>
          </cell>
          <cell r="H600">
            <v>0.287593620066183</v>
          </cell>
          <cell r="I600">
            <v>0.32038716609407381</v>
          </cell>
          <cell r="J600">
            <v>9.1008410569417664E-2</v>
          </cell>
          <cell r="K600">
            <v>0.30100628874031066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4.5145300148651946E-6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</row>
        <row r="601">
          <cell r="B601" t="str">
            <v>GY1-1060</v>
          </cell>
          <cell r="C601" t="str">
            <v>Developing, Reviewing &amp; Updating a Global Logistics Plan</v>
          </cell>
          <cell r="D601">
            <v>72616</v>
          </cell>
          <cell r="E601">
            <v>8.3589328843421937E-5</v>
          </cell>
          <cell r="F601">
            <v>1</v>
          </cell>
          <cell r="G601">
            <v>0</v>
          </cell>
          <cell r="H601">
            <v>0.87727222650655501</v>
          </cell>
          <cell r="I601">
            <v>0.12272777349344498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</row>
        <row r="602">
          <cell r="B602" t="str">
            <v>GY1-1320</v>
          </cell>
          <cell r="C602" t="str">
            <v>Analyzing local &amp; Regional Conditions to determine Supply &amp; Demand Requirements</v>
          </cell>
          <cell r="D602">
            <v>63206</v>
          </cell>
          <cell r="E602">
            <v>7.2757341617237626E-5</v>
          </cell>
          <cell r="F602">
            <v>1</v>
          </cell>
          <cell r="G602">
            <v>0</v>
          </cell>
          <cell r="H602">
            <v>0</v>
          </cell>
          <cell r="I602">
            <v>0.98180552479195005</v>
          </cell>
          <cell r="J602">
            <v>1.8178653925260257E-2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1.5821282789652003E-5</v>
          </cell>
          <cell r="T602">
            <v>0</v>
          </cell>
        </row>
        <row r="603">
          <cell r="B603" t="str">
            <v>GY1-1500</v>
          </cell>
          <cell r="C603" t="str">
            <v>Developing, Reviewing &amp; Updating Traffic &amp; Construction Access Managments Plans</v>
          </cell>
          <cell r="D603">
            <v>13069</v>
          </cell>
          <cell r="E603">
            <v>1.5043915096599667E-5</v>
          </cell>
          <cell r="F603">
            <v>1</v>
          </cell>
          <cell r="G603">
            <v>0</v>
          </cell>
          <cell r="H603">
            <v>0</v>
          </cell>
          <cell r="I603">
            <v>0</v>
          </cell>
          <cell r="J603">
            <v>1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</row>
        <row r="604">
          <cell r="B604" t="str">
            <v>GY1-1700</v>
          </cell>
          <cell r="C604" t="str">
            <v>Determining Integrated Logistics Plan for the Projects</v>
          </cell>
          <cell r="D604">
            <v>72616</v>
          </cell>
          <cell r="E604">
            <v>8.3589328843421937E-5</v>
          </cell>
          <cell r="F604">
            <v>1</v>
          </cell>
          <cell r="G604">
            <v>0</v>
          </cell>
          <cell r="H604">
            <v>0</v>
          </cell>
          <cell r="I604">
            <v>0</v>
          </cell>
          <cell r="J604">
            <v>8.1813925305717738E-2</v>
          </cell>
          <cell r="K604">
            <v>0.91818607469428226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</row>
        <row r="605">
          <cell r="B605" t="str">
            <v>CONSTRUCTIONPROGRAMMANAGEMENT</v>
          </cell>
          <cell r="D605">
            <v>4280721</v>
          </cell>
          <cell r="E605">
            <v>4.927599914012642E-3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</row>
        <row r="606">
          <cell r="B606" t="str">
            <v>EXHIBITIONHALL1</v>
          </cell>
          <cell r="D606">
            <v>1445223</v>
          </cell>
          <cell r="E606">
            <v>1.6636171174269692E-3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</row>
        <row r="607">
          <cell r="B607" t="str">
            <v>PLANNING&amp;CONTROLS</v>
          </cell>
          <cell r="D607">
            <v>808136</v>
          </cell>
          <cell r="E607">
            <v>9.3025704877998828E-4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</row>
        <row r="608">
          <cell r="B608" t="str">
            <v>GY1-3170</v>
          </cell>
          <cell r="C608" t="str">
            <v>Overall Supervision &amp; Monitoring of Construction Work Package</v>
          </cell>
          <cell r="D608">
            <v>60551</v>
          </cell>
          <cell r="E608">
            <v>6.970113268147574E-5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</row>
        <row r="609">
          <cell r="B609" t="str">
            <v>GY1-3180</v>
          </cell>
          <cell r="C609" t="str">
            <v>Management of Site Infrastructure</v>
          </cell>
          <cell r="D609">
            <v>95187</v>
          </cell>
          <cell r="E609">
            <v>1.095711336980666E-4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</row>
        <row r="610">
          <cell r="B610" t="str">
            <v>GY1-3190</v>
          </cell>
          <cell r="C610" t="str">
            <v>Work Scope Coordination</v>
          </cell>
          <cell r="D610">
            <v>60551</v>
          </cell>
          <cell r="E610">
            <v>6.970113268147574E-5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</row>
        <row r="611">
          <cell r="B611" t="str">
            <v>GY1-3200</v>
          </cell>
          <cell r="C611" t="str">
            <v>Workforce Management</v>
          </cell>
          <cell r="D611">
            <v>38770</v>
          </cell>
          <cell r="E611">
            <v>4.4628708263460786E-5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</row>
        <row r="612">
          <cell r="B612" t="str">
            <v>GY1-3210</v>
          </cell>
          <cell r="C612" t="str">
            <v>Document Management Practices</v>
          </cell>
          <cell r="D612">
            <v>62711</v>
          </cell>
          <cell r="E612">
            <v>7.2187539951248106E-5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</row>
        <row r="613">
          <cell r="B613" t="str">
            <v>GY1-3220</v>
          </cell>
          <cell r="C613" t="str">
            <v>Schedule &amp; Progress Management</v>
          </cell>
          <cell r="D613">
            <v>34018</v>
          </cell>
          <cell r="E613">
            <v>3.9158612269961544E-5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</row>
        <row r="614">
          <cell r="B614" t="str">
            <v>GY1-3230</v>
          </cell>
          <cell r="C614" t="str">
            <v>Material Management Process</v>
          </cell>
          <cell r="D614">
            <v>95187</v>
          </cell>
          <cell r="E614">
            <v>1.095711336980666E-4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</row>
        <row r="615">
          <cell r="B615" t="str">
            <v>GY1-3240</v>
          </cell>
          <cell r="C615" t="str">
            <v>Financial Management</v>
          </cell>
          <cell r="D615">
            <v>82437</v>
          </cell>
          <cell r="E615">
            <v>9.4894424119549054E-5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</row>
        <row r="616">
          <cell r="B616" t="str">
            <v>GY1-3250</v>
          </cell>
          <cell r="C616" t="str">
            <v>Final Sign off on all Construction Related Design (GFCs) etc..</v>
          </cell>
          <cell r="D616">
            <v>231484</v>
          </cell>
          <cell r="E616">
            <v>2.6646458353518074E-4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</row>
        <row r="617">
          <cell r="B617" t="str">
            <v>GY1-3280</v>
          </cell>
          <cell r="C617" t="str">
            <v>Determine EOT, Compensation &amp; Relief from Penalties</v>
          </cell>
          <cell r="D617">
            <v>47240</v>
          </cell>
          <cell r="E617">
            <v>5.4378647881503424E-5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</row>
        <row r="618">
          <cell r="B618" t="str">
            <v>CONSTRUCTIONDESIGN&amp;DETAILS</v>
          </cell>
          <cell r="D618">
            <v>231484</v>
          </cell>
          <cell r="E618">
            <v>2.6646458353518074E-4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</row>
        <row r="619">
          <cell r="B619" t="str">
            <v>GY1-3260</v>
          </cell>
          <cell r="C619" t="str">
            <v>Reviewing Design Documents &amp; Preparing Details</v>
          </cell>
          <cell r="D619">
            <v>231484</v>
          </cell>
          <cell r="E619">
            <v>2.6646458353518074E-4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</row>
        <row r="620">
          <cell r="B620" t="str">
            <v>CONSTRUCTIONPROCUREMENT&amp;CONTRACTSMANAGEMENT</v>
          </cell>
          <cell r="D620">
            <v>95554</v>
          </cell>
          <cell r="E620">
            <v>1.0999359271103256E-4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</row>
        <row r="621">
          <cell r="B621" t="str">
            <v>GY1-3270</v>
          </cell>
          <cell r="C621" t="str">
            <v>Monitoring site availability, Land Acquisitions and Permits</v>
          </cell>
          <cell r="D621">
            <v>21781</v>
          </cell>
          <cell r="E621">
            <v>2.5072424418014947E-5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</row>
        <row r="622">
          <cell r="B622" t="str">
            <v>GY1-3290</v>
          </cell>
          <cell r="C622" t="str">
            <v>Supervision, Administration &amp; Management of Construction Contracts</v>
          </cell>
          <cell r="D622">
            <v>73773</v>
          </cell>
          <cell r="E622">
            <v>8.4921168293017606E-5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</row>
        <row r="623">
          <cell r="B623" t="str">
            <v>CONSTRUCTIONQA/QCMANAGEMENT</v>
          </cell>
          <cell r="D623">
            <v>296827</v>
          </cell>
          <cell r="E623">
            <v>3.416818567892256E-4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</row>
        <row r="624">
          <cell r="B624" t="str">
            <v>GY1-3100</v>
          </cell>
          <cell r="C624" t="str">
            <v>Ensuring Quality Control of Works, including Test Reports for Material &amp; Construction</v>
          </cell>
          <cell r="D624">
            <v>21781</v>
          </cell>
          <cell r="E624">
            <v>2.5072424418014947E-5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</row>
        <row r="625">
          <cell r="B625" t="str">
            <v>GY1-3130</v>
          </cell>
          <cell r="C625" t="str">
            <v>Reviewing &amp; Recommending Quality Assurance Programme (Test Checks, RFIs)</v>
          </cell>
          <cell r="D625">
            <v>21781</v>
          </cell>
          <cell r="E625">
            <v>2.5072424418014947E-5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</row>
        <row r="626">
          <cell r="B626" t="str">
            <v>GY1-3310</v>
          </cell>
          <cell r="C626" t="str">
            <v>Reviewing As Built Drawings &amp; Completion Records</v>
          </cell>
          <cell r="D626">
            <v>253265</v>
          </cell>
          <cell r="E626">
            <v>2.9153700795319569E-4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</row>
        <row r="627">
          <cell r="B627" t="str">
            <v>CONSTRUCTIONINVOICEMANAGEMENT</v>
          </cell>
          <cell r="D627">
            <v>13222</v>
          </cell>
          <cell r="E627">
            <v>1.5220035611541876E-5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</row>
        <row r="628">
          <cell r="B628" t="str">
            <v>GY1-3300</v>
          </cell>
          <cell r="C628" t="str">
            <v>Certifications of the Bills for Payments</v>
          </cell>
          <cell r="D628">
            <v>13222</v>
          </cell>
          <cell r="E628">
            <v>1.5220035611541876E-5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</row>
        <row r="629">
          <cell r="B629" t="str">
            <v>CONVENTIONCENTRE</v>
          </cell>
          <cell r="D629">
            <v>1417749</v>
          </cell>
          <cell r="E629">
            <v>1.6319913982928366E-3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</row>
        <row r="630">
          <cell r="B630" t="str">
            <v>PLANNING&amp;CONTROLS</v>
          </cell>
          <cell r="D630">
            <v>808136</v>
          </cell>
          <cell r="E630">
            <v>9.3025704877998828E-4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</row>
        <row r="631">
          <cell r="B631" t="str">
            <v>GY1-3320</v>
          </cell>
          <cell r="C631" t="str">
            <v>Overall Supervision &amp; Monitoring of Construction Work Package</v>
          </cell>
          <cell r="D631">
            <v>60551</v>
          </cell>
          <cell r="E631">
            <v>6.970113268147574E-5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</row>
        <row r="632">
          <cell r="B632" t="str">
            <v>GY1-3330</v>
          </cell>
          <cell r="C632" t="str">
            <v>Management of Site Infrastructure</v>
          </cell>
          <cell r="D632">
            <v>95187</v>
          </cell>
          <cell r="E632">
            <v>1.095711336980666E-4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</row>
        <row r="633">
          <cell r="B633" t="str">
            <v>GY1-3340</v>
          </cell>
          <cell r="C633" t="str">
            <v>Work Scope Coordination</v>
          </cell>
          <cell r="D633">
            <v>60551</v>
          </cell>
          <cell r="E633">
            <v>6.970113268147574E-5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  <cell r="S633">
            <v>0</v>
          </cell>
          <cell r="T633">
            <v>0</v>
          </cell>
        </row>
        <row r="634">
          <cell r="B634" t="str">
            <v>GY1-3350</v>
          </cell>
          <cell r="C634" t="str">
            <v>Workforce Management</v>
          </cell>
          <cell r="D634">
            <v>38770</v>
          </cell>
          <cell r="E634">
            <v>4.4628708263460786E-5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</row>
        <row r="635">
          <cell r="B635" t="str">
            <v>GY1-3360</v>
          </cell>
          <cell r="C635" t="str">
            <v>Document Management Practices</v>
          </cell>
          <cell r="D635">
            <v>62711</v>
          </cell>
          <cell r="E635">
            <v>7.2187539951248106E-5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</row>
        <row r="636">
          <cell r="B636" t="str">
            <v>GY1-3370</v>
          </cell>
          <cell r="C636" t="str">
            <v>Schedule &amp; Progress Management</v>
          </cell>
          <cell r="D636">
            <v>34018</v>
          </cell>
          <cell r="E636">
            <v>3.9158612269961544E-5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</row>
        <row r="637">
          <cell r="B637" t="str">
            <v>GY1-3380</v>
          </cell>
          <cell r="C637" t="str">
            <v>Material Management Process</v>
          </cell>
          <cell r="D637">
            <v>95187</v>
          </cell>
          <cell r="E637">
            <v>1.095711336980666E-4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</row>
        <row r="638">
          <cell r="B638" t="str">
            <v>GY1-3390</v>
          </cell>
          <cell r="C638" t="str">
            <v>Financial Management</v>
          </cell>
          <cell r="D638">
            <v>82437</v>
          </cell>
          <cell r="E638">
            <v>9.4894424119549054E-5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</row>
        <row r="639">
          <cell r="B639" t="str">
            <v>GY1-3400</v>
          </cell>
          <cell r="C639" t="str">
            <v>Final Sign off on all Construction Related Design (GFCs) etc..</v>
          </cell>
          <cell r="D639">
            <v>231484</v>
          </cell>
          <cell r="E639">
            <v>2.6646458353518074E-4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</row>
        <row r="640">
          <cell r="B640" t="str">
            <v>GY1-3430</v>
          </cell>
          <cell r="C640" t="str">
            <v>Determine EOT, Compensation &amp; Relief from Penalties</v>
          </cell>
          <cell r="D640">
            <v>47240</v>
          </cell>
          <cell r="E640">
            <v>5.4378647881503424E-5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</row>
        <row r="641">
          <cell r="B641" t="str">
            <v>CONSTRUCTIONDESIGN&amp;DETAILS</v>
          </cell>
          <cell r="D641">
            <v>231484</v>
          </cell>
          <cell r="E641">
            <v>2.6646458353518074E-4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</row>
        <row r="642">
          <cell r="B642" t="str">
            <v>GY1-3410</v>
          </cell>
          <cell r="C642" t="str">
            <v>Reviewing Design Documents &amp; Preparing Details</v>
          </cell>
          <cell r="D642">
            <v>231484</v>
          </cell>
          <cell r="E642">
            <v>2.6646458353518074E-4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</row>
        <row r="643">
          <cell r="B643" t="str">
            <v>CONSTRUCTIONPROCUREMENT&amp;CONTRACTSMANAGEMENT</v>
          </cell>
          <cell r="D643">
            <v>95554</v>
          </cell>
          <cell r="E643">
            <v>1.0999359271103256E-4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>
            <v>0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0</v>
          </cell>
          <cell r="AM643">
            <v>0</v>
          </cell>
          <cell r="AN643">
            <v>0</v>
          </cell>
          <cell r="AO643">
            <v>0</v>
          </cell>
          <cell r="AP643">
            <v>0</v>
          </cell>
          <cell r="AQ643">
            <v>0</v>
          </cell>
        </row>
        <row r="644">
          <cell r="B644" t="str">
            <v>GY1-3420</v>
          </cell>
          <cell r="C644" t="str">
            <v>Monitoring site availability, Land Acquisitions and Permits</v>
          </cell>
          <cell r="D644">
            <v>21781</v>
          </cell>
          <cell r="E644">
            <v>2.5072424418014947E-5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</row>
        <row r="645">
          <cell r="B645" t="str">
            <v>GY1-3440</v>
          </cell>
          <cell r="C645" t="str">
            <v>Supervision, Administration &amp; Management of Construction Contracts</v>
          </cell>
          <cell r="D645">
            <v>73773</v>
          </cell>
          <cell r="E645">
            <v>8.4921168293017606E-5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</row>
        <row r="646">
          <cell r="B646" t="str">
            <v>CONSTRUCTIONQA/QCMANAGEMENT</v>
          </cell>
          <cell r="D646">
            <v>269353</v>
          </cell>
          <cell r="E646">
            <v>3.1005613765509296E-4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>
            <v>0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0</v>
          </cell>
          <cell r="AM646">
            <v>0</v>
          </cell>
          <cell r="AN646">
            <v>0</v>
          </cell>
          <cell r="AO646">
            <v>0</v>
          </cell>
          <cell r="AP646">
            <v>0</v>
          </cell>
          <cell r="AQ646">
            <v>0</v>
          </cell>
        </row>
        <row r="647">
          <cell r="B647" t="str">
            <v>GY1-3140</v>
          </cell>
          <cell r="C647" t="str">
            <v>Reviewing &amp; Recommending Quality Assurance Programme (Test Checks, RFIs)</v>
          </cell>
          <cell r="D647">
            <v>21781</v>
          </cell>
          <cell r="E647">
            <v>2.5072424418014947E-5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</row>
        <row r="648">
          <cell r="B648" t="str">
            <v>GY1-3150</v>
          </cell>
          <cell r="C648" t="str">
            <v>Ensuring Quality Control of Works, including Test Reports for Material &amp; Construction</v>
          </cell>
          <cell r="D648">
            <v>21781</v>
          </cell>
          <cell r="E648">
            <v>2.5072424418014947E-5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</row>
        <row r="649">
          <cell r="B649" t="str">
            <v>GY1-3460</v>
          </cell>
          <cell r="C649" t="str">
            <v>Reviewing As Built Drawings Drawings &amp; Completion Records</v>
          </cell>
          <cell r="D649">
            <v>225791</v>
          </cell>
          <cell r="E649">
            <v>2.5991128881906305E-4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0</v>
          </cell>
        </row>
        <row r="650">
          <cell r="B650" t="str">
            <v>CONSTRUCTIONINVOICEMANAGEMENT</v>
          </cell>
          <cell r="D650">
            <v>13222</v>
          </cell>
          <cell r="E650">
            <v>1.5220035611541876E-5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>
            <v>0</v>
          </cell>
          <cell r="AC650">
            <v>0</v>
          </cell>
          <cell r="AD650">
            <v>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>
            <v>0</v>
          </cell>
          <cell r="AM650">
            <v>0</v>
          </cell>
          <cell r="AN650">
            <v>0</v>
          </cell>
          <cell r="AO650">
            <v>0</v>
          </cell>
          <cell r="AP650">
            <v>0</v>
          </cell>
          <cell r="AQ650">
            <v>0</v>
          </cell>
        </row>
        <row r="651">
          <cell r="B651" t="str">
            <v>GY1-3450</v>
          </cell>
          <cell r="C651" t="str">
            <v>Certifications of the Bills for Payments</v>
          </cell>
          <cell r="D651">
            <v>13222</v>
          </cell>
          <cell r="E651">
            <v>1.5220035611541876E-5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</row>
        <row r="652">
          <cell r="B652" t="str">
            <v>TRUNKSERVICES</v>
          </cell>
          <cell r="D652">
            <v>1417749</v>
          </cell>
          <cell r="E652">
            <v>1.6319913982928366E-3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0</v>
          </cell>
          <cell r="AQ652">
            <v>0</v>
          </cell>
        </row>
        <row r="653">
          <cell r="B653" t="str">
            <v>PLANNING&amp;CONTROLS</v>
          </cell>
          <cell r="D653">
            <v>808136</v>
          </cell>
          <cell r="E653">
            <v>9.3025704877998828E-4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0</v>
          </cell>
          <cell r="AQ653">
            <v>0</v>
          </cell>
        </row>
        <row r="654">
          <cell r="B654" t="str">
            <v>GY1-3470</v>
          </cell>
          <cell r="C654" t="str">
            <v>Overall Supervision &amp; Monitoring of Construction Work Package</v>
          </cell>
          <cell r="D654">
            <v>60551</v>
          </cell>
          <cell r="E654">
            <v>6.970113268147574E-5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</row>
        <row r="655">
          <cell r="B655" t="str">
            <v>GY1-3480</v>
          </cell>
          <cell r="C655" t="str">
            <v>Management of Site Infrastructure</v>
          </cell>
          <cell r="D655">
            <v>95187</v>
          </cell>
          <cell r="E655">
            <v>1.095711336980666E-4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</row>
        <row r="656">
          <cell r="B656" t="str">
            <v>GY1-3490</v>
          </cell>
          <cell r="C656" t="str">
            <v>Work Scope Coordination</v>
          </cell>
          <cell r="D656">
            <v>60551</v>
          </cell>
          <cell r="E656">
            <v>6.970113268147574E-5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</row>
        <row r="657">
          <cell r="B657" t="str">
            <v>GY1-3500</v>
          </cell>
          <cell r="C657" t="str">
            <v>Workforce Management</v>
          </cell>
          <cell r="D657">
            <v>38770</v>
          </cell>
          <cell r="E657">
            <v>4.4628708263460786E-5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</row>
        <row r="658">
          <cell r="B658" t="str">
            <v>GY1-3510</v>
          </cell>
          <cell r="C658" t="str">
            <v>Document Management Practices</v>
          </cell>
          <cell r="D658">
            <v>62711</v>
          </cell>
          <cell r="E658">
            <v>7.2187539951248106E-5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</row>
        <row r="659">
          <cell r="B659" t="str">
            <v>GY1-3520</v>
          </cell>
          <cell r="C659" t="str">
            <v>Schedule &amp; Progress Management</v>
          </cell>
          <cell r="D659">
            <v>34018</v>
          </cell>
          <cell r="E659">
            <v>3.9158612269961544E-5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</row>
        <row r="660">
          <cell r="B660" t="str">
            <v>GY1-3530</v>
          </cell>
          <cell r="C660" t="str">
            <v>Material Management Process</v>
          </cell>
          <cell r="D660">
            <v>95187</v>
          </cell>
          <cell r="E660">
            <v>1.095711336980666E-4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</row>
        <row r="661">
          <cell r="B661" t="str">
            <v>GY1-3540</v>
          </cell>
          <cell r="C661" t="str">
            <v>Financial Management</v>
          </cell>
          <cell r="D661">
            <v>82437</v>
          </cell>
          <cell r="E661">
            <v>9.4894424119549054E-5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</row>
        <row r="662">
          <cell r="B662" t="str">
            <v>GY1-3550</v>
          </cell>
          <cell r="C662" t="str">
            <v>Final Sign off on all Construction Related Design (GFCs) etc..</v>
          </cell>
          <cell r="D662">
            <v>231484</v>
          </cell>
          <cell r="E662">
            <v>2.6646458353518074E-4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</row>
        <row r="663">
          <cell r="B663" t="str">
            <v>GY1-3580</v>
          </cell>
          <cell r="C663" t="str">
            <v>Determine EOT, Compensation &amp; Relief from Penalties</v>
          </cell>
          <cell r="D663">
            <v>47240</v>
          </cell>
          <cell r="E663">
            <v>5.4378647881503424E-5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</row>
        <row r="664">
          <cell r="B664" t="str">
            <v>CONSTRUCTIONDESIGN&amp;DETAILS</v>
          </cell>
          <cell r="D664">
            <v>231484</v>
          </cell>
          <cell r="E664">
            <v>2.6646458353518074E-4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0</v>
          </cell>
          <cell r="AM664">
            <v>0</v>
          </cell>
          <cell r="AN664">
            <v>0</v>
          </cell>
          <cell r="AO664">
            <v>0</v>
          </cell>
          <cell r="AP664">
            <v>0</v>
          </cell>
          <cell r="AQ664">
            <v>0</v>
          </cell>
        </row>
        <row r="665">
          <cell r="B665" t="str">
            <v>GY1-3560</v>
          </cell>
          <cell r="C665" t="str">
            <v>Reviewing Design Documents &amp; Preparing Details</v>
          </cell>
          <cell r="D665">
            <v>231484</v>
          </cell>
          <cell r="E665">
            <v>2.6646458353518074E-4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</row>
        <row r="666">
          <cell r="B666" t="str">
            <v>CONSTRUCTIONPROCUREMENT&amp;CONTRACTSMANAGEMENT</v>
          </cell>
          <cell r="D666">
            <v>95554</v>
          </cell>
          <cell r="E666">
            <v>1.0999359271103256E-4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0</v>
          </cell>
          <cell r="AQ666">
            <v>0</v>
          </cell>
        </row>
        <row r="667">
          <cell r="B667" t="str">
            <v>GY1-3570</v>
          </cell>
          <cell r="C667" t="str">
            <v>Monitoring site availability, Land Acquisitions and Permits</v>
          </cell>
          <cell r="D667">
            <v>21781</v>
          </cell>
          <cell r="E667">
            <v>2.5072424418014947E-5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  <cell r="S667">
            <v>0</v>
          </cell>
          <cell r="T667">
            <v>0</v>
          </cell>
        </row>
        <row r="668">
          <cell r="B668" t="str">
            <v>GY1-3590</v>
          </cell>
          <cell r="C668" t="str">
            <v>Supervision, Administration &amp; Management of Construction Contracts</v>
          </cell>
          <cell r="D668">
            <v>73773</v>
          </cell>
          <cell r="E668">
            <v>8.4921168293017606E-5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</row>
        <row r="669">
          <cell r="B669" t="str">
            <v>CONSTRUCTIONQA/QCMANAGEMENT</v>
          </cell>
          <cell r="D669">
            <v>269353</v>
          </cell>
          <cell r="E669">
            <v>3.1005613765509296E-4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>
            <v>0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0</v>
          </cell>
          <cell r="AQ669">
            <v>0</v>
          </cell>
        </row>
        <row r="670">
          <cell r="B670" t="str">
            <v>GY1-3110</v>
          </cell>
          <cell r="C670" t="str">
            <v>Ensuring Quality Control of Works, including Test Reports for Material &amp; Construction</v>
          </cell>
          <cell r="D670">
            <v>21781</v>
          </cell>
          <cell r="E670">
            <v>2.5072424418014947E-5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</row>
        <row r="671">
          <cell r="B671" t="str">
            <v>GY1-3160</v>
          </cell>
          <cell r="C671" t="str">
            <v>Reviewing &amp; Recommending Quality Assurance Programme (Test Checks, RFIs)</v>
          </cell>
          <cell r="D671">
            <v>21781</v>
          </cell>
          <cell r="E671">
            <v>2.5072424418014947E-5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</row>
        <row r="672">
          <cell r="B672" t="str">
            <v>GY1-3610</v>
          </cell>
          <cell r="C672" t="str">
            <v>Reviewing As Built Drawings Drawings &amp; Completion Records</v>
          </cell>
          <cell r="D672">
            <v>225791</v>
          </cell>
          <cell r="E672">
            <v>2.5991128881906305E-4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</row>
        <row r="673">
          <cell r="B673" t="str">
            <v>CONSTRUCTIONINVOICEMANAGEMENT</v>
          </cell>
          <cell r="D673">
            <v>13222</v>
          </cell>
          <cell r="E673">
            <v>1.5220035611541876E-5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0</v>
          </cell>
          <cell r="AQ673">
            <v>0</v>
          </cell>
        </row>
        <row r="674">
          <cell r="B674" t="str">
            <v>GY1-3600</v>
          </cell>
          <cell r="C674" t="str">
            <v>Certifications of the Bills for Payments</v>
          </cell>
          <cell r="D674">
            <v>13222</v>
          </cell>
          <cell r="E674">
            <v>1.5220035611541876E-5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</row>
        <row r="675">
          <cell r="B675" t="str">
            <v>COMMISSIONING</v>
          </cell>
          <cell r="D675">
            <v>856770</v>
          </cell>
          <cell r="E675">
            <v>9.8624035024207643E-4</v>
          </cell>
          <cell r="F675">
            <v>0.15039041983262716</v>
          </cell>
          <cell r="G675">
            <v>0</v>
          </cell>
          <cell r="H675">
            <v>0</v>
          </cell>
          <cell r="I675">
            <v>0.15039041983262716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>
            <v>0</v>
          </cell>
          <cell r="AC675">
            <v>0</v>
          </cell>
          <cell r="AD675">
            <v>0</v>
          </cell>
          <cell r="AE675">
            <v>0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0</v>
          </cell>
          <cell r="AM675">
            <v>0</v>
          </cell>
          <cell r="AN675">
            <v>0</v>
          </cell>
          <cell r="AO675">
            <v>0</v>
          </cell>
          <cell r="AP675">
            <v>0</v>
          </cell>
          <cell r="AQ675">
            <v>0</v>
          </cell>
        </row>
        <row r="676">
          <cell r="B676" t="str">
            <v>GY1-1460</v>
          </cell>
          <cell r="C676" t="str">
            <v>Prepare SOP to manage Testing &amp; Commissioning</v>
          </cell>
          <cell r="D676">
            <v>128850</v>
          </cell>
          <cell r="E676">
            <v>1.4832110032878313E-4</v>
          </cell>
          <cell r="F676">
            <v>1</v>
          </cell>
          <cell r="G676">
            <v>0</v>
          </cell>
          <cell r="H676">
            <v>0</v>
          </cell>
          <cell r="I676">
            <v>1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</row>
        <row r="677">
          <cell r="B677" t="str">
            <v>GY1-3120</v>
          </cell>
          <cell r="C677" t="str">
            <v>Assisting the Client to Manage Statutory Approvals</v>
          </cell>
          <cell r="D677">
            <v>727920</v>
          </cell>
          <cell r="E677">
            <v>8.379192499132932E-4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</row>
        <row r="678">
          <cell r="B678" t="str">
            <v>OPERATIONS&amp;MAINTENANCE(ACTIVATION)</v>
          </cell>
          <cell r="D678">
            <v>96155410</v>
          </cell>
          <cell r="F678">
            <v>0</v>
          </cell>
        </row>
        <row r="679">
          <cell r="B679" t="str">
            <v>CONTRACTMANAGEMENT</v>
          </cell>
          <cell r="D679">
            <v>4067820</v>
          </cell>
          <cell r="E679">
            <v>4.682526490798841E-3</v>
          </cell>
          <cell r="F679">
            <v>0.89666111086527922</v>
          </cell>
          <cell r="G679">
            <v>0</v>
          </cell>
          <cell r="H679">
            <v>0</v>
          </cell>
          <cell r="I679">
            <v>3.1477302338844888E-2</v>
          </cell>
          <cell r="J679">
            <v>0.11019637053753607</v>
          </cell>
          <cell r="K679">
            <v>0.1139971778495607</v>
          </cell>
          <cell r="L679">
            <v>0.1693339429964944</v>
          </cell>
          <cell r="M679">
            <v>0.13298720199025521</v>
          </cell>
          <cell r="N679">
            <v>0.12427491875255049</v>
          </cell>
          <cell r="O679">
            <v>8.8488920355374617E-2</v>
          </cell>
          <cell r="P679">
            <v>7.100658337881223E-2</v>
          </cell>
          <cell r="Q679">
            <v>3.7900644571293718E-2</v>
          </cell>
          <cell r="R679">
            <v>1.6966827440742217E-2</v>
          </cell>
          <cell r="S679">
            <v>3.1220653814683196E-5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>
            <v>0</v>
          </cell>
          <cell r="AC679">
            <v>0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0</v>
          </cell>
          <cell r="AM679">
            <v>0</v>
          </cell>
          <cell r="AN679">
            <v>0</v>
          </cell>
          <cell r="AO679">
            <v>0</v>
          </cell>
          <cell r="AP679">
            <v>0</v>
          </cell>
          <cell r="AQ679">
            <v>0</v>
          </cell>
        </row>
        <row r="680">
          <cell r="B680" t="str">
            <v>ECCCOMPLEX(CONTRACTSMANAGEMENT)</v>
          </cell>
          <cell r="D680">
            <v>2347489</v>
          </cell>
          <cell r="E680">
            <v>2.7022285719031031E-3</v>
          </cell>
          <cell r="F680">
            <v>1</v>
          </cell>
          <cell r="G680">
            <v>0</v>
          </cell>
          <cell r="H680">
            <v>0</v>
          </cell>
          <cell r="I680">
            <v>5.4545090520125981E-2</v>
          </cell>
          <cell r="J680">
            <v>0.19095254546453677</v>
          </cell>
          <cell r="K680">
            <v>0.16389682763156718</v>
          </cell>
          <cell r="L680">
            <v>0.15207738992600175</v>
          </cell>
          <cell r="M680">
            <v>0.12328960859880493</v>
          </cell>
          <cell r="N680">
            <v>0.11341948780164676</v>
          </cell>
          <cell r="O680">
            <v>8.0605702518733835E-2</v>
          </cell>
          <cell r="P680">
            <v>6.9134296262943082E-2</v>
          </cell>
          <cell r="Q680">
            <v>3.3896218470033303E-2</v>
          </cell>
          <cell r="R680">
            <v>1.8181554844346449E-2</v>
          </cell>
          <cell r="S680">
            <v>1.2779612599833875E-6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>
            <v>0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0</v>
          </cell>
          <cell r="AP680">
            <v>0</v>
          </cell>
          <cell r="AQ680">
            <v>0</v>
          </cell>
        </row>
        <row r="681">
          <cell r="B681" t="str">
            <v>GY1-1520</v>
          </cell>
          <cell r="C681" t="str">
            <v>Coordinating Contract Dispute Resolutions</v>
          </cell>
          <cell r="D681">
            <v>500894</v>
          </cell>
          <cell r="E681">
            <v>5.765863347154482E-4</v>
          </cell>
          <cell r="F681">
            <v>1</v>
          </cell>
          <cell r="G681">
            <v>0</v>
          </cell>
          <cell r="H681">
            <v>0</v>
          </cell>
          <cell r="I681">
            <v>5.4544474479630435E-2</v>
          </cell>
          <cell r="J681">
            <v>0.19095257679269467</v>
          </cell>
          <cell r="K681">
            <v>0.16389695224937811</v>
          </cell>
          <cell r="L681">
            <v>0.15207808438511941</v>
          </cell>
          <cell r="M681">
            <v>0.12328955826981357</v>
          </cell>
          <cell r="N681">
            <v>0.11341920645885156</v>
          </cell>
          <cell r="O681">
            <v>8.0605876692473849E-2</v>
          </cell>
          <cell r="P681">
            <v>6.9134387714766002E-2</v>
          </cell>
          <cell r="Q681">
            <v>3.3895395033679783E-2</v>
          </cell>
          <cell r="R681">
            <v>1.818149149321014E-2</v>
          </cell>
          <cell r="S681">
            <v>1.9964303825670271E-6</v>
          </cell>
          <cell r="T681">
            <v>0</v>
          </cell>
        </row>
        <row r="682">
          <cell r="B682" t="str">
            <v>GY1-1530</v>
          </cell>
          <cell r="C682" t="str">
            <v>Performing Overall Assessment and Reporting of Prog. Anticipated Final Cost (AFC)</v>
          </cell>
          <cell r="D682">
            <v>159001</v>
          </cell>
          <cell r="E682">
            <v>1.8302835291716607E-4</v>
          </cell>
          <cell r="F682">
            <v>1</v>
          </cell>
          <cell r="G682">
            <v>0</v>
          </cell>
          <cell r="H682">
            <v>0</v>
          </cell>
          <cell r="I682">
            <v>5.4546826749517295E-2</v>
          </cell>
          <cell r="J682">
            <v>0.19095477386934676</v>
          </cell>
          <cell r="K682">
            <v>0.16389834026201094</v>
          </cell>
          <cell r="L682">
            <v>0.15207451525462104</v>
          </cell>
          <cell r="M682">
            <v>0.12328853277652342</v>
          </cell>
          <cell r="N682">
            <v>0.11342067031024963</v>
          </cell>
          <cell r="O682">
            <v>8.0603266646121732E-2</v>
          </cell>
          <cell r="P682">
            <v>6.9131640681505138E-2</v>
          </cell>
          <cell r="Q682">
            <v>3.3899157866931651E-2</v>
          </cell>
          <cell r="R682">
            <v>1.8182275583172435E-2</v>
          </cell>
          <cell r="S682">
            <v>0</v>
          </cell>
          <cell r="T682">
            <v>0</v>
          </cell>
        </row>
        <row r="683">
          <cell r="B683" t="str">
            <v>GY1-1540</v>
          </cell>
          <cell r="C683" t="str">
            <v>Managing Authority Delegation &amp; Reporting</v>
          </cell>
          <cell r="D683">
            <v>691576</v>
          </cell>
          <cell r="E683">
            <v>7.9608314537041943E-4</v>
          </cell>
          <cell r="F683">
            <v>1</v>
          </cell>
          <cell r="G683">
            <v>0</v>
          </cell>
          <cell r="H683">
            <v>0</v>
          </cell>
          <cell r="I683">
            <v>5.4544981318033009E-2</v>
          </cell>
          <cell r="J683">
            <v>0.19095225976609942</v>
          </cell>
          <cell r="K683">
            <v>0.16389666500861796</v>
          </cell>
          <cell r="L683">
            <v>0.15207728434763493</v>
          </cell>
          <cell r="M683">
            <v>0.12328941432322693</v>
          </cell>
          <cell r="N683">
            <v>0.1134192048307055</v>
          </cell>
          <cell r="O683">
            <v>8.060574687380706E-2</v>
          </cell>
          <cell r="P683">
            <v>6.9134845627957006E-2</v>
          </cell>
          <cell r="Q683">
            <v>3.3896491491896767E-2</v>
          </cell>
          <cell r="R683">
            <v>1.8181660439344337E-2</v>
          </cell>
          <cell r="S683">
            <v>1.4459726770388315E-6</v>
          </cell>
          <cell r="T683">
            <v>0</v>
          </cell>
        </row>
        <row r="684">
          <cell r="B684" t="str">
            <v>GY1-1550</v>
          </cell>
          <cell r="C684" t="str">
            <v>Providing Contractual and Commercial Advice and Supporting PMs</v>
          </cell>
          <cell r="D684">
            <v>304442</v>
          </cell>
          <cell r="E684">
            <v>3.5044759352965E-4</v>
          </cell>
          <cell r="F684">
            <v>1</v>
          </cell>
          <cell r="G684">
            <v>0</v>
          </cell>
          <cell r="H684">
            <v>0</v>
          </cell>
          <cell r="I684">
            <v>5.4545693432575003E-2</v>
          </cell>
          <cell r="J684">
            <v>0.19095262808679486</v>
          </cell>
          <cell r="K684">
            <v>0.16389657143232536</v>
          </cell>
          <cell r="L684">
            <v>0.15207822836533721</v>
          </cell>
          <cell r="M684">
            <v>0.12329113591422997</v>
          </cell>
          <cell r="N684">
            <v>0.11342061870569763</v>
          </cell>
          <cell r="O684">
            <v>8.0606486621425402E-2</v>
          </cell>
          <cell r="P684">
            <v>6.9133036834602313E-2</v>
          </cell>
          <cell r="Q684">
            <v>3.3894797695455947E-2</v>
          </cell>
          <cell r="R684">
            <v>1.8180802911556222E-2</v>
          </cell>
          <cell r="S684">
            <v>0</v>
          </cell>
          <cell r="T684">
            <v>0</v>
          </cell>
        </row>
        <row r="685">
          <cell r="B685" t="str">
            <v>GY1-1560</v>
          </cell>
          <cell r="C685" t="str">
            <v>Managing Compliance with Contract Administration, Standards, Procedures Tools</v>
          </cell>
          <cell r="D685">
            <v>691576</v>
          </cell>
          <cell r="E685">
            <v>7.9608314537041943E-4</v>
          </cell>
          <cell r="F685">
            <v>1</v>
          </cell>
          <cell r="G685">
            <v>0</v>
          </cell>
          <cell r="H685">
            <v>0</v>
          </cell>
          <cell r="I685">
            <v>5.4544981318033009E-2</v>
          </cell>
          <cell r="J685">
            <v>0.19095225976609942</v>
          </cell>
          <cell r="K685">
            <v>0.16389666500861796</v>
          </cell>
          <cell r="L685">
            <v>0.15207728434763493</v>
          </cell>
          <cell r="M685">
            <v>0.12328941432322693</v>
          </cell>
          <cell r="N685">
            <v>0.1134192048307055</v>
          </cell>
          <cell r="O685">
            <v>8.060574687380706E-2</v>
          </cell>
          <cell r="P685">
            <v>6.9134845627957006E-2</v>
          </cell>
          <cell r="Q685">
            <v>3.3896491491896767E-2</v>
          </cell>
          <cell r="R685">
            <v>1.8181660439344337E-2</v>
          </cell>
          <cell r="S685">
            <v>1.4459726770388315E-6</v>
          </cell>
          <cell r="T685">
            <v>0</v>
          </cell>
        </row>
        <row r="686">
          <cell r="B686" t="str">
            <v>PROGRAMMANAGEMENT(CONTRACTSMANAGEMENT)</v>
          </cell>
          <cell r="D686">
            <v>1720331</v>
          </cell>
          <cell r="E686">
            <v>1.9802979188957379E-3</v>
          </cell>
          <cell r="F686">
            <v>0.75564934887530377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4.590628198875682E-2</v>
          </cell>
          <cell r="L686">
            <v>0.19288148617911316</v>
          </cell>
          <cell r="M686">
            <v>0.14622011694261164</v>
          </cell>
          <cell r="N686">
            <v>0.13908776857476846</v>
          </cell>
          <cell r="O686">
            <v>9.9246017190877792E-2</v>
          </cell>
          <cell r="P686">
            <v>7.3561425097844538E-2</v>
          </cell>
          <cell r="Q686">
            <v>4.3364910589880672E-2</v>
          </cell>
          <cell r="R686">
            <v>1.5309263159240867E-2</v>
          </cell>
          <cell r="S686">
            <v>7.2079152209782564E-5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>
            <v>0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0</v>
          </cell>
          <cell r="AQ686">
            <v>0</v>
          </cell>
        </row>
        <row r="687">
          <cell r="B687" t="str">
            <v>GY1-2060</v>
          </cell>
          <cell r="C687" t="str">
            <v>Developing the appropriate Mix of Contract Packages</v>
          </cell>
          <cell r="D687">
            <v>675706</v>
          </cell>
          <cell r="E687">
            <v>7.7781495862445287E-4</v>
          </cell>
          <cell r="F687">
            <v>1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6.101766152735065E-2</v>
          </cell>
          <cell r="L687">
            <v>0.2563274560237736</v>
          </cell>
          <cell r="M687">
            <v>0.19395417533661086</v>
          </cell>
          <cell r="N687">
            <v>0.18451959876040758</v>
          </cell>
          <cell r="O687">
            <v>0.13129970726913776</v>
          </cell>
          <cell r="P687">
            <v>9.7119161292041192E-2</v>
          </cell>
          <cell r="Q687">
            <v>5.655418184831864E-2</v>
          </cell>
          <cell r="R687">
            <v>1.9209537875940128E-2</v>
          </cell>
          <cell r="S687">
            <v>-1.4799335803505898E-6</v>
          </cell>
          <cell r="T687">
            <v>0</v>
          </cell>
        </row>
        <row r="688">
          <cell r="B688" t="str">
            <v>GY1-2070</v>
          </cell>
          <cell r="C688" t="str">
            <v>Evaluation of Contract Packaging against the Capacity &amp; Capability of Potential Conractors and Special Contract Req.</v>
          </cell>
          <cell r="D688">
            <v>78702</v>
          </cell>
          <cell r="E688">
            <v>9.0595011548900978E-5</v>
          </cell>
          <cell r="F688">
            <v>1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6.101496785342176E-2</v>
          </cell>
          <cell r="L688">
            <v>0.25632131330842928</v>
          </cell>
          <cell r="M688">
            <v>0.19395949277019645</v>
          </cell>
          <cell r="N688">
            <v>0.18451881781911514</v>
          </cell>
          <cell r="O688">
            <v>0.13130543061167441</v>
          </cell>
          <cell r="P688">
            <v>9.711316103783893E-2</v>
          </cell>
          <cell r="Q688">
            <v>5.6555106604660614E-2</v>
          </cell>
          <cell r="R688">
            <v>1.9211709994663415E-2</v>
          </cell>
          <cell r="S688">
            <v>0</v>
          </cell>
          <cell r="T688">
            <v>0</v>
          </cell>
        </row>
        <row r="689">
          <cell r="B689" t="str">
            <v>GY1-2080</v>
          </cell>
          <cell r="C689" t="str">
            <v>Developing Procurement &amp; Contracting Strategy for delivery of various projects</v>
          </cell>
          <cell r="D689">
            <v>271047</v>
          </cell>
          <cell r="E689">
            <v>3.120061255787015E-4</v>
          </cell>
          <cell r="F689">
            <v>1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6.101524827797393E-2</v>
          </cell>
          <cell r="L689">
            <v>0.25632823827601853</v>
          </cell>
          <cell r="M689">
            <v>0.19395529188664695</v>
          </cell>
          <cell r="N689">
            <v>0.18451781425361652</v>
          </cell>
          <cell r="O689">
            <v>0.13129826192505359</v>
          </cell>
          <cell r="P689">
            <v>9.7119687729434356E-2</v>
          </cell>
          <cell r="Q689">
            <v>5.6554767254387607E-2</v>
          </cell>
          <cell r="R689">
            <v>1.9210690396868436E-2</v>
          </cell>
          <cell r="S689">
            <v>2.2204460492503131E-16</v>
          </cell>
          <cell r="T689">
            <v>0</v>
          </cell>
        </row>
        <row r="690">
          <cell r="B690" t="str">
            <v>GY1-2090</v>
          </cell>
          <cell r="C690" t="str">
            <v>Undertaking Contract Administration &amp; Managment for all stakeholders on Behalf of DMICDC</v>
          </cell>
          <cell r="D690">
            <v>78702</v>
          </cell>
          <cell r="E690">
            <v>9.0595011548900978E-5</v>
          </cell>
          <cell r="F690">
            <v>1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6.101496785342176E-2</v>
          </cell>
          <cell r="L690">
            <v>0.25632131330842928</v>
          </cell>
          <cell r="M690">
            <v>0.19395949277019645</v>
          </cell>
          <cell r="N690">
            <v>0.18451881781911514</v>
          </cell>
          <cell r="O690">
            <v>0.13130543061167441</v>
          </cell>
          <cell r="P690">
            <v>9.711316103783893E-2</v>
          </cell>
          <cell r="Q690">
            <v>5.6555106604660614E-2</v>
          </cell>
          <cell r="R690">
            <v>1.9211709994663415E-2</v>
          </cell>
          <cell r="S690">
            <v>0</v>
          </cell>
          <cell r="T690">
            <v>0</v>
          </cell>
        </row>
        <row r="691">
          <cell r="B691" t="str">
            <v>GY1-2100</v>
          </cell>
          <cell r="C691" t="str">
            <v>Setting of Contract Terms &amp; Condition to ensure that it is line with DMICDC' Vision and Objective</v>
          </cell>
          <cell r="D691">
            <v>78702</v>
          </cell>
          <cell r="E691">
            <v>9.0595011548900978E-5</v>
          </cell>
          <cell r="F691">
            <v>1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6.101496785342176E-2</v>
          </cell>
          <cell r="L691">
            <v>0.25632131330842928</v>
          </cell>
          <cell r="M691">
            <v>0.19395949277019645</v>
          </cell>
          <cell r="N691">
            <v>0.18451881781911514</v>
          </cell>
          <cell r="O691">
            <v>0.13130543061167441</v>
          </cell>
          <cell r="P691">
            <v>9.711316103783893E-2</v>
          </cell>
          <cell r="Q691">
            <v>5.6555106604660614E-2</v>
          </cell>
          <cell r="R691">
            <v>1.9211709994663415E-2</v>
          </cell>
          <cell r="S691">
            <v>0</v>
          </cell>
          <cell r="T691">
            <v>0</v>
          </cell>
        </row>
        <row r="692">
          <cell r="B692" t="str">
            <v>GY1-2110</v>
          </cell>
          <cell r="C692" t="str">
            <v>Alerting, Analyzing, Resolution the DMICDC of any Actual, Perceived or Expected Departure from Contractual Requirements</v>
          </cell>
          <cell r="D692">
            <v>117108</v>
          </cell>
          <cell r="E692">
            <v>1.3480471414282604E-4</v>
          </cell>
          <cell r="F692">
            <v>1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5.8066058680875776E-2</v>
          </cell>
          <cell r="L692">
            <v>0.24440687228882743</v>
          </cell>
          <cell r="M692">
            <v>0.18892816886976127</v>
          </cell>
          <cell r="N692">
            <v>0.17946681695528915</v>
          </cell>
          <cell r="O692">
            <v>0.131724561942822</v>
          </cell>
          <cell r="P692">
            <v>9.9677221026744547E-2</v>
          </cell>
          <cell r="Q692">
            <v>6.5802507087474801E-2</v>
          </cell>
          <cell r="R692">
            <v>3.0860402363630152E-2</v>
          </cell>
          <cell r="S692">
            <v>1.0673907845748509E-3</v>
          </cell>
          <cell r="T692">
            <v>0</v>
          </cell>
        </row>
        <row r="693">
          <cell r="B693" t="str">
            <v>GY1-2850</v>
          </cell>
          <cell r="C693" t="str">
            <v>Providing Visibility to the Management in Changes, Invoicing, Claims, Valuations &amp; Payments, Notices, Early Warning, etc</v>
          </cell>
          <cell r="D693">
            <v>219224</v>
          </cell>
          <cell r="E693">
            <v>2.5235192005026899E-4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</row>
        <row r="694">
          <cell r="B694" t="str">
            <v>GY1-2860</v>
          </cell>
          <cell r="C694" t="str">
            <v>Assessing impact on Program, Contract Variations arising due to Changes or Change Request</v>
          </cell>
          <cell r="D694">
            <v>51404</v>
          </cell>
          <cell r="E694">
            <v>5.9171888562675736E-5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</row>
        <row r="695">
          <cell r="B695" t="str">
            <v>GY1-2870</v>
          </cell>
          <cell r="C695" t="str">
            <v>Monitoring the  Program and Advise impact of Non Compliance wrt Contract</v>
          </cell>
          <cell r="D695">
            <v>98332</v>
          </cell>
          <cell r="E695">
            <v>1.1319138872743426E-4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</row>
        <row r="696">
          <cell r="B696" t="str">
            <v>GY1-2880</v>
          </cell>
          <cell r="C696" t="str">
            <v>Development of Claims Management Process</v>
          </cell>
          <cell r="D696">
            <v>51404</v>
          </cell>
          <cell r="E696">
            <v>5.9171888562675736E-5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</row>
        <row r="697">
          <cell r="B697" t="str">
            <v>FINANCE&amp;INVESTMENTMANAGEMENT</v>
          </cell>
          <cell r="D697">
            <v>744830</v>
          </cell>
          <cell r="E697">
            <v>8.57384595715076E-4</v>
          </cell>
          <cell r="F697">
            <v>1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3.7294416175503137E-2</v>
          </cell>
          <cell r="L697">
            <v>0.12200770645650688</v>
          </cell>
          <cell r="M697">
            <v>0.15233946001100926</v>
          </cell>
          <cell r="N697">
            <v>0.14078380301545321</v>
          </cell>
          <cell r="O697">
            <v>0.10380758025321216</v>
          </cell>
          <cell r="P697">
            <v>7.7629794718257858E-2</v>
          </cell>
          <cell r="Q697">
            <v>0.15485547037579048</v>
          </cell>
          <cell r="R697">
            <v>0.20906247063088224</v>
          </cell>
          <cell r="S697">
            <v>2.2192983633848389E-3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0</v>
          </cell>
          <cell r="AQ697">
            <v>0</v>
          </cell>
        </row>
        <row r="698">
          <cell r="B698" t="str">
            <v>GY1-2120</v>
          </cell>
          <cell r="C698" t="str">
            <v>Monitor &amp; Control of the Programme/Project Cash Flow</v>
          </cell>
          <cell r="D698">
            <v>293214</v>
          </cell>
          <cell r="E698">
            <v>3.3752288018474056E-4</v>
          </cell>
          <cell r="F698">
            <v>1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9.4736267708908847E-2</v>
          </cell>
          <cell r="L698">
            <v>0.2373692934170947</v>
          </cell>
          <cell r="M698">
            <v>0.17842258555184951</v>
          </cell>
          <cell r="N698">
            <v>0.17315680697374616</v>
          </cell>
          <cell r="O698">
            <v>0.12684251093058313</v>
          </cell>
          <cell r="P698">
            <v>9.5264891853731409E-2</v>
          </cell>
          <cell r="Q698">
            <v>6.3158648632057127E-2</v>
          </cell>
          <cell r="R698">
            <v>2.9998567599091447E-2</v>
          </cell>
          <cell r="S698">
            <v>1.0504273329376979E-3</v>
          </cell>
          <cell r="T698">
            <v>0</v>
          </cell>
        </row>
        <row r="699">
          <cell r="B699" t="str">
            <v>GY1-2160</v>
          </cell>
          <cell r="C699" t="str">
            <v>Evaluation &amp; Forwarding all Documents to DMICDC for Payment Processing</v>
          </cell>
          <cell r="D699">
            <v>231956</v>
          </cell>
          <cell r="E699">
            <v>2.6700790956820503E-4</v>
          </cell>
          <cell r="F699">
            <v>1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9.1719981375778178E-2</v>
          </cell>
          <cell r="M699">
            <v>0.2636318957043578</v>
          </cell>
          <cell r="N699">
            <v>0.23318215523633798</v>
          </cell>
          <cell r="O699">
            <v>0.17299401610650297</v>
          </cell>
          <cell r="P699">
            <v>0.12885202365965961</v>
          </cell>
          <cell r="Q699">
            <v>7.9489213471520465E-2</v>
          </cell>
          <cell r="R699">
            <v>3.0126403283381335E-2</v>
          </cell>
          <cell r="S699">
            <v>4.3111624615788102E-6</v>
          </cell>
          <cell r="T699">
            <v>0</v>
          </cell>
        </row>
        <row r="700">
          <cell r="B700" t="str">
            <v>GY1-2590</v>
          </cell>
          <cell r="C700" t="str">
            <v>Establishing an Experienced and  thorough Commercial Group to assess Invoices and Variations</v>
          </cell>
          <cell r="D700">
            <v>167348</v>
          </cell>
          <cell r="E700">
            <v>1.9263670545456888E-4</v>
          </cell>
          <cell r="F700">
            <v>1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0.35684322489662268</v>
          </cell>
          <cell r="R700">
            <v>0.63703778951645673</v>
          </cell>
          <cell r="S700">
            <v>6.1189855869205889E-3</v>
          </cell>
          <cell r="T700">
            <v>0</v>
          </cell>
        </row>
        <row r="701">
          <cell r="B701" t="str">
            <v>GY1-2600</v>
          </cell>
          <cell r="C701" t="str">
            <v>Preparation &amp; Submission of Monthly Financial Reports to DMICDC</v>
          </cell>
          <cell r="D701">
            <v>52312</v>
          </cell>
          <cell r="E701">
            <v>6.0217100507561539E-5</v>
          </cell>
          <cell r="F701">
            <v>1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0.35683973084569504</v>
          </cell>
          <cell r="R701">
            <v>0.63704312586022316</v>
          </cell>
          <cell r="S701">
            <v>6.1171432940818615E-3</v>
          </cell>
          <cell r="T701">
            <v>0</v>
          </cell>
        </row>
        <row r="702">
          <cell r="B702" t="str">
            <v>HUMANRESOURCESANDORGANIZATIONALDEVELOPMENT</v>
          </cell>
          <cell r="D702">
            <v>4069201</v>
          </cell>
          <cell r="E702">
            <v>4.6841161798912272E-3</v>
          </cell>
          <cell r="F702">
            <v>0.98373194147942078</v>
          </cell>
          <cell r="G702">
            <v>7.2901289466900266E-3</v>
          </cell>
          <cell r="H702">
            <v>0.15872231428233705</v>
          </cell>
          <cell r="I702">
            <v>0.16071730052165034</v>
          </cell>
          <cell r="J702">
            <v>0.12541700446844481</v>
          </cell>
          <cell r="K702">
            <v>0.11097854345361657</v>
          </cell>
          <cell r="L702">
            <v>0.10704484737912923</v>
          </cell>
          <cell r="M702">
            <v>8.4141825385376665E-2</v>
          </cell>
          <cell r="N702">
            <v>7.7619414720481991E-2</v>
          </cell>
          <cell r="O702">
            <v>5.8550560662891819E-2</v>
          </cell>
          <cell r="P702">
            <v>4.9288791583409132E-2</v>
          </cell>
          <cell r="Q702">
            <v>2.6237828998862435E-2</v>
          </cell>
          <cell r="R702">
            <v>1.7426025404004373E-2</v>
          </cell>
          <cell r="S702">
            <v>2.9735567252641505E-4</v>
          </cell>
          <cell r="T702">
            <v>0</v>
          </cell>
          <cell r="U702">
            <v>0</v>
          </cell>
          <cell r="V702">
            <v>0</v>
          </cell>
          <cell r="W702">
            <v>0</v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0</v>
          </cell>
          <cell r="AQ702">
            <v>0</v>
          </cell>
        </row>
        <row r="703">
          <cell r="B703" t="str">
            <v>RESOURCEMANAGEMENT</v>
          </cell>
          <cell r="D703">
            <v>1783095</v>
          </cell>
          <cell r="E703">
            <v>2.0525464679142535E-3</v>
          </cell>
          <cell r="F703">
            <v>0.96287466455797366</v>
          </cell>
          <cell r="G703">
            <v>8.4241164940735084E-3</v>
          </cell>
          <cell r="H703">
            <v>0.15690190371236531</v>
          </cell>
          <cell r="I703">
            <v>0.15639043348783999</v>
          </cell>
          <cell r="J703">
            <v>0.12214155723615401</v>
          </cell>
          <cell r="K703">
            <v>0.10803518601084069</v>
          </cell>
          <cell r="L703">
            <v>0.1043051548010622</v>
          </cell>
          <cell r="M703">
            <v>8.2060686615127082E-2</v>
          </cell>
          <cell r="N703">
            <v>7.5753675491210509E-2</v>
          </cell>
          <cell r="O703">
            <v>5.7102958619703381E-2</v>
          </cell>
          <cell r="P703">
            <v>4.8422546190752598E-2</v>
          </cell>
          <cell r="Q703">
            <v>2.5703622072856466E-2</v>
          </cell>
          <cell r="R703">
            <v>1.6954789284923125E-2</v>
          </cell>
          <cell r="S703">
            <v>6.7803454106488809E-4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>
            <v>0</v>
          </cell>
          <cell r="AC703">
            <v>0</v>
          </cell>
          <cell r="AD703">
            <v>0</v>
          </cell>
          <cell r="AE703">
            <v>0</v>
          </cell>
          <cell r="AF703">
            <v>0</v>
          </cell>
          <cell r="AG703">
            <v>0</v>
          </cell>
          <cell r="AH703">
            <v>0</v>
          </cell>
          <cell r="AI703">
            <v>0</v>
          </cell>
          <cell r="AJ703">
            <v>0</v>
          </cell>
          <cell r="AK703">
            <v>0</v>
          </cell>
          <cell r="AL703">
            <v>0</v>
          </cell>
          <cell r="AM703">
            <v>0</v>
          </cell>
          <cell r="AN703">
            <v>0</v>
          </cell>
          <cell r="AO703">
            <v>0</v>
          </cell>
          <cell r="AP703">
            <v>0</v>
          </cell>
          <cell r="AQ703">
            <v>0</v>
          </cell>
        </row>
        <row r="704">
          <cell r="B704" t="str">
            <v>GY1-1020</v>
          </cell>
          <cell r="C704" t="str">
            <v>Development &amp; Implementation of Program Resourcing Strategy</v>
          </cell>
          <cell r="D704">
            <v>11821</v>
          </cell>
          <cell r="E704">
            <v>1.3607324229620066E-5</v>
          </cell>
          <cell r="F704">
            <v>1</v>
          </cell>
          <cell r="G704">
            <v>0.34997039167583116</v>
          </cell>
          <cell r="H704">
            <v>0.65002960832416889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</row>
        <row r="705">
          <cell r="B705" t="str">
            <v>GY1-1100</v>
          </cell>
          <cell r="C705" t="str">
            <v>Ensuring that the resources are available to meet the PMC needs</v>
          </cell>
          <cell r="D705">
            <v>666710</v>
          </cell>
          <cell r="E705">
            <v>7.674595327916416E-4</v>
          </cell>
          <cell r="F705">
            <v>1</v>
          </cell>
          <cell r="G705">
            <v>6.3835850669706467E-3</v>
          </cell>
          <cell r="H705">
            <v>0.1595746276492028</v>
          </cell>
          <cell r="I705">
            <v>0.16354636948598339</v>
          </cell>
          <cell r="J705">
            <v>0.12773019753716008</v>
          </cell>
          <cell r="K705">
            <v>0.11297865638733481</v>
          </cell>
          <cell r="L705">
            <v>0.10907740996835204</v>
          </cell>
          <cell r="M705">
            <v>8.5815421997570154E-2</v>
          </cell>
          <cell r="N705">
            <v>7.9220350677205967E-2</v>
          </cell>
          <cell r="O705">
            <v>5.9715618484798477E-2</v>
          </cell>
          <cell r="P705">
            <v>5.0638208516446431E-2</v>
          </cell>
          <cell r="Q705">
            <v>2.6879752816066953E-2</v>
          </cell>
          <cell r="R705">
            <v>1.7730347527410716E-2</v>
          </cell>
          <cell r="S705">
            <v>7.0945388549747967E-4</v>
          </cell>
          <cell r="T705">
            <v>0</v>
          </cell>
        </row>
        <row r="706">
          <cell r="B706" t="str">
            <v>GY1-1250</v>
          </cell>
          <cell r="C706" t="str">
            <v>Monitoring &amp; Regularly report on changes caused by both PMC and the Contractors</v>
          </cell>
          <cell r="D706">
            <v>1038366</v>
          </cell>
          <cell r="E706">
            <v>1.195278134761329E-3</v>
          </cell>
          <cell r="F706">
            <v>1</v>
          </cell>
          <cell r="G706">
            <v>6.38310576424883E-3</v>
          </cell>
          <cell r="H706">
            <v>0.15957475495152962</v>
          </cell>
          <cell r="I706">
            <v>0.16354637960025656</v>
          </cell>
          <cell r="J706">
            <v>0.12773049194599978</v>
          </cell>
          <cell r="K706">
            <v>0.11297846809313862</v>
          </cell>
          <cell r="L706">
            <v>0.10907810926012601</v>
          </cell>
          <cell r="M706">
            <v>8.5815598738787663E-2</v>
          </cell>
          <cell r="N706">
            <v>7.9219658578959629E-2</v>
          </cell>
          <cell r="O706">
            <v>5.9715938310769032E-2</v>
          </cell>
          <cell r="P706">
            <v>5.0638214271268508E-2</v>
          </cell>
          <cell r="Q706">
            <v>2.6879732194621163E-2</v>
          </cell>
          <cell r="R706">
            <v>1.7730742339406334E-2</v>
          </cell>
          <cell r="S706">
            <v>7.0880595088829157E-4</v>
          </cell>
          <cell r="T706">
            <v>0</v>
          </cell>
        </row>
        <row r="707">
          <cell r="B707" t="str">
            <v>GY1-3010</v>
          </cell>
          <cell r="C707" t="str">
            <v>Monitoring that Contractors / Concessionaire have adequate resource Plans in Place</v>
          </cell>
          <cell r="D707">
            <v>66198</v>
          </cell>
          <cell r="E707">
            <v>7.6201476131663065E-5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</row>
        <row r="708">
          <cell r="B708" t="str">
            <v>ORGANIZATIONALDEVELOPMENT</v>
          </cell>
          <cell r="D708">
            <v>2286106</v>
          </cell>
          <cell r="E708">
            <v>2.6315697119769742E-3</v>
          </cell>
          <cell r="F708">
            <v>0.99999999999999978</v>
          </cell>
          <cell r="G708">
            <v>6.4056522313488519E-3</v>
          </cell>
          <cell r="H708">
            <v>0.1601421806337939</v>
          </cell>
          <cell r="I708">
            <v>0.16409212871144208</v>
          </cell>
          <cell r="J708">
            <v>0.12797175634025718</v>
          </cell>
          <cell r="K708">
            <v>0.11327427512110111</v>
          </cell>
          <cell r="L708">
            <v>0.10918172648162421</v>
          </cell>
          <cell r="M708">
            <v>8.5765052014211071E-2</v>
          </cell>
          <cell r="N708">
            <v>7.9074636084241062E-2</v>
          </cell>
          <cell r="O708">
            <v>5.967964740042675E-2</v>
          </cell>
          <cell r="P708">
            <v>4.9964437344550076E-2</v>
          </cell>
          <cell r="Q708">
            <v>2.6654494585990327E-2</v>
          </cell>
          <cell r="R708">
            <v>1.7793575625977096E-2</v>
          </cell>
          <cell r="S708">
            <v>4.374250363123792E-7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>
            <v>0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0</v>
          </cell>
          <cell r="AQ708">
            <v>0</v>
          </cell>
        </row>
        <row r="709">
          <cell r="B709" t="str">
            <v>GY1-1200</v>
          </cell>
          <cell r="C709" t="str">
            <v>Monitor, Implement &amp; Address changes required to the PMC Organization resulting from the delivery of Programme</v>
          </cell>
          <cell r="D709">
            <v>810880</v>
          </cell>
          <cell r="E709">
            <v>9.3341570690418064E-4</v>
          </cell>
          <cell r="F709">
            <v>1</v>
          </cell>
          <cell r="G709">
            <v>6.4053867403314913E-3</v>
          </cell>
          <cell r="H709">
            <v>0.16014206787687452</v>
          </cell>
          <cell r="I709">
            <v>0.16409209747434886</v>
          </cell>
          <cell r="J709">
            <v>0.12797207971586425</v>
          </cell>
          <cell r="K709">
            <v>0.11327446724546171</v>
          </cell>
          <cell r="L709">
            <v>0.10918138318863456</v>
          </cell>
          <cell r="M709">
            <v>8.5764848066298346E-2</v>
          </cell>
          <cell r="N709">
            <v>7.9074585635359101E-2</v>
          </cell>
          <cell r="O709">
            <v>5.9679607340173642E-2</v>
          </cell>
          <cell r="P709">
            <v>4.99642363851618E-2</v>
          </cell>
          <cell r="Q709">
            <v>2.6654992107340177E-2</v>
          </cell>
          <cell r="R709">
            <v>1.7793014996053669E-2</v>
          </cell>
          <cell r="S709">
            <v>1.2332280978633037E-6</v>
          </cell>
          <cell r="T709">
            <v>0</v>
          </cell>
        </row>
        <row r="710">
          <cell r="B710" t="str">
            <v>GY1-1210</v>
          </cell>
          <cell r="C710" t="str">
            <v>Ensuring that any significant development of new business processes and procedure is adequately documented</v>
          </cell>
          <cell r="D710">
            <v>617464</v>
          </cell>
          <cell r="E710">
            <v>7.1077174926978469E-4</v>
          </cell>
          <cell r="F710">
            <v>1</v>
          </cell>
          <cell r="G710">
            <v>6.4052317220113231E-3</v>
          </cell>
          <cell r="H710">
            <v>0.1601421297435964</v>
          </cell>
          <cell r="I710">
            <v>0.16409215759947138</v>
          </cell>
          <cell r="J710">
            <v>0.1279718331756993</v>
          </cell>
          <cell r="K710">
            <v>0.11327462005882125</v>
          </cell>
          <cell r="L710">
            <v>0.10918207377272197</v>
          </cell>
          <cell r="M710">
            <v>8.5765323970304341E-2</v>
          </cell>
          <cell r="N710">
            <v>7.907505538784447E-2</v>
          </cell>
          <cell r="O710">
            <v>5.9679592656413982E-2</v>
          </cell>
          <cell r="P710">
            <v>4.9964046486920696E-2</v>
          </cell>
          <cell r="Q710">
            <v>2.6654185507171267E-2</v>
          </cell>
          <cell r="R710">
            <v>1.7793749919023619E-2</v>
          </cell>
          <cell r="S710">
            <v>1.1102230246251565E-16</v>
          </cell>
          <cell r="T710">
            <v>0</v>
          </cell>
        </row>
        <row r="711">
          <cell r="B711" t="str">
            <v>GY1-1220</v>
          </cell>
          <cell r="C711" t="str">
            <v>Monitoring the development of any Related policy changes, Procedures, Forms, Staffing, Job description, remuneration,etc</v>
          </cell>
          <cell r="D711">
            <v>857762</v>
          </cell>
          <cell r="E711">
            <v>9.8738225580300874E-4</v>
          </cell>
          <cell r="F711">
            <v>1</v>
          </cell>
          <cell r="G711">
            <v>6.4062059172591002E-3</v>
          </cell>
          <cell r="H711">
            <v>0.16014232386139746</v>
          </cell>
          <cell r="I711">
            <v>0.16409213744605147</v>
          </cell>
          <cell r="J711">
            <v>0.12797139532877419</v>
          </cell>
          <cell r="K711">
            <v>0.11327384519248929</v>
          </cell>
          <cell r="L711">
            <v>0.10918180101240206</v>
          </cell>
          <cell r="M711">
            <v>8.5765049046238939E-2</v>
          </cell>
          <cell r="N711">
            <v>7.9074381938113378E-2</v>
          </cell>
          <cell r="O711">
            <v>5.9679724678873627E-2</v>
          </cell>
          <cell r="P711">
            <v>4.9964908680962788E-2</v>
          </cell>
          <cell r="Q711">
            <v>2.6654246749098234E-2</v>
          </cell>
          <cell r="R711">
            <v>1.7793980148339515E-2</v>
          </cell>
          <cell r="S711">
            <v>0</v>
          </cell>
          <cell r="T711">
            <v>0</v>
          </cell>
        </row>
        <row r="712">
          <cell r="B712" t="str">
            <v>INFORMATION&amp;TECHNOLOGY(IT)MANAGEMENT</v>
          </cell>
          <cell r="D712">
            <v>1519759</v>
          </cell>
          <cell r="E712">
            <v>1.7494165860657441E-3</v>
          </cell>
          <cell r="F712">
            <v>1</v>
          </cell>
          <cell r="G712">
            <v>0</v>
          </cell>
          <cell r="H712">
            <v>3.7137467190521659E-3</v>
          </cell>
          <cell r="I712">
            <v>4.9796053190012367E-2</v>
          </cell>
          <cell r="J712">
            <v>4.9497321614808666E-2</v>
          </cell>
          <cell r="K712">
            <v>0.18779556495470667</v>
          </cell>
          <cell r="L712">
            <v>0.1822979827722685</v>
          </cell>
          <cell r="M712">
            <v>0.14282264490619892</v>
          </cell>
          <cell r="N712">
            <v>0.1365012478952255</v>
          </cell>
          <cell r="O712">
            <v>9.6186303223076822E-2</v>
          </cell>
          <cell r="P712">
            <v>7.7826813330271458E-2</v>
          </cell>
          <cell r="Q712">
            <v>4.776941607189035E-2</v>
          </cell>
          <cell r="R712">
            <v>2.5051340376993986E-2</v>
          </cell>
          <cell r="S712">
            <v>7.4156494549465729E-4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>
            <v>0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0</v>
          </cell>
          <cell r="AP712">
            <v>0</v>
          </cell>
          <cell r="AQ712">
            <v>0</v>
          </cell>
        </row>
        <row r="713">
          <cell r="B713" t="str">
            <v>GY1-1370</v>
          </cell>
          <cell r="C713" t="str">
            <v>Development and Implementation of MIS</v>
          </cell>
          <cell r="D713">
            <v>403111</v>
          </cell>
          <cell r="E713">
            <v>4.6402690783574774E-4</v>
          </cell>
          <cell r="F713">
            <v>1</v>
          </cell>
          <cell r="G713">
            <v>0</v>
          </cell>
          <cell r="H713">
            <v>1.4001106395012791E-2</v>
          </cell>
          <cell r="I713">
            <v>0.18773489187841563</v>
          </cell>
          <cell r="J713">
            <v>0.162285325877984</v>
          </cell>
          <cell r="K713">
            <v>0.13034127076661267</v>
          </cell>
          <cell r="L713">
            <v>0.13055957292160222</v>
          </cell>
          <cell r="M713">
            <v>0.10267395332799155</v>
          </cell>
          <cell r="N713">
            <v>9.4380952144694649E-2</v>
          </cell>
          <cell r="O713">
            <v>6.8055696817998015E-2</v>
          </cell>
          <cell r="P713">
            <v>6.0320854553708544E-2</v>
          </cell>
          <cell r="Q713">
            <v>3.0105851738106874E-2</v>
          </cell>
          <cell r="R713">
            <v>1.9446256738218506E-2</v>
          </cell>
          <cell r="S713">
            <v>9.4266839654522094E-5</v>
          </cell>
          <cell r="T713">
            <v>0</v>
          </cell>
        </row>
        <row r="714">
          <cell r="B714" t="str">
            <v>GY1-1790</v>
          </cell>
          <cell r="C714" t="str">
            <v>Maintaining Program &amp; Information Tools and Application information Management System for the PMC</v>
          </cell>
          <cell r="D714">
            <v>322960</v>
          </cell>
          <cell r="E714">
            <v>3.7176393141004116E-4</v>
          </cell>
          <cell r="F714">
            <v>1</v>
          </cell>
          <cell r="G714">
            <v>0</v>
          </cell>
          <cell r="H714">
            <v>0</v>
          </cell>
          <cell r="I714">
            <v>0</v>
          </cell>
          <cell r="J714">
            <v>8.7812732226901155E-3</v>
          </cell>
          <cell r="K714">
            <v>0.20853666088679712</v>
          </cell>
          <cell r="L714">
            <v>0.20097535298488978</v>
          </cell>
          <cell r="M714">
            <v>0.15731669556601435</v>
          </cell>
          <cell r="N714">
            <v>0.15170609363388654</v>
          </cell>
          <cell r="O714">
            <v>0.1063413425811246</v>
          </cell>
          <cell r="P714">
            <v>8.414664354718851E-2</v>
          </cell>
          <cell r="Q714">
            <v>5.4146024275452065E-2</v>
          </cell>
          <cell r="R714">
            <v>2.707456031706713E-2</v>
          </cell>
          <cell r="S714">
            <v>9.7535298488982125E-4</v>
          </cell>
          <cell r="T714">
            <v>0</v>
          </cell>
        </row>
        <row r="715">
          <cell r="B715" t="str">
            <v>GY1-1800</v>
          </cell>
          <cell r="C715" t="str">
            <v>Establishing &amp; Managing the Information System for the Programme</v>
          </cell>
          <cell r="D715">
            <v>322960</v>
          </cell>
          <cell r="E715">
            <v>3.7176393141004116E-4</v>
          </cell>
          <cell r="F715">
            <v>1</v>
          </cell>
          <cell r="G715">
            <v>0</v>
          </cell>
          <cell r="H715">
            <v>0</v>
          </cell>
          <cell r="I715">
            <v>0</v>
          </cell>
          <cell r="J715">
            <v>8.7812732226901155E-3</v>
          </cell>
          <cell r="K715">
            <v>0.20853666088679712</v>
          </cell>
          <cell r="L715">
            <v>0.20097535298488978</v>
          </cell>
          <cell r="M715">
            <v>0.15731669556601435</v>
          </cell>
          <cell r="N715">
            <v>0.15170609363388654</v>
          </cell>
          <cell r="O715">
            <v>0.1063413425811246</v>
          </cell>
          <cell r="P715">
            <v>8.414664354718851E-2</v>
          </cell>
          <cell r="Q715">
            <v>5.4146024275452065E-2</v>
          </cell>
          <cell r="R715">
            <v>2.707456031706713E-2</v>
          </cell>
          <cell r="S715">
            <v>9.7535298488982125E-4</v>
          </cell>
          <cell r="T715">
            <v>0</v>
          </cell>
        </row>
        <row r="716">
          <cell r="B716" t="str">
            <v>GY1-1810</v>
          </cell>
          <cell r="C716" t="str">
            <v>Ensuring that the Information is Kept and Knowledge is transmitted to the Program Team and to various Stakeholders</v>
          </cell>
          <cell r="D716">
            <v>147768</v>
          </cell>
          <cell r="E716">
            <v>1.7009788399987292E-4</v>
          </cell>
          <cell r="F716">
            <v>1</v>
          </cell>
          <cell r="G716">
            <v>0</v>
          </cell>
          <cell r="H716">
            <v>0</v>
          </cell>
          <cell r="I716">
            <v>0</v>
          </cell>
          <cell r="J716">
            <v>8.7772724811867268E-3</v>
          </cell>
          <cell r="K716">
            <v>0.20853635428509557</v>
          </cell>
          <cell r="L716">
            <v>0.20097720751448217</v>
          </cell>
          <cell r="M716">
            <v>0.15731416815548696</v>
          </cell>
          <cell r="N716">
            <v>0.15171078988684966</v>
          </cell>
          <cell r="O716">
            <v>0.10634237453305183</v>
          </cell>
          <cell r="P716">
            <v>8.414541714038222E-2</v>
          </cell>
          <cell r="Q716">
            <v>5.4145687834984579E-2</v>
          </cell>
          <cell r="R716">
            <v>2.7076227600021659E-2</v>
          </cell>
          <cell r="S716">
            <v>9.7450056845860278E-4</v>
          </cell>
          <cell r="T716">
            <v>0</v>
          </cell>
        </row>
        <row r="717">
          <cell r="B717" t="str">
            <v>GY1-1820</v>
          </cell>
          <cell r="C717" t="str">
            <v>Training of DMICDC Staff in the Utilization of the Web Based system</v>
          </cell>
          <cell r="D717">
            <v>322960</v>
          </cell>
          <cell r="E717">
            <v>3.7176393141004116E-4</v>
          </cell>
          <cell r="F717">
            <v>1</v>
          </cell>
          <cell r="G717">
            <v>0</v>
          </cell>
          <cell r="H717">
            <v>0</v>
          </cell>
          <cell r="I717">
            <v>0</v>
          </cell>
          <cell r="J717">
            <v>8.7812732226901155E-3</v>
          </cell>
          <cell r="K717">
            <v>0.20853666088679712</v>
          </cell>
          <cell r="L717">
            <v>0.20097535298488978</v>
          </cell>
          <cell r="M717">
            <v>0.15731669556601435</v>
          </cell>
          <cell r="N717">
            <v>0.15170609363388654</v>
          </cell>
          <cell r="O717">
            <v>0.1063413425811246</v>
          </cell>
          <cell r="P717">
            <v>8.414664354718851E-2</v>
          </cell>
          <cell r="Q717">
            <v>5.4146024275452065E-2</v>
          </cell>
          <cell r="R717">
            <v>2.707456031706713E-2</v>
          </cell>
          <cell r="S717">
            <v>9.7535298488982125E-4</v>
          </cell>
          <cell r="T717">
            <v>0</v>
          </cell>
        </row>
        <row r="718">
          <cell r="B718" t="str">
            <v>MARKETING&amp;PROMOTION</v>
          </cell>
          <cell r="D718">
            <v>400323</v>
          </cell>
          <cell r="E718">
            <v>1.2774297216232946E-3</v>
          </cell>
          <cell r="F718">
            <v>1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0.41288580226054367</v>
          </cell>
          <cell r="Q718">
            <v>0.43044948649810355</v>
          </cell>
          <cell r="R718">
            <v>0.15666741459432135</v>
          </cell>
          <cell r="S718">
            <v>-2.7033529685340575E-6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>
            <v>0</v>
          </cell>
          <cell r="AC718">
            <v>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0</v>
          </cell>
          <cell r="AM718">
            <v>0</v>
          </cell>
          <cell r="AN718">
            <v>0</v>
          </cell>
          <cell r="AO718">
            <v>0</v>
          </cell>
          <cell r="AP718">
            <v>0</v>
          </cell>
          <cell r="AQ718">
            <v>0</v>
          </cell>
        </row>
        <row r="719">
          <cell r="B719" t="str">
            <v>GY1-2330</v>
          </cell>
          <cell r="C719" t="str">
            <v>Preparation of Marketing Plan/Program for Value Maximization</v>
          </cell>
          <cell r="D719">
            <v>19424</v>
          </cell>
          <cell r="E719">
            <v>6.7077742788970517E-5</v>
          </cell>
          <cell r="F719">
            <v>1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1</v>
          </cell>
          <cell r="R719">
            <v>0</v>
          </cell>
          <cell r="S719">
            <v>0</v>
          </cell>
          <cell r="T719">
            <v>0</v>
          </cell>
        </row>
        <row r="720">
          <cell r="B720" t="str">
            <v>GY1-2390</v>
          </cell>
          <cell r="C720" t="str">
            <v>Development of Creatives, Branding, Promotional materials for the Project</v>
          </cell>
          <cell r="D720">
            <v>91236</v>
          </cell>
          <cell r="E720">
            <v>2.1004616080088257E-4</v>
          </cell>
          <cell r="F720">
            <v>1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1</v>
          </cell>
          <cell r="R720">
            <v>0</v>
          </cell>
          <cell r="S720">
            <v>0</v>
          </cell>
          <cell r="T720">
            <v>0</v>
          </cell>
        </row>
        <row r="721">
          <cell r="B721" t="str">
            <v>GY1-2550</v>
          </cell>
          <cell r="C721" t="str">
            <v>Preparation of Project Model - 3D/4D</v>
          </cell>
          <cell r="D721">
            <v>209220</v>
          </cell>
          <cell r="E721">
            <v>7.2250851247469177E-4</v>
          </cell>
          <cell r="F721">
            <v>1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0.73000191186311048</v>
          </cell>
          <cell r="Q721">
            <v>0.27000286779466587</v>
          </cell>
          <cell r="R721">
            <v>0</v>
          </cell>
          <cell r="S721">
            <v>-4.779657776232682E-6</v>
          </cell>
          <cell r="T721">
            <v>0</v>
          </cell>
        </row>
        <row r="722">
          <cell r="B722" t="str">
            <v>GY1-2700</v>
          </cell>
          <cell r="C722" t="str">
            <v>Assisting the Client in Carrying out road Shows, Conference, meetings with Investor, etc.</v>
          </cell>
          <cell r="D722">
            <v>76707</v>
          </cell>
          <cell r="E722">
            <v>2.6489561450337529E-4</v>
          </cell>
          <cell r="F722">
            <v>1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0.2444887689519861</v>
          </cell>
          <cell r="R722">
            <v>0.75551123104801388</v>
          </cell>
          <cell r="S722">
            <v>0</v>
          </cell>
          <cell r="T722">
            <v>0</v>
          </cell>
        </row>
        <row r="723">
          <cell r="B723" t="str">
            <v>GY1-2730</v>
          </cell>
          <cell r="C723" t="str">
            <v>Workshop on 3D / 4D Physical Model</v>
          </cell>
          <cell r="D723">
            <v>3736</v>
          </cell>
          <cell r="E723">
            <v>1.2901691055374478E-5</v>
          </cell>
          <cell r="F723">
            <v>1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1</v>
          </cell>
          <cell r="R723">
            <v>0</v>
          </cell>
          <cell r="S723">
            <v>0</v>
          </cell>
          <cell r="T723">
            <v>0</v>
          </cell>
        </row>
        <row r="724">
          <cell r="B724" t="str">
            <v>PROGRAMADMINISTRATION</v>
          </cell>
          <cell r="D724">
            <v>1654473</v>
          </cell>
          <cell r="E724">
            <v>1.9044878216861686E-3</v>
          </cell>
          <cell r="F724">
            <v>0.86742062276023846</v>
          </cell>
          <cell r="G724">
            <v>4.9719759705960757E-3</v>
          </cell>
          <cell r="H724">
            <v>0.12430302579733848</v>
          </cell>
          <cell r="I724">
            <v>0.12739766680991471</v>
          </cell>
          <cell r="J724">
            <v>9.9498752775052851E-2</v>
          </cell>
          <cell r="K724">
            <v>0.10592799036309446</v>
          </cell>
          <cell r="L724">
            <v>0.10312830732202945</v>
          </cell>
          <cell r="M724">
            <v>8.0960523381161262E-2</v>
          </cell>
          <cell r="N724">
            <v>7.5365388253540555E-2</v>
          </cell>
          <cell r="O724">
            <v>5.6172569754840376E-2</v>
          </cell>
          <cell r="P724">
            <v>4.6987771937045821E-2</v>
          </cell>
          <cell r="Q724">
            <v>2.5826955169410446E-2</v>
          </cell>
          <cell r="R724">
            <v>1.6239007829079107E-2</v>
          </cell>
          <cell r="S724">
            <v>6.4068739713485378E-4</v>
          </cell>
          <cell r="T724">
            <v>0</v>
          </cell>
          <cell r="U724">
            <v>0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0</v>
          </cell>
          <cell r="AQ724">
            <v>0</v>
          </cell>
        </row>
        <row r="725">
          <cell r="B725" t="str">
            <v>CONTRACTORPROGRESS</v>
          </cell>
          <cell r="D725">
            <v>86683</v>
          </cell>
          <cell r="E725">
            <v>9.9782056187814588E-5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0</v>
          </cell>
          <cell r="AN725">
            <v>0</v>
          </cell>
          <cell r="AO725">
            <v>0</v>
          </cell>
          <cell r="AP725">
            <v>0</v>
          </cell>
          <cell r="AQ725">
            <v>0</v>
          </cell>
        </row>
        <row r="726">
          <cell r="B726" t="str">
            <v>GY1-3030</v>
          </cell>
          <cell r="C726" t="str">
            <v>Conducting Weekly Project Management Support Meeting</v>
          </cell>
          <cell r="D726">
            <v>23812</v>
          </cell>
          <cell r="E726">
            <v>2.7410337920287035E-5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</row>
        <row r="727">
          <cell r="B727" t="str">
            <v>GY1-3040</v>
          </cell>
          <cell r="C727" t="str">
            <v>Maintaining Project Planning for Each Project</v>
          </cell>
          <cell r="D727">
            <v>23812</v>
          </cell>
          <cell r="E727">
            <v>2.7410337920287035E-5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</row>
        <row r="728">
          <cell r="B728" t="str">
            <v>GY1-3050</v>
          </cell>
          <cell r="C728" t="str">
            <v>Facilitation of Periodic Coordination &amp; Review Meetings with Contractors</v>
          </cell>
          <cell r="D728">
            <v>39059</v>
          </cell>
          <cell r="E728">
            <v>4.4961380347240518E-5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</row>
        <row r="729">
          <cell r="B729" t="str">
            <v>PROCESSIMPROVEMENTPROGRAM</v>
          </cell>
          <cell r="D729">
            <v>132666</v>
          </cell>
          <cell r="E729">
            <v>1.5271375317204769E-4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0</v>
          </cell>
          <cell r="AQ729">
            <v>0</v>
          </cell>
        </row>
        <row r="730">
          <cell r="B730" t="str">
            <v>GY1-3020</v>
          </cell>
          <cell r="C730" t="str">
            <v>Defining, Building and Implementing Project Management Practices</v>
          </cell>
          <cell r="D730">
            <v>80653</v>
          </cell>
          <cell r="E730">
            <v>9.2840835893033351E-5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</row>
        <row r="731">
          <cell r="B731" t="str">
            <v>GY1-3080</v>
          </cell>
          <cell r="C731" t="str">
            <v>Overseeing the Implementation and Completion of each Stage &amp; Achievement of Milestones</v>
          </cell>
          <cell r="D731">
            <v>52013</v>
          </cell>
          <cell r="E731">
            <v>5.9872917279014341E-5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</row>
        <row r="732">
          <cell r="B732" t="str">
            <v>PROFESSIONALRESOURCES&amp;SUPPORTSERVICES</v>
          </cell>
          <cell r="D732">
            <v>1435124</v>
          </cell>
          <cell r="E732">
            <v>1.6519920123263063E-3</v>
          </cell>
          <cell r="F732">
            <v>0.99999999999999989</v>
          </cell>
          <cell r="G732">
            <v>5.731908880347622E-3</v>
          </cell>
          <cell r="H732">
            <v>0.14330190283208977</v>
          </cell>
          <cell r="I732">
            <v>0.14686953879943476</v>
          </cell>
          <cell r="J732">
            <v>0.11470646438913989</v>
          </cell>
          <cell r="K732">
            <v>0.12211836747207905</v>
          </cell>
          <cell r="L732">
            <v>0.11889077180787166</v>
          </cell>
          <cell r="M732">
            <v>9.3334791976163733E-2</v>
          </cell>
          <cell r="N732">
            <v>8.6884478275048013E-2</v>
          </cell>
          <cell r="O732">
            <v>6.4758167238510411E-2</v>
          </cell>
          <cell r="P732">
            <v>5.4169535176054481E-2</v>
          </cell>
          <cell r="Q732">
            <v>2.9774430641533421E-2</v>
          </cell>
          <cell r="R732">
            <v>1.8721030377862821E-2</v>
          </cell>
          <cell r="S732">
            <v>7.3861213386431626E-4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0</v>
          </cell>
          <cell r="AM732">
            <v>0</v>
          </cell>
          <cell r="AN732">
            <v>0</v>
          </cell>
          <cell r="AO732">
            <v>0</v>
          </cell>
          <cell r="AP732">
            <v>0</v>
          </cell>
          <cell r="AQ732">
            <v>0</v>
          </cell>
        </row>
        <row r="733">
          <cell r="B733" t="str">
            <v>GY1-1110</v>
          </cell>
          <cell r="C733" t="str">
            <v>Providing Staff to perform Regular Project Management Practices</v>
          </cell>
          <cell r="D733">
            <v>442110</v>
          </cell>
          <cell r="E733">
            <v>5.0891922131438352E-4</v>
          </cell>
          <cell r="F733">
            <v>1</v>
          </cell>
          <cell r="G733">
            <v>6.3830268485218613E-3</v>
          </cell>
          <cell r="H733">
            <v>0.15957340933251904</v>
          </cell>
          <cell r="I733">
            <v>0.16354527153875731</v>
          </cell>
          <cell r="J733">
            <v>0.12773065526678881</v>
          </cell>
          <cell r="K733">
            <v>0.11297867046662595</v>
          </cell>
          <cell r="L733">
            <v>0.10907692655673928</v>
          </cell>
          <cell r="M733">
            <v>8.5815747212232257E-2</v>
          </cell>
          <cell r="N733">
            <v>7.922010359412815E-2</v>
          </cell>
          <cell r="O733">
            <v>5.9715907805749702E-2</v>
          </cell>
          <cell r="P733">
            <v>5.0638981249010423E-2</v>
          </cell>
          <cell r="Q733">
            <v>2.6880188188459889E-2</v>
          </cell>
          <cell r="R733">
            <v>1.7730881454841554E-2</v>
          </cell>
          <cell r="S733">
            <v>7.1023048562568469E-4</v>
          </cell>
          <cell r="T733">
            <v>0</v>
          </cell>
        </row>
        <row r="734">
          <cell r="B734" t="str">
            <v>GY1-1120</v>
          </cell>
          <cell r="C734" t="str">
            <v>Maintaining documents for an internal DMICDC website focused on Project Management Manuals</v>
          </cell>
          <cell r="D734">
            <v>202285</v>
          </cell>
          <cell r="E734">
            <v>2.3285319192866043E-4</v>
          </cell>
          <cell r="F734">
            <v>1</v>
          </cell>
          <cell r="G734">
            <v>6.3820846825024102E-3</v>
          </cell>
          <cell r="H734">
            <v>0.15957189114368345</v>
          </cell>
          <cell r="I734">
            <v>0.16354648144944015</v>
          </cell>
          <cell r="J734">
            <v>0.12773067701510246</v>
          </cell>
          <cell r="K734">
            <v>0.11297921249721928</v>
          </cell>
          <cell r="L734">
            <v>0.10907877499567442</v>
          </cell>
          <cell r="M734">
            <v>8.5814568554267501E-2</v>
          </cell>
          <cell r="N734">
            <v>7.9219912499691042E-2</v>
          </cell>
          <cell r="O734">
            <v>5.9717724991966786E-2</v>
          </cell>
          <cell r="P734">
            <v>5.0636478236151965E-2</v>
          </cell>
          <cell r="Q734">
            <v>2.6877919766665849E-2</v>
          </cell>
          <cell r="R734">
            <v>1.7732407247200731E-2</v>
          </cell>
          <cell r="S734">
            <v>7.1186692043390121E-4</v>
          </cell>
          <cell r="T734">
            <v>0</v>
          </cell>
        </row>
        <row r="735">
          <cell r="B735" t="str">
            <v>GY1-1130</v>
          </cell>
          <cell r="C735" t="str">
            <v>Providing support &amp; Training in PMO Processes, Procedures, Tools &amp; Template to DMICDC Staff</v>
          </cell>
          <cell r="D735">
            <v>442110</v>
          </cell>
          <cell r="E735">
            <v>5.0891922131438352E-4</v>
          </cell>
          <cell r="F735">
            <v>1</v>
          </cell>
          <cell r="G735">
            <v>6.3830268485218613E-3</v>
          </cell>
          <cell r="H735">
            <v>0.15957340933251904</v>
          </cell>
          <cell r="I735">
            <v>0.16354527153875731</v>
          </cell>
          <cell r="J735">
            <v>0.12773065526678881</v>
          </cell>
          <cell r="K735">
            <v>0.11297867046662595</v>
          </cell>
          <cell r="L735">
            <v>0.10907692655673928</v>
          </cell>
          <cell r="M735">
            <v>8.5815747212232257E-2</v>
          </cell>
          <cell r="N735">
            <v>7.922010359412815E-2</v>
          </cell>
          <cell r="O735">
            <v>5.9715907805749702E-2</v>
          </cell>
          <cell r="P735">
            <v>5.0638981249010423E-2</v>
          </cell>
          <cell r="Q735">
            <v>2.6880188188459889E-2</v>
          </cell>
          <cell r="R735">
            <v>1.7730881454841554E-2</v>
          </cell>
          <cell r="S735">
            <v>7.1023048562568469E-4</v>
          </cell>
          <cell r="T735">
            <v>0</v>
          </cell>
        </row>
        <row r="736">
          <cell r="B736" t="str">
            <v>GY1-1140</v>
          </cell>
          <cell r="C736" t="str">
            <v>Providing Consultant Services in Special Technology areas as necessary &amp; Requested</v>
          </cell>
          <cell r="D736">
            <v>202285</v>
          </cell>
          <cell r="E736">
            <v>2.3285319192866043E-4</v>
          </cell>
          <cell r="F736">
            <v>1</v>
          </cell>
          <cell r="G736">
            <v>6.3820846825024102E-3</v>
          </cell>
          <cell r="H736">
            <v>0.15957189114368345</v>
          </cell>
          <cell r="I736">
            <v>0.16354648144944015</v>
          </cell>
          <cell r="J736">
            <v>0.12773067701510246</v>
          </cell>
          <cell r="K736">
            <v>0.11297921249721928</v>
          </cell>
          <cell r="L736">
            <v>0.10907877499567442</v>
          </cell>
          <cell r="M736">
            <v>8.5814568554267501E-2</v>
          </cell>
          <cell r="N736">
            <v>7.9219912499691042E-2</v>
          </cell>
          <cell r="O736">
            <v>5.9717724991966786E-2</v>
          </cell>
          <cell r="P736">
            <v>5.0636478236151965E-2</v>
          </cell>
          <cell r="Q736">
            <v>2.6877919766665849E-2</v>
          </cell>
          <cell r="R736">
            <v>1.7732407247200731E-2</v>
          </cell>
          <cell r="S736">
            <v>7.1186692043390121E-4</v>
          </cell>
          <cell r="T736">
            <v>0</v>
          </cell>
        </row>
        <row r="737">
          <cell r="B737" t="str">
            <v>GY1-1980</v>
          </cell>
          <cell r="C737" t="str">
            <v>Supporting a Website for the ECC</v>
          </cell>
          <cell r="D737">
            <v>146334</v>
          </cell>
          <cell r="E737">
            <v>1.6844718584021849E-4</v>
          </cell>
          <cell r="F737">
            <v>1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0.20261183320349338</v>
          </cell>
          <cell r="L737">
            <v>0.20531797121653203</v>
          </cell>
          <cell r="M737">
            <v>0.15955963754151462</v>
          </cell>
          <cell r="N737">
            <v>0.15438654038022606</v>
          </cell>
          <cell r="O737">
            <v>0.10916123388959503</v>
          </cell>
          <cell r="P737">
            <v>8.5270682138122375E-2</v>
          </cell>
          <cell r="Q737">
            <v>5.5270818811759402E-2</v>
          </cell>
          <cell r="R737">
            <v>2.7437232632197574E-2</v>
          </cell>
          <cell r="S737">
            <v>9.8405018655955967E-4</v>
          </cell>
          <cell r="T737">
            <v>0</v>
          </cell>
        </row>
        <row r="738">
          <cell r="B738" t="str">
            <v>PROGRAMASSURANCEFUNCTIONS</v>
          </cell>
          <cell r="D738">
            <v>4952383</v>
          </cell>
          <cell r="E738">
            <v>6.3562135576683883E-3</v>
          </cell>
          <cell r="F738">
            <v>0.99591364468521182</v>
          </cell>
          <cell r="G738">
            <v>3.6377689774929906E-3</v>
          </cell>
          <cell r="H738">
            <v>9.0941689028070788E-2</v>
          </cell>
          <cell r="I738">
            <v>9.3205447290562071E-2</v>
          </cell>
          <cell r="J738">
            <v>0.11029935758162521</v>
          </cell>
          <cell r="K738">
            <v>0.10094043762250327</v>
          </cell>
          <cell r="L738">
            <v>9.7797073449538363E-2</v>
          </cell>
          <cell r="M738">
            <v>7.6541651069372246E-2</v>
          </cell>
          <cell r="N738">
            <v>7.0169624312111781E-2</v>
          </cell>
          <cell r="O738">
            <v>5.2110266397261323E-2</v>
          </cell>
          <cell r="P738">
            <v>8.3308839468933166E-2</v>
          </cell>
          <cell r="Q738">
            <v>0.13568840254910045</v>
          </cell>
          <cell r="R738">
            <v>8.0407606879724342E-2</v>
          </cell>
          <cell r="S738">
            <v>8.6548005891573369E-4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>
            <v>0</v>
          </cell>
          <cell r="AC738">
            <v>0</v>
          </cell>
          <cell r="AD738">
            <v>0</v>
          </cell>
          <cell r="AE738">
            <v>0</v>
          </cell>
          <cell r="AF738">
            <v>0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0</v>
          </cell>
          <cell r="AL738">
            <v>0</v>
          </cell>
          <cell r="AM738">
            <v>0</v>
          </cell>
          <cell r="AN738">
            <v>0</v>
          </cell>
          <cell r="AO738">
            <v>0</v>
          </cell>
          <cell r="AP738">
            <v>0</v>
          </cell>
          <cell r="AQ738">
            <v>0</v>
          </cell>
        </row>
        <row r="739">
          <cell r="B739" t="str">
            <v>QUALITYASSURANCE</v>
          </cell>
          <cell r="D739">
            <v>109096</v>
          </cell>
          <cell r="E739">
            <v>1.6319119713939409E-4</v>
          </cell>
          <cell r="F739">
            <v>0.99999999999999989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0.11985779583544946</v>
          </cell>
          <cell r="M739">
            <v>1.8452683257152533E-2</v>
          </cell>
          <cell r="N739">
            <v>0</v>
          </cell>
          <cell r="O739">
            <v>0</v>
          </cell>
          <cell r="P739">
            <v>0</v>
          </cell>
          <cell r="Q739">
            <v>0.207423395970882</v>
          </cell>
          <cell r="R739">
            <v>0.64907454432594092</v>
          </cell>
          <cell r="S739">
            <v>5.1915806105750275E-3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>
            <v>0</v>
          </cell>
          <cell r="AC739">
            <v>0</v>
          </cell>
          <cell r="AD739">
            <v>0</v>
          </cell>
          <cell r="AE739">
            <v>0</v>
          </cell>
          <cell r="AF739">
            <v>0</v>
          </cell>
          <cell r="AG739">
            <v>0</v>
          </cell>
          <cell r="AH739">
            <v>0</v>
          </cell>
          <cell r="AI739">
            <v>0</v>
          </cell>
          <cell r="AJ739">
            <v>0</v>
          </cell>
          <cell r="AK739">
            <v>0</v>
          </cell>
          <cell r="AL739">
            <v>0</v>
          </cell>
          <cell r="AM739">
            <v>0</v>
          </cell>
          <cell r="AN739">
            <v>0</v>
          </cell>
          <cell r="AO739">
            <v>0</v>
          </cell>
          <cell r="AP739">
            <v>0</v>
          </cell>
          <cell r="AQ739">
            <v>0</v>
          </cell>
        </row>
        <row r="740">
          <cell r="B740" t="str">
            <v>GY1-2200</v>
          </cell>
          <cell r="C740" t="str">
            <v>Establishing the Quality Assurance Inspection Program</v>
          </cell>
          <cell r="D740">
            <v>3267</v>
          </cell>
          <cell r="E740">
            <v>1.1282072986592188E-5</v>
          </cell>
          <cell r="F740">
            <v>1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0.866850321395776</v>
          </cell>
          <cell r="M740">
            <v>0.13345576981940621</v>
          </cell>
          <cell r="N740">
            <v>0</v>
          </cell>
          <cell r="O740">
            <v>0</v>
          </cell>
          <cell r="P740">
            <v>0</v>
          </cell>
          <cell r="Q740">
            <v>0</v>
          </cell>
          <cell r="R740">
            <v>0</v>
          </cell>
          <cell r="S740">
            <v>-3.0609121518221372E-4</v>
          </cell>
          <cell r="T740">
            <v>0</v>
          </cell>
        </row>
        <row r="741">
          <cell r="B741" t="str">
            <v>GY1-2260</v>
          </cell>
          <cell r="C741" t="str">
            <v>Establishing the Quality Assurance &amp; Control Issues Recorded</v>
          </cell>
          <cell r="D741">
            <v>3267</v>
          </cell>
          <cell r="E741">
            <v>1.1282072986592188E-5</v>
          </cell>
          <cell r="F741">
            <v>1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0.866850321395776</v>
          </cell>
          <cell r="M741">
            <v>0.13345576981940621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-3.0609121518221372E-4</v>
          </cell>
          <cell r="T741">
            <v>0</v>
          </cell>
        </row>
        <row r="742">
          <cell r="B742" t="str">
            <v>GY1-2650</v>
          </cell>
          <cell r="C742" t="str">
            <v>Establishing a Quality Control Plan &amp; Development Programme (Quality Manual)</v>
          </cell>
          <cell r="D742">
            <v>9802</v>
          </cell>
          <cell r="E742">
            <v>3.3849672303206806E-5</v>
          </cell>
          <cell r="F742">
            <v>1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>
            <v>1</v>
          </cell>
          <cell r="R742">
            <v>0</v>
          </cell>
          <cell r="S742">
            <v>0</v>
          </cell>
          <cell r="T742">
            <v>0</v>
          </cell>
        </row>
        <row r="743">
          <cell r="B743" t="str">
            <v>GY1-2820</v>
          </cell>
          <cell r="C743" t="str">
            <v>Overseeing &amp; Manage the Independent 3rd Party Consultants used for Quality Check &amp; Value Engineering</v>
          </cell>
          <cell r="D743">
            <v>92760</v>
          </cell>
          <cell r="E743">
            <v>1.067773788630029E-4</v>
          </cell>
          <cell r="F743">
            <v>1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0.99200086244070718</v>
          </cell>
          <cell r="S743">
            <v>7.9991375592928238E-3</v>
          </cell>
          <cell r="T743">
            <v>0</v>
          </cell>
        </row>
        <row r="744">
          <cell r="B744" t="str">
            <v>HEALTH&amp;SAFETY</v>
          </cell>
          <cell r="D744">
            <v>184558</v>
          </cell>
          <cell r="E744">
            <v>4.2691843044887173E-4</v>
          </cell>
          <cell r="F744">
            <v>1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>
            <v>0.75355511575359824</v>
          </cell>
          <cell r="R744">
            <v>0.24454666544432876</v>
          </cell>
          <cell r="S744">
            <v>1.8982188020729902E-3</v>
          </cell>
          <cell r="T744">
            <v>0</v>
          </cell>
          <cell r="U744">
            <v>0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0</v>
          </cell>
          <cell r="AL744">
            <v>0</v>
          </cell>
          <cell r="AM744">
            <v>0</v>
          </cell>
          <cell r="AN744">
            <v>0</v>
          </cell>
          <cell r="AO744">
            <v>0</v>
          </cell>
          <cell r="AP744">
            <v>0</v>
          </cell>
          <cell r="AQ744">
            <v>0</v>
          </cell>
        </row>
        <row r="745">
          <cell r="B745" t="str">
            <v>GY1-2530</v>
          </cell>
          <cell r="C745" t="str">
            <v>Development of basic &amp; Specified health &amp; Safety Training across the Programme (Manuals &amp; Procedures)</v>
          </cell>
          <cell r="D745">
            <v>93158</v>
          </cell>
          <cell r="E745">
            <v>3.2170656727424402E-4</v>
          </cell>
          <cell r="F745">
            <v>1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1</v>
          </cell>
          <cell r="R745">
            <v>0</v>
          </cell>
          <cell r="S745">
            <v>0</v>
          </cell>
          <cell r="T745">
            <v>0</v>
          </cell>
        </row>
        <row r="746">
          <cell r="B746" t="str">
            <v>GY1-2710</v>
          </cell>
          <cell r="C746" t="str">
            <v>Delivering basic &amp; Specified health &amp; Safety Training across the Programme</v>
          </cell>
          <cell r="D746">
            <v>45700</v>
          </cell>
          <cell r="E746">
            <v>5.2605931587313857E-5</v>
          </cell>
          <cell r="F746">
            <v>1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0.99229759299781162</v>
          </cell>
          <cell r="S746">
            <v>7.7024070021883828E-3</v>
          </cell>
          <cell r="T746">
            <v>0</v>
          </cell>
        </row>
        <row r="747">
          <cell r="B747" t="str">
            <v>GY1-2720</v>
          </cell>
          <cell r="C747" t="str">
            <v>Implementation of a Program to Monitor &amp; Evaluate Health &amp; Safety Practices</v>
          </cell>
          <cell r="D747">
            <v>45700</v>
          </cell>
          <cell r="E747">
            <v>5.2605931587313857E-5</v>
          </cell>
          <cell r="F747">
            <v>1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0.99229759299781162</v>
          </cell>
          <cell r="S747">
            <v>7.7024070021883828E-3</v>
          </cell>
          <cell r="T747">
            <v>0</v>
          </cell>
        </row>
        <row r="748">
          <cell r="B748" t="str">
            <v>SUSTAINABILITY&amp;ENVIRONMENT</v>
          </cell>
          <cell r="D748">
            <v>1489286</v>
          </cell>
          <cell r="E748">
            <v>2.1177122095573484E-3</v>
          </cell>
          <cell r="F748">
            <v>0.99999999999999989</v>
          </cell>
          <cell r="G748">
            <v>0</v>
          </cell>
          <cell r="H748">
            <v>0</v>
          </cell>
          <cell r="I748">
            <v>0</v>
          </cell>
          <cell r="J748">
            <v>0.11257124779720236</v>
          </cell>
          <cell r="K748">
            <v>0.10971426956263662</v>
          </cell>
          <cell r="L748">
            <v>9.7714526125370016E-2</v>
          </cell>
          <cell r="M748">
            <v>8.1523895665937915E-2</v>
          </cell>
          <cell r="N748">
            <v>7.5102217419522457E-2</v>
          </cell>
          <cell r="O748">
            <v>5.4258669591771724E-2</v>
          </cell>
          <cell r="P748">
            <v>0.16342883047617388</v>
          </cell>
          <cell r="Q748">
            <v>0.19338850881608252</v>
          </cell>
          <cell r="R748">
            <v>0.11169556439996389</v>
          </cell>
          <cell r="S748">
            <v>6.022701453386089E-4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0</v>
          </cell>
          <cell r="AP748">
            <v>0</v>
          </cell>
          <cell r="AQ748">
            <v>0</v>
          </cell>
        </row>
        <row r="749">
          <cell r="B749" t="str">
            <v>GY1-1590</v>
          </cell>
          <cell r="C749" t="str">
            <v>Monitor Progress against Environment Goals at the Project &amp; Programme Level</v>
          </cell>
          <cell r="D749">
            <v>1136363</v>
          </cell>
          <cell r="E749">
            <v>1.3080839001390532E-3</v>
          </cell>
          <cell r="F749">
            <v>1</v>
          </cell>
          <cell r="G749">
            <v>0</v>
          </cell>
          <cell r="H749">
            <v>0</v>
          </cell>
          <cell r="I749">
            <v>0</v>
          </cell>
          <cell r="J749">
            <v>0.18224634205795154</v>
          </cell>
          <cell r="K749">
            <v>0.17762105946779327</v>
          </cell>
          <cell r="L749">
            <v>0.15819416858873439</v>
          </cell>
          <cell r="M749">
            <v>0.13198247391018539</v>
          </cell>
          <cell r="N749">
            <v>0.12158614808824293</v>
          </cell>
          <cell r="O749">
            <v>8.7841649191323548E-2</v>
          </cell>
          <cell r="P749">
            <v>7.3084040927062915E-2</v>
          </cell>
          <cell r="Q749">
            <v>4.3083944127008708E-2</v>
          </cell>
          <cell r="R749">
            <v>2.3480173148896961E-2</v>
          </cell>
          <cell r="S749">
            <v>8.80000492800459E-4</v>
          </cell>
          <cell r="T749">
            <v>0</v>
          </cell>
        </row>
        <row r="750">
          <cell r="B750" t="str">
            <v>GY1-2630</v>
          </cell>
          <cell r="C750" t="str">
            <v>Development of a framework that enables Program to define its sustainability and Env. Goals &amp; Strategy (Env. Manual)</v>
          </cell>
          <cell r="D750">
            <v>175210</v>
          </cell>
          <cell r="E750">
            <v>6.0506030241224903E-4</v>
          </cell>
          <cell r="F750">
            <v>1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0.41400034244620731</v>
          </cell>
          <cell r="Q750">
            <v>0.58371668283773748</v>
          </cell>
          <cell r="R750">
            <v>2.2829747160550196E-3</v>
          </cell>
          <cell r="S750">
            <v>2.2204460492503131E-16</v>
          </cell>
          <cell r="T750">
            <v>0</v>
          </cell>
        </row>
        <row r="751">
          <cell r="B751" t="str">
            <v>GY1-2690</v>
          </cell>
          <cell r="C751" t="str">
            <v>Implementation a framework that enables Program to define its sustainability and Env. Goals &amp; Strategy</v>
          </cell>
          <cell r="D751">
            <v>177713</v>
          </cell>
          <cell r="E751">
            <v>2.0456800700604608E-4</v>
          </cell>
          <cell r="F751">
            <v>1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0.99939227856150092</v>
          </cell>
          <cell r="S751">
            <v>6.0772143849907589E-4</v>
          </cell>
          <cell r="T751">
            <v>0</v>
          </cell>
        </row>
        <row r="752">
          <cell r="B752" t="str">
            <v>SECURITY</v>
          </cell>
          <cell r="D752">
            <v>3146879</v>
          </cell>
          <cell r="E752">
            <v>3.6224179734694667E-3</v>
          </cell>
          <cell r="F752">
            <v>1</v>
          </cell>
          <cell r="G752">
            <v>6.383149781100576E-3</v>
          </cell>
          <cell r="H752">
            <v>0.15957429567517531</v>
          </cell>
          <cell r="I752">
            <v>0.16354648526365331</v>
          </cell>
          <cell r="J752">
            <v>0.12773036395743209</v>
          </cell>
          <cell r="K752">
            <v>0.11297860515132611</v>
          </cell>
          <cell r="L752">
            <v>0.10907855052577489</v>
          </cell>
          <cell r="M752">
            <v>8.5815501644645381E-2</v>
          </cell>
          <cell r="N752">
            <v>7.9220078051936538E-2</v>
          </cell>
          <cell r="O752">
            <v>5.971694494767673E-2</v>
          </cell>
          <cell r="P752">
            <v>5.0638426199418538E-2</v>
          </cell>
          <cell r="Q752">
            <v>2.6879012507312804E-2</v>
          </cell>
          <cell r="R752">
            <v>1.7729629896796158E-2</v>
          </cell>
          <cell r="S752">
            <v>7.0895639775156211E-4</v>
          </cell>
          <cell r="T752">
            <v>0</v>
          </cell>
          <cell r="U752">
            <v>0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0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>
            <v>0</v>
          </cell>
          <cell r="AM752">
            <v>0</v>
          </cell>
          <cell r="AN752">
            <v>0</v>
          </cell>
          <cell r="AO752">
            <v>0</v>
          </cell>
          <cell r="AP752">
            <v>0</v>
          </cell>
          <cell r="AQ752">
            <v>0</v>
          </cell>
        </row>
        <row r="753">
          <cell r="B753" t="str">
            <v>GY1-1150</v>
          </cell>
          <cell r="C753" t="str">
            <v>Development &amp; Implementation of Crisis Managment Response</v>
          </cell>
          <cell r="D753">
            <v>495669</v>
          </cell>
          <cell r="E753">
            <v>5.705717615744479E-4</v>
          </cell>
          <cell r="F753">
            <v>1</v>
          </cell>
          <cell r="G753">
            <v>6.3832920759619828E-3</v>
          </cell>
          <cell r="H753">
            <v>0.1595742319975629</v>
          </cell>
          <cell r="I753">
            <v>0.16354664100437996</v>
          </cell>
          <cell r="J753">
            <v>0.12773040073113306</v>
          </cell>
          <cell r="K753">
            <v>0.11297862081348642</v>
          </cell>
          <cell r="L753">
            <v>0.10907884092004946</v>
          </cell>
          <cell r="M753">
            <v>8.581533240932962E-2</v>
          </cell>
          <cell r="N753">
            <v>7.9220205419342341E-2</v>
          </cell>
          <cell r="O753">
            <v>5.9717271001414253E-2</v>
          </cell>
          <cell r="P753">
            <v>5.063863182890195E-2</v>
          </cell>
          <cell r="Q753">
            <v>2.6878824376751421E-2</v>
          </cell>
          <cell r="R753">
            <v>1.7729573566230689E-2</v>
          </cell>
          <cell r="S753">
            <v>7.0813385545598351E-4</v>
          </cell>
          <cell r="T753">
            <v>0</v>
          </cell>
        </row>
        <row r="754">
          <cell r="B754" t="str">
            <v>GY1-1160</v>
          </cell>
          <cell r="C754" t="str">
            <v>Development &amp; Implementation of Business Continiuty</v>
          </cell>
          <cell r="D754">
            <v>495669</v>
          </cell>
          <cell r="E754">
            <v>5.705717615744479E-4</v>
          </cell>
          <cell r="F754">
            <v>1</v>
          </cell>
          <cell r="G754">
            <v>6.3832920759619828E-3</v>
          </cell>
          <cell r="H754">
            <v>0.1595742319975629</v>
          </cell>
          <cell r="I754">
            <v>0.16354664100437996</v>
          </cell>
          <cell r="J754">
            <v>0.12773040073113306</v>
          </cell>
          <cell r="K754">
            <v>0.11297862081348642</v>
          </cell>
          <cell r="L754">
            <v>0.10907884092004946</v>
          </cell>
          <cell r="M754">
            <v>8.581533240932962E-2</v>
          </cell>
          <cell r="N754">
            <v>7.9220205419342341E-2</v>
          </cell>
          <cell r="O754">
            <v>5.9717271001414253E-2</v>
          </cell>
          <cell r="P754">
            <v>5.063863182890195E-2</v>
          </cell>
          <cell r="Q754">
            <v>2.6878824376751421E-2</v>
          </cell>
          <cell r="R754">
            <v>1.7729573566230689E-2</v>
          </cell>
          <cell r="S754">
            <v>7.0813385545598351E-4</v>
          </cell>
          <cell r="T754">
            <v>0</v>
          </cell>
        </row>
        <row r="755">
          <cell r="B755" t="str">
            <v>GY1-1170</v>
          </cell>
          <cell r="C755" t="str">
            <v>Development &amp; Implementation of Employee Protection</v>
          </cell>
          <cell r="D755">
            <v>495669</v>
          </cell>
          <cell r="E755">
            <v>5.705717615744479E-4</v>
          </cell>
          <cell r="F755">
            <v>1</v>
          </cell>
          <cell r="G755">
            <v>6.3832920759619828E-3</v>
          </cell>
          <cell r="H755">
            <v>0.1595742319975629</v>
          </cell>
          <cell r="I755">
            <v>0.16354664100437996</v>
          </cell>
          <cell r="J755">
            <v>0.12773040073113306</v>
          </cell>
          <cell r="K755">
            <v>0.11297862081348642</v>
          </cell>
          <cell r="L755">
            <v>0.10907884092004946</v>
          </cell>
          <cell r="M755">
            <v>8.581533240932962E-2</v>
          </cell>
          <cell r="N755">
            <v>7.9220205419342341E-2</v>
          </cell>
          <cell r="O755">
            <v>5.9717271001414253E-2</v>
          </cell>
          <cell r="P755">
            <v>5.063863182890195E-2</v>
          </cell>
          <cell r="Q755">
            <v>2.6878824376751421E-2</v>
          </cell>
          <cell r="R755">
            <v>1.7729573566230689E-2</v>
          </cell>
          <cell r="S755">
            <v>7.0813385545598351E-4</v>
          </cell>
          <cell r="T755">
            <v>0</v>
          </cell>
        </row>
        <row r="756">
          <cell r="B756" t="str">
            <v>GY1-1180</v>
          </cell>
          <cell r="C756" t="str">
            <v>Development &amp; Implementation of Information Security</v>
          </cell>
          <cell r="D756">
            <v>668534</v>
          </cell>
          <cell r="E756">
            <v>7.6955916559722707E-4</v>
          </cell>
          <cell r="F756">
            <v>1</v>
          </cell>
          <cell r="G756">
            <v>6.3826222750077042E-3</v>
          </cell>
          <cell r="H756">
            <v>0.1595745317366058</v>
          </cell>
          <cell r="I756">
            <v>0.16354590791193865</v>
          </cell>
          <cell r="J756">
            <v>0.12773022763240163</v>
          </cell>
          <cell r="K756">
            <v>0.11297854708960203</v>
          </cell>
          <cell r="L756">
            <v>0.10907747399533906</v>
          </cell>
          <cell r="M756">
            <v>8.5816129022607671E-2</v>
          </cell>
          <cell r="N756">
            <v>7.9219605883919159E-2</v>
          </cell>
          <cell r="O756">
            <v>5.9715736222839828E-2</v>
          </cell>
          <cell r="P756">
            <v>5.0637663903406564E-2</v>
          </cell>
          <cell r="Q756">
            <v>2.6879709932479127E-2</v>
          </cell>
          <cell r="R756">
            <v>1.7729838721740405E-2</v>
          </cell>
          <cell r="S756">
            <v>7.120056721123813E-4</v>
          </cell>
          <cell r="T756">
            <v>0</v>
          </cell>
        </row>
        <row r="757">
          <cell r="B757" t="str">
            <v>GY1-1190</v>
          </cell>
          <cell r="C757" t="str">
            <v>Development &amp; Implementation of Programe Office Security</v>
          </cell>
          <cell r="D757">
            <v>495669</v>
          </cell>
          <cell r="E757">
            <v>5.705717615744479E-4</v>
          </cell>
          <cell r="F757">
            <v>1</v>
          </cell>
          <cell r="G757">
            <v>6.3832920759619828E-3</v>
          </cell>
          <cell r="H757">
            <v>0.1595742319975629</v>
          </cell>
          <cell r="I757">
            <v>0.16354664100437996</v>
          </cell>
          <cell r="J757">
            <v>0.12773040073113306</v>
          </cell>
          <cell r="K757">
            <v>0.11297862081348642</v>
          </cell>
          <cell r="L757">
            <v>0.10907884092004946</v>
          </cell>
          <cell r="M757">
            <v>8.581533240932962E-2</v>
          </cell>
          <cell r="N757">
            <v>7.9220205419342341E-2</v>
          </cell>
          <cell r="O757">
            <v>5.9717271001414253E-2</v>
          </cell>
          <cell r="P757">
            <v>5.063863182890195E-2</v>
          </cell>
          <cell r="Q757">
            <v>2.6878824376751421E-2</v>
          </cell>
          <cell r="R757">
            <v>1.7729573566230689E-2</v>
          </cell>
          <cell r="S757">
            <v>7.0813385545598351E-4</v>
          </cell>
          <cell r="T757">
            <v>0</v>
          </cell>
        </row>
        <row r="758">
          <cell r="B758" t="str">
            <v>GY1-1240</v>
          </cell>
          <cell r="C758" t="str">
            <v>Development &amp; Implementation of Securities for Fcilities &amp; Job Sites</v>
          </cell>
          <cell r="D758">
            <v>495669</v>
          </cell>
          <cell r="E758">
            <v>5.705717615744479E-4</v>
          </cell>
          <cell r="F758">
            <v>1</v>
          </cell>
          <cell r="G758">
            <v>6.3832920759619828E-3</v>
          </cell>
          <cell r="H758">
            <v>0.1595742319975629</v>
          </cell>
          <cell r="I758">
            <v>0.16354664100437996</v>
          </cell>
          <cell r="J758">
            <v>0.12773040073113306</v>
          </cell>
          <cell r="K758">
            <v>0.11297862081348642</v>
          </cell>
          <cell r="L758">
            <v>0.10907884092004946</v>
          </cell>
          <cell r="M758">
            <v>8.581533240932962E-2</v>
          </cell>
          <cell r="N758">
            <v>7.9220205419342341E-2</v>
          </cell>
          <cell r="O758">
            <v>5.9717271001414253E-2</v>
          </cell>
          <cell r="P758">
            <v>5.063863182890195E-2</v>
          </cell>
          <cell r="Q758">
            <v>2.6878824376751421E-2</v>
          </cell>
          <cell r="R758">
            <v>1.7729573566230689E-2</v>
          </cell>
          <cell r="S758">
            <v>7.0813385545598351E-4</v>
          </cell>
          <cell r="T758">
            <v>0</v>
          </cell>
        </row>
        <row r="759">
          <cell r="B759" t="str">
            <v>WORKSHOPFORAPPROVALOFMANUALS&amp;PROCEDDURES</v>
          </cell>
          <cell r="D759">
            <v>22564</v>
          </cell>
          <cell r="E759">
            <v>2.5973747053307433E-5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>
            <v>0</v>
          </cell>
          <cell r="R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0</v>
          </cell>
          <cell r="AN759">
            <v>0</v>
          </cell>
          <cell r="AO759">
            <v>0</v>
          </cell>
          <cell r="AP759">
            <v>0</v>
          </cell>
          <cell r="AQ759">
            <v>0</v>
          </cell>
        </row>
        <row r="760">
          <cell r="B760" t="str">
            <v>GY1-2810</v>
          </cell>
          <cell r="C760" t="str">
            <v>Workshop for approval of Manual &amp; Procedures</v>
          </cell>
          <cell r="D760">
            <v>22564</v>
          </cell>
          <cell r="E760">
            <v>2.5973747053307433E-5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>
            <v>0</v>
          </cell>
          <cell r="S760">
            <v>0</v>
          </cell>
          <cell r="T760">
            <v>0</v>
          </cell>
        </row>
        <row r="761">
          <cell r="B761" t="str">
            <v>INVOICES</v>
          </cell>
          <cell r="D761">
            <v>78746621</v>
          </cell>
          <cell r="E761">
            <v>1.4496099717116017E-4</v>
          </cell>
          <cell r="F761">
            <v>9.0001667579865163E-2</v>
          </cell>
          <cell r="G761">
            <v>0</v>
          </cell>
          <cell r="H761">
            <v>8.4998927984372391E-2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0</v>
          </cell>
          <cell r="S761">
            <v>5.0027395954927696E-3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>
            <v>0</v>
          </cell>
          <cell r="AM761">
            <v>0</v>
          </cell>
          <cell r="AN761">
            <v>0</v>
          </cell>
          <cell r="AO761">
            <v>0</v>
          </cell>
          <cell r="AP761">
            <v>0</v>
          </cell>
          <cell r="AQ761">
            <v>0</v>
          </cell>
        </row>
        <row r="762">
          <cell r="B762" t="str">
            <v>INVOICESFORYEAR1</v>
          </cell>
          <cell r="D762">
            <v>125931</v>
          </cell>
          <cell r="E762">
            <v>1.4496099717116017E-4</v>
          </cell>
          <cell r="F762">
            <v>9.0001667579865163E-2</v>
          </cell>
          <cell r="G762">
            <v>0</v>
          </cell>
          <cell r="H762">
            <v>8.4998927984372391E-2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0</v>
          </cell>
          <cell r="S762">
            <v>5.0027395954927696E-3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>
            <v>0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0</v>
          </cell>
          <cell r="AM762">
            <v>0</v>
          </cell>
          <cell r="AN762">
            <v>0</v>
          </cell>
          <cell r="AO762">
            <v>0</v>
          </cell>
          <cell r="AP762">
            <v>0</v>
          </cell>
          <cell r="AQ762">
            <v>0</v>
          </cell>
        </row>
        <row r="763">
          <cell r="B763" t="str">
            <v>D+1MONTH</v>
          </cell>
          <cell r="D763">
            <v>11334</v>
          </cell>
          <cell r="E763">
            <v>1.3046731479444533E-5</v>
          </cell>
          <cell r="F763">
            <v>1</v>
          </cell>
          <cell r="G763">
            <v>0</v>
          </cell>
          <cell r="H763">
            <v>0.94441503440974062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5.5584965590259397E-2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0</v>
          </cell>
          <cell r="AQ763">
            <v>0</v>
          </cell>
        </row>
        <row r="764">
          <cell r="B764" t="str">
            <v>GY1-1270</v>
          </cell>
          <cell r="C764" t="str">
            <v>Preparation of Monthly Invoice for D+1</v>
          </cell>
          <cell r="D764">
            <v>10074</v>
          </cell>
          <cell r="E764">
            <v>1.1596327238743976E-5</v>
          </cell>
          <cell r="F764">
            <v>1</v>
          </cell>
          <cell r="G764">
            <v>0</v>
          </cell>
          <cell r="H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0</v>
          </cell>
          <cell r="R764">
            <v>0</v>
          </cell>
          <cell r="S764">
            <v>0</v>
          </cell>
          <cell r="T764">
            <v>0</v>
          </cell>
        </row>
        <row r="765">
          <cell r="B765" t="str">
            <v>GY1-1310</v>
          </cell>
          <cell r="C765" t="str">
            <v>Submission of invoice for D+1 MONTH</v>
          </cell>
          <cell r="D765">
            <v>630</v>
          </cell>
          <cell r="E765">
            <v>7.2520212035027843E-7</v>
          </cell>
          <cell r="F765">
            <v>1</v>
          </cell>
          <cell r="G765">
            <v>0</v>
          </cell>
          <cell r="H765">
            <v>1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0</v>
          </cell>
          <cell r="S765">
            <v>0</v>
          </cell>
          <cell r="T765">
            <v>0</v>
          </cell>
        </row>
        <row r="766">
          <cell r="B766" t="str">
            <v>GY1-1440</v>
          </cell>
          <cell r="C766" t="str">
            <v>Receipt of Payment for D+1 Month</v>
          </cell>
          <cell r="D766">
            <v>630</v>
          </cell>
          <cell r="E766">
            <v>7.2520212035027843E-7</v>
          </cell>
          <cell r="F766">
            <v>1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1</v>
          </cell>
          <cell r="T766">
            <v>0</v>
          </cell>
        </row>
        <row r="767">
          <cell r="B767" t="str">
            <v>D+2MONTH</v>
          </cell>
          <cell r="D767">
            <v>11963</v>
          </cell>
          <cell r="E767">
            <v>1.3770782485318064E-5</v>
          </cell>
          <cell r="F767">
            <v>1.0000000000000002</v>
          </cell>
          <cell r="G767">
            <v>0</v>
          </cell>
          <cell r="H767">
            <v>0</v>
          </cell>
          <cell r="I767">
            <v>0.87461339128981042</v>
          </cell>
          <cell r="J767">
            <v>7.2807824124383524E-2</v>
          </cell>
          <cell r="K767">
            <v>4.8399230962133256E-2</v>
          </cell>
          <cell r="L767">
            <v>4.1795536236729916E-3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-5.275454562943213E-17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>
            <v>0</v>
          </cell>
          <cell r="AM767">
            <v>0</v>
          </cell>
          <cell r="AN767">
            <v>0</v>
          </cell>
          <cell r="AO767">
            <v>0</v>
          </cell>
          <cell r="AP767">
            <v>0</v>
          </cell>
          <cell r="AQ767">
            <v>0</v>
          </cell>
        </row>
        <row r="768">
          <cell r="B768" t="str">
            <v>GY1-1420</v>
          </cell>
          <cell r="C768" t="str">
            <v>Preparation of Monthly Invoice for D+2 Month</v>
          </cell>
          <cell r="D768">
            <v>10703</v>
          </cell>
          <cell r="E768">
            <v>1.2320378244617507E-5</v>
          </cell>
          <cell r="F768">
            <v>1</v>
          </cell>
          <cell r="G768">
            <v>0</v>
          </cell>
          <cell r="H768">
            <v>0</v>
          </cell>
          <cell r="I768">
            <v>0.93459777632439511</v>
          </cell>
          <cell r="J768">
            <v>6.5495655423712981E-2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-9.3431748108052659E-5</v>
          </cell>
          <cell r="T768">
            <v>0</v>
          </cell>
        </row>
        <row r="769">
          <cell r="B769" t="str">
            <v>GY1-1490</v>
          </cell>
          <cell r="C769" t="str">
            <v>Submission of invoice for D+2 Month</v>
          </cell>
          <cell r="D769">
            <v>630</v>
          </cell>
          <cell r="E769">
            <v>7.2520212035027843E-7</v>
          </cell>
          <cell r="F769">
            <v>1</v>
          </cell>
          <cell r="G769">
            <v>0</v>
          </cell>
          <cell r="H769">
            <v>0</v>
          </cell>
          <cell r="I769">
            <v>0.73015873015873023</v>
          </cell>
          <cell r="J769">
            <v>0.26984126984126988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</row>
        <row r="770">
          <cell r="B770" t="str">
            <v>GY1-1660</v>
          </cell>
          <cell r="C770" t="str">
            <v>Receipt of Payment for D+2 Month</v>
          </cell>
          <cell r="D770">
            <v>630</v>
          </cell>
          <cell r="E770">
            <v>7.2520212035027843E-7</v>
          </cell>
          <cell r="F770">
            <v>1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0.91904761904761922</v>
          </cell>
          <cell r="L770">
            <v>7.9365079365079361E-2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1.5873015873013596E-3</v>
          </cell>
          <cell r="T770">
            <v>0</v>
          </cell>
        </row>
        <row r="771">
          <cell r="B771" t="str">
            <v>D+3MONTH</v>
          </cell>
          <cell r="D771">
            <v>11334</v>
          </cell>
          <cell r="E771">
            <v>1.3046731479444533E-5</v>
          </cell>
          <cell r="F771">
            <v>1</v>
          </cell>
          <cell r="G771">
            <v>0</v>
          </cell>
          <cell r="H771">
            <v>0</v>
          </cell>
          <cell r="I771">
            <v>0</v>
          </cell>
          <cell r="J771">
            <v>0.62581612846303147</v>
          </cell>
          <cell r="K771">
            <v>0.31365802011646376</v>
          </cell>
          <cell r="L771">
            <v>4.4820892888653617E-2</v>
          </cell>
          <cell r="M771">
            <v>1.4557967178401271E-2</v>
          </cell>
          <cell r="N771">
            <v>1.0587612493382743E-3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8.8230104111516379E-5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0</v>
          </cell>
          <cell r="AQ771">
            <v>0</v>
          </cell>
        </row>
        <row r="772">
          <cell r="B772" t="str">
            <v>GY1-1580</v>
          </cell>
          <cell r="C772" t="str">
            <v>Preparation of Monthly Invoice for D+3 Month</v>
          </cell>
          <cell r="D772">
            <v>10074</v>
          </cell>
          <cell r="E772">
            <v>1.1596327238743976E-5</v>
          </cell>
          <cell r="F772">
            <v>1</v>
          </cell>
          <cell r="G772">
            <v>0</v>
          </cell>
          <cell r="H772">
            <v>0</v>
          </cell>
          <cell r="I772">
            <v>0</v>
          </cell>
          <cell r="J772">
            <v>0.69634703196347025</v>
          </cell>
          <cell r="K772">
            <v>0.29551320230295813</v>
          </cell>
          <cell r="L772">
            <v>8.13976573357157E-3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</row>
        <row r="773">
          <cell r="B773" t="str">
            <v>GY1-1690</v>
          </cell>
          <cell r="C773" t="str">
            <v>Submission of invoice for D+3 Month</v>
          </cell>
          <cell r="D773">
            <v>630</v>
          </cell>
          <cell r="E773">
            <v>7.2520212035027843E-7</v>
          </cell>
          <cell r="F773">
            <v>1</v>
          </cell>
          <cell r="G773">
            <v>0</v>
          </cell>
          <cell r="H773">
            <v>0</v>
          </cell>
          <cell r="I773">
            <v>0</v>
          </cell>
          <cell r="J773">
            <v>0.12380952380952383</v>
          </cell>
          <cell r="K773">
            <v>0.85396825396825404</v>
          </cell>
          <cell r="L773">
            <v>2.0634920634920634E-2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1.5873015873014706E-3</v>
          </cell>
          <cell r="T773">
            <v>0</v>
          </cell>
        </row>
        <row r="774">
          <cell r="B774" t="str">
            <v>GY1-2050</v>
          </cell>
          <cell r="C774" t="str">
            <v>Receipt of Payment for D+3 Month</v>
          </cell>
          <cell r="D774">
            <v>630</v>
          </cell>
          <cell r="E774">
            <v>7.2520212035027843E-7</v>
          </cell>
          <cell r="F774">
            <v>1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6.3492063492063502E-2</v>
          </cell>
          <cell r="L774">
            <v>0.65555555555555567</v>
          </cell>
          <cell r="M774">
            <v>0.26190476190476192</v>
          </cell>
          <cell r="N774">
            <v>1.9047619047619049E-2</v>
          </cell>
          <cell r="O774">
            <v>0</v>
          </cell>
          <cell r="P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</row>
        <row r="775">
          <cell r="B775" t="str">
            <v>D+4MONTH</v>
          </cell>
          <cell r="D775">
            <v>11334</v>
          </cell>
          <cell r="E775">
            <v>1.3046731479444533E-5</v>
          </cell>
          <cell r="F775">
            <v>1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0.24130933474501501</v>
          </cell>
          <cell r="L775">
            <v>0.70301746956061406</v>
          </cell>
          <cell r="M775">
            <v>5.4702664549144174E-3</v>
          </cell>
          <cell r="N775">
            <v>3.7409564143285688E-2</v>
          </cell>
          <cell r="O775">
            <v>1.2705134992059292E-2</v>
          </cell>
          <cell r="P775">
            <v>0</v>
          </cell>
          <cell r="Q775">
            <v>0</v>
          </cell>
          <cell r="R775">
            <v>0</v>
          </cell>
          <cell r="S775">
            <v>8.8230104111573259E-5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>
            <v>0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0</v>
          </cell>
          <cell r="AQ775">
            <v>0</v>
          </cell>
        </row>
        <row r="776">
          <cell r="B776" t="str">
            <v>GY1-2000</v>
          </cell>
          <cell r="C776" t="str">
            <v>Preparation of Monthly Invoice for D+4 Month</v>
          </cell>
          <cell r="D776">
            <v>10074</v>
          </cell>
          <cell r="E776">
            <v>1.1596327238743976E-5</v>
          </cell>
          <cell r="F776">
            <v>1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0.27149096684534446</v>
          </cell>
          <cell r="L776">
            <v>0.72840976771888022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9.9265435775319766E-5</v>
          </cell>
          <cell r="T776">
            <v>0</v>
          </cell>
        </row>
        <row r="777">
          <cell r="B777" t="str">
            <v>GY1-2140</v>
          </cell>
          <cell r="C777" t="str">
            <v>Submission of invoice for D+4 Month</v>
          </cell>
          <cell r="D777">
            <v>630</v>
          </cell>
          <cell r="E777">
            <v>7.2520212035027843E-7</v>
          </cell>
          <cell r="F777">
            <v>1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1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</row>
        <row r="778">
          <cell r="B778" t="str">
            <v>GY1-2250</v>
          </cell>
          <cell r="C778" t="str">
            <v>Receipt of Payment for D+4 Month</v>
          </cell>
          <cell r="D778">
            <v>630</v>
          </cell>
          <cell r="E778">
            <v>7.2520212035027843E-7</v>
          </cell>
          <cell r="F778">
            <v>1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9.8412698412698424E-2</v>
          </cell>
          <cell r="N778">
            <v>0.67301587301587296</v>
          </cell>
          <cell r="O778">
            <v>0.22857142857142859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</row>
        <row r="779">
          <cell r="B779" t="str">
            <v>D+5MONTH</v>
          </cell>
          <cell r="D779">
            <v>11334</v>
          </cell>
          <cell r="E779">
            <v>1.3046731479444533E-5</v>
          </cell>
          <cell r="F779">
            <v>1.0000000000000002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0.52064584436209638</v>
          </cell>
          <cell r="M779">
            <v>0.39606493735662618</v>
          </cell>
          <cell r="N779">
            <v>2.7527792482795133E-2</v>
          </cell>
          <cell r="O779">
            <v>4.3144520910534674E-2</v>
          </cell>
          <cell r="P779">
            <v>1.23522145756132E-2</v>
          </cell>
          <cell r="Q779">
            <v>0</v>
          </cell>
          <cell r="R779">
            <v>0</v>
          </cell>
          <cell r="S779">
            <v>2.6469031233461833E-4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>
            <v>0</v>
          </cell>
          <cell r="AM779">
            <v>0</v>
          </cell>
          <cell r="AN779">
            <v>0</v>
          </cell>
          <cell r="AO779">
            <v>0</v>
          </cell>
          <cell r="AP779">
            <v>0</v>
          </cell>
          <cell r="AQ779">
            <v>0</v>
          </cell>
        </row>
        <row r="780">
          <cell r="B780" t="str">
            <v>GY1-2180</v>
          </cell>
          <cell r="C780" t="str">
            <v>Preparation of Monthly Invoice for D+5 Month</v>
          </cell>
          <cell r="D780">
            <v>10074</v>
          </cell>
          <cell r="E780">
            <v>1.1596327238743976E-5</v>
          </cell>
          <cell r="F780">
            <v>1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0.56124677387333732</v>
          </cell>
          <cell r="M780">
            <v>0.40996624975183643</v>
          </cell>
          <cell r="N780">
            <v>2.8687710939051026E-2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9.9265435775319766E-5</v>
          </cell>
          <cell r="T780">
            <v>0</v>
          </cell>
        </row>
        <row r="781">
          <cell r="B781" t="str">
            <v>GY1-2280</v>
          </cell>
          <cell r="C781" t="str">
            <v>Submission of invoice for D+5 Month</v>
          </cell>
          <cell r="D781">
            <v>630</v>
          </cell>
          <cell r="E781">
            <v>7.2520212035027843E-7</v>
          </cell>
          <cell r="F781">
            <v>1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0.39206349206349206</v>
          </cell>
          <cell r="M781">
            <v>0.56984126984126993</v>
          </cell>
          <cell r="N781">
            <v>3.6507936507936503E-2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1.5873015873014706E-3</v>
          </cell>
          <cell r="T781">
            <v>0</v>
          </cell>
        </row>
        <row r="782">
          <cell r="B782" t="str">
            <v>GY1-2320</v>
          </cell>
          <cell r="C782" t="str">
            <v>Receipt of Payment for D+5 Month</v>
          </cell>
          <cell r="D782">
            <v>630</v>
          </cell>
          <cell r="E782">
            <v>7.2520212035027843E-7</v>
          </cell>
          <cell r="F782">
            <v>1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0.7761904761904761</v>
          </cell>
          <cell r="P782">
            <v>0.22222222222222221</v>
          </cell>
          <cell r="Q782">
            <v>0</v>
          </cell>
          <cell r="R782">
            <v>0</v>
          </cell>
          <cell r="S782">
            <v>1.5873015873016927E-3</v>
          </cell>
          <cell r="T782">
            <v>0</v>
          </cell>
        </row>
        <row r="783">
          <cell r="B783" t="str">
            <v>D+6MONTH</v>
          </cell>
          <cell r="D783">
            <v>11334</v>
          </cell>
          <cell r="E783">
            <v>1.3046731479444533E-5</v>
          </cell>
          <cell r="F783">
            <v>1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0.67866596082583375</v>
          </cell>
          <cell r="N783">
            <v>0.26574907358390681</v>
          </cell>
          <cell r="O783">
            <v>0</v>
          </cell>
          <cell r="P783">
            <v>4.4997353096876649E-2</v>
          </cell>
          <cell r="Q783">
            <v>1.0587612493382742E-2</v>
          </cell>
          <cell r="R783">
            <v>0</v>
          </cell>
          <cell r="S783">
            <v>6.1711708621303037E-18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0</v>
          </cell>
          <cell r="AM783">
            <v>0</v>
          </cell>
          <cell r="AN783">
            <v>0</v>
          </cell>
          <cell r="AO783">
            <v>0</v>
          </cell>
          <cell r="AP783">
            <v>0</v>
          </cell>
          <cell r="AQ783">
            <v>0</v>
          </cell>
        </row>
        <row r="784">
          <cell r="B784" t="str">
            <v>GY1-2310</v>
          </cell>
          <cell r="C784" t="str">
            <v>Preparation of Monthly Invoice for D+6 Month</v>
          </cell>
          <cell r="D784">
            <v>10074</v>
          </cell>
          <cell r="E784">
            <v>1.1596327238743976E-5</v>
          </cell>
          <cell r="F784">
            <v>1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0.74042088544768714</v>
          </cell>
          <cell r="N784">
            <v>0.25957911455231286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</row>
        <row r="785">
          <cell r="B785" t="str">
            <v>GY1-2360</v>
          </cell>
          <cell r="C785" t="str">
            <v>Submission of invoice for D+6 Month</v>
          </cell>
          <cell r="D785">
            <v>630</v>
          </cell>
          <cell r="E785">
            <v>7.2520212035027843E-7</v>
          </cell>
          <cell r="F785">
            <v>1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0.36984126984126986</v>
          </cell>
          <cell r="N785">
            <v>0.63015873015873014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</row>
        <row r="786">
          <cell r="B786" t="str">
            <v>GY1-2430</v>
          </cell>
          <cell r="C786" t="str">
            <v>Receipt of Payment for D+6 Month</v>
          </cell>
          <cell r="D786">
            <v>630</v>
          </cell>
          <cell r="E786">
            <v>7.2520212035027843E-7</v>
          </cell>
          <cell r="F786">
            <v>1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0.80952380952380942</v>
          </cell>
          <cell r="Q786">
            <v>0.19047619047619049</v>
          </cell>
          <cell r="R786">
            <v>0</v>
          </cell>
          <cell r="S786">
            <v>1.1102230246251565E-16</v>
          </cell>
          <cell r="T786">
            <v>0</v>
          </cell>
        </row>
        <row r="787">
          <cell r="B787" t="str">
            <v>D+7MONTH</v>
          </cell>
          <cell r="D787">
            <v>11334</v>
          </cell>
          <cell r="E787">
            <v>1.3046731479444533E-5</v>
          </cell>
          <cell r="F787">
            <v>1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0.26936650785247929</v>
          </cell>
          <cell r="O787">
            <v>0.67496029645314981</v>
          </cell>
          <cell r="P787">
            <v>0</v>
          </cell>
          <cell r="Q787">
            <v>0</v>
          </cell>
          <cell r="R787">
            <v>0</v>
          </cell>
          <cell r="S787">
            <v>5.5673195694370868E-2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>
            <v>0</v>
          </cell>
          <cell r="AC787">
            <v>0</v>
          </cell>
          <cell r="AD787">
            <v>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>
            <v>0</v>
          </cell>
          <cell r="AM787">
            <v>0</v>
          </cell>
          <cell r="AN787">
            <v>0</v>
          </cell>
          <cell r="AO787">
            <v>0</v>
          </cell>
          <cell r="AP787">
            <v>0</v>
          </cell>
          <cell r="AQ787">
            <v>0</v>
          </cell>
        </row>
        <row r="788">
          <cell r="B788" t="str">
            <v>GY1-2410</v>
          </cell>
          <cell r="C788" t="str">
            <v>Preparation of Monthly Invoice for D+7 Month</v>
          </cell>
          <cell r="D788">
            <v>10074</v>
          </cell>
          <cell r="E788">
            <v>1.1596327238743976E-5</v>
          </cell>
          <cell r="F788">
            <v>1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0.30305737542187811</v>
          </cell>
          <cell r="O788">
            <v>0.69684335914234663</v>
          </cell>
          <cell r="P788">
            <v>0</v>
          </cell>
          <cell r="Q788">
            <v>0</v>
          </cell>
          <cell r="R788">
            <v>0</v>
          </cell>
          <cell r="S788">
            <v>9.9265435775208744E-5</v>
          </cell>
          <cell r="T788">
            <v>0</v>
          </cell>
        </row>
        <row r="789">
          <cell r="B789" t="str">
            <v>GY1-2480</v>
          </cell>
          <cell r="C789" t="str">
            <v>Submission of invoice for D+7 Month</v>
          </cell>
          <cell r="D789">
            <v>630</v>
          </cell>
          <cell r="E789">
            <v>7.2520212035027843E-7</v>
          </cell>
          <cell r="F789">
            <v>1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1</v>
          </cell>
          <cell r="P789">
            <v>0</v>
          </cell>
          <cell r="Q789">
            <v>0</v>
          </cell>
          <cell r="R789">
            <v>0</v>
          </cell>
          <cell r="S789">
            <v>0</v>
          </cell>
          <cell r="T789">
            <v>0</v>
          </cell>
        </row>
        <row r="790">
          <cell r="B790" t="str">
            <v>GY1-2520</v>
          </cell>
          <cell r="C790" t="str">
            <v>Receipt of Payment for D+7 Month</v>
          </cell>
          <cell r="D790">
            <v>630</v>
          </cell>
          <cell r="E790">
            <v>7.2520212035027843E-7</v>
          </cell>
          <cell r="F790">
            <v>1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1</v>
          </cell>
          <cell r="T790">
            <v>0</v>
          </cell>
        </row>
        <row r="791">
          <cell r="B791" t="str">
            <v>D+8MONTH</v>
          </cell>
          <cell r="D791">
            <v>11334</v>
          </cell>
          <cell r="E791">
            <v>1.3046731479444533E-5</v>
          </cell>
          <cell r="F791">
            <v>1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0.49241221104640903</v>
          </cell>
          <cell r="P791">
            <v>0.35671431092288691</v>
          </cell>
          <cell r="Q791">
            <v>9.5200282336333153E-2</v>
          </cell>
          <cell r="R791">
            <v>0</v>
          </cell>
          <cell r="S791">
            <v>8.8230104111522545E-5</v>
          </cell>
          <cell r="T791">
            <v>5.5584965590259397E-2</v>
          </cell>
          <cell r="U791">
            <v>0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0</v>
          </cell>
          <cell r="AM791">
            <v>0</v>
          </cell>
          <cell r="AN791">
            <v>0</v>
          </cell>
          <cell r="AO791">
            <v>0</v>
          </cell>
          <cell r="AP791">
            <v>0</v>
          </cell>
          <cell r="AQ791">
            <v>0</v>
          </cell>
        </row>
        <row r="792">
          <cell r="B792" t="str">
            <v>GY1-2510</v>
          </cell>
          <cell r="C792" t="str">
            <v>Preparation of Monthly Invoice for D+8 Month</v>
          </cell>
          <cell r="D792">
            <v>10074</v>
          </cell>
          <cell r="E792">
            <v>1.1596327238743976E-5</v>
          </cell>
          <cell r="F792">
            <v>1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0.55400039706174309</v>
          </cell>
          <cell r="P792">
            <v>0.37313877307921384</v>
          </cell>
          <cell r="Q792">
            <v>7.2860829859043075E-2</v>
          </cell>
          <cell r="R792">
            <v>0</v>
          </cell>
          <cell r="S792">
            <v>0</v>
          </cell>
          <cell r="T792">
            <v>0</v>
          </cell>
        </row>
        <row r="793">
          <cell r="B793" t="str">
            <v>GY1-2570</v>
          </cell>
          <cell r="C793" t="str">
            <v>Submission of invoice for D+8 Month</v>
          </cell>
          <cell r="D793">
            <v>630</v>
          </cell>
          <cell r="E793">
            <v>7.2520212035027843E-7</v>
          </cell>
          <cell r="F793">
            <v>1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0.45079365079365086</v>
          </cell>
          <cell r="Q793">
            <v>0.54761904761904756</v>
          </cell>
          <cell r="R793">
            <v>0</v>
          </cell>
          <cell r="S793">
            <v>1.5873015873015817E-3</v>
          </cell>
          <cell r="T793">
            <v>0</v>
          </cell>
        </row>
        <row r="794">
          <cell r="B794" t="str">
            <v>GY1-2640</v>
          </cell>
          <cell r="C794" t="str">
            <v>Receipt of Payment for D+8 Month</v>
          </cell>
          <cell r="D794">
            <v>630</v>
          </cell>
          <cell r="E794">
            <v>7.2520212035027843E-7</v>
          </cell>
          <cell r="F794">
            <v>1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1</v>
          </cell>
        </row>
        <row r="795">
          <cell r="B795" t="str">
            <v>D+9MONTH</v>
          </cell>
          <cell r="D795">
            <v>11963</v>
          </cell>
          <cell r="E795">
            <v>1.3770782485318064E-5</v>
          </cell>
          <cell r="F795">
            <v>1.0000000000000002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0.66872857978767875</v>
          </cell>
          <cell r="R795">
            <v>0.27869263562651508</v>
          </cell>
          <cell r="S795">
            <v>-8.3591072473500596E-5</v>
          </cell>
          <cell r="T795">
            <v>5.2662375658279699E-2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0</v>
          </cell>
          <cell r="AM795">
            <v>0</v>
          </cell>
          <cell r="AN795">
            <v>0</v>
          </cell>
          <cell r="AO795">
            <v>0</v>
          </cell>
          <cell r="AP795">
            <v>0</v>
          </cell>
          <cell r="AQ795">
            <v>0</v>
          </cell>
        </row>
        <row r="796">
          <cell r="B796" t="str">
            <v>GY1-2620</v>
          </cell>
          <cell r="C796" t="str">
            <v>Preparation of Monthly Invoice for D+9 Month</v>
          </cell>
          <cell r="D796">
            <v>10703</v>
          </cell>
          <cell r="E796">
            <v>1.2320378244617507E-5</v>
          </cell>
          <cell r="F796">
            <v>1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Q796">
            <v>0.69130150425114456</v>
          </cell>
          <cell r="R796">
            <v>0.30879192749696349</v>
          </cell>
          <cell r="S796">
            <v>-9.3431748108052659E-5</v>
          </cell>
          <cell r="T796">
            <v>0</v>
          </cell>
        </row>
        <row r="797">
          <cell r="B797" t="str">
            <v>GY1-2680</v>
          </cell>
          <cell r="C797" t="str">
            <v>Submission of invoice for D+9 Month</v>
          </cell>
          <cell r="D797">
            <v>630</v>
          </cell>
          <cell r="E797">
            <v>7.2520212035027843E-7</v>
          </cell>
          <cell r="F797">
            <v>1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Q797">
            <v>0.95396825396825402</v>
          </cell>
          <cell r="R797">
            <v>4.6031746031746028E-2</v>
          </cell>
          <cell r="S797">
            <v>0</v>
          </cell>
          <cell r="T797">
            <v>0</v>
          </cell>
        </row>
        <row r="798">
          <cell r="B798" t="str">
            <v>GY1-2800</v>
          </cell>
          <cell r="C798" t="str">
            <v>Receipt of Payment for D+9 Month</v>
          </cell>
          <cell r="D798">
            <v>630</v>
          </cell>
          <cell r="E798">
            <v>7.2520212035027843E-7</v>
          </cell>
          <cell r="F798">
            <v>1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1</v>
          </cell>
        </row>
        <row r="799">
          <cell r="B799" t="str">
            <v>D+10MONTH</v>
          </cell>
          <cell r="D799">
            <v>11334</v>
          </cell>
          <cell r="E799">
            <v>1.3046731479444533E-5</v>
          </cell>
          <cell r="F799">
            <v>1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0.88883006881948123</v>
          </cell>
          <cell r="S799">
            <v>5.5584965590259397E-2</v>
          </cell>
          <cell r="T799">
            <v>5.5584965590259397E-2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0</v>
          </cell>
          <cell r="AQ799">
            <v>0</v>
          </cell>
        </row>
        <row r="800">
          <cell r="B800" t="str">
            <v>GY1-2750</v>
          </cell>
          <cell r="C800" t="str">
            <v>Preparation of Monthly Invoice for D+10 Month</v>
          </cell>
          <cell r="D800">
            <v>10074</v>
          </cell>
          <cell r="E800">
            <v>1.1596327238743976E-5</v>
          </cell>
          <cell r="F800">
            <v>1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1</v>
          </cell>
          <cell r="S800">
            <v>0</v>
          </cell>
          <cell r="T800">
            <v>0</v>
          </cell>
        </row>
        <row r="801">
          <cell r="B801" t="str">
            <v>GY1-2840</v>
          </cell>
          <cell r="C801" t="str">
            <v>Submission of invoice for D+10 Month</v>
          </cell>
          <cell r="D801">
            <v>630</v>
          </cell>
          <cell r="E801">
            <v>7.2520212035027843E-7</v>
          </cell>
          <cell r="F801">
            <v>1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1</v>
          </cell>
          <cell r="T801">
            <v>0</v>
          </cell>
        </row>
        <row r="802">
          <cell r="B802" t="str">
            <v>GY1-3090</v>
          </cell>
          <cell r="C802" t="str">
            <v>Receipt of Payment for D+10 Month</v>
          </cell>
          <cell r="D802">
            <v>630</v>
          </cell>
          <cell r="E802">
            <v>7.2520212035027843E-7</v>
          </cell>
          <cell r="F802">
            <v>1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1</v>
          </cell>
        </row>
        <row r="803">
          <cell r="B803" t="str">
            <v>D+11MONTH</v>
          </cell>
          <cell r="D803">
            <v>11333</v>
          </cell>
          <cell r="E803">
            <v>1.3045580364967786E-5</v>
          </cell>
          <cell r="F803">
            <v>1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0.9444101297096974</v>
          </cell>
          <cell r="T803">
            <v>5.5589870290302656E-2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>
            <v>0</v>
          </cell>
          <cell r="AM803">
            <v>0</v>
          </cell>
          <cell r="AN803">
            <v>0</v>
          </cell>
          <cell r="AO803">
            <v>0</v>
          </cell>
          <cell r="AP803">
            <v>0</v>
          </cell>
          <cell r="AQ803">
            <v>0</v>
          </cell>
        </row>
        <row r="804">
          <cell r="B804" t="str">
            <v>GY1-3070</v>
          </cell>
          <cell r="C804" t="str">
            <v>Preparation of Monthly Invoice for D+11 Month</v>
          </cell>
          <cell r="D804">
            <v>10703</v>
          </cell>
          <cell r="E804">
            <v>1.2320378244617507E-5</v>
          </cell>
          <cell r="F804">
            <v>1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1</v>
          </cell>
          <cell r="T804">
            <v>0</v>
          </cell>
        </row>
        <row r="805">
          <cell r="B805" t="str">
            <v>GY1-3650</v>
          </cell>
          <cell r="C805" t="str">
            <v>Submission of invoice for D+11 Month</v>
          </cell>
          <cell r="D805">
            <v>630</v>
          </cell>
          <cell r="E805">
            <v>7.2520212035027843E-7</v>
          </cell>
          <cell r="F805">
            <v>1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1</v>
          </cell>
        </row>
        <row r="806">
          <cell r="B806" t="str">
            <v>GY1-3680</v>
          </cell>
          <cell r="C806" t="str">
            <v>Receipt of Payment for D+11 Month</v>
          </cell>
          <cell r="D806">
            <v>0</v>
          </cell>
          <cell r="E806">
            <v>0</v>
          </cell>
          <cell r="F806">
            <v>0</v>
          </cell>
          <cell r="S806">
            <v>0</v>
          </cell>
          <cell r="T806">
            <v>0</v>
          </cell>
        </row>
        <row r="807">
          <cell r="B807" t="str">
            <v>D+12MONTH</v>
          </cell>
          <cell r="D807">
            <v>0</v>
          </cell>
          <cell r="E807">
            <v>0</v>
          </cell>
          <cell r="F807">
            <v>0</v>
          </cell>
        </row>
        <row r="808">
          <cell r="B808" t="str">
            <v>GY1-3700</v>
          </cell>
          <cell r="C808" t="str">
            <v>Submission of invoice for D+12 Month</v>
          </cell>
          <cell r="D808">
            <v>0</v>
          </cell>
          <cell r="E808">
            <v>0</v>
          </cell>
          <cell r="F808">
            <v>0</v>
          </cell>
          <cell r="S808">
            <v>0</v>
          </cell>
          <cell r="T808">
            <v>0</v>
          </cell>
        </row>
        <row r="809">
          <cell r="B809" t="str">
            <v>GY1-3720</v>
          </cell>
          <cell r="C809" t="str">
            <v>Receipt of Payment for D+12 Month</v>
          </cell>
          <cell r="D809">
            <v>0</v>
          </cell>
          <cell r="E809">
            <v>0</v>
          </cell>
          <cell r="F809">
            <v>0</v>
          </cell>
          <cell r="S809">
            <v>0</v>
          </cell>
          <cell r="T809">
            <v>0</v>
          </cell>
        </row>
        <row r="810">
          <cell r="B810" t="str">
            <v>INVOICESFORYEAR2</v>
          </cell>
          <cell r="F810">
            <v>0</v>
          </cell>
        </row>
        <row r="811">
          <cell r="B811" t="str">
            <v>INVOICESFORYEAR3</v>
          </cell>
          <cell r="F811">
            <v>0</v>
          </cell>
        </row>
        <row r="812">
          <cell r="B812" t="str">
            <v>CORECONSULTANCYEXPENSES</v>
          </cell>
          <cell r="D812">
            <v>78620690</v>
          </cell>
          <cell r="E812">
            <v>9.050141443079672E-2</v>
          </cell>
          <cell r="F812">
            <v>1</v>
          </cell>
          <cell r="G812">
            <v>7.565789615939518E-2</v>
          </cell>
          <cell r="H812">
            <v>8.223683867439982E-2</v>
          </cell>
          <cell r="I812">
            <v>8.8815793908702659E-2</v>
          </cell>
          <cell r="J812">
            <v>8.223683867439982E-2</v>
          </cell>
          <cell r="K812">
            <v>7.8947373776546606E-2</v>
          </cell>
          <cell r="L812">
            <v>8.5526316291551246E-2</v>
          </cell>
          <cell r="M812">
            <v>7.8947373776546606E-2</v>
          </cell>
          <cell r="N812">
            <v>8.8815793908702659E-2</v>
          </cell>
          <cell r="O812">
            <v>8.223683867439982E-2</v>
          </cell>
          <cell r="P812">
            <v>8.5526316291551246E-2</v>
          </cell>
          <cell r="Q812">
            <v>8.5526316291551246E-2</v>
          </cell>
          <cell r="R812">
            <v>8.223683867439982E-2</v>
          </cell>
          <cell r="S812">
            <v>3.2894648978533114E-3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>
            <v>0</v>
          </cell>
          <cell r="AC812">
            <v>0</v>
          </cell>
          <cell r="AD812">
            <v>0</v>
          </cell>
          <cell r="AE812">
            <v>0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0</v>
          </cell>
          <cell r="AQ812">
            <v>0</v>
          </cell>
        </row>
        <row r="813">
          <cell r="B813" t="str">
            <v>GY1-1000</v>
          </cell>
          <cell r="C813" t="str">
            <v>Core Consultancy Expenses</v>
          </cell>
          <cell r="D813">
            <v>78620690</v>
          </cell>
          <cell r="E813">
            <v>9.050141443079672E-2</v>
          </cell>
          <cell r="F813">
            <v>1</v>
          </cell>
          <cell r="G813">
            <v>7.565789615939518E-2</v>
          </cell>
          <cell r="H813">
            <v>8.223683867439982E-2</v>
          </cell>
          <cell r="I813">
            <v>8.8815793908702659E-2</v>
          </cell>
          <cell r="J813">
            <v>8.223683867439982E-2</v>
          </cell>
          <cell r="K813">
            <v>7.8947373776546606E-2</v>
          </cell>
          <cell r="L813">
            <v>8.5526316291551246E-2</v>
          </cell>
          <cell r="M813">
            <v>7.8947373776546606E-2</v>
          </cell>
          <cell r="N813">
            <v>8.8815793908702659E-2</v>
          </cell>
          <cell r="O813">
            <v>8.223683867439982E-2</v>
          </cell>
          <cell r="P813">
            <v>8.5526316291551246E-2</v>
          </cell>
          <cell r="Q813">
            <v>8.5526316291551246E-2</v>
          </cell>
          <cell r="R813">
            <v>8.223683867439982E-2</v>
          </cell>
          <cell r="S813">
            <v>3.2894648978533114E-3</v>
          </cell>
          <cell r="T813">
            <v>0</v>
          </cell>
        </row>
        <row r="814">
          <cell r="B814" t="str">
            <v>GENERALPRORAMMEMANAGEMENTFORYEAR2</v>
          </cell>
          <cell r="D814">
            <v>201325871</v>
          </cell>
          <cell r="E814">
            <v>0.16286713539190042</v>
          </cell>
          <cell r="F814">
            <v>0.17191253909207438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8.6930085782047875E-2</v>
          </cell>
          <cell r="T814">
            <v>8.4982453310026504E-2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>
            <v>0</v>
          </cell>
          <cell r="AM814">
            <v>0</v>
          </cell>
          <cell r="AN814">
            <v>0</v>
          </cell>
          <cell r="AO814">
            <v>0</v>
          </cell>
          <cell r="AP814">
            <v>0</v>
          </cell>
          <cell r="AQ814">
            <v>0</v>
          </cell>
        </row>
        <row r="815">
          <cell r="B815" t="str">
            <v>ORGANIZATION&amp;GOVERNANCE</v>
          </cell>
          <cell r="F815">
            <v>0</v>
          </cell>
        </row>
        <row r="816">
          <cell r="B816" t="str">
            <v>PROGRAMCONTROLS</v>
          </cell>
          <cell r="D816">
            <v>0</v>
          </cell>
          <cell r="E816">
            <v>5.4106086995699382E-2</v>
          </cell>
          <cell r="F816">
            <v>0.18356705787390737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Q816">
            <v>0</v>
          </cell>
          <cell r="R816">
            <v>0</v>
          </cell>
          <cell r="S816">
            <v>9.1530927847070911E-2</v>
          </cell>
          <cell r="T816">
            <v>9.2036130026836471E-2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>
            <v>0</v>
          </cell>
          <cell r="AM816">
            <v>0</v>
          </cell>
          <cell r="AN816">
            <v>0</v>
          </cell>
          <cell r="AO816">
            <v>0</v>
          </cell>
          <cell r="AP816">
            <v>0</v>
          </cell>
          <cell r="AQ816">
            <v>0</v>
          </cell>
        </row>
        <row r="817">
          <cell r="B817" t="str">
            <v>SCHEDULEMANAGEMENT</v>
          </cell>
          <cell r="D817">
            <v>0</v>
          </cell>
          <cell r="E817">
            <v>1.4428690453357745E-3</v>
          </cell>
          <cell r="F817">
            <v>0.16780000000000003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8.550000000000002E-2</v>
          </cell>
          <cell r="T817">
            <v>8.2300000000000012E-2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>
            <v>0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 t="str">
            <v>GY2-1470</v>
          </cell>
          <cell r="C818" t="str">
            <v>Ensuring Implementation of Change Management Processes (wrt Schedule)</v>
          </cell>
          <cell r="D818">
            <v>0</v>
          </cell>
          <cell r="E818">
            <v>5.9914817845967909E-4</v>
          </cell>
          <cell r="F818">
            <v>0.1678</v>
          </cell>
          <cell r="S818">
            <v>8.5500000000000007E-2</v>
          </cell>
          <cell r="T818">
            <v>8.2299999999999998E-2</v>
          </cell>
        </row>
        <row r="819">
          <cell r="B819" t="str">
            <v>GY2-1480</v>
          </cell>
          <cell r="C819" t="str">
            <v>Monitoring perceived viability of the Contractor Schedule &amp; Prepare alternatives</v>
          </cell>
          <cell r="D819">
            <v>0</v>
          </cell>
          <cell r="E819">
            <v>6.4499246361058422E-4</v>
          </cell>
          <cell r="F819">
            <v>0.1678</v>
          </cell>
          <cell r="S819">
            <v>8.5500000000000007E-2</v>
          </cell>
          <cell r="T819">
            <v>8.2299999999999998E-2</v>
          </cell>
        </row>
        <row r="820">
          <cell r="B820" t="str">
            <v>GY2-2020</v>
          </cell>
          <cell r="C820" t="str">
            <v>Maintaining the Program Master Schedule</v>
          </cell>
          <cell r="D820">
            <v>0</v>
          </cell>
          <cell r="E820">
            <v>1.9872840326551122E-4</v>
          </cell>
          <cell r="F820">
            <v>0.1678</v>
          </cell>
          <cell r="S820">
            <v>8.5500000000000007E-2</v>
          </cell>
          <cell r="T820">
            <v>8.2299999999999998E-2</v>
          </cell>
        </row>
        <row r="821">
          <cell r="B821" t="str">
            <v>COSTMANAGEMENT</v>
          </cell>
          <cell r="E821">
            <v>2.9380009901447922E-4</v>
          </cell>
          <cell r="F821">
            <v>0.667675445380851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  <cell r="Q821">
            <v>0</v>
          </cell>
          <cell r="R821">
            <v>0</v>
          </cell>
          <cell r="S821">
            <v>0</v>
          </cell>
          <cell r="T821">
            <v>0.667675445380851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>
            <v>0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>
            <v>0</v>
          </cell>
          <cell r="AM821">
            <v>0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 t="str">
            <v>GY2-2340</v>
          </cell>
          <cell r="C822" t="str">
            <v>Preparing Costing for Design Submissions (For PPP Projects)</v>
          </cell>
          <cell r="D822">
            <v>0</v>
          </cell>
          <cell r="E822">
            <v>1.988273991105114E-4</v>
          </cell>
          <cell r="F822">
            <v>0.98660000000000003</v>
          </cell>
          <cell r="S822">
            <v>0</v>
          </cell>
          <cell r="T822">
            <v>0.98660000000000003</v>
          </cell>
        </row>
        <row r="823">
          <cell r="B823" t="str">
            <v>GY2-2490</v>
          </cell>
          <cell r="C823" t="str">
            <v>Preparing Cash Flow Estimate</v>
          </cell>
          <cell r="D823">
            <v>0</v>
          </cell>
          <cell r="E823">
            <v>3.1883568776923834E-5</v>
          </cell>
          <cell r="F823">
            <v>0</v>
          </cell>
          <cell r="S823">
            <v>0</v>
          </cell>
          <cell r="T823">
            <v>0</v>
          </cell>
        </row>
        <row r="824">
          <cell r="B824" t="str">
            <v>GY2-2585</v>
          </cell>
          <cell r="C824" t="str">
            <v>Review estimates and forecast, code of accounts and cost distribiution ciriteria for the Programme on Regular Basis</v>
          </cell>
          <cell r="D824">
            <v>0</v>
          </cell>
          <cell r="E824" t="str">
            <v/>
          </cell>
          <cell r="F824">
            <v>0</v>
          </cell>
          <cell r="S824">
            <v>0</v>
          </cell>
          <cell r="T824">
            <v>0</v>
          </cell>
        </row>
        <row r="825">
          <cell r="B825" t="str">
            <v>GY2-2580</v>
          </cell>
          <cell r="C825" t="str">
            <v>Prepare complete life-cycle cost analysis</v>
          </cell>
          <cell r="D825">
            <v>0</v>
          </cell>
          <cell r="E825">
            <v>6.3089131127043989E-5</v>
          </cell>
          <cell r="F825">
            <v>0</v>
          </cell>
          <cell r="S825">
            <v>0</v>
          </cell>
          <cell r="T825">
            <v>0</v>
          </cell>
        </row>
        <row r="827">
          <cell r="B827" t="str">
            <v>DOCUMENTCONTROL</v>
          </cell>
          <cell r="D827">
            <v>0</v>
          </cell>
          <cell r="E827">
            <v>1.7185333357691129E-4</v>
          </cell>
          <cell r="F827">
            <v>0.1678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>
            <v>0</v>
          </cell>
          <cell r="R827">
            <v>0</v>
          </cell>
          <cell r="S827">
            <v>8.5500000000000007E-2</v>
          </cell>
          <cell r="T827">
            <v>8.2299999999999998E-2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0</v>
          </cell>
          <cell r="AE827">
            <v>0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>
            <v>0</v>
          </cell>
          <cell r="AM827">
            <v>0</v>
          </cell>
          <cell r="AN827">
            <v>0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 t="str">
            <v>GY2-1710</v>
          </cell>
          <cell r="C828" t="str">
            <v>Training of Program Staff for Documentation Handling &amp; Control</v>
          </cell>
          <cell r="D828">
            <v>0</v>
          </cell>
          <cell r="E828">
            <v>1.7185333357691129E-4</v>
          </cell>
          <cell r="F828">
            <v>0.1678</v>
          </cell>
          <cell r="S828">
            <v>8.5500000000000007E-2</v>
          </cell>
          <cell r="T828">
            <v>8.2299999999999998E-2</v>
          </cell>
        </row>
        <row r="829">
          <cell r="B829" t="str">
            <v>RISKMANAGEMENT</v>
          </cell>
          <cell r="D829">
            <v>0</v>
          </cell>
          <cell r="E829">
            <v>1.3709543195155154E-4</v>
          </cell>
          <cell r="F829">
            <v>0.1678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>
            <v>0</v>
          </cell>
          <cell r="R829">
            <v>0</v>
          </cell>
          <cell r="S829">
            <v>8.5500000000000007E-2</v>
          </cell>
          <cell r="T829">
            <v>8.2299999999999998E-2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0</v>
          </cell>
          <cell r="AE829">
            <v>0</v>
          </cell>
          <cell r="AF829">
            <v>0</v>
          </cell>
          <cell r="AG829">
            <v>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>
            <v>0</v>
          </cell>
          <cell r="AM829">
            <v>0</v>
          </cell>
          <cell r="AN829">
            <v>0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 t="str">
            <v>GY2-3630</v>
          </cell>
          <cell r="C830" t="str">
            <v>Tracking &amp; Managing Significant Risks (Internal &amp; External) ie Risk identification, Analysis, Evaluation, Treatment</v>
          </cell>
          <cell r="D830">
            <v>0</v>
          </cell>
          <cell r="E830">
            <v>1.3709543195155154E-4</v>
          </cell>
          <cell r="F830">
            <v>0.1678</v>
          </cell>
          <cell r="S830">
            <v>8.5500000000000007E-2</v>
          </cell>
          <cell r="T830">
            <v>8.2299999999999998E-2</v>
          </cell>
        </row>
        <row r="831">
          <cell r="B831" t="str">
            <v>SCOPE&amp;CHANGEMANAGEMENT</v>
          </cell>
          <cell r="D831">
            <v>0</v>
          </cell>
          <cell r="E831">
            <v>6.6581497338045114E-4</v>
          </cell>
          <cell r="F831">
            <v>0.1678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8.5500000000000007E-2</v>
          </cell>
          <cell r="T831">
            <v>8.2299999999999998E-2</v>
          </cell>
          <cell r="U831">
            <v>0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>
            <v>0</v>
          </cell>
          <cell r="AC831">
            <v>0</v>
          </cell>
          <cell r="AD831">
            <v>0</v>
          </cell>
          <cell r="AE831">
            <v>0</v>
          </cell>
          <cell r="AF831">
            <v>0</v>
          </cell>
          <cell r="AG831">
            <v>0</v>
          </cell>
          <cell r="AH831">
            <v>0</v>
          </cell>
          <cell r="AI831">
            <v>0</v>
          </cell>
          <cell r="AJ831">
            <v>0</v>
          </cell>
          <cell r="AK831">
            <v>0</v>
          </cell>
          <cell r="AL831">
            <v>0</v>
          </cell>
          <cell r="AM831">
            <v>0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 t="str">
            <v>GY2-2760</v>
          </cell>
          <cell r="C832" t="str">
            <v>Reviewing and Updating Internal Change Management Plan / System</v>
          </cell>
          <cell r="D832">
            <v>0</v>
          </cell>
          <cell r="E832">
            <v>1.1481791348307703E-4</v>
          </cell>
          <cell r="F832">
            <v>0.1678</v>
          </cell>
          <cell r="S832">
            <v>8.5500000000000007E-2</v>
          </cell>
          <cell r="T832">
            <v>8.2299999999999998E-2</v>
          </cell>
        </row>
        <row r="833">
          <cell r="B833" t="str">
            <v>GY2-2770</v>
          </cell>
          <cell r="C833" t="str">
            <v>Assessing any Change Request</v>
          </cell>
          <cell r="D833">
            <v>0</v>
          </cell>
          <cell r="E833">
            <v>1.1481791348307703E-4</v>
          </cell>
          <cell r="F833">
            <v>0.1678</v>
          </cell>
          <cell r="S833">
            <v>8.5500000000000007E-2</v>
          </cell>
          <cell r="T833">
            <v>8.2299999999999998E-2</v>
          </cell>
        </row>
        <row r="834">
          <cell r="B834" t="str">
            <v>GY2-2780</v>
          </cell>
          <cell r="C834" t="str">
            <v>Monitoring Changes &amp; Its Processing</v>
          </cell>
          <cell r="D834">
            <v>0</v>
          </cell>
          <cell r="E834">
            <v>1.9497461895684099E-4</v>
          </cell>
          <cell r="F834">
            <v>0.1678</v>
          </cell>
          <cell r="S834">
            <v>8.5500000000000007E-2</v>
          </cell>
          <cell r="T834">
            <v>8.2299999999999998E-2</v>
          </cell>
        </row>
        <row r="835">
          <cell r="B835" t="str">
            <v>GY2-2790</v>
          </cell>
          <cell r="C835" t="str">
            <v>Advising DMICDC on matters affecting the project budget</v>
          </cell>
          <cell r="D835">
            <v>0</v>
          </cell>
          <cell r="E835">
            <v>2.4120452745745612E-4</v>
          </cell>
          <cell r="F835">
            <v>0.1678</v>
          </cell>
          <cell r="S835">
            <v>8.5500000000000007E-2</v>
          </cell>
          <cell r="T835">
            <v>8.2299999999999998E-2</v>
          </cell>
        </row>
        <row r="836">
          <cell r="B836" t="str">
            <v>PERFORMANCEMEASUREMENT</v>
          </cell>
          <cell r="D836">
            <v>0</v>
          </cell>
          <cell r="E836">
            <v>1.0206022684874352E-3</v>
          </cell>
          <cell r="F836">
            <v>0.15512878964066948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7.0246239373982805E-2</v>
          </cell>
          <cell r="T836">
            <v>8.4882550266686674E-2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>
            <v>0</v>
          </cell>
          <cell r="AC836">
            <v>0</v>
          </cell>
          <cell r="AD836">
            <v>0</v>
          </cell>
          <cell r="AE836">
            <v>0</v>
          </cell>
          <cell r="AF836">
            <v>0</v>
          </cell>
          <cell r="AG836">
            <v>0</v>
          </cell>
          <cell r="AH836">
            <v>0</v>
          </cell>
          <cell r="AI836">
            <v>0</v>
          </cell>
          <cell r="AJ836">
            <v>0</v>
          </cell>
          <cell r="AK836">
            <v>0</v>
          </cell>
          <cell r="AL836">
            <v>0</v>
          </cell>
          <cell r="AM836">
            <v>0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 t="str">
            <v>GY2-1230</v>
          </cell>
          <cell r="C837" t="str">
            <v>Assisting DMICDC in Preparing Program Status Reports</v>
          </cell>
          <cell r="D837">
            <v>0</v>
          </cell>
          <cell r="E837">
            <v>2.7606602938572307E-4</v>
          </cell>
          <cell r="F837">
            <v>0.1678</v>
          </cell>
          <cell r="S837">
            <v>8.5500000000000007E-2</v>
          </cell>
          <cell r="T837">
            <v>8.2299999999999998E-2</v>
          </cell>
        </row>
        <row r="838">
          <cell r="B838" t="str">
            <v>GY2-1830</v>
          </cell>
          <cell r="C838" t="str">
            <v>Tracking, Analyzing &amp; Reporting Project Cost, Schedule and Budget Information</v>
          </cell>
          <cell r="D838">
            <v>0</v>
          </cell>
          <cell r="E838">
            <v>3.640929045370027E-4</v>
          </cell>
          <cell r="F838">
            <v>0.1678</v>
          </cell>
          <cell r="S838">
            <v>8.5500000000000007E-2</v>
          </cell>
          <cell r="T838">
            <v>8.2299999999999998E-2</v>
          </cell>
        </row>
        <row r="839">
          <cell r="B839" t="str">
            <v>GY2-2030</v>
          </cell>
          <cell r="C839" t="str">
            <v>Conducting Program Progress Review meetings</v>
          </cell>
          <cell r="D839">
            <v>0</v>
          </cell>
          <cell r="E839">
            <v>1.9836119774742912E-4</v>
          </cell>
          <cell r="F839">
            <v>0.1678</v>
          </cell>
          <cell r="S839">
            <v>8.5500000000000007E-2</v>
          </cell>
          <cell r="T839">
            <v>8.2299999999999998E-2</v>
          </cell>
        </row>
        <row r="840">
          <cell r="B840" t="str">
            <v>MONTHLYPROGRESSREPORT</v>
          </cell>
          <cell r="D840">
            <v>0</v>
          </cell>
          <cell r="E840">
            <v>1.8208213681728043E-4</v>
          </cell>
          <cell r="F840">
            <v>9.6775646577611465E-2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>
            <v>0</v>
          </cell>
          <cell r="R840">
            <v>0</v>
          </cell>
          <cell r="S840">
            <v>0</v>
          </cell>
          <cell r="T840">
            <v>9.6775646577611465E-2</v>
          </cell>
          <cell r="U840">
            <v>0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>
            <v>0</v>
          </cell>
          <cell r="AC840">
            <v>0</v>
          </cell>
          <cell r="AD840">
            <v>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>
            <v>0</v>
          </cell>
          <cell r="AM840">
            <v>0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 t="str">
            <v>GY2-1260</v>
          </cell>
          <cell r="C841" t="str">
            <v>Preparation of MPR for D+13 Month</v>
          </cell>
          <cell r="D841">
            <v>0</v>
          </cell>
          <cell r="E841">
            <v>1.4684767379854766E-5</v>
          </cell>
          <cell r="F841">
            <v>1</v>
          </cell>
          <cell r="S841">
            <v>0</v>
          </cell>
          <cell r="T841">
            <v>1</v>
          </cell>
        </row>
        <row r="842">
          <cell r="B842" t="str">
            <v>GY2-1300</v>
          </cell>
          <cell r="C842" t="str">
            <v>Submission of MPR for D+13 Month</v>
          </cell>
          <cell r="D842">
            <v>0</v>
          </cell>
          <cell r="E842">
            <v>9.7844730523450276E-7</v>
          </cell>
          <cell r="F842">
            <v>1</v>
          </cell>
          <cell r="S842">
            <v>0</v>
          </cell>
          <cell r="T842">
            <v>1</v>
          </cell>
        </row>
        <row r="843">
          <cell r="B843" t="str">
            <v>GY2-1410</v>
          </cell>
          <cell r="C843" t="str">
            <v>Preparation of MPR for D+14 Month</v>
          </cell>
          <cell r="D843">
            <v>0</v>
          </cell>
          <cell r="E843">
            <v>1.5663214685089268E-5</v>
          </cell>
          <cell r="F843">
            <v>0.125</v>
          </cell>
          <cell r="S843">
            <v>0</v>
          </cell>
          <cell r="T843">
            <v>0.125</v>
          </cell>
        </row>
        <row r="844">
          <cell r="B844" t="str">
            <v>GY2-1450</v>
          </cell>
          <cell r="C844" t="str">
            <v>Submission of MPR for D+14 Month</v>
          </cell>
          <cell r="D844">
            <v>0</v>
          </cell>
          <cell r="E844">
            <v>9.7844730523450276E-7</v>
          </cell>
          <cell r="F844">
            <v>0</v>
          </cell>
          <cell r="S844">
            <v>0</v>
          </cell>
          <cell r="T844">
            <v>0</v>
          </cell>
        </row>
        <row r="845">
          <cell r="B845" t="str">
            <v>GY2-1570</v>
          </cell>
          <cell r="C845" t="str">
            <v>Preparation of MPR for D+15 Month</v>
          </cell>
          <cell r="D845">
            <v>0</v>
          </cell>
          <cell r="E845">
            <v>1.5663214685089268E-5</v>
          </cell>
          <cell r="F845">
            <v>0</v>
          </cell>
          <cell r="S845">
            <v>0</v>
          </cell>
          <cell r="T845">
            <v>0</v>
          </cell>
        </row>
        <row r="846">
          <cell r="B846" t="str">
            <v>GY2-1670</v>
          </cell>
          <cell r="C846" t="str">
            <v>Submission of MPR for D+15 Month</v>
          </cell>
          <cell r="D846">
            <v>0</v>
          </cell>
          <cell r="E846">
            <v>9.7844730523450276E-7</v>
          </cell>
          <cell r="F846">
            <v>0</v>
          </cell>
          <cell r="S846">
            <v>0</v>
          </cell>
          <cell r="T846">
            <v>0</v>
          </cell>
        </row>
        <row r="847">
          <cell r="B847" t="str">
            <v>GY2-1990</v>
          </cell>
          <cell r="C847" t="str">
            <v>Preparation of MPR for D+16 Month</v>
          </cell>
          <cell r="D847">
            <v>0</v>
          </cell>
          <cell r="E847">
            <v>1.5663214685089268E-5</v>
          </cell>
          <cell r="F847">
            <v>0</v>
          </cell>
          <cell r="S847">
            <v>0</v>
          </cell>
          <cell r="T847">
            <v>0</v>
          </cell>
        </row>
        <row r="848">
          <cell r="B848" t="str">
            <v>GY2-2130</v>
          </cell>
          <cell r="C848" t="str">
            <v>Submission of MPR for D+16 Month</v>
          </cell>
          <cell r="D848">
            <v>0</v>
          </cell>
          <cell r="E848">
            <v>9.7844730523450276E-7</v>
          </cell>
          <cell r="F848">
            <v>0</v>
          </cell>
          <cell r="S848">
            <v>0</v>
          </cell>
          <cell r="T848">
            <v>0</v>
          </cell>
        </row>
        <row r="849">
          <cell r="B849" t="str">
            <v>GY2-2170</v>
          </cell>
          <cell r="C849" t="str">
            <v>Preparation of MPR for D+17 Month</v>
          </cell>
          <cell r="D849">
            <v>0</v>
          </cell>
          <cell r="E849">
            <v>1.4684767379854766E-5</v>
          </cell>
          <cell r="F849">
            <v>0</v>
          </cell>
          <cell r="S849">
            <v>0</v>
          </cell>
          <cell r="T849">
            <v>0</v>
          </cell>
        </row>
        <row r="850">
          <cell r="B850" t="str">
            <v>GY2-2270</v>
          </cell>
          <cell r="C850" t="str">
            <v>Submission of MPR for D+17 Month</v>
          </cell>
          <cell r="D850">
            <v>0</v>
          </cell>
          <cell r="E850">
            <v>9.7844730523450276E-7</v>
          </cell>
          <cell r="F850">
            <v>0</v>
          </cell>
          <cell r="S850">
            <v>0</v>
          </cell>
          <cell r="T850">
            <v>0</v>
          </cell>
        </row>
        <row r="851">
          <cell r="B851" t="str">
            <v>GY2-2300</v>
          </cell>
          <cell r="C851" t="str">
            <v>Preparation of MPR for D+18 Month</v>
          </cell>
          <cell r="D851">
            <v>0</v>
          </cell>
          <cell r="E851">
            <v>1.5663214685089268E-5</v>
          </cell>
          <cell r="F851">
            <v>0</v>
          </cell>
          <cell r="S851">
            <v>0</v>
          </cell>
          <cell r="T851">
            <v>0</v>
          </cell>
        </row>
        <row r="852">
          <cell r="B852" t="str">
            <v>GY2-2350</v>
          </cell>
          <cell r="C852" t="str">
            <v>Submission of MPR for D+18 Month</v>
          </cell>
          <cell r="D852">
            <v>0</v>
          </cell>
          <cell r="E852">
            <v>9.7844730523450276E-7</v>
          </cell>
          <cell r="F852">
            <v>0</v>
          </cell>
          <cell r="S852">
            <v>0</v>
          </cell>
          <cell r="T852">
            <v>0</v>
          </cell>
        </row>
        <row r="853">
          <cell r="B853" t="str">
            <v>GY2-2400</v>
          </cell>
          <cell r="C853" t="str">
            <v>Preparation of MPR for D+19 Month</v>
          </cell>
          <cell r="D853">
            <v>0</v>
          </cell>
          <cell r="E853">
            <v>1.5663214685089268E-5</v>
          </cell>
          <cell r="F853">
            <v>0</v>
          </cell>
          <cell r="S853">
            <v>0</v>
          </cell>
          <cell r="T853">
            <v>0</v>
          </cell>
        </row>
        <row r="854">
          <cell r="B854" t="str">
            <v>GY2-2470</v>
          </cell>
          <cell r="C854" t="str">
            <v>Submission of MPR for D+19 Month</v>
          </cell>
          <cell r="D854">
            <v>0</v>
          </cell>
          <cell r="E854">
            <v>9.7844730523450276E-7</v>
          </cell>
          <cell r="F854">
            <v>0</v>
          </cell>
          <cell r="S854">
            <v>0</v>
          </cell>
          <cell r="T854">
            <v>0</v>
          </cell>
        </row>
        <row r="855">
          <cell r="B855" t="str">
            <v>GY2-2500</v>
          </cell>
          <cell r="C855" t="str">
            <v>Preparation of MPR for D+20 Month</v>
          </cell>
          <cell r="D855">
            <v>0</v>
          </cell>
          <cell r="E855">
            <v>1.5663214685089268E-5</v>
          </cell>
          <cell r="F855">
            <v>0</v>
          </cell>
          <cell r="S855">
            <v>0</v>
          </cell>
          <cell r="T855">
            <v>0</v>
          </cell>
        </row>
        <row r="856">
          <cell r="B856" t="str">
            <v>GY2-2560</v>
          </cell>
          <cell r="C856" t="str">
            <v>Submission of MPR for D+20 Month</v>
          </cell>
          <cell r="D856">
            <v>0</v>
          </cell>
          <cell r="E856">
            <v>9.7844730523450276E-7</v>
          </cell>
          <cell r="F856">
            <v>0</v>
          </cell>
          <cell r="S856">
            <v>0</v>
          </cell>
          <cell r="T856">
            <v>0</v>
          </cell>
        </row>
        <row r="857">
          <cell r="B857" t="str">
            <v>GY2-2610</v>
          </cell>
          <cell r="C857" t="str">
            <v>Preparation of MPR for D+21 Month</v>
          </cell>
          <cell r="D857">
            <v>0</v>
          </cell>
          <cell r="E857">
            <v>1.6642813104800518E-5</v>
          </cell>
          <cell r="F857">
            <v>0</v>
          </cell>
          <cell r="S857">
            <v>0</v>
          </cell>
          <cell r="T857">
            <v>0</v>
          </cell>
        </row>
        <row r="858">
          <cell r="B858" t="str">
            <v>GY2-2660</v>
          </cell>
          <cell r="C858" t="str">
            <v>Submission of MPR for D+21 Month</v>
          </cell>
          <cell r="D858">
            <v>0</v>
          </cell>
          <cell r="E858">
            <v>9.7844730523450276E-7</v>
          </cell>
          <cell r="F858">
            <v>0</v>
          </cell>
          <cell r="S858">
            <v>0</v>
          </cell>
          <cell r="T858">
            <v>0</v>
          </cell>
        </row>
        <row r="859">
          <cell r="B859" t="str">
            <v>GY2-2740</v>
          </cell>
          <cell r="C859" t="str">
            <v>Preparation of MPR for D+22 Month</v>
          </cell>
          <cell r="D859">
            <v>0</v>
          </cell>
          <cell r="E859">
            <v>1.4684767379854766E-5</v>
          </cell>
          <cell r="F859">
            <v>0</v>
          </cell>
          <cell r="S859">
            <v>0</v>
          </cell>
          <cell r="T859">
            <v>0</v>
          </cell>
        </row>
        <row r="860">
          <cell r="B860" t="str">
            <v>GY2-2830</v>
          </cell>
          <cell r="C860" t="str">
            <v>Submission of MPR for D+22 Month</v>
          </cell>
          <cell r="D860">
            <v>0</v>
          </cell>
          <cell r="E860">
            <v>9.7844730523450276E-7</v>
          </cell>
          <cell r="F860">
            <v>0</v>
          </cell>
          <cell r="S860">
            <v>0</v>
          </cell>
          <cell r="T860">
            <v>0</v>
          </cell>
        </row>
        <row r="861">
          <cell r="B861" t="str">
            <v>GY2-3060</v>
          </cell>
          <cell r="C861" t="str">
            <v>Preparation of MPR for D+23 Month</v>
          </cell>
          <cell r="D861">
            <v>0</v>
          </cell>
          <cell r="E861">
            <v>1.6642813104800518E-5</v>
          </cell>
          <cell r="F861">
            <v>0</v>
          </cell>
          <cell r="S861">
            <v>0</v>
          </cell>
          <cell r="T861">
            <v>0</v>
          </cell>
        </row>
        <row r="862">
          <cell r="B862" t="str">
            <v>GY2-3640</v>
          </cell>
          <cell r="C862" t="str">
            <v>Submission of MPR for D+23 Month</v>
          </cell>
          <cell r="D862">
            <v>0</v>
          </cell>
          <cell r="E862">
            <v>9.7844730523450276E-7</v>
          </cell>
          <cell r="F862">
            <v>0</v>
          </cell>
          <cell r="S862">
            <v>0</v>
          </cell>
          <cell r="T862">
            <v>0</v>
          </cell>
        </row>
        <row r="863">
          <cell r="B863" t="str">
            <v>GY2-3660</v>
          </cell>
          <cell r="C863" t="str">
            <v>Preparation of MPR for D+24 Month</v>
          </cell>
          <cell r="D863">
            <v>0</v>
          </cell>
          <cell r="E863">
            <v>0</v>
          </cell>
          <cell r="F863">
            <v>0</v>
          </cell>
          <cell r="S863">
            <v>0</v>
          </cell>
          <cell r="T863">
            <v>0</v>
          </cell>
        </row>
        <row r="864">
          <cell r="B864" t="str">
            <v>GY2-3690</v>
          </cell>
          <cell r="C864" t="str">
            <v>Submission of MPR for D+24 Month</v>
          </cell>
          <cell r="D864">
            <v>0</v>
          </cell>
          <cell r="E864">
            <v>0</v>
          </cell>
          <cell r="F864">
            <v>0</v>
          </cell>
          <cell r="S864">
            <v>0</v>
          </cell>
          <cell r="T864">
            <v>0</v>
          </cell>
        </row>
        <row r="865">
          <cell r="B865" t="str">
            <v>INTERFACEMANAGEMENT</v>
          </cell>
          <cell r="D865">
            <v>0</v>
          </cell>
          <cell r="E865">
            <v>4.4923635303548001E-3</v>
          </cell>
          <cell r="F865">
            <v>0.1678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8.5500000000000007E-2</v>
          </cell>
          <cell r="T865">
            <v>8.2299999999999984E-2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>
            <v>0</v>
          </cell>
          <cell r="AM865">
            <v>0</v>
          </cell>
          <cell r="AN865">
            <v>0</v>
          </cell>
          <cell r="AO865">
            <v>0</v>
          </cell>
          <cell r="AP865">
            <v>0</v>
          </cell>
          <cell r="AQ865">
            <v>0</v>
          </cell>
        </row>
        <row r="866">
          <cell r="B866" t="str">
            <v>GY2-2220</v>
          </cell>
          <cell r="C866" t="str">
            <v>Coordinating with the DMICDC regarding interface issues</v>
          </cell>
          <cell r="D866">
            <v>0</v>
          </cell>
          <cell r="E866">
            <v>1.4408396305132705E-3</v>
          </cell>
          <cell r="F866">
            <v>0.1678</v>
          </cell>
          <cell r="S866">
            <v>8.5500000000000007E-2</v>
          </cell>
          <cell r="T866">
            <v>8.2299999999999998E-2</v>
          </cell>
        </row>
        <row r="867">
          <cell r="B867" t="str">
            <v>GY2-2230</v>
          </cell>
          <cell r="C867" t="str">
            <v>Managing External interfaces with major stakeholders (Meetings)</v>
          </cell>
          <cell r="D867">
            <v>0</v>
          </cell>
          <cell r="E867">
            <v>1.5257619499207647E-3</v>
          </cell>
          <cell r="F867">
            <v>0.1678</v>
          </cell>
          <cell r="S867">
            <v>8.5500000000000007E-2</v>
          </cell>
          <cell r="T867">
            <v>8.2299999999999998E-2</v>
          </cell>
        </row>
        <row r="868">
          <cell r="B868" t="str">
            <v>GY2-2240</v>
          </cell>
          <cell r="C868" t="str">
            <v>Managing interface between DMICDC / SPV / GOI &amp; PPP Concessionaire</v>
          </cell>
          <cell r="D868">
            <v>0</v>
          </cell>
          <cell r="E868">
            <v>1.5257619499207647E-3</v>
          </cell>
          <cell r="F868">
            <v>0.1678</v>
          </cell>
          <cell r="S868">
            <v>8.5500000000000007E-2</v>
          </cell>
          <cell r="T868">
            <v>8.2299999999999998E-2</v>
          </cell>
        </row>
        <row r="869">
          <cell r="B869" t="str">
            <v>STAKEHOLDERMANAGEMENT</v>
          </cell>
          <cell r="D869">
            <v>0</v>
          </cell>
          <cell r="E869">
            <v>1.0300229893651285E-3</v>
          </cell>
          <cell r="F869">
            <v>0.1678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8.5500000000000007E-2</v>
          </cell>
          <cell r="T869">
            <v>8.2299999999999998E-2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>
            <v>0</v>
          </cell>
          <cell r="AM869">
            <v>0</v>
          </cell>
          <cell r="AN869">
            <v>0</v>
          </cell>
          <cell r="AO869">
            <v>0</v>
          </cell>
          <cell r="AP869">
            <v>0</v>
          </cell>
          <cell r="AQ869">
            <v>0</v>
          </cell>
        </row>
        <row r="870">
          <cell r="B870" t="str">
            <v>GY2-2010</v>
          </cell>
          <cell r="C870" t="str">
            <v>Implementation of stakeholder management and Coordination strategy</v>
          </cell>
          <cell r="D870">
            <v>0</v>
          </cell>
          <cell r="E870">
            <v>8.8579640323013255E-4</v>
          </cell>
          <cell r="F870">
            <v>0.1678</v>
          </cell>
          <cell r="S870">
            <v>8.5500000000000007E-2</v>
          </cell>
          <cell r="T870">
            <v>8.2299999999999998E-2</v>
          </cell>
        </row>
        <row r="871">
          <cell r="B871" t="str">
            <v>GY2-2040</v>
          </cell>
          <cell r="C871" t="str">
            <v>Initiation of Contacts with all governments and non governmental activity</v>
          </cell>
          <cell r="D871">
            <v>0</v>
          </cell>
          <cell r="E871">
            <v>1.4422658613499594E-4</v>
          </cell>
          <cell r="F871">
            <v>0.1678</v>
          </cell>
          <cell r="S871">
            <v>8.5500000000000007E-2</v>
          </cell>
          <cell r="T871">
            <v>8.2299999999999998E-2</v>
          </cell>
        </row>
        <row r="872">
          <cell r="B872" t="str">
            <v>COMMUNICATIONS</v>
          </cell>
          <cell r="D872">
            <v>0</v>
          </cell>
          <cell r="E872">
            <v>8.3027930313112693E-4</v>
          </cell>
          <cell r="F872">
            <v>0.1678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8.5500000000000007E-2</v>
          </cell>
          <cell r="T872">
            <v>8.2299999999999998E-2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>
            <v>0</v>
          </cell>
          <cell r="AM872">
            <v>0</v>
          </cell>
          <cell r="AN872">
            <v>0</v>
          </cell>
          <cell r="AO872">
            <v>0</v>
          </cell>
          <cell r="AP872">
            <v>0</v>
          </cell>
          <cell r="AQ872">
            <v>0</v>
          </cell>
        </row>
        <row r="873">
          <cell r="B873" t="str">
            <v>GY2-1360</v>
          </cell>
          <cell r="C873" t="str">
            <v>Scheduling Status Review Meeting and its Documentation</v>
          </cell>
          <cell r="D873">
            <v>0</v>
          </cell>
          <cell r="E873">
            <v>2.5257063180085082E-4</v>
          </cell>
          <cell r="F873">
            <v>0.1678</v>
          </cell>
          <cell r="S873">
            <v>8.5500000000000007E-2</v>
          </cell>
          <cell r="T873">
            <v>8.2299999999999998E-2</v>
          </cell>
        </row>
        <row r="874">
          <cell r="B874" t="str">
            <v>GY2-1380</v>
          </cell>
          <cell r="C874" t="str">
            <v>Providing DMICDC with responses to public queries</v>
          </cell>
          <cell r="D874">
            <v>0</v>
          </cell>
          <cell r="E874">
            <v>1.8698818671717394E-4</v>
          </cell>
          <cell r="F874">
            <v>0.1678</v>
          </cell>
          <cell r="S874">
            <v>8.5500000000000007E-2</v>
          </cell>
          <cell r="T874">
            <v>8.2299999999999998E-2</v>
          </cell>
        </row>
        <row r="875">
          <cell r="B875" t="str">
            <v>GY2-1430</v>
          </cell>
          <cell r="C875" t="str">
            <v>Delivery &amp; Distribution of information / communication to various Stakeholders</v>
          </cell>
          <cell r="D875">
            <v>0</v>
          </cell>
          <cell r="E875">
            <v>3.9072048461310214E-4</v>
          </cell>
          <cell r="F875">
            <v>0.1678</v>
          </cell>
          <cell r="S875">
            <v>8.5500000000000007E-2</v>
          </cell>
          <cell r="T875">
            <v>8.2299999999999998E-2</v>
          </cell>
        </row>
        <row r="876">
          <cell r="B876" t="str">
            <v>DELIVERYSYSTEMS</v>
          </cell>
          <cell r="D876">
            <v>0</v>
          </cell>
          <cell r="E876">
            <v>4.402138602110172E-2</v>
          </cell>
          <cell r="F876">
            <v>0.1841366645324739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9.3836807881198914E-2</v>
          </cell>
          <cell r="T876">
            <v>9.0299856651274976E-2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>
            <v>0</v>
          </cell>
          <cell r="AM876">
            <v>0</v>
          </cell>
          <cell r="AN876">
            <v>0</v>
          </cell>
          <cell r="AO876">
            <v>0</v>
          </cell>
          <cell r="AP876">
            <v>0</v>
          </cell>
          <cell r="AQ876">
            <v>0</v>
          </cell>
        </row>
        <row r="877">
          <cell r="B877" t="str">
            <v>PLANNING(REVIEWOFEXISTINGMASTERPLAN)(D+5MONTH)</v>
          </cell>
          <cell r="F877">
            <v>0</v>
          </cell>
        </row>
        <row r="878">
          <cell r="B878" t="str">
            <v>SITECONTROL/MAPPING</v>
          </cell>
          <cell r="F878">
            <v>0</v>
          </cell>
        </row>
        <row r="879">
          <cell r="B879" t="str">
            <v>DESIGNMANAGEMENT</v>
          </cell>
          <cell r="D879">
            <v>0</v>
          </cell>
          <cell r="E879">
            <v>3.4159550018117997E-2</v>
          </cell>
          <cell r="F879">
            <v>0.2171746764958401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0.11067450393759801</v>
          </cell>
          <cell r="T879">
            <v>0.1065001725582421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>
            <v>0</v>
          </cell>
          <cell r="AM879">
            <v>0</v>
          </cell>
          <cell r="AN879">
            <v>0</v>
          </cell>
          <cell r="AO879">
            <v>0</v>
          </cell>
          <cell r="AP879">
            <v>0</v>
          </cell>
          <cell r="AQ879">
            <v>0</v>
          </cell>
        </row>
        <row r="880">
          <cell r="B880" t="str">
            <v>GY2-1920</v>
          </cell>
          <cell r="C880" t="str">
            <v>Design coordination between project related consultants, government agencies and stakeholders</v>
          </cell>
          <cell r="D880">
            <v>0</v>
          </cell>
          <cell r="E880">
            <v>6.2897516611244769E-3</v>
          </cell>
          <cell r="F880">
            <v>0.1678</v>
          </cell>
          <cell r="S880">
            <v>8.5500000000000007E-2</v>
          </cell>
          <cell r="T880">
            <v>8.2299999999999998E-2</v>
          </cell>
        </row>
        <row r="881">
          <cell r="B881" t="str">
            <v>GY2-1930</v>
          </cell>
          <cell r="C881" t="str">
            <v>Monitoring the Design Schedule &amp; Managing any Changes &amp; Delay</v>
          </cell>
          <cell r="D881">
            <v>0</v>
          </cell>
          <cell r="E881">
            <v>6.7184105766621898E-4</v>
          </cell>
          <cell r="F881">
            <v>0.1678</v>
          </cell>
          <cell r="S881">
            <v>8.5500000000000007E-2</v>
          </cell>
          <cell r="T881">
            <v>8.2299999999999998E-2</v>
          </cell>
        </row>
        <row r="882">
          <cell r="B882" t="str">
            <v>GY2-1940</v>
          </cell>
          <cell r="C882" t="str">
            <v>Initiating &amp; conducting all Design Value Engineering Workshop</v>
          </cell>
          <cell r="D882">
            <v>0</v>
          </cell>
          <cell r="E882">
            <v>7.7811010437629068E-3</v>
          </cell>
          <cell r="F882">
            <v>0.1678</v>
          </cell>
          <cell r="S882">
            <v>8.5500000000000007E-2</v>
          </cell>
          <cell r="T882">
            <v>8.2299999999999998E-2</v>
          </cell>
        </row>
        <row r="883">
          <cell r="B883" t="str">
            <v>GY2-1950</v>
          </cell>
          <cell r="C883" t="str">
            <v>Implementing a Stage Review Process to provide benefits of controlling Quality, Cost &amp; Schedule</v>
          </cell>
          <cell r="D883">
            <v>0</v>
          </cell>
          <cell r="E883">
            <v>8.0033881559095094E-4</v>
          </cell>
          <cell r="F883">
            <v>0.1678</v>
          </cell>
          <cell r="S883">
            <v>8.5500000000000007E-2</v>
          </cell>
          <cell r="T883">
            <v>8.2299999999999998E-2</v>
          </cell>
        </row>
        <row r="884">
          <cell r="B884" t="str">
            <v>GY2-1960</v>
          </cell>
          <cell r="C884" t="str">
            <v>Technical review and approval of Consultants and Contractors Designs</v>
          </cell>
          <cell r="D884">
            <v>0</v>
          </cell>
          <cell r="E884">
            <v>9.3752161713128758E-3</v>
          </cell>
          <cell r="F884">
            <v>0.1678</v>
          </cell>
          <cell r="S884">
            <v>8.5500000000000007E-2</v>
          </cell>
          <cell r="T884">
            <v>8.2299999999999998E-2</v>
          </cell>
        </row>
        <row r="885">
          <cell r="B885" t="str">
            <v>GY2-1970</v>
          </cell>
          <cell r="C885" t="str">
            <v>Supervising and Overseeing the work of all bidders, contractors, vendors &amp; Supplier</v>
          </cell>
          <cell r="D885">
            <v>0</v>
          </cell>
          <cell r="E885">
            <v>3.5721844888187272E-4</v>
          </cell>
          <cell r="F885">
            <v>0.1678</v>
          </cell>
          <cell r="S885">
            <v>8.5500000000000007E-2</v>
          </cell>
          <cell r="T885">
            <v>8.2299999999999998E-2</v>
          </cell>
        </row>
        <row r="886">
          <cell r="B886" t="str">
            <v>GY2-2210</v>
          </cell>
          <cell r="C886" t="str">
            <v>Reviewing &amp; ensuring Costructability of the proposed Designs</v>
          </cell>
          <cell r="D886">
            <v>0</v>
          </cell>
          <cell r="E886">
            <v>7.9117675013618272E-3</v>
          </cell>
          <cell r="F886">
            <v>0.40160000000000001</v>
          </cell>
          <cell r="S886">
            <v>0.20469999999999999</v>
          </cell>
          <cell r="T886">
            <v>0.19690000000000002</v>
          </cell>
        </row>
        <row r="887">
          <cell r="B887" t="str">
            <v>GY2-2890</v>
          </cell>
          <cell r="C887" t="str">
            <v>Providing Design Coordination between PPP Concessionaires and all Stakeholders</v>
          </cell>
          <cell r="D887">
            <v>0</v>
          </cell>
          <cell r="E887">
            <v>9.4370206586838717E-4</v>
          </cell>
          <cell r="F887">
            <v>0</v>
          </cell>
          <cell r="S887">
            <v>0</v>
          </cell>
          <cell r="T887">
            <v>0</v>
          </cell>
        </row>
        <row r="888">
          <cell r="B888" t="str">
            <v>GY2-2900</v>
          </cell>
          <cell r="C888" t="str">
            <v>Coordinating Design &amp; Design issues between contractors</v>
          </cell>
          <cell r="D888">
            <v>0</v>
          </cell>
          <cell r="E888">
            <v>2.8613252548487096E-5</v>
          </cell>
          <cell r="F888">
            <v>0</v>
          </cell>
          <cell r="S888">
            <v>0</v>
          </cell>
          <cell r="T888">
            <v>0</v>
          </cell>
        </row>
        <row r="889">
          <cell r="B889" t="str">
            <v>GY2-3750</v>
          </cell>
          <cell r="C889" t="str">
            <v>Putting forward Value Engineering Ideas</v>
          </cell>
          <cell r="D889">
            <v>0</v>
          </cell>
          <cell r="E889" t="str">
            <v/>
          </cell>
          <cell r="F889">
            <v>0</v>
          </cell>
          <cell r="S889">
            <v>0</v>
          </cell>
          <cell r="T889">
            <v>0</v>
          </cell>
        </row>
        <row r="890">
          <cell r="B890" t="str">
            <v>GY2-3760</v>
          </cell>
          <cell r="C890" t="str">
            <v>Obtaining Third Party independent firms to perform the Reviews</v>
          </cell>
          <cell r="D890">
            <v>0</v>
          </cell>
          <cell r="E890" t="str">
            <v/>
          </cell>
          <cell r="F890">
            <v>0</v>
          </cell>
          <cell r="S890">
            <v>0</v>
          </cell>
          <cell r="T890">
            <v>0</v>
          </cell>
        </row>
        <row r="891">
          <cell r="B891" t="str">
            <v>PERMITS&amp;APPROVALS</v>
          </cell>
          <cell r="D891">
            <v>0</v>
          </cell>
          <cell r="E891">
            <v>2.2028509384864709E-3</v>
          </cell>
          <cell r="F891">
            <v>0.1678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8.5500000000000007E-2</v>
          </cell>
          <cell r="T891">
            <v>8.2299999999999984E-2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>
            <v>0</v>
          </cell>
          <cell r="AM891">
            <v>0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 t="str">
            <v>GY2-1600</v>
          </cell>
          <cell r="C892" t="str">
            <v>Ensuring the Process for obtaining the approval</v>
          </cell>
          <cell r="D892">
            <v>0</v>
          </cell>
          <cell r="E892">
            <v>3.0680884371619114E-4</v>
          </cell>
          <cell r="F892">
            <v>0.1678</v>
          </cell>
          <cell r="S892">
            <v>8.5500000000000007E-2</v>
          </cell>
          <cell r="T892">
            <v>8.2299999999999998E-2</v>
          </cell>
        </row>
        <row r="893">
          <cell r="B893" t="str">
            <v>GY2-1610</v>
          </cell>
          <cell r="C893" t="str">
            <v>Assisting DMICDC and Speciality 3rd Party Consultant in Approval Process</v>
          </cell>
          <cell r="D893">
            <v>0</v>
          </cell>
          <cell r="E893">
            <v>7.3778380158111745E-4</v>
          </cell>
          <cell r="F893">
            <v>0.1678</v>
          </cell>
          <cell r="S893">
            <v>8.5500000000000007E-2</v>
          </cell>
          <cell r="T893">
            <v>8.2299999999999998E-2</v>
          </cell>
        </row>
        <row r="894">
          <cell r="B894" t="str">
            <v>GY2-1720</v>
          </cell>
          <cell r="C894" t="str">
            <v>Preparing Monthly updates on Status of environmental and other regulatory approvals</v>
          </cell>
          <cell r="D894">
            <v>0</v>
          </cell>
          <cell r="E894">
            <v>1.1582582931891623E-3</v>
          </cell>
          <cell r="F894">
            <v>0.1678</v>
          </cell>
          <cell r="S894">
            <v>8.5500000000000007E-2</v>
          </cell>
          <cell r="T894">
            <v>8.2299999999999998E-2</v>
          </cell>
        </row>
        <row r="895">
          <cell r="B895" t="str">
            <v>PROCUREMENT&amp;SUPPLYCHAINMANAGEMENT</v>
          </cell>
          <cell r="D895">
            <v>0</v>
          </cell>
          <cell r="E895">
            <v>6.8210658145839631E-3</v>
          </cell>
          <cell r="F895">
            <v>4.6579755532713124E-2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2.3734023230315683E-2</v>
          </cell>
          <cell r="T895">
            <v>2.2845732302397437E-2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>
            <v>0</v>
          </cell>
          <cell r="AM895">
            <v>0</v>
          </cell>
          <cell r="AN895">
            <v>0</v>
          </cell>
          <cell r="AO895">
            <v>0</v>
          </cell>
          <cell r="AP895">
            <v>0</v>
          </cell>
          <cell r="AQ895">
            <v>0</v>
          </cell>
        </row>
        <row r="896">
          <cell r="B896" t="str">
            <v>PROCUREMENTMANAGEMENT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>
            <v>0</v>
          </cell>
          <cell r="AM896">
            <v>0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 t="str">
            <v>SELECTIONOFEPCCONTRACTORFORPHASEIDEVELOPMENT</v>
          </cell>
          <cell r="F897">
            <v>0</v>
          </cell>
        </row>
        <row r="898">
          <cell r="B898" t="str">
            <v>SELECTIONOFPPPCONCESSIONAIREFORPHASEI&amp;IIDEVELOPMENT</v>
          </cell>
          <cell r="F898">
            <v>0</v>
          </cell>
        </row>
        <row r="899">
          <cell r="B899" t="str">
            <v>SUPPLYCHAINMANAGEMENT</v>
          </cell>
          <cell r="D899">
            <v>0</v>
          </cell>
          <cell r="E899">
            <v>1.8934659005713211E-3</v>
          </cell>
          <cell r="F899">
            <v>0.1678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8.5499999999999993E-2</v>
          </cell>
          <cell r="T899">
            <v>8.2300000000000012E-2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>
            <v>0</v>
          </cell>
          <cell r="AM899">
            <v>0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 t="str">
            <v>GY2-2380</v>
          </cell>
          <cell r="C900" t="str">
            <v>Undertaking a Supply Chain Analysis &amp; Recommendations by inputs from PMs, Bidders, Contractors &amp; Suppliers</v>
          </cell>
          <cell r="D900">
            <v>0</v>
          </cell>
          <cell r="E900">
            <v>3.216271403753485E-4</v>
          </cell>
          <cell r="F900">
            <v>0.1678</v>
          </cell>
          <cell r="S900">
            <v>8.5500000000000007E-2</v>
          </cell>
          <cell r="T900">
            <v>8.2299999999999998E-2</v>
          </cell>
        </row>
        <row r="901">
          <cell r="B901" t="str">
            <v>GY2-2420</v>
          </cell>
          <cell r="C901" t="str">
            <v>Meeting PMs, Bidders, Contractors, Suppliers &amp; Supervision Bidders to discuss Potential Issues, Conflicts or Problems</v>
          </cell>
          <cell r="D901">
            <v>0</v>
          </cell>
          <cell r="E901">
            <v>3.068226570899121E-4</v>
          </cell>
          <cell r="F901">
            <v>0.1678</v>
          </cell>
          <cell r="S901">
            <v>8.5500000000000007E-2</v>
          </cell>
          <cell r="T901">
            <v>8.2299999999999998E-2</v>
          </cell>
        </row>
        <row r="902">
          <cell r="B902" t="str">
            <v>GY2-2440</v>
          </cell>
          <cell r="C902" t="str">
            <v>Forecasting /Analyzing / Assessing Impact on Supply Chain</v>
          </cell>
          <cell r="D902">
            <v>0</v>
          </cell>
          <cell r="E902">
            <v>2.9201932491895244E-4</v>
          </cell>
          <cell r="F902">
            <v>0.1678</v>
          </cell>
          <cell r="S902">
            <v>8.5500000000000007E-2</v>
          </cell>
          <cell r="T902">
            <v>8.2299999999999998E-2</v>
          </cell>
        </row>
        <row r="903">
          <cell r="B903" t="str">
            <v>GY2-2450</v>
          </cell>
          <cell r="C903" t="str">
            <v>Recommending Mitigation tools to ease to avoid delays, interruptions on local supply chain</v>
          </cell>
          <cell r="D903">
            <v>0</v>
          </cell>
          <cell r="E903">
            <v>4.9921417516093393E-4</v>
          </cell>
          <cell r="F903">
            <v>0.1678</v>
          </cell>
          <cell r="S903">
            <v>8.5500000000000007E-2</v>
          </cell>
          <cell r="T903">
            <v>8.2299999999999998E-2</v>
          </cell>
        </row>
        <row r="904">
          <cell r="B904" t="str">
            <v>GY2-2460</v>
          </cell>
          <cell r="C904" t="str">
            <v>Developing Strategic Sourcing Solutions &amp; Value Buying</v>
          </cell>
          <cell r="D904">
            <v>0</v>
          </cell>
          <cell r="E904">
            <v>4.7378260302617409E-4</v>
          </cell>
          <cell r="F904">
            <v>0.1678</v>
          </cell>
          <cell r="S904">
            <v>8.5500000000000007E-2</v>
          </cell>
          <cell r="T904">
            <v>8.2299999999999998E-2</v>
          </cell>
        </row>
        <row r="905">
          <cell r="B905" t="str">
            <v>TENDERINGADMINISTRATION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>
            <v>0</v>
          </cell>
          <cell r="AM905">
            <v>0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 t="str">
            <v>SITELOGISTICS</v>
          </cell>
          <cell r="F906">
            <v>0</v>
          </cell>
        </row>
        <row r="907">
          <cell r="B907" t="str">
            <v>CONSTRUCTIONPROGRAMMANAGEMENT</v>
          </cell>
          <cell r="F907">
            <v>0</v>
          </cell>
        </row>
        <row r="908">
          <cell r="B908" t="str">
            <v>EXHIBITIONHALL1</v>
          </cell>
          <cell r="D908">
            <v>0</v>
          </cell>
          <cell r="E908">
            <v>1.6636171174269692E-3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>
            <v>0</v>
          </cell>
          <cell r="AM908">
            <v>0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 t="str">
            <v>PLANNING&amp;CONTROLS</v>
          </cell>
          <cell r="D909">
            <v>0</v>
          </cell>
          <cell r="E909">
            <v>9.3025704877998828E-4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>
            <v>0</v>
          </cell>
          <cell r="AM909">
            <v>0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 t="str">
            <v>GY2-3170</v>
          </cell>
          <cell r="C910" t="str">
            <v>Overall Supervision &amp; Monitoring of Construction Work Package</v>
          </cell>
          <cell r="D910">
            <v>0</v>
          </cell>
          <cell r="E910">
            <v>6.970113268147574E-5</v>
          </cell>
          <cell r="F910">
            <v>0</v>
          </cell>
          <cell r="S910">
            <v>0</v>
          </cell>
          <cell r="T910">
            <v>0</v>
          </cell>
        </row>
        <row r="911">
          <cell r="B911" t="str">
            <v>GY2-3180</v>
          </cell>
          <cell r="C911" t="str">
            <v>Management of Site Infrastructure</v>
          </cell>
          <cell r="D911">
            <v>0</v>
          </cell>
          <cell r="E911">
            <v>1.095711336980666E-4</v>
          </cell>
          <cell r="F911">
            <v>0</v>
          </cell>
          <cell r="S911">
            <v>0</v>
          </cell>
          <cell r="T911">
            <v>0</v>
          </cell>
        </row>
        <row r="912">
          <cell r="B912" t="str">
            <v>GY2-3190</v>
          </cell>
          <cell r="C912" t="str">
            <v>Work Scope Coordination</v>
          </cell>
          <cell r="D912">
            <v>0</v>
          </cell>
          <cell r="E912">
            <v>6.970113268147574E-5</v>
          </cell>
          <cell r="F912">
            <v>0</v>
          </cell>
          <cell r="S912">
            <v>0</v>
          </cell>
          <cell r="T912">
            <v>0</v>
          </cell>
        </row>
        <row r="913">
          <cell r="B913" t="str">
            <v>GY2-3200</v>
          </cell>
          <cell r="C913" t="str">
            <v>Workforce Management</v>
          </cell>
          <cell r="D913">
            <v>0</v>
          </cell>
          <cell r="E913">
            <v>4.4628708263460786E-5</v>
          </cell>
          <cell r="F913">
            <v>0</v>
          </cell>
          <cell r="S913">
            <v>0</v>
          </cell>
          <cell r="T913">
            <v>0</v>
          </cell>
        </row>
        <row r="914">
          <cell r="B914" t="str">
            <v>GY2-3210</v>
          </cell>
          <cell r="C914" t="str">
            <v>Document Management Practices</v>
          </cell>
          <cell r="D914">
            <v>0</v>
          </cell>
          <cell r="E914">
            <v>7.2187539951248106E-5</v>
          </cell>
          <cell r="F914">
            <v>0</v>
          </cell>
          <cell r="S914">
            <v>0</v>
          </cell>
          <cell r="T914">
            <v>0</v>
          </cell>
        </row>
        <row r="915">
          <cell r="B915" t="str">
            <v>GY2-3220</v>
          </cell>
          <cell r="C915" t="str">
            <v>Schedule &amp; Progress Management</v>
          </cell>
          <cell r="D915">
            <v>0</v>
          </cell>
          <cell r="E915">
            <v>3.9158612269961544E-5</v>
          </cell>
          <cell r="F915">
            <v>0</v>
          </cell>
          <cell r="S915">
            <v>0</v>
          </cell>
          <cell r="T915">
            <v>0</v>
          </cell>
        </row>
        <row r="916">
          <cell r="B916" t="str">
            <v>GY2-3230</v>
          </cell>
          <cell r="C916" t="str">
            <v>Material Management Process</v>
          </cell>
          <cell r="D916">
            <v>0</v>
          </cell>
          <cell r="E916">
            <v>1.095711336980666E-4</v>
          </cell>
          <cell r="F916">
            <v>0</v>
          </cell>
          <cell r="S916">
            <v>0</v>
          </cell>
          <cell r="T916">
            <v>0</v>
          </cell>
        </row>
        <row r="917">
          <cell r="B917" t="str">
            <v>GY2-3240</v>
          </cell>
          <cell r="C917" t="str">
            <v>Financial Management</v>
          </cell>
          <cell r="D917">
            <v>0</v>
          </cell>
          <cell r="E917">
            <v>9.4894424119549054E-5</v>
          </cell>
          <cell r="F917">
            <v>0</v>
          </cell>
          <cell r="S917">
            <v>0</v>
          </cell>
          <cell r="T917">
            <v>0</v>
          </cell>
        </row>
        <row r="918">
          <cell r="B918" t="str">
            <v>GY2-3250</v>
          </cell>
          <cell r="C918" t="str">
            <v>Final Sign off on all Construction Related Design (GFCs) etc..</v>
          </cell>
          <cell r="D918">
            <v>0</v>
          </cell>
          <cell r="E918">
            <v>2.6646458353518074E-4</v>
          </cell>
          <cell r="F918">
            <v>0</v>
          </cell>
          <cell r="S918">
            <v>0</v>
          </cell>
          <cell r="T918">
            <v>0</v>
          </cell>
        </row>
        <row r="919">
          <cell r="B919" t="str">
            <v>GY2-3280</v>
          </cell>
          <cell r="C919" t="str">
            <v>Determine EOT, Compensation &amp; Relief from Penalties</v>
          </cell>
          <cell r="D919">
            <v>0</v>
          </cell>
          <cell r="E919">
            <v>5.4378647881503424E-5</v>
          </cell>
          <cell r="F919">
            <v>0</v>
          </cell>
          <cell r="S919">
            <v>0</v>
          </cell>
          <cell r="T919">
            <v>0</v>
          </cell>
        </row>
        <row r="920">
          <cell r="B920" t="str">
            <v>CONSTRUCTIONDESIGN&amp;DETAILS</v>
          </cell>
          <cell r="D920">
            <v>0</v>
          </cell>
          <cell r="E920">
            <v>2.6646458353518074E-4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0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 t="str">
            <v>GY2-3260</v>
          </cell>
          <cell r="C921" t="str">
            <v>Reviewing Design Documents &amp; Preparing Details</v>
          </cell>
          <cell r="D921">
            <v>0</v>
          </cell>
          <cell r="E921">
            <v>2.6646458353518074E-4</v>
          </cell>
          <cell r="F921">
            <v>0</v>
          </cell>
          <cell r="S921">
            <v>0</v>
          </cell>
          <cell r="T921">
            <v>0</v>
          </cell>
        </row>
        <row r="922">
          <cell r="B922" t="str">
            <v>CONSTRUCTIONPROCUREMENT&amp;CONTRACTSMANAGEMENT</v>
          </cell>
          <cell r="D922">
            <v>0</v>
          </cell>
          <cell r="E922">
            <v>1.0999359271103256E-4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>
            <v>0</v>
          </cell>
          <cell r="AM922">
            <v>0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 t="str">
            <v>GY2-3270</v>
          </cell>
          <cell r="C923" t="str">
            <v>Monitoring site availability, Land Acquisitions and Permits</v>
          </cell>
          <cell r="D923">
            <v>0</v>
          </cell>
          <cell r="E923">
            <v>2.5072424418014947E-5</v>
          </cell>
          <cell r="F923">
            <v>0</v>
          </cell>
          <cell r="S923">
            <v>0</v>
          </cell>
          <cell r="T923">
            <v>0</v>
          </cell>
        </row>
        <row r="924">
          <cell r="B924" t="str">
            <v>GY2-3290</v>
          </cell>
          <cell r="C924" t="str">
            <v>Supervision, Administration &amp; Management of Construction Contracts</v>
          </cell>
          <cell r="D924">
            <v>0</v>
          </cell>
          <cell r="E924">
            <v>8.4921168293017606E-5</v>
          </cell>
          <cell r="F924">
            <v>0</v>
          </cell>
          <cell r="S924">
            <v>0</v>
          </cell>
          <cell r="T924">
            <v>0</v>
          </cell>
        </row>
        <row r="925">
          <cell r="B925" t="str">
            <v>CONSTRUCTIONQA/QCMANAGEMENT</v>
          </cell>
          <cell r="D925">
            <v>0</v>
          </cell>
          <cell r="E925">
            <v>3.416818567892256E-4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>
            <v>0</v>
          </cell>
          <cell r="AM925">
            <v>0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 t="str">
            <v>GY2-3100</v>
          </cell>
          <cell r="C926" t="str">
            <v>Ensuring Quality Control of Works, including Test Reports for Material &amp; Construction</v>
          </cell>
          <cell r="D926">
            <v>0</v>
          </cell>
          <cell r="E926">
            <v>2.5072424418014947E-5</v>
          </cell>
          <cell r="F926">
            <v>0</v>
          </cell>
          <cell r="S926">
            <v>0</v>
          </cell>
          <cell r="T926">
            <v>0</v>
          </cell>
        </row>
        <row r="927">
          <cell r="B927" t="str">
            <v>GY2-3130</v>
          </cell>
          <cell r="C927" t="str">
            <v>Reviewing &amp; Recommending Quality Assurance Programme (Test Checks, RFIs)</v>
          </cell>
          <cell r="D927">
            <v>0</v>
          </cell>
          <cell r="E927">
            <v>2.5072424418014947E-5</v>
          </cell>
          <cell r="F927">
            <v>0</v>
          </cell>
          <cell r="S927">
            <v>0</v>
          </cell>
          <cell r="T927">
            <v>0</v>
          </cell>
        </row>
        <row r="928">
          <cell r="B928" t="str">
            <v>GY2-3310</v>
          </cell>
          <cell r="C928" t="str">
            <v>Reviewing As Built Drawings &amp; Completion Records</v>
          </cell>
          <cell r="D928">
            <v>0</v>
          </cell>
          <cell r="E928">
            <v>2.9153700795319569E-4</v>
          </cell>
          <cell r="F928">
            <v>0</v>
          </cell>
          <cell r="S928">
            <v>0</v>
          </cell>
          <cell r="T928">
            <v>0</v>
          </cell>
        </row>
        <row r="929">
          <cell r="B929" t="str">
            <v>CONSTRUCTIONINVOICEMANAGEMENT</v>
          </cell>
          <cell r="D929">
            <v>0</v>
          </cell>
          <cell r="E929">
            <v>1.5220035611541876E-5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>
            <v>0</v>
          </cell>
          <cell r="AM929">
            <v>0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 t="str">
            <v>GY2-3300</v>
          </cell>
          <cell r="C930" t="str">
            <v>Certifications of the Bills for Payments</v>
          </cell>
          <cell r="D930">
            <v>0</v>
          </cell>
          <cell r="E930">
            <v>1.5220035611541876E-5</v>
          </cell>
          <cell r="F930">
            <v>0</v>
          </cell>
          <cell r="S930">
            <v>0</v>
          </cell>
          <cell r="T930">
            <v>0</v>
          </cell>
        </row>
        <row r="931">
          <cell r="B931" t="str">
            <v>CONVENTIONCENTRE</v>
          </cell>
          <cell r="D931">
            <v>0</v>
          </cell>
          <cell r="E931">
            <v>1.6319913982928366E-3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0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 t="str">
            <v>PLANNING&amp;CONTROLS</v>
          </cell>
          <cell r="D932">
            <v>0</v>
          </cell>
          <cell r="E932">
            <v>9.3025704877998828E-4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0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 t="str">
            <v>GY2-3320</v>
          </cell>
          <cell r="C933" t="str">
            <v>Overall Supervision &amp; Monitoring of Construction Work Package</v>
          </cell>
          <cell r="D933">
            <v>0</v>
          </cell>
          <cell r="E933">
            <v>6.970113268147574E-5</v>
          </cell>
          <cell r="F933">
            <v>0</v>
          </cell>
          <cell r="S933">
            <v>0</v>
          </cell>
          <cell r="T933">
            <v>0</v>
          </cell>
        </row>
        <row r="934">
          <cell r="B934" t="str">
            <v>GY2-3330</v>
          </cell>
          <cell r="C934" t="str">
            <v>Management of Site Infrastructure</v>
          </cell>
          <cell r="D934">
            <v>0</v>
          </cell>
          <cell r="E934">
            <v>1.095711336980666E-4</v>
          </cell>
          <cell r="F934">
            <v>0</v>
          </cell>
          <cell r="S934">
            <v>0</v>
          </cell>
          <cell r="T934">
            <v>0</v>
          </cell>
        </row>
        <row r="935">
          <cell r="B935" t="str">
            <v>GY2-3340</v>
          </cell>
          <cell r="C935" t="str">
            <v>Work Scope Coordination</v>
          </cell>
          <cell r="D935">
            <v>0</v>
          </cell>
          <cell r="E935">
            <v>6.970113268147574E-5</v>
          </cell>
          <cell r="F935">
            <v>0</v>
          </cell>
          <cell r="S935">
            <v>0</v>
          </cell>
          <cell r="T935">
            <v>0</v>
          </cell>
        </row>
        <row r="936">
          <cell r="B936" t="str">
            <v>GY2-3350</v>
          </cell>
          <cell r="C936" t="str">
            <v>Workforce Management</v>
          </cell>
          <cell r="D936">
            <v>0</v>
          </cell>
          <cell r="E936">
            <v>4.4628708263460786E-5</v>
          </cell>
          <cell r="F936">
            <v>0</v>
          </cell>
          <cell r="S936">
            <v>0</v>
          </cell>
          <cell r="T936">
            <v>0</v>
          </cell>
        </row>
        <row r="937">
          <cell r="B937" t="str">
            <v>GY2-3360</v>
          </cell>
          <cell r="C937" t="str">
            <v>Document Management Practices</v>
          </cell>
          <cell r="D937">
            <v>0</v>
          </cell>
          <cell r="E937">
            <v>7.2187539951248106E-5</v>
          </cell>
          <cell r="F937">
            <v>0</v>
          </cell>
          <cell r="S937">
            <v>0</v>
          </cell>
          <cell r="T937">
            <v>0</v>
          </cell>
        </row>
        <row r="938">
          <cell r="B938" t="str">
            <v>GY2-3370</v>
          </cell>
          <cell r="C938" t="str">
            <v>Schedule &amp; Progress Management</v>
          </cell>
          <cell r="D938">
            <v>0</v>
          </cell>
          <cell r="E938">
            <v>3.9158612269961544E-5</v>
          </cell>
          <cell r="F938">
            <v>0</v>
          </cell>
          <cell r="S938">
            <v>0</v>
          </cell>
          <cell r="T938">
            <v>0</v>
          </cell>
        </row>
        <row r="939">
          <cell r="B939" t="str">
            <v>GY2-3380</v>
          </cell>
          <cell r="C939" t="str">
            <v>Material Management Process</v>
          </cell>
          <cell r="D939">
            <v>0</v>
          </cell>
          <cell r="E939">
            <v>1.095711336980666E-4</v>
          </cell>
          <cell r="F939">
            <v>0</v>
          </cell>
          <cell r="S939">
            <v>0</v>
          </cell>
          <cell r="T939">
            <v>0</v>
          </cell>
        </row>
        <row r="940">
          <cell r="B940" t="str">
            <v>GY2-3390</v>
          </cell>
          <cell r="C940" t="str">
            <v>Financial Management</v>
          </cell>
          <cell r="D940">
            <v>0</v>
          </cell>
          <cell r="E940">
            <v>9.4894424119549054E-5</v>
          </cell>
          <cell r="F940">
            <v>0</v>
          </cell>
          <cell r="S940">
            <v>0</v>
          </cell>
          <cell r="T940">
            <v>0</v>
          </cell>
        </row>
        <row r="941">
          <cell r="B941" t="str">
            <v>GY2-3400</v>
          </cell>
          <cell r="C941" t="str">
            <v>Final Sign off on all Construction Related Design (GFCs) etc..</v>
          </cell>
          <cell r="D941">
            <v>0</v>
          </cell>
          <cell r="E941">
            <v>2.6646458353518074E-4</v>
          </cell>
          <cell r="F941">
            <v>0</v>
          </cell>
          <cell r="S941">
            <v>0</v>
          </cell>
          <cell r="T941">
            <v>0</v>
          </cell>
        </row>
        <row r="942">
          <cell r="B942" t="str">
            <v>GY2-3430</v>
          </cell>
          <cell r="C942" t="str">
            <v>Determine EOT, Compensation &amp; Relief from Penalties</v>
          </cell>
          <cell r="D942">
            <v>0</v>
          </cell>
          <cell r="E942">
            <v>5.4378647881503424E-5</v>
          </cell>
          <cell r="F942">
            <v>0</v>
          </cell>
          <cell r="S942">
            <v>0</v>
          </cell>
          <cell r="T942">
            <v>0</v>
          </cell>
        </row>
        <row r="943">
          <cell r="B943" t="str">
            <v>CONSTRUCTIONDESIGN&amp;DETAILS</v>
          </cell>
          <cell r="D943">
            <v>0</v>
          </cell>
          <cell r="E943">
            <v>2.6646458353518074E-4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>
            <v>0</v>
          </cell>
          <cell r="AM943">
            <v>0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 t="str">
            <v>GY2-3410</v>
          </cell>
          <cell r="C944" t="str">
            <v>Reviewing Design Documents &amp; Preparing Details</v>
          </cell>
          <cell r="D944">
            <v>0</v>
          </cell>
          <cell r="E944">
            <v>2.6646458353518074E-4</v>
          </cell>
          <cell r="F944">
            <v>0</v>
          </cell>
          <cell r="S944">
            <v>0</v>
          </cell>
          <cell r="T944">
            <v>0</v>
          </cell>
        </row>
        <row r="945">
          <cell r="B945" t="str">
            <v>CONSTRUCTIONPROCUREMENT&amp;CONTRACTSMANAGEMENT</v>
          </cell>
          <cell r="D945">
            <v>0</v>
          </cell>
          <cell r="E945">
            <v>1.0999359271103256E-4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>
            <v>0</v>
          </cell>
          <cell r="AM945">
            <v>0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 t="str">
            <v>GY2-3420</v>
          </cell>
          <cell r="C946" t="str">
            <v>Monitoring site availability, Land Acquisitions and Permits</v>
          </cell>
          <cell r="D946">
            <v>0</v>
          </cell>
          <cell r="E946">
            <v>2.5072424418014947E-5</v>
          </cell>
          <cell r="F946">
            <v>0</v>
          </cell>
          <cell r="S946">
            <v>0</v>
          </cell>
          <cell r="T946">
            <v>0</v>
          </cell>
        </row>
        <row r="947">
          <cell r="B947" t="str">
            <v>GY2-3440</v>
          </cell>
          <cell r="C947" t="str">
            <v>Supervision, Administration &amp; Management of Construction Contracts</v>
          </cell>
          <cell r="D947">
            <v>0</v>
          </cell>
          <cell r="E947">
            <v>8.4921168293017606E-5</v>
          </cell>
          <cell r="F947">
            <v>0</v>
          </cell>
          <cell r="S947">
            <v>0</v>
          </cell>
          <cell r="T947">
            <v>0</v>
          </cell>
        </row>
        <row r="948">
          <cell r="B948" t="str">
            <v>CONSTRUCTIONQA/QCMANAGEMENT</v>
          </cell>
          <cell r="D948">
            <v>0</v>
          </cell>
          <cell r="E948">
            <v>3.1005613765509296E-4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>
            <v>0</v>
          </cell>
          <cell r="AM948">
            <v>0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 t="str">
            <v>GY2-3140</v>
          </cell>
          <cell r="C949" t="str">
            <v>Reviewing &amp; Recommending Quality Assurance Programme (Test Checks, RFIs)</v>
          </cell>
          <cell r="D949">
            <v>0</v>
          </cell>
          <cell r="E949">
            <v>2.5072424418014947E-5</v>
          </cell>
          <cell r="F949">
            <v>0</v>
          </cell>
          <cell r="S949">
            <v>0</v>
          </cell>
          <cell r="T949">
            <v>0</v>
          </cell>
        </row>
        <row r="950">
          <cell r="B950" t="str">
            <v>GY2-3150</v>
          </cell>
          <cell r="C950" t="str">
            <v>Ensuring Quality Control of Works, including Test Reports for Material &amp; Construction</v>
          </cell>
          <cell r="D950">
            <v>0</v>
          </cell>
          <cell r="E950">
            <v>2.5072424418014947E-5</v>
          </cell>
          <cell r="F950">
            <v>0</v>
          </cell>
          <cell r="S950">
            <v>0</v>
          </cell>
          <cell r="T950">
            <v>0</v>
          </cell>
        </row>
        <row r="951">
          <cell r="B951" t="str">
            <v>GY2-3460</v>
          </cell>
          <cell r="C951" t="str">
            <v>Reviewing As Built Drawings Drawings &amp; Completion Records</v>
          </cell>
          <cell r="D951">
            <v>0</v>
          </cell>
          <cell r="E951">
            <v>2.5991128881906305E-4</v>
          </cell>
          <cell r="F951">
            <v>0</v>
          </cell>
          <cell r="S951">
            <v>0</v>
          </cell>
          <cell r="T951">
            <v>0</v>
          </cell>
        </row>
        <row r="952">
          <cell r="B952" t="str">
            <v>CONSTRUCTIONINVOICEMANAGEMENT</v>
          </cell>
          <cell r="D952">
            <v>0</v>
          </cell>
          <cell r="E952">
            <v>1.5220035611541876E-5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>
            <v>0</v>
          </cell>
          <cell r="AM952">
            <v>0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 t="str">
            <v>GY2-3450</v>
          </cell>
          <cell r="C953" t="str">
            <v>Certifications of the Bills for Payments</v>
          </cell>
          <cell r="D953">
            <v>0</v>
          </cell>
          <cell r="E953">
            <v>1.5220035611541876E-5</v>
          </cell>
          <cell r="F953">
            <v>0</v>
          </cell>
          <cell r="S953">
            <v>0</v>
          </cell>
          <cell r="T953">
            <v>0</v>
          </cell>
        </row>
        <row r="954">
          <cell r="B954" t="str">
            <v>TRUNKSERVICES</v>
          </cell>
          <cell r="D954">
            <v>0</v>
          </cell>
          <cell r="E954">
            <v>1.6319913982928366E-3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>
            <v>0</v>
          </cell>
          <cell r="AM954">
            <v>0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 t="str">
            <v>PLANNING&amp;CONTROLS</v>
          </cell>
          <cell r="D955">
            <v>0</v>
          </cell>
          <cell r="E955">
            <v>9.3025704877998828E-4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>
            <v>0</v>
          </cell>
          <cell r="AM955">
            <v>0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 t="str">
            <v>GY2-3470</v>
          </cell>
          <cell r="C956" t="str">
            <v>Overall Supervision &amp; Monitoring of Construction Work Package</v>
          </cell>
          <cell r="D956">
            <v>0</v>
          </cell>
          <cell r="E956">
            <v>6.970113268147574E-5</v>
          </cell>
          <cell r="F956">
            <v>0</v>
          </cell>
          <cell r="S956">
            <v>0</v>
          </cell>
          <cell r="T956">
            <v>0</v>
          </cell>
        </row>
        <row r="957">
          <cell r="B957" t="str">
            <v>GY2-3480</v>
          </cell>
          <cell r="C957" t="str">
            <v>Management of Site Infrastructure</v>
          </cell>
          <cell r="D957">
            <v>0</v>
          </cell>
          <cell r="E957">
            <v>1.095711336980666E-4</v>
          </cell>
          <cell r="F957">
            <v>0</v>
          </cell>
          <cell r="S957">
            <v>0</v>
          </cell>
          <cell r="T957">
            <v>0</v>
          </cell>
        </row>
        <row r="958">
          <cell r="B958" t="str">
            <v>GY2-3490</v>
          </cell>
          <cell r="C958" t="str">
            <v>Work Scope Coordination</v>
          </cell>
          <cell r="D958">
            <v>0</v>
          </cell>
          <cell r="E958">
            <v>6.970113268147574E-5</v>
          </cell>
          <cell r="F958">
            <v>0</v>
          </cell>
          <cell r="S958">
            <v>0</v>
          </cell>
          <cell r="T958">
            <v>0</v>
          </cell>
        </row>
        <row r="959">
          <cell r="B959" t="str">
            <v>GY2-3500</v>
          </cell>
          <cell r="C959" t="str">
            <v>Workforce Management</v>
          </cell>
          <cell r="D959">
            <v>0</v>
          </cell>
          <cell r="E959">
            <v>4.4628708263460786E-5</v>
          </cell>
          <cell r="F959">
            <v>0</v>
          </cell>
          <cell r="S959">
            <v>0</v>
          </cell>
          <cell r="T959">
            <v>0</v>
          </cell>
        </row>
        <row r="960">
          <cell r="B960" t="str">
            <v>GY2-3510</v>
          </cell>
          <cell r="C960" t="str">
            <v>Document Management Practices</v>
          </cell>
          <cell r="D960">
            <v>0</v>
          </cell>
          <cell r="E960">
            <v>7.2187539951248106E-5</v>
          </cell>
          <cell r="F960">
            <v>0</v>
          </cell>
          <cell r="S960">
            <v>0</v>
          </cell>
          <cell r="T960">
            <v>0</v>
          </cell>
        </row>
        <row r="961">
          <cell r="B961" t="str">
            <v>GY2-3520</v>
          </cell>
          <cell r="C961" t="str">
            <v>Schedule &amp; Progress Management</v>
          </cell>
          <cell r="D961">
            <v>0</v>
          </cell>
          <cell r="E961">
            <v>3.9158612269961544E-5</v>
          </cell>
          <cell r="F961">
            <v>0</v>
          </cell>
          <cell r="S961">
            <v>0</v>
          </cell>
          <cell r="T961">
            <v>0</v>
          </cell>
        </row>
        <row r="962">
          <cell r="B962" t="str">
            <v>GY2-3530</v>
          </cell>
          <cell r="C962" t="str">
            <v>Material Management Process</v>
          </cell>
          <cell r="D962">
            <v>0</v>
          </cell>
          <cell r="E962">
            <v>1.095711336980666E-4</v>
          </cell>
          <cell r="F962">
            <v>0</v>
          </cell>
          <cell r="S962">
            <v>0</v>
          </cell>
          <cell r="T962">
            <v>0</v>
          </cell>
        </row>
        <row r="963">
          <cell r="B963" t="str">
            <v>GY2-3540</v>
          </cell>
          <cell r="C963" t="str">
            <v>Financial Management</v>
          </cell>
          <cell r="D963">
            <v>0</v>
          </cell>
          <cell r="E963">
            <v>9.4894424119549054E-5</v>
          </cell>
          <cell r="F963">
            <v>0</v>
          </cell>
          <cell r="S963">
            <v>0</v>
          </cell>
          <cell r="T963">
            <v>0</v>
          </cell>
        </row>
        <row r="964">
          <cell r="B964" t="str">
            <v>GY2-3550</v>
          </cell>
          <cell r="C964" t="str">
            <v>Final Sign off on all Construction Related Design (GFCs) etc..</v>
          </cell>
          <cell r="D964">
            <v>0</v>
          </cell>
          <cell r="E964">
            <v>2.6646458353518074E-4</v>
          </cell>
          <cell r="F964">
            <v>0</v>
          </cell>
          <cell r="S964">
            <v>0</v>
          </cell>
          <cell r="T964">
            <v>0</v>
          </cell>
        </row>
        <row r="965">
          <cell r="B965" t="str">
            <v>GY2-3580</v>
          </cell>
          <cell r="C965" t="str">
            <v>Determine EOT, Compensation &amp; Relief from Penalties</v>
          </cell>
          <cell r="D965">
            <v>0</v>
          </cell>
          <cell r="E965">
            <v>5.4378647881503424E-5</v>
          </cell>
          <cell r="F965">
            <v>0</v>
          </cell>
          <cell r="S965">
            <v>0</v>
          </cell>
          <cell r="T965">
            <v>0</v>
          </cell>
        </row>
        <row r="966">
          <cell r="B966" t="str">
            <v>CONSTRUCTIONDESIGN&amp;DETAILS</v>
          </cell>
          <cell r="D966">
            <v>0</v>
          </cell>
          <cell r="E966">
            <v>2.6646458353518074E-4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>
            <v>0</v>
          </cell>
          <cell r="AM966">
            <v>0</v>
          </cell>
          <cell r="AN966">
            <v>0</v>
          </cell>
          <cell r="AO966">
            <v>0</v>
          </cell>
          <cell r="AP966">
            <v>0</v>
          </cell>
          <cell r="AQ966">
            <v>0</v>
          </cell>
        </row>
        <row r="967">
          <cell r="B967" t="str">
            <v>GY2-3560</v>
          </cell>
          <cell r="C967" t="str">
            <v>Reviewing Design Documents &amp; Preparing Details</v>
          </cell>
          <cell r="D967">
            <v>0</v>
          </cell>
          <cell r="E967">
            <v>2.6646458353518074E-4</v>
          </cell>
          <cell r="F967">
            <v>0</v>
          </cell>
          <cell r="S967">
            <v>0</v>
          </cell>
          <cell r="T967">
            <v>0</v>
          </cell>
        </row>
        <row r="968">
          <cell r="B968" t="str">
            <v>CONSTRUCTIONPROCUREMENT&amp;CONTRACTSMANAGEMENT</v>
          </cell>
          <cell r="D968">
            <v>0</v>
          </cell>
          <cell r="E968">
            <v>1.0999359271103256E-4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>
            <v>0</v>
          </cell>
          <cell r="AM968">
            <v>0</v>
          </cell>
          <cell r="AN968">
            <v>0</v>
          </cell>
          <cell r="AO968">
            <v>0</v>
          </cell>
          <cell r="AP968">
            <v>0</v>
          </cell>
          <cell r="AQ968">
            <v>0</v>
          </cell>
        </row>
        <row r="969">
          <cell r="B969" t="str">
            <v>GY2-3570</v>
          </cell>
          <cell r="C969" t="str">
            <v>Monitoring site availability, Land Acquisitions and Permits</v>
          </cell>
          <cell r="D969">
            <v>0</v>
          </cell>
          <cell r="E969">
            <v>2.5072424418014947E-5</v>
          </cell>
          <cell r="F969">
            <v>0</v>
          </cell>
          <cell r="S969">
            <v>0</v>
          </cell>
          <cell r="T969">
            <v>0</v>
          </cell>
        </row>
        <row r="970">
          <cell r="B970" t="str">
            <v>GY2-3590</v>
          </cell>
          <cell r="C970" t="str">
            <v>Supervision, Administration &amp; Management of Construction Contracts</v>
          </cell>
          <cell r="D970">
            <v>0</v>
          </cell>
          <cell r="E970">
            <v>8.4921168293017606E-5</v>
          </cell>
          <cell r="F970">
            <v>0</v>
          </cell>
          <cell r="S970">
            <v>0</v>
          </cell>
          <cell r="T970">
            <v>0</v>
          </cell>
        </row>
        <row r="971">
          <cell r="B971" t="str">
            <v>CONSTRUCTIONQA/QCMANAGEMENT</v>
          </cell>
          <cell r="D971">
            <v>0</v>
          </cell>
          <cell r="E971">
            <v>3.1005613765509296E-4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>
            <v>0</v>
          </cell>
          <cell r="AM971">
            <v>0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 t="str">
            <v>GY2-3110</v>
          </cell>
          <cell r="C972" t="str">
            <v>Ensuring Quality Control of Works, including Test Reports for Material &amp; Construction</v>
          </cell>
          <cell r="D972">
            <v>0</v>
          </cell>
          <cell r="E972">
            <v>2.5072424418014947E-5</v>
          </cell>
          <cell r="F972">
            <v>0</v>
          </cell>
          <cell r="S972">
            <v>0</v>
          </cell>
          <cell r="T972">
            <v>0</v>
          </cell>
        </row>
        <row r="973">
          <cell r="B973" t="str">
            <v>GY2-3160</v>
          </cell>
          <cell r="C973" t="str">
            <v>Reviewing &amp; Recommending Quality Assurance Programme (Test Checks, RFIs)</v>
          </cell>
          <cell r="D973">
            <v>0</v>
          </cell>
          <cell r="E973">
            <v>2.5072424418014947E-5</v>
          </cell>
          <cell r="F973">
            <v>0</v>
          </cell>
          <cell r="S973">
            <v>0</v>
          </cell>
          <cell r="T973">
            <v>0</v>
          </cell>
        </row>
        <row r="974">
          <cell r="B974" t="str">
            <v>GY2-3610</v>
          </cell>
          <cell r="C974" t="str">
            <v>Reviewing As Built Drawings Drawings &amp; Completion Records</v>
          </cell>
          <cell r="D974">
            <v>0</v>
          </cell>
          <cell r="E974">
            <v>2.5991128881906305E-4</v>
          </cell>
          <cell r="F974">
            <v>0</v>
          </cell>
          <cell r="S974">
            <v>0</v>
          </cell>
          <cell r="T974">
            <v>0</v>
          </cell>
        </row>
        <row r="975">
          <cell r="B975" t="str">
            <v>CONSTRUCTIONINVOICEMANAGEMENT</v>
          </cell>
          <cell r="D975">
            <v>0</v>
          </cell>
          <cell r="E975">
            <v>1.5220035611541876E-5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>
            <v>0</v>
          </cell>
          <cell r="AM975">
            <v>0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 t="str">
            <v>GY2-3600</v>
          </cell>
          <cell r="C976" t="str">
            <v>Certifications of the Bills for Payments</v>
          </cell>
          <cell r="D976">
            <v>0</v>
          </cell>
          <cell r="E976">
            <v>1.5220035611541876E-5</v>
          </cell>
          <cell r="F976">
            <v>0</v>
          </cell>
          <cell r="S976">
            <v>0</v>
          </cell>
          <cell r="T976">
            <v>0</v>
          </cell>
        </row>
        <row r="977">
          <cell r="B977" t="str">
            <v>COMMISSIONING</v>
          </cell>
          <cell r="D977">
            <v>0</v>
          </cell>
          <cell r="E977">
            <v>8.379192499132932E-4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>
            <v>0</v>
          </cell>
          <cell r="AM977">
            <v>0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 t="str">
            <v>GY2-3120</v>
          </cell>
          <cell r="C978" t="str">
            <v>Assisting the Client to Manage Statutory Approvals</v>
          </cell>
          <cell r="D978">
            <v>0</v>
          </cell>
          <cell r="E978">
            <v>8.379192499132932E-4</v>
          </cell>
          <cell r="F978">
            <v>0</v>
          </cell>
          <cell r="S978">
            <v>0</v>
          </cell>
          <cell r="T978">
            <v>0</v>
          </cell>
        </row>
        <row r="979">
          <cell r="B979" t="str">
            <v>OPERATIONS&amp;MAINTENANCE(ACTIVATION)</v>
          </cell>
          <cell r="F979">
            <v>0</v>
          </cell>
        </row>
        <row r="980">
          <cell r="B980" t="str">
            <v>CONTRACTMANAGEMENT</v>
          </cell>
          <cell r="D980">
            <v>0</v>
          </cell>
          <cell r="E980">
            <v>3.3209203719489835E-3</v>
          </cell>
          <cell r="F980">
            <v>0.13653864097296292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6.9571238398023413E-2</v>
          </cell>
          <cell r="T980">
            <v>6.6967402574939508E-2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>
            <v>0</v>
          </cell>
          <cell r="AM980">
            <v>0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 t="str">
            <v>ECCCOMPLEX(CONTRACTSMANAGEMENT)</v>
          </cell>
          <cell r="D981">
            <v>0</v>
          </cell>
          <cell r="E981">
            <v>2.7022285719031031E-3</v>
          </cell>
          <cell r="F981">
            <v>0.1678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8.5500000000000007E-2</v>
          </cell>
          <cell r="T981">
            <v>8.2300000000000012E-2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>
            <v>0</v>
          </cell>
          <cell r="AM981">
            <v>0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 t="str">
            <v>GY2-1520</v>
          </cell>
          <cell r="C982" t="str">
            <v>Coordinating Contract Dispute Resolutions</v>
          </cell>
          <cell r="D982">
            <v>0</v>
          </cell>
          <cell r="E982">
            <v>5.765863347154482E-4</v>
          </cell>
          <cell r="F982">
            <v>0.1678</v>
          </cell>
          <cell r="S982">
            <v>8.5500000000000007E-2</v>
          </cell>
          <cell r="T982">
            <v>8.2299999999999998E-2</v>
          </cell>
        </row>
        <row r="983">
          <cell r="B983" t="str">
            <v>GY2-1530</v>
          </cell>
          <cell r="C983" t="str">
            <v>Performing Overall Assessment and Reporting of Prog. Anticipated Final Cost (AFC)</v>
          </cell>
          <cell r="D983">
            <v>0</v>
          </cell>
          <cell r="E983">
            <v>1.8302835291716607E-4</v>
          </cell>
          <cell r="F983">
            <v>0.1678</v>
          </cell>
          <cell r="S983">
            <v>8.5500000000000007E-2</v>
          </cell>
          <cell r="T983">
            <v>8.2299999999999998E-2</v>
          </cell>
        </row>
        <row r="984">
          <cell r="B984" t="str">
            <v>GY2-1540</v>
          </cell>
          <cell r="C984" t="str">
            <v>Managing Authority Delegation &amp; Reporting</v>
          </cell>
          <cell r="D984">
            <v>0</v>
          </cell>
          <cell r="E984">
            <v>7.9608314537041943E-4</v>
          </cell>
          <cell r="F984">
            <v>0.1678</v>
          </cell>
          <cell r="S984">
            <v>8.5500000000000007E-2</v>
          </cell>
          <cell r="T984">
            <v>8.2299999999999998E-2</v>
          </cell>
        </row>
        <row r="985">
          <cell r="B985" t="str">
            <v>GY2-1550</v>
          </cell>
          <cell r="C985" t="str">
            <v>Providing Contractual and Commercial Advice and Supporting PMs</v>
          </cell>
          <cell r="D985">
            <v>0</v>
          </cell>
          <cell r="E985">
            <v>3.5044759352965E-4</v>
          </cell>
          <cell r="F985">
            <v>0.1678</v>
          </cell>
          <cell r="S985">
            <v>8.5500000000000007E-2</v>
          </cell>
          <cell r="T985">
            <v>8.2299999999999998E-2</v>
          </cell>
        </row>
        <row r="986">
          <cell r="B986" t="str">
            <v>GY2-1560</v>
          </cell>
          <cell r="C986" t="str">
            <v>Managing Compliance with Contract Administration, Standards, Procedures Tools</v>
          </cell>
          <cell r="D986">
            <v>0</v>
          </cell>
          <cell r="E986">
            <v>7.9608314537041943E-4</v>
          </cell>
          <cell r="F986">
            <v>0.1678</v>
          </cell>
          <cell r="S986">
            <v>8.5500000000000007E-2</v>
          </cell>
          <cell r="T986">
            <v>8.2299999999999998E-2</v>
          </cell>
        </row>
        <row r="987">
          <cell r="B987" t="str">
            <v>PROGRAMMANAGEMENT(CONTRACTSMANAGEMENT)</v>
          </cell>
          <cell r="D987">
            <v>0</v>
          </cell>
          <cell r="E987">
            <v>6.1869180004588066E-4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>
            <v>0</v>
          </cell>
          <cell r="AM987">
            <v>0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 t="str">
            <v>GY2-2110</v>
          </cell>
          <cell r="C988" t="str">
            <v>Alerting, Analyzing, Resolution the DMICDC of any Actual, Perceived or Expected Departure from Contractual Requirements</v>
          </cell>
          <cell r="D988">
            <v>0</v>
          </cell>
          <cell r="E988">
            <v>1.3480471414282604E-4</v>
          </cell>
          <cell r="F988">
            <v>0</v>
          </cell>
          <cell r="S988">
            <v>0</v>
          </cell>
          <cell r="T988">
            <v>0</v>
          </cell>
        </row>
        <row r="989">
          <cell r="B989" t="str">
            <v>GY2-2850</v>
          </cell>
          <cell r="C989" t="str">
            <v>Providing Visibility to the Management in Changes, Invoicing, Claims, Valuations &amp; Payments, Notices, Early Warning, etc</v>
          </cell>
          <cell r="D989">
            <v>0</v>
          </cell>
          <cell r="E989">
            <v>2.5235192005026899E-4</v>
          </cell>
          <cell r="F989">
            <v>0</v>
          </cell>
          <cell r="S989">
            <v>0</v>
          </cell>
          <cell r="T989">
            <v>0</v>
          </cell>
        </row>
        <row r="990">
          <cell r="B990" t="str">
            <v>GY2-2860</v>
          </cell>
          <cell r="C990" t="str">
            <v>Assessing impact on Program, Contract Variations arising due to Changes or Change Request</v>
          </cell>
          <cell r="D990">
            <v>0</v>
          </cell>
          <cell r="E990">
            <v>5.9171888562675736E-5</v>
          </cell>
          <cell r="F990">
            <v>0</v>
          </cell>
          <cell r="S990">
            <v>0</v>
          </cell>
          <cell r="T990">
            <v>0</v>
          </cell>
        </row>
        <row r="991">
          <cell r="B991" t="str">
            <v>GY2-2870</v>
          </cell>
          <cell r="C991" t="str">
            <v>Monitoring the  Program and Advise impact of Non Compliance wrt Contract</v>
          </cell>
          <cell r="D991">
            <v>0</v>
          </cell>
          <cell r="E991">
            <v>1.1319138872743426E-4</v>
          </cell>
          <cell r="F991">
            <v>0</v>
          </cell>
          <cell r="S991">
            <v>0</v>
          </cell>
          <cell r="T991">
            <v>0</v>
          </cell>
        </row>
        <row r="992">
          <cell r="B992" t="str">
            <v>GY2-2880</v>
          </cell>
          <cell r="C992" t="str">
            <v>Development of Claims Management Process</v>
          </cell>
          <cell r="D992">
            <v>0</v>
          </cell>
          <cell r="E992">
            <v>5.9171888562675736E-5</v>
          </cell>
          <cell r="F992">
            <v>0</v>
          </cell>
          <cell r="S992">
            <v>0</v>
          </cell>
          <cell r="T992">
            <v>0</v>
          </cell>
        </row>
        <row r="993">
          <cell r="B993" t="str">
            <v>FINANCE&amp;INVESTMENTMANAGEMENT</v>
          </cell>
          <cell r="D993">
            <v>0</v>
          </cell>
          <cell r="E993">
            <v>8.57384595715076E-4</v>
          </cell>
          <cell r="F993">
            <v>0.1678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  <cell r="Q993">
            <v>0</v>
          </cell>
          <cell r="R993">
            <v>0</v>
          </cell>
          <cell r="S993">
            <v>8.5500000000000007E-2</v>
          </cell>
          <cell r="T993">
            <v>8.2299999999999998E-2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>
            <v>0</v>
          </cell>
          <cell r="AM993">
            <v>0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 t="str">
            <v>GY2-2120</v>
          </cell>
          <cell r="C994" t="str">
            <v>Monitor &amp; Control of the Programme/Project Cash Flow</v>
          </cell>
          <cell r="D994">
            <v>0</v>
          </cell>
          <cell r="E994">
            <v>3.3752288018474056E-4</v>
          </cell>
          <cell r="F994">
            <v>0.1678</v>
          </cell>
          <cell r="S994">
            <v>8.5500000000000007E-2</v>
          </cell>
          <cell r="T994">
            <v>8.2299999999999998E-2</v>
          </cell>
        </row>
        <row r="995">
          <cell r="B995" t="str">
            <v>GY2-2160</v>
          </cell>
          <cell r="C995" t="str">
            <v>Evaluation &amp; Forwarding all Documents to DMICDC for Payment Processing</v>
          </cell>
          <cell r="D995">
            <v>0</v>
          </cell>
          <cell r="E995">
            <v>2.6700790956820503E-4</v>
          </cell>
          <cell r="F995">
            <v>0.1678</v>
          </cell>
          <cell r="S995">
            <v>8.5500000000000007E-2</v>
          </cell>
          <cell r="T995">
            <v>8.2299999999999998E-2</v>
          </cell>
        </row>
        <row r="996">
          <cell r="B996" t="str">
            <v>GY2-2590</v>
          </cell>
          <cell r="C996" t="str">
            <v>Establishing an Experienced and  thorough Commercial Group to assess Invoices and Variations</v>
          </cell>
          <cell r="D996">
            <v>0</v>
          </cell>
          <cell r="E996">
            <v>1.9263670545456888E-4</v>
          </cell>
          <cell r="F996">
            <v>0.1678</v>
          </cell>
          <cell r="S996">
            <v>8.5500000000000007E-2</v>
          </cell>
          <cell r="T996">
            <v>8.2299999999999998E-2</v>
          </cell>
        </row>
        <row r="997">
          <cell r="B997" t="str">
            <v>GY2-2600</v>
          </cell>
          <cell r="C997" t="str">
            <v>Preparation &amp; Submission of Monthly Financial Reports to DMICDC</v>
          </cell>
          <cell r="D997">
            <v>0</v>
          </cell>
          <cell r="E997">
            <v>6.0217100507561539E-5</v>
          </cell>
          <cell r="F997">
            <v>0.1678</v>
          </cell>
          <cell r="S997">
            <v>8.5500000000000007E-2</v>
          </cell>
          <cell r="T997">
            <v>8.2299999999999998E-2</v>
          </cell>
        </row>
        <row r="998">
          <cell r="B998" t="str">
            <v>HUMANRESOURCESANDORGANIZATIONALDEVELOPMENT</v>
          </cell>
          <cell r="D998">
            <v>0</v>
          </cell>
          <cell r="E998">
            <v>4.6705088556616078E-3</v>
          </cell>
          <cell r="F998">
            <v>0.1650622666844121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8.4105028614524652E-2</v>
          </cell>
          <cell r="T998">
            <v>8.0957238069887458E-2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>
            <v>0</v>
          </cell>
          <cell r="AM998">
            <v>0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 t="str">
            <v>RESOURCEMANAGEMENT</v>
          </cell>
          <cell r="D999">
            <v>0</v>
          </cell>
          <cell r="E999">
            <v>2.0389391436846332E-3</v>
          </cell>
          <cell r="F999">
            <v>0.16152879385120544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8.2304599965900282E-2</v>
          </cell>
          <cell r="T999">
            <v>7.9224193885305161E-2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>
            <v>0</v>
          </cell>
          <cell r="AM999">
            <v>0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 t="str">
            <v>GY2-1100</v>
          </cell>
          <cell r="C1000" t="str">
            <v>Ensuring that the resources are available to meet the PMC needs</v>
          </cell>
          <cell r="D1000">
            <v>0</v>
          </cell>
          <cell r="E1000">
            <v>7.674595327916416E-4</v>
          </cell>
          <cell r="F1000">
            <v>0.1678</v>
          </cell>
          <cell r="S1000">
            <v>8.5500000000000007E-2</v>
          </cell>
          <cell r="T1000">
            <v>8.2299999999999998E-2</v>
          </cell>
        </row>
        <row r="1001">
          <cell r="B1001" t="str">
            <v>GY2-1250</v>
          </cell>
          <cell r="C1001" t="str">
            <v>Monitoring &amp; Regularly report on changes caused by both PMC and the Contractors</v>
          </cell>
          <cell r="D1001">
            <v>0</v>
          </cell>
          <cell r="E1001">
            <v>1.195278134761329E-3</v>
          </cell>
          <cell r="F1001">
            <v>0.1678</v>
          </cell>
          <cell r="S1001">
            <v>8.5500000000000007E-2</v>
          </cell>
          <cell r="T1001">
            <v>8.2299999999999998E-2</v>
          </cell>
        </row>
        <row r="1002">
          <cell r="B1002" t="str">
            <v>GY2-3010</v>
          </cell>
          <cell r="C1002" t="str">
            <v>Monitoring that Contractors / Concessionaire have adequate resource Plans in Place</v>
          </cell>
          <cell r="D1002">
            <v>0</v>
          </cell>
          <cell r="E1002">
            <v>7.6201476131663065E-5</v>
          </cell>
          <cell r="F1002">
            <v>0</v>
          </cell>
          <cell r="S1002">
            <v>0</v>
          </cell>
          <cell r="T1002">
            <v>0</v>
          </cell>
        </row>
        <row r="1003">
          <cell r="B1003" t="str">
            <v>ORGANIZATIONALDEVELOPMENT</v>
          </cell>
          <cell r="D1003">
            <v>0</v>
          </cell>
          <cell r="E1003">
            <v>2.6315697119769742E-3</v>
          </cell>
          <cell r="F1003">
            <v>0.1678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  <cell r="Q1003">
            <v>0</v>
          </cell>
          <cell r="R1003">
            <v>0</v>
          </cell>
          <cell r="S1003">
            <v>8.5500000000000007E-2</v>
          </cell>
          <cell r="T1003">
            <v>8.2299999999999998E-2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>
            <v>0</v>
          </cell>
          <cell r="AM1003">
            <v>0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 t="str">
            <v>GY2-1200</v>
          </cell>
          <cell r="C1004" t="str">
            <v>Monitor, Implement &amp; Address changes required to the PMC Organization resulting from the delivery of Programme</v>
          </cell>
          <cell r="D1004">
            <v>0</v>
          </cell>
          <cell r="E1004">
            <v>9.3341570690418064E-4</v>
          </cell>
          <cell r="F1004">
            <v>0.1678</v>
          </cell>
          <cell r="S1004">
            <v>8.5500000000000007E-2</v>
          </cell>
          <cell r="T1004">
            <v>8.2299999999999998E-2</v>
          </cell>
        </row>
        <row r="1005">
          <cell r="B1005" t="str">
            <v>GY2-1210</v>
          </cell>
          <cell r="C1005" t="str">
            <v>Ensuring that any significant development of new business processes and procedure is adequately documented</v>
          </cell>
          <cell r="D1005">
            <v>0</v>
          </cell>
          <cell r="E1005">
            <v>7.1077174926978469E-4</v>
          </cell>
          <cell r="F1005">
            <v>0.1678</v>
          </cell>
          <cell r="S1005">
            <v>8.5500000000000007E-2</v>
          </cell>
          <cell r="T1005">
            <v>8.2299999999999998E-2</v>
          </cell>
        </row>
        <row r="1006">
          <cell r="B1006" t="str">
            <v>GY2-1220</v>
          </cell>
          <cell r="C1006" t="str">
            <v>Monitoring the development of any Related policy changes, Procedures, Forms, Staffing, Job description, remuneration,etc</v>
          </cell>
          <cell r="D1006">
            <v>0</v>
          </cell>
          <cell r="E1006">
            <v>9.8738225580300874E-4</v>
          </cell>
          <cell r="F1006">
            <v>0.1678</v>
          </cell>
          <cell r="S1006">
            <v>8.5500000000000007E-2</v>
          </cell>
          <cell r="T1006">
            <v>8.2299999999999998E-2</v>
          </cell>
        </row>
        <row r="1007">
          <cell r="B1007" t="str">
            <v>INFORMATION&amp;TECHNOLOGY(IT)MANAGEMENT</v>
          </cell>
          <cell r="D1007">
            <v>0</v>
          </cell>
          <cell r="E1007">
            <v>1.7494165860657441E-3</v>
          </cell>
          <cell r="F1007">
            <v>0.1678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8.5500000000000007E-2</v>
          </cell>
          <cell r="T1007">
            <v>8.2299999999999998E-2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>
            <v>0</v>
          </cell>
          <cell r="AM1007">
            <v>0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 t="str">
            <v>GY2-1370</v>
          </cell>
          <cell r="C1008" t="str">
            <v>Implementation of MIS</v>
          </cell>
          <cell r="D1008">
            <v>0</v>
          </cell>
          <cell r="E1008">
            <v>4.6402690783574774E-4</v>
          </cell>
          <cell r="F1008">
            <v>0.1678</v>
          </cell>
          <cell r="S1008">
            <v>8.5500000000000007E-2</v>
          </cell>
          <cell r="T1008">
            <v>8.2299999999999998E-2</v>
          </cell>
        </row>
        <row r="1009">
          <cell r="B1009" t="str">
            <v>GY2-1790</v>
          </cell>
          <cell r="C1009" t="str">
            <v>Maintaining Program &amp; Information Tools and Application information Management System for the PMC</v>
          </cell>
          <cell r="D1009">
            <v>0</v>
          </cell>
          <cell r="E1009">
            <v>3.7176393141004116E-4</v>
          </cell>
          <cell r="F1009">
            <v>0.1678</v>
          </cell>
          <cell r="S1009">
            <v>8.5500000000000007E-2</v>
          </cell>
          <cell r="T1009">
            <v>8.2299999999999998E-2</v>
          </cell>
        </row>
        <row r="1010">
          <cell r="B1010" t="str">
            <v>GY2-1800</v>
          </cell>
          <cell r="C1010" t="str">
            <v>Establishing &amp; Managing the Information System for the Programme</v>
          </cell>
          <cell r="D1010">
            <v>0</v>
          </cell>
          <cell r="E1010">
            <v>3.7176393141004116E-4</v>
          </cell>
          <cell r="F1010">
            <v>0.1678</v>
          </cell>
          <cell r="S1010">
            <v>8.5500000000000007E-2</v>
          </cell>
          <cell r="T1010">
            <v>8.2299999999999998E-2</v>
          </cell>
        </row>
        <row r="1011">
          <cell r="B1011" t="str">
            <v>GY2-1810</v>
          </cell>
          <cell r="C1011" t="str">
            <v>Ensuring that the Information is Kept and Knowledge is transmitted to the Program Team and to various Stakeholders</v>
          </cell>
          <cell r="D1011">
            <v>0</v>
          </cell>
          <cell r="E1011">
            <v>1.7009788399987292E-4</v>
          </cell>
          <cell r="F1011">
            <v>0.1678</v>
          </cell>
          <cell r="S1011">
            <v>8.5500000000000007E-2</v>
          </cell>
          <cell r="T1011">
            <v>8.2299999999999998E-2</v>
          </cell>
        </row>
        <row r="1012">
          <cell r="B1012" t="str">
            <v>GY2-1820</v>
          </cell>
          <cell r="C1012" t="str">
            <v>Training of DMICDC Staff in the Utilization of the Web Based system</v>
          </cell>
          <cell r="D1012">
            <v>0</v>
          </cell>
          <cell r="E1012">
            <v>3.7176393141004116E-4</v>
          </cell>
          <cell r="F1012">
            <v>0.1678</v>
          </cell>
          <cell r="S1012">
            <v>8.5500000000000007E-2</v>
          </cell>
          <cell r="T1012">
            <v>8.2299999999999998E-2</v>
          </cell>
        </row>
        <row r="1013">
          <cell r="B1013" t="str">
            <v>MARKETING&amp;PROMOTION</v>
          </cell>
          <cell r="D1013">
            <v>0</v>
          </cell>
          <cell r="E1013">
            <v>2.6489561450337529E-4</v>
          </cell>
          <cell r="F1013">
            <v>0.1678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8.5500000000000007E-2</v>
          </cell>
          <cell r="T1013">
            <v>8.2299999999999998E-2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>
            <v>0</v>
          </cell>
          <cell r="AM1013">
            <v>0</v>
          </cell>
          <cell r="AN1013">
            <v>0</v>
          </cell>
          <cell r="AO1013">
            <v>0</v>
          </cell>
          <cell r="AP1013">
            <v>0</v>
          </cell>
          <cell r="AQ1013">
            <v>0</v>
          </cell>
        </row>
        <row r="1014">
          <cell r="B1014" t="str">
            <v>GY2-2700</v>
          </cell>
          <cell r="C1014" t="str">
            <v>Assisting the Client in Carrying out road Shows, Conference, meetings with Investor, etc.</v>
          </cell>
          <cell r="D1014">
            <v>0</v>
          </cell>
          <cell r="E1014">
            <v>2.6489561450337529E-4</v>
          </cell>
          <cell r="F1014">
            <v>0.1678</v>
          </cell>
          <cell r="S1014">
            <v>8.5500000000000007E-2</v>
          </cell>
          <cell r="T1014">
            <v>8.2299999999999998E-2</v>
          </cell>
        </row>
        <row r="1015">
          <cell r="B1015" t="str">
            <v>PROGRAMADMINISTRATION</v>
          </cell>
          <cell r="D1015">
            <v>0</v>
          </cell>
          <cell r="E1015">
            <v>1.9044878216861686E-3</v>
          </cell>
          <cell r="F1015">
            <v>0.14555318049916804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7.4164463246000401E-2</v>
          </cell>
          <cell r="T1015">
            <v>7.138871725316763E-2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>
            <v>0</v>
          </cell>
          <cell r="AM1015">
            <v>0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 t="str">
            <v>CONTRACTORPROGRESS</v>
          </cell>
          <cell r="D1016">
            <v>0</v>
          </cell>
          <cell r="E1016">
            <v>9.9782056187814588E-5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>
            <v>0</v>
          </cell>
          <cell r="AM1016">
            <v>0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 t="str">
            <v>GY2-3030</v>
          </cell>
          <cell r="C1017" t="str">
            <v>Conducting Weekly Project Management Support Meeting</v>
          </cell>
          <cell r="D1017">
            <v>0</v>
          </cell>
          <cell r="E1017">
            <v>2.7410337920287035E-5</v>
          </cell>
          <cell r="F1017">
            <v>0</v>
          </cell>
          <cell r="S1017">
            <v>0</v>
          </cell>
          <cell r="T1017">
            <v>0</v>
          </cell>
        </row>
        <row r="1018">
          <cell r="B1018" t="str">
            <v>GY2-3040</v>
          </cell>
          <cell r="C1018" t="str">
            <v>Maintaining Project Planning for Each Project</v>
          </cell>
          <cell r="D1018">
            <v>0</v>
          </cell>
          <cell r="E1018">
            <v>2.7410337920287035E-5</v>
          </cell>
          <cell r="F1018">
            <v>0</v>
          </cell>
          <cell r="S1018">
            <v>0</v>
          </cell>
          <cell r="T1018">
            <v>0</v>
          </cell>
        </row>
        <row r="1019">
          <cell r="B1019" t="str">
            <v>GY2-3050</v>
          </cell>
          <cell r="C1019" t="str">
            <v>Facilitation of Periodic Coordination &amp; Review Meetings with Contractors</v>
          </cell>
          <cell r="D1019">
            <v>0</v>
          </cell>
          <cell r="E1019">
            <v>4.4961380347240518E-5</v>
          </cell>
          <cell r="F1019">
            <v>0</v>
          </cell>
          <cell r="S1019">
            <v>0</v>
          </cell>
          <cell r="T1019">
            <v>0</v>
          </cell>
        </row>
        <row r="1020">
          <cell r="B1020" t="str">
            <v>PROCESSIMPROVEMENTPROGRAM</v>
          </cell>
          <cell r="D1020">
            <v>0</v>
          </cell>
          <cell r="E1020">
            <v>1.5271375317204769E-4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>
            <v>0</v>
          </cell>
          <cell r="AM1020">
            <v>0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 t="str">
            <v>GY2-3020</v>
          </cell>
          <cell r="C1021" t="str">
            <v>Defining, Building and Implementing Project Management Practices</v>
          </cell>
          <cell r="D1021">
            <v>0</v>
          </cell>
          <cell r="E1021">
            <v>9.2840835893033351E-5</v>
          </cell>
          <cell r="F1021">
            <v>0</v>
          </cell>
          <cell r="S1021">
            <v>0</v>
          </cell>
          <cell r="T1021">
            <v>0</v>
          </cell>
        </row>
        <row r="1022">
          <cell r="B1022" t="str">
            <v>GY2-3080</v>
          </cell>
          <cell r="C1022" t="str">
            <v>Overseeing the Implementation and Completion of each Stage &amp; Achievement of Milestones</v>
          </cell>
          <cell r="D1022">
            <v>0</v>
          </cell>
          <cell r="E1022">
            <v>5.9872917279014341E-5</v>
          </cell>
          <cell r="F1022">
            <v>0</v>
          </cell>
          <cell r="S1022">
            <v>0</v>
          </cell>
          <cell r="T1022">
            <v>0</v>
          </cell>
        </row>
        <row r="1023">
          <cell r="B1023" t="str">
            <v>PROFESSIONALRESOURCES&amp;SUPPORTSERVICES</v>
          </cell>
          <cell r="D1023">
            <v>0</v>
          </cell>
          <cell r="E1023">
            <v>1.6519920123263063E-3</v>
          </cell>
          <cell r="F1023">
            <v>0.1678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8.550000000000002E-2</v>
          </cell>
          <cell r="T1023">
            <v>8.2299999999999998E-2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>
            <v>0</v>
          </cell>
          <cell r="AM1023">
            <v>0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 t="str">
            <v>GY2-1110</v>
          </cell>
          <cell r="C1024" t="str">
            <v>Providing Staff to perform Regular Project Management Practices</v>
          </cell>
          <cell r="D1024">
            <v>0</v>
          </cell>
          <cell r="E1024">
            <v>5.0891922131438352E-4</v>
          </cell>
          <cell r="F1024">
            <v>0.1678</v>
          </cell>
          <cell r="S1024">
            <v>8.5500000000000007E-2</v>
          </cell>
          <cell r="T1024">
            <v>8.2299999999999998E-2</v>
          </cell>
        </row>
        <row r="1025">
          <cell r="B1025" t="str">
            <v>GY2-1120</v>
          </cell>
          <cell r="C1025" t="str">
            <v>Maintaining documents for an internal DMICDC website focused on Project Management Manuals</v>
          </cell>
          <cell r="D1025">
            <v>0</v>
          </cell>
          <cell r="E1025">
            <v>2.3285319192866043E-4</v>
          </cell>
          <cell r="F1025">
            <v>0.1678</v>
          </cell>
          <cell r="S1025">
            <v>8.5500000000000007E-2</v>
          </cell>
          <cell r="T1025">
            <v>8.2299999999999998E-2</v>
          </cell>
        </row>
        <row r="1026">
          <cell r="B1026" t="str">
            <v>GY2-1130</v>
          </cell>
          <cell r="C1026" t="str">
            <v>Providing support &amp; Training in PMO Processes, Procedures, Tools &amp; Template to DMICDC Staff</v>
          </cell>
          <cell r="D1026">
            <v>0</v>
          </cell>
          <cell r="E1026">
            <v>5.0891922131438352E-4</v>
          </cell>
          <cell r="F1026">
            <v>0.1678</v>
          </cell>
          <cell r="S1026">
            <v>8.5500000000000007E-2</v>
          </cell>
          <cell r="T1026">
            <v>8.2299999999999998E-2</v>
          </cell>
        </row>
        <row r="1027">
          <cell r="B1027" t="str">
            <v>GY2-1140</v>
          </cell>
          <cell r="C1027" t="str">
            <v>Providing Consultant Services in Special Technology areas as necessary &amp; Requested</v>
          </cell>
          <cell r="D1027">
            <v>0</v>
          </cell>
          <cell r="E1027">
            <v>2.3285319192866043E-4</v>
          </cell>
          <cell r="F1027">
            <v>0.1678</v>
          </cell>
          <cell r="S1027">
            <v>8.5500000000000007E-2</v>
          </cell>
          <cell r="T1027">
            <v>8.2299999999999998E-2</v>
          </cell>
        </row>
        <row r="1028">
          <cell r="B1028" t="str">
            <v>GY2-1980</v>
          </cell>
          <cell r="C1028" t="str">
            <v>Supporting a Website for the ECC</v>
          </cell>
          <cell r="D1028">
            <v>0</v>
          </cell>
          <cell r="E1028">
            <v>1.6844718584021849E-4</v>
          </cell>
          <cell r="F1028">
            <v>0.1678</v>
          </cell>
          <cell r="S1028">
            <v>8.5500000000000007E-2</v>
          </cell>
          <cell r="T1028">
            <v>8.2299999999999998E-2</v>
          </cell>
        </row>
        <row r="1029">
          <cell r="B1029" t="str">
            <v>PROGRAMASSURANCEFUNCTIONS</v>
          </cell>
          <cell r="D1029">
            <v>0</v>
          </cell>
          <cell r="E1029">
            <v>5.3470591226521969E-3</v>
          </cell>
          <cell r="F1029">
            <v>0.16779999999999998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8.5499999999999993E-2</v>
          </cell>
          <cell r="T1029">
            <v>8.2299999999999984E-2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>
            <v>0</v>
          </cell>
          <cell r="AM1029">
            <v>0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 t="str">
            <v>QUALITYASSURANCE</v>
          </cell>
          <cell r="D1030">
            <v>0</v>
          </cell>
          <cell r="E1030">
            <v>1.067773788630029E-4</v>
          </cell>
          <cell r="F1030">
            <v>0.1678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8.5500000000000007E-2</v>
          </cell>
          <cell r="T1030">
            <v>8.2299999999999998E-2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>
            <v>0</v>
          </cell>
          <cell r="AM1030">
            <v>0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 t="str">
            <v>GY2-2820</v>
          </cell>
          <cell r="C1031" t="str">
            <v>Overseeing &amp; Manage the Independent 3rd Party Consultants used for Quality Check &amp; Value Engineering</v>
          </cell>
          <cell r="D1031">
            <v>0</v>
          </cell>
          <cell r="E1031">
            <v>1.067773788630029E-4</v>
          </cell>
          <cell r="F1031">
            <v>0.1678</v>
          </cell>
          <cell r="S1031">
            <v>8.5500000000000007E-2</v>
          </cell>
          <cell r="T1031">
            <v>8.2299999999999998E-2</v>
          </cell>
        </row>
        <row r="1032">
          <cell r="B1032" t="str">
            <v>HEALTH&amp;SAFETY</v>
          </cell>
          <cell r="D1032">
            <v>0</v>
          </cell>
          <cell r="E1032">
            <v>1.0521186317462771E-4</v>
          </cell>
          <cell r="F1032">
            <v>0.1678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8.5500000000000007E-2</v>
          </cell>
          <cell r="T1032">
            <v>8.2299999999999998E-2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>
            <v>0</v>
          </cell>
          <cell r="AM1032">
            <v>0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 t="str">
            <v>GY2-2710</v>
          </cell>
          <cell r="C1033" t="str">
            <v>Delivering basic &amp; Specified health &amp; Safety Training across the Programme</v>
          </cell>
          <cell r="D1033">
            <v>0</v>
          </cell>
          <cell r="E1033">
            <v>5.2605931587313857E-5</v>
          </cell>
          <cell r="F1033">
            <v>0.1678</v>
          </cell>
          <cell r="S1033">
            <v>8.5500000000000007E-2</v>
          </cell>
          <cell r="T1033">
            <v>8.2299999999999998E-2</v>
          </cell>
        </row>
        <row r="1034">
          <cell r="B1034" t="str">
            <v>GY2-2720</v>
          </cell>
          <cell r="C1034" t="str">
            <v>Implementation of a Program to Monitor &amp; Evaluate Health &amp; Safety Practices</v>
          </cell>
          <cell r="D1034">
            <v>0</v>
          </cell>
          <cell r="E1034">
            <v>5.2605931587313857E-5</v>
          </cell>
          <cell r="F1034">
            <v>0.1678</v>
          </cell>
          <cell r="S1034">
            <v>8.5500000000000007E-2</v>
          </cell>
          <cell r="T1034">
            <v>8.2299999999999998E-2</v>
          </cell>
        </row>
        <row r="1035">
          <cell r="B1035" t="str">
            <v>SUSTAINABILITY&amp;ENVIRONMENT</v>
          </cell>
          <cell r="D1035">
            <v>0</v>
          </cell>
          <cell r="E1035">
            <v>1.5126519071450993E-3</v>
          </cell>
          <cell r="F1035">
            <v>0.1678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8.5500000000000007E-2</v>
          </cell>
          <cell r="T1035">
            <v>8.2299999999999984E-2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>
            <v>0</v>
          </cell>
          <cell r="AM1035">
            <v>0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 t="str">
            <v>GY2-1590</v>
          </cell>
          <cell r="C1036" t="str">
            <v>Monitor Progress against Environment Goals at the Project &amp; Programme Level</v>
          </cell>
          <cell r="D1036">
            <v>0</v>
          </cell>
          <cell r="E1036">
            <v>1.3080839001390532E-3</v>
          </cell>
          <cell r="F1036">
            <v>0.1678</v>
          </cell>
          <cell r="S1036">
            <v>8.5500000000000007E-2</v>
          </cell>
          <cell r="T1036">
            <v>8.2299999999999998E-2</v>
          </cell>
        </row>
        <row r="1037">
          <cell r="B1037" t="str">
            <v>GY2-2690</v>
          </cell>
          <cell r="C1037" t="str">
            <v>Implementation of framework that enables Program to define its sustainability and Env. Goals &amp; Strategy</v>
          </cell>
          <cell r="D1037">
            <v>0</v>
          </cell>
          <cell r="E1037">
            <v>2.0456800700604608E-4</v>
          </cell>
          <cell r="F1037">
            <v>0.1678</v>
          </cell>
          <cell r="S1037">
            <v>8.5500000000000007E-2</v>
          </cell>
          <cell r="T1037">
            <v>8.2299999999999998E-2</v>
          </cell>
        </row>
        <row r="1038">
          <cell r="B1038" t="str">
            <v>SECURITY</v>
          </cell>
          <cell r="D1038">
            <v>0</v>
          </cell>
          <cell r="E1038">
            <v>3.6224179734694667E-3</v>
          </cell>
          <cell r="F1038">
            <v>0.16779999999999998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8.5499999999999993E-2</v>
          </cell>
          <cell r="T1038">
            <v>8.2299999999999984E-2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>
            <v>0</v>
          </cell>
          <cell r="AM1038">
            <v>0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 t="str">
            <v>GY2-1150</v>
          </cell>
          <cell r="C1039" t="str">
            <v>Implementation of Crisis Managment Response</v>
          </cell>
          <cell r="D1039">
            <v>0</v>
          </cell>
          <cell r="E1039">
            <v>5.705717615744479E-4</v>
          </cell>
          <cell r="F1039">
            <v>0.1678</v>
          </cell>
          <cell r="S1039">
            <v>8.5500000000000007E-2</v>
          </cell>
          <cell r="T1039">
            <v>8.2299999999999998E-2</v>
          </cell>
        </row>
        <row r="1040">
          <cell r="B1040" t="str">
            <v>GY2-1160</v>
          </cell>
          <cell r="C1040" t="str">
            <v>Implementation of Business Continiuty</v>
          </cell>
          <cell r="D1040">
            <v>0</v>
          </cell>
          <cell r="E1040">
            <v>5.705717615744479E-4</v>
          </cell>
          <cell r="F1040">
            <v>0.1678</v>
          </cell>
          <cell r="S1040">
            <v>8.5500000000000007E-2</v>
          </cell>
          <cell r="T1040">
            <v>8.2299999999999998E-2</v>
          </cell>
        </row>
        <row r="1041">
          <cell r="B1041" t="str">
            <v>GY2-1170</v>
          </cell>
          <cell r="C1041" t="str">
            <v>Implementation of Employee Protection</v>
          </cell>
          <cell r="D1041">
            <v>0</v>
          </cell>
          <cell r="E1041">
            <v>5.705717615744479E-4</v>
          </cell>
          <cell r="F1041">
            <v>0.1678</v>
          </cell>
          <cell r="S1041">
            <v>8.5500000000000007E-2</v>
          </cell>
          <cell r="T1041">
            <v>8.2299999999999998E-2</v>
          </cell>
        </row>
        <row r="1042">
          <cell r="B1042" t="str">
            <v>GY2-1180</v>
          </cell>
          <cell r="C1042" t="str">
            <v>Implementation of Information Security</v>
          </cell>
          <cell r="D1042">
            <v>0</v>
          </cell>
          <cell r="E1042">
            <v>7.6955916559722707E-4</v>
          </cell>
          <cell r="F1042">
            <v>0.1678</v>
          </cell>
          <cell r="S1042">
            <v>8.5500000000000007E-2</v>
          </cell>
          <cell r="T1042">
            <v>8.2299999999999998E-2</v>
          </cell>
        </row>
        <row r="1043">
          <cell r="B1043" t="str">
            <v>GY2-1190</v>
          </cell>
          <cell r="C1043" t="str">
            <v>Implementation of Programe Office Security</v>
          </cell>
          <cell r="D1043">
            <v>0</v>
          </cell>
          <cell r="E1043">
            <v>5.705717615744479E-4</v>
          </cell>
          <cell r="F1043">
            <v>0.1678</v>
          </cell>
          <cell r="S1043">
            <v>8.5500000000000007E-2</v>
          </cell>
          <cell r="T1043">
            <v>8.2299999999999998E-2</v>
          </cell>
        </row>
        <row r="1044">
          <cell r="B1044" t="str">
            <v>GY2-1240</v>
          </cell>
          <cell r="C1044" t="str">
            <v>Implementation of Securities for Fcilities &amp; Job Sites</v>
          </cell>
          <cell r="D1044">
            <v>0</v>
          </cell>
          <cell r="E1044">
            <v>5.705717615744479E-4</v>
          </cell>
          <cell r="F1044">
            <v>0.1678</v>
          </cell>
          <cell r="S1044">
            <v>8.5500000000000007E-2</v>
          </cell>
          <cell r="T1044">
            <v>8.2299999999999998E-2</v>
          </cell>
        </row>
        <row r="1045">
          <cell r="B1045" t="str">
            <v>WORKSHOPFORAPPROVALOFMANUALS&amp;PROCEDDURES</v>
          </cell>
          <cell r="F1045">
            <v>0</v>
          </cell>
        </row>
        <row r="1046">
          <cell r="B1046" t="str">
            <v>INVOICES</v>
          </cell>
          <cell r="D1046">
            <v>201325871</v>
          </cell>
          <cell r="E1046">
            <v>1.4496099717116017E-4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>
            <v>0</v>
          </cell>
          <cell r="AM1046">
            <v>0</v>
          </cell>
          <cell r="AN1046">
            <v>0</v>
          </cell>
          <cell r="AO1046">
            <v>0</v>
          </cell>
          <cell r="AP1046">
            <v>0</v>
          </cell>
          <cell r="AQ1046">
            <v>0</v>
          </cell>
        </row>
        <row r="1047">
          <cell r="B1047" t="str">
            <v>INVOICES FOR YEAR 2</v>
          </cell>
          <cell r="D1047">
            <v>125931</v>
          </cell>
          <cell r="E1047">
            <v>1.4496099717116017E-4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>
            <v>0</v>
          </cell>
          <cell r="AM1047">
            <v>0</v>
          </cell>
          <cell r="AN1047">
            <v>0</v>
          </cell>
          <cell r="AO1047">
            <v>0</v>
          </cell>
          <cell r="AP1047">
            <v>0</v>
          </cell>
          <cell r="AQ1047">
            <v>0</v>
          </cell>
        </row>
        <row r="1048">
          <cell r="B1048" t="str">
            <v>D+1MONTH</v>
          </cell>
          <cell r="D1048">
            <v>11334</v>
          </cell>
          <cell r="E1048">
            <v>1.3046731479444533E-5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>
            <v>0</v>
          </cell>
          <cell r="AM1048">
            <v>0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 t="str">
            <v>GY2-1270</v>
          </cell>
          <cell r="C1049" t="str">
            <v>Preparation of Monthly Invoice for D+1</v>
          </cell>
          <cell r="D1049">
            <v>10074</v>
          </cell>
          <cell r="E1049">
            <v>1.1596327238743976E-5</v>
          </cell>
          <cell r="F1049">
            <v>0</v>
          </cell>
          <cell r="S1049">
            <v>0</v>
          </cell>
          <cell r="T1049">
            <v>0</v>
          </cell>
        </row>
        <row r="1050">
          <cell r="B1050" t="str">
            <v>GY2-1310</v>
          </cell>
          <cell r="C1050" t="str">
            <v>Submission of invoice for D+1 MONTH</v>
          </cell>
          <cell r="D1050">
            <v>630</v>
          </cell>
          <cell r="E1050">
            <v>7.2520212035027843E-7</v>
          </cell>
          <cell r="F1050">
            <v>0</v>
          </cell>
          <cell r="S1050">
            <v>0</v>
          </cell>
          <cell r="T1050">
            <v>0</v>
          </cell>
        </row>
        <row r="1051">
          <cell r="B1051" t="str">
            <v>GY2-1440</v>
          </cell>
          <cell r="C1051" t="str">
            <v>Receipt of Payment for D+1 Month</v>
          </cell>
          <cell r="D1051">
            <v>630</v>
          </cell>
          <cell r="E1051">
            <v>7.2520212035027843E-7</v>
          </cell>
          <cell r="F1051">
            <v>0</v>
          </cell>
          <cell r="S1051">
            <v>0</v>
          </cell>
          <cell r="T1051">
            <v>0</v>
          </cell>
        </row>
        <row r="1052">
          <cell r="B1052" t="str">
            <v>D+2MONTH</v>
          </cell>
          <cell r="D1052">
            <v>11963</v>
          </cell>
          <cell r="E1052">
            <v>1.3770782485318064E-5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>
            <v>0</v>
          </cell>
          <cell r="AM1052">
            <v>0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 t="str">
            <v>GY2-1420</v>
          </cell>
          <cell r="C1053" t="str">
            <v>Preparation of Monthly Invoice for D+2 Month</v>
          </cell>
          <cell r="D1053">
            <v>10703</v>
          </cell>
          <cell r="E1053">
            <v>1.2320378244617507E-5</v>
          </cell>
          <cell r="F1053">
            <v>0</v>
          </cell>
          <cell r="S1053">
            <v>0</v>
          </cell>
          <cell r="T1053">
            <v>0</v>
          </cell>
        </row>
        <row r="1054">
          <cell r="B1054" t="str">
            <v>GY2-1490</v>
          </cell>
          <cell r="C1054" t="str">
            <v>Submission of invoice for D+2 Month</v>
          </cell>
          <cell r="D1054">
            <v>630</v>
          </cell>
          <cell r="E1054">
            <v>7.2520212035027843E-7</v>
          </cell>
          <cell r="F1054">
            <v>0</v>
          </cell>
          <cell r="S1054">
            <v>0</v>
          </cell>
          <cell r="T1054">
            <v>0</v>
          </cell>
        </row>
        <row r="1055">
          <cell r="B1055" t="str">
            <v>GY2-1660</v>
          </cell>
          <cell r="C1055" t="str">
            <v>Receipt of Payment for D+2 Month</v>
          </cell>
          <cell r="D1055">
            <v>630</v>
          </cell>
          <cell r="E1055">
            <v>7.2520212035027843E-7</v>
          </cell>
          <cell r="F1055">
            <v>0</v>
          </cell>
          <cell r="S1055">
            <v>0</v>
          </cell>
          <cell r="T1055">
            <v>0</v>
          </cell>
        </row>
        <row r="1056">
          <cell r="B1056" t="str">
            <v>D+3MONTH</v>
          </cell>
          <cell r="D1056">
            <v>11334</v>
          </cell>
          <cell r="E1056">
            <v>1.3046731479444533E-5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>
            <v>0</v>
          </cell>
          <cell r="AM1056">
            <v>0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 t="str">
            <v>GY2-1580</v>
          </cell>
          <cell r="C1057" t="str">
            <v>Preparation of Monthly Invoice for D+3 Month</v>
          </cell>
          <cell r="D1057">
            <v>10074</v>
          </cell>
          <cell r="E1057">
            <v>1.1596327238743976E-5</v>
          </cell>
          <cell r="F1057">
            <v>0</v>
          </cell>
          <cell r="S1057">
            <v>0</v>
          </cell>
          <cell r="T1057">
            <v>0</v>
          </cell>
        </row>
        <row r="1058">
          <cell r="B1058" t="str">
            <v>GY2-1690</v>
          </cell>
          <cell r="C1058" t="str">
            <v>Submission of invoice for D+3 Month</v>
          </cell>
          <cell r="D1058">
            <v>630</v>
          </cell>
          <cell r="E1058">
            <v>7.2520212035027843E-7</v>
          </cell>
          <cell r="F1058">
            <v>0</v>
          </cell>
          <cell r="S1058">
            <v>0</v>
          </cell>
          <cell r="T1058">
            <v>0</v>
          </cell>
        </row>
        <row r="1059">
          <cell r="B1059" t="str">
            <v>GY2-2050</v>
          </cell>
          <cell r="C1059" t="str">
            <v>Receipt of Payment for D+3 Month</v>
          </cell>
          <cell r="D1059">
            <v>630</v>
          </cell>
          <cell r="E1059">
            <v>7.2520212035027843E-7</v>
          </cell>
          <cell r="F1059">
            <v>0</v>
          </cell>
          <cell r="S1059">
            <v>0</v>
          </cell>
          <cell r="T1059">
            <v>0</v>
          </cell>
        </row>
        <row r="1060">
          <cell r="B1060" t="str">
            <v>D+4MONTH</v>
          </cell>
          <cell r="D1060">
            <v>11334</v>
          </cell>
          <cell r="E1060">
            <v>1.3046731479444533E-5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>
            <v>0</v>
          </cell>
          <cell r="AM1060">
            <v>0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 t="str">
            <v>GY2-2000</v>
          </cell>
          <cell r="C1061" t="str">
            <v>Preparation of Monthly Invoice for D+4 Month</v>
          </cell>
          <cell r="D1061">
            <v>10074</v>
          </cell>
          <cell r="E1061">
            <v>1.1596327238743976E-5</v>
          </cell>
          <cell r="F1061">
            <v>0</v>
          </cell>
          <cell r="S1061">
            <v>0</v>
          </cell>
          <cell r="T1061">
            <v>0</v>
          </cell>
        </row>
        <row r="1062">
          <cell r="B1062" t="str">
            <v>GY2-2140</v>
          </cell>
          <cell r="C1062" t="str">
            <v>Submission of invoice for D+4 Month</v>
          </cell>
          <cell r="D1062">
            <v>630</v>
          </cell>
          <cell r="E1062">
            <v>7.2520212035027843E-7</v>
          </cell>
          <cell r="F1062">
            <v>0</v>
          </cell>
          <cell r="S1062">
            <v>0</v>
          </cell>
          <cell r="T1062">
            <v>0</v>
          </cell>
        </row>
        <row r="1063">
          <cell r="B1063" t="str">
            <v>GY2-2250</v>
          </cell>
          <cell r="C1063" t="str">
            <v>Receipt of Payment for D+4 Month</v>
          </cell>
          <cell r="D1063">
            <v>630</v>
          </cell>
          <cell r="E1063">
            <v>7.2520212035027843E-7</v>
          </cell>
          <cell r="F1063">
            <v>0</v>
          </cell>
          <cell r="S1063">
            <v>0</v>
          </cell>
          <cell r="T1063">
            <v>0</v>
          </cell>
        </row>
        <row r="1064">
          <cell r="B1064" t="str">
            <v>D+5MONTH</v>
          </cell>
          <cell r="D1064">
            <v>11334</v>
          </cell>
          <cell r="E1064">
            <v>1.3046731479444533E-5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>
            <v>0</v>
          </cell>
          <cell r="AM1064">
            <v>0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 t="str">
            <v>GY2-2180</v>
          </cell>
          <cell r="C1065" t="str">
            <v>Preparation of Monthly Invoice for D+5 Month</v>
          </cell>
          <cell r="D1065">
            <v>10074</v>
          </cell>
          <cell r="E1065">
            <v>1.1596327238743976E-5</v>
          </cell>
          <cell r="F1065">
            <v>0</v>
          </cell>
          <cell r="S1065">
            <v>0</v>
          </cell>
          <cell r="T1065">
            <v>0</v>
          </cell>
        </row>
        <row r="1066">
          <cell r="B1066" t="str">
            <v>GY2-2280</v>
          </cell>
          <cell r="C1066" t="str">
            <v>Submission of invoice for D+5 Month</v>
          </cell>
          <cell r="D1066">
            <v>630</v>
          </cell>
          <cell r="E1066">
            <v>7.2520212035027843E-7</v>
          </cell>
          <cell r="F1066">
            <v>0</v>
          </cell>
          <cell r="S1066">
            <v>0</v>
          </cell>
          <cell r="T1066">
            <v>0</v>
          </cell>
        </row>
        <row r="1067">
          <cell r="B1067" t="str">
            <v>GY2-2320</v>
          </cell>
          <cell r="C1067" t="str">
            <v>Receipt of Payment for D+5 Month</v>
          </cell>
          <cell r="D1067">
            <v>630</v>
          </cell>
          <cell r="E1067">
            <v>7.2520212035027843E-7</v>
          </cell>
          <cell r="F1067">
            <v>0</v>
          </cell>
          <cell r="S1067">
            <v>0</v>
          </cell>
          <cell r="T1067">
            <v>0</v>
          </cell>
        </row>
        <row r="1068">
          <cell r="B1068" t="str">
            <v>D+6MONTH</v>
          </cell>
          <cell r="D1068">
            <v>11334</v>
          </cell>
          <cell r="E1068">
            <v>1.3046731479444533E-5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>
            <v>0</v>
          </cell>
          <cell r="AM1068">
            <v>0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 t="str">
            <v>GY2-2310</v>
          </cell>
          <cell r="C1069" t="str">
            <v>Preparation of Monthly Invoice for D+6 Month</v>
          </cell>
          <cell r="D1069">
            <v>10074</v>
          </cell>
          <cell r="E1069">
            <v>1.1596327238743976E-5</v>
          </cell>
          <cell r="F1069">
            <v>0</v>
          </cell>
          <cell r="S1069">
            <v>0</v>
          </cell>
          <cell r="T1069">
            <v>0</v>
          </cell>
        </row>
        <row r="1070">
          <cell r="B1070" t="str">
            <v>GY2-2360</v>
          </cell>
          <cell r="C1070" t="str">
            <v>Submission of invoice for D+6 Month</v>
          </cell>
          <cell r="D1070">
            <v>630</v>
          </cell>
          <cell r="E1070">
            <v>7.2520212035027843E-7</v>
          </cell>
          <cell r="F1070">
            <v>0</v>
          </cell>
          <cell r="S1070">
            <v>0</v>
          </cell>
          <cell r="T1070">
            <v>0</v>
          </cell>
        </row>
        <row r="1071">
          <cell r="B1071" t="str">
            <v>GY2-2430</v>
          </cell>
          <cell r="C1071" t="str">
            <v>Receipt of Payment for D+6 Month</v>
          </cell>
          <cell r="D1071">
            <v>630</v>
          </cell>
          <cell r="E1071">
            <v>7.2520212035027843E-7</v>
          </cell>
          <cell r="F1071">
            <v>0</v>
          </cell>
          <cell r="S1071">
            <v>0</v>
          </cell>
          <cell r="T1071">
            <v>0</v>
          </cell>
        </row>
        <row r="1072">
          <cell r="B1072" t="str">
            <v>D+7MONTH</v>
          </cell>
          <cell r="D1072">
            <v>11334</v>
          </cell>
          <cell r="E1072">
            <v>1.3046731479444533E-5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>
            <v>0</v>
          </cell>
          <cell r="AM1072">
            <v>0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 t="str">
            <v>GY2-2410</v>
          </cell>
          <cell r="C1073" t="str">
            <v>Preparation of Monthly Invoice for D+7 Month</v>
          </cell>
          <cell r="D1073">
            <v>10074</v>
          </cell>
          <cell r="E1073">
            <v>1.1596327238743976E-5</v>
          </cell>
          <cell r="F1073">
            <v>0</v>
          </cell>
          <cell r="S1073">
            <v>0</v>
          </cell>
          <cell r="T1073">
            <v>0</v>
          </cell>
        </row>
        <row r="1074">
          <cell r="B1074" t="str">
            <v>GY2-2480</v>
          </cell>
          <cell r="C1074" t="str">
            <v>Submission of invoice for D+7 Month</v>
          </cell>
          <cell r="D1074">
            <v>630</v>
          </cell>
          <cell r="E1074">
            <v>7.2520212035027843E-7</v>
          </cell>
          <cell r="F1074">
            <v>0</v>
          </cell>
          <cell r="S1074">
            <v>0</v>
          </cell>
          <cell r="T1074">
            <v>0</v>
          </cell>
        </row>
        <row r="1075">
          <cell r="B1075" t="str">
            <v>GY2-2520</v>
          </cell>
          <cell r="C1075" t="str">
            <v>Receipt of Payment for D+7 Month</v>
          </cell>
          <cell r="D1075">
            <v>630</v>
          </cell>
          <cell r="E1075">
            <v>7.2520212035027843E-7</v>
          </cell>
          <cell r="F1075">
            <v>0</v>
          </cell>
          <cell r="S1075">
            <v>0</v>
          </cell>
          <cell r="T1075">
            <v>0</v>
          </cell>
        </row>
        <row r="1076">
          <cell r="B1076" t="str">
            <v>D+8MONTH</v>
          </cell>
          <cell r="D1076">
            <v>11334</v>
          </cell>
          <cell r="E1076">
            <v>1.3046731479444533E-5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>
            <v>0</v>
          </cell>
          <cell r="AM1076">
            <v>0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 t="str">
            <v>GY2-2510</v>
          </cell>
          <cell r="C1077" t="str">
            <v>Preparation of Monthly Invoice for D+8 Month</v>
          </cell>
          <cell r="D1077">
            <v>10074</v>
          </cell>
          <cell r="E1077">
            <v>1.1596327238743976E-5</v>
          </cell>
          <cell r="F1077">
            <v>0</v>
          </cell>
          <cell r="S1077">
            <v>0</v>
          </cell>
          <cell r="T1077">
            <v>0</v>
          </cell>
        </row>
        <row r="1078">
          <cell r="B1078" t="str">
            <v>GY2-2570</v>
          </cell>
          <cell r="C1078" t="str">
            <v>Submission of invoice for D+8 Month</v>
          </cell>
          <cell r="D1078">
            <v>630</v>
          </cell>
          <cell r="E1078">
            <v>7.2520212035027843E-7</v>
          </cell>
          <cell r="F1078">
            <v>0</v>
          </cell>
          <cell r="S1078">
            <v>0</v>
          </cell>
          <cell r="T1078">
            <v>0</v>
          </cell>
        </row>
        <row r="1079">
          <cell r="B1079" t="str">
            <v>GY2-2640</v>
          </cell>
          <cell r="C1079" t="str">
            <v>Receipt of Payment for D+8 Month</v>
          </cell>
          <cell r="D1079">
            <v>630</v>
          </cell>
          <cell r="E1079">
            <v>7.2520212035027843E-7</v>
          </cell>
          <cell r="F1079">
            <v>0</v>
          </cell>
          <cell r="S1079">
            <v>0</v>
          </cell>
          <cell r="T1079">
            <v>0</v>
          </cell>
        </row>
        <row r="1080">
          <cell r="B1080" t="str">
            <v>D+9MONTH</v>
          </cell>
          <cell r="D1080">
            <v>11963</v>
          </cell>
          <cell r="E1080">
            <v>1.3770782485318064E-5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>
            <v>0</v>
          </cell>
          <cell r="AM1080">
            <v>0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 t="str">
            <v>GY2-2620</v>
          </cell>
          <cell r="C1081" t="str">
            <v>Preparation of Monthly Invoice for D+9 Month</v>
          </cell>
          <cell r="D1081">
            <v>10703</v>
          </cell>
          <cell r="E1081">
            <v>1.2320378244617507E-5</v>
          </cell>
          <cell r="F1081">
            <v>0</v>
          </cell>
          <cell r="S1081">
            <v>0</v>
          </cell>
          <cell r="T1081">
            <v>0</v>
          </cell>
        </row>
        <row r="1082">
          <cell r="B1082" t="str">
            <v>GY2-2680</v>
          </cell>
          <cell r="C1082" t="str">
            <v>Submission of invoice for D+9 Month</v>
          </cell>
          <cell r="D1082">
            <v>630</v>
          </cell>
          <cell r="E1082">
            <v>7.2520212035027843E-7</v>
          </cell>
          <cell r="F1082">
            <v>0</v>
          </cell>
          <cell r="S1082">
            <v>0</v>
          </cell>
          <cell r="T1082">
            <v>0</v>
          </cell>
        </row>
        <row r="1083">
          <cell r="B1083" t="str">
            <v>GY2-2800</v>
          </cell>
          <cell r="C1083" t="str">
            <v>Receipt of Payment for D+9 Month</v>
          </cell>
          <cell r="D1083">
            <v>630</v>
          </cell>
          <cell r="E1083">
            <v>7.2520212035027843E-7</v>
          </cell>
          <cell r="F1083">
            <v>0</v>
          </cell>
          <cell r="S1083">
            <v>0</v>
          </cell>
          <cell r="T1083">
            <v>0</v>
          </cell>
        </row>
        <row r="1084">
          <cell r="B1084" t="str">
            <v>D+10MONTH</v>
          </cell>
          <cell r="D1084">
            <v>11334</v>
          </cell>
          <cell r="E1084">
            <v>1.3046731479444533E-5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>
            <v>0</v>
          </cell>
          <cell r="AM1084">
            <v>0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 t="str">
            <v>GY2-2750</v>
          </cell>
          <cell r="C1085" t="str">
            <v>Preparation of Monthly Invoice for D+10 Month</v>
          </cell>
          <cell r="D1085">
            <v>10074</v>
          </cell>
          <cell r="E1085">
            <v>1.1596327238743976E-5</v>
          </cell>
          <cell r="F1085">
            <v>0</v>
          </cell>
          <cell r="S1085">
            <v>0</v>
          </cell>
          <cell r="T1085">
            <v>0</v>
          </cell>
        </row>
        <row r="1086">
          <cell r="B1086" t="str">
            <v>GY2-2840</v>
          </cell>
          <cell r="C1086" t="str">
            <v>Submission of invoice for D+10 Month</v>
          </cell>
          <cell r="D1086">
            <v>630</v>
          </cell>
          <cell r="E1086">
            <v>7.2520212035027843E-7</v>
          </cell>
          <cell r="F1086">
            <v>0</v>
          </cell>
          <cell r="S1086">
            <v>0</v>
          </cell>
          <cell r="T1086">
            <v>0</v>
          </cell>
        </row>
        <row r="1087">
          <cell r="B1087" t="str">
            <v>GY2-3090</v>
          </cell>
          <cell r="C1087" t="str">
            <v>Receipt of Payment for D+10 Month</v>
          </cell>
          <cell r="D1087">
            <v>630</v>
          </cell>
          <cell r="E1087">
            <v>7.2520212035027843E-7</v>
          </cell>
          <cell r="F1087">
            <v>0</v>
          </cell>
          <cell r="S1087">
            <v>0</v>
          </cell>
          <cell r="T1087">
            <v>0</v>
          </cell>
        </row>
        <row r="1088">
          <cell r="B1088" t="str">
            <v>D+11MONTH</v>
          </cell>
          <cell r="D1088">
            <v>11333</v>
          </cell>
          <cell r="E1088">
            <v>1.3045580364967786E-5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>
            <v>0</v>
          </cell>
          <cell r="AM1088">
            <v>0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 t="str">
            <v>GY2-3070</v>
          </cell>
          <cell r="C1089" t="str">
            <v>Preparation of Monthly Invoice for D+11 Month</v>
          </cell>
          <cell r="D1089">
            <v>10703</v>
          </cell>
          <cell r="E1089">
            <v>1.2320378244617507E-5</v>
          </cell>
          <cell r="F1089">
            <v>0</v>
          </cell>
          <cell r="S1089">
            <v>0</v>
          </cell>
          <cell r="T1089">
            <v>0</v>
          </cell>
        </row>
        <row r="1090">
          <cell r="B1090" t="str">
            <v>GY2-3650</v>
          </cell>
          <cell r="C1090" t="str">
            <v>Submission of invoice for D+11 Month</v>
          </cell>
          <cell r="D1090">
            <v>630</v>
          </cell>
          <cell r="E1090">
            <v>7.2520212035027843E-7</v>
          </cell>
          <cell r="F1090">
            <v>0</v>
          </cell>
          <cell r="S1090">
            <v>0</v>
          </cell>
          <cell r="T1090">
            <v>0</v>
          </cell>
        </row>
        <row r="1091">
          <cell r="B1091" t="str">
            <v>GY2-3680</v>
          </cell>
          <cell r="C1091" t="str">
            <v>Receipt of Payment for D+11 Month</v>
          </cell>
          <cell r="D1091">
            <v>0</v>
          </cell>
          <cell r="E1091">
            <v>0</v>
          </cell>
          <cell r="F1091">
            <v>0</v>
          </cell>
          <cell r="S1091">
            <v>0</v>
          </cell>
          <cell r="T1091">
            <v>0</v>
          </cell>
        </row>
        <row r="1092">
          <cell r="B1092" t="str">
            <v>D+12MONTH</v>
          </cell>
          <cell r="D1092">
            <v>0</v>
          </cell>
          <cell r="E1092">
            <v>0</v>
          </cell>
          <cell r="F1092">
            <v>0</v>
          </cell>
        </row>
        <row r="1093">
          <cell r="B1093" t="str">
            <v>GY2-3695</v>
          </cell>
          <cell r="C1093" t="str">
            <v>Preparation of Monthly Invoice for D+12 Month</v>
          </cell>
          <cell r="D1093">
            <v>0</v>
          </cell>
          <cell r="E1093" t="str">
            <v/>
          </cell>
          <cell r="F1093">
            <v>0</v>
          </cell>
          <cell r="S1093">
            <v>0</v>
          </cell>
          <cell r="T1093">
            <v>0</v>
          </cell>
        </row>
        <row r="1094">
          <cell r="B1094" t="str">
            <v>GY2-3700</v>
          </cell>
          <cell r="C1094" t="str">
            <v>Submission of invoice for D+12 Month</v>
          </cell>
          <cell r="D1094">
            <v>0</v>
          </cell>
          <cell r="E1094">
            <v>0</v>
          </cell>
          <cell r="F1094">
            <v>0</v>
          </cell>
          <cell r="S1094">
            <v>0</v>
          </cell>
          <cell r="T1094">
            <v>0</v>
          </cell>
        </row>
        <row r="1095">
          <cell r="B1095" t="str">
            <v>GY2-3720</v>
          </cell>
          <cell r="C1095" t="str">
            <v>Receipt of Payment for D+12 Month</v>
          </cell>
          <cell r="D1095">
            <v>0</v>
          </cell>
          <cell r="E1095">
            <v>0</v>
          </cell>
          <cell r="F1095">
            <v>0</v>
          </cell>
          <cell r="S1095">
            <v>0</v>
          </cell>
          <cell r="T1095">
            <v>0</v>
          </cell>
        </row>
        <row r="1096">
          <cell r="B1096" t="str">
            <v>INVOICESFORYEAR3</v>
          </cell>
          <cell r="D1096">
            <v>201199940</v>
          </cell>
          <cell r="F1096">
            <v>0</v>
          </cell>
        </row>
        <row r="1097">
          <cell r="B1097" t="str">
            <v>CORECONSULTANCYEXPENSES</v>
          </cell>
          <cell r="D1097">
            <v>201199940</v>
          </cell>
          <cell r="E1097">
            <v>9.050141443079672E-2</v>
          </cell>
          <cell r="F1097">
            <v>0.1678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8.5500000000000007E-2</v>
          </cell>
          <cell r="T1097">
            <v>8.2299999999999998E-2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>
            <v>0</v>
          </cell>
          <cell r="AM1097">
            <v>0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 t="str">
            <v>GY2-1000</v>
          </cell>
          <cell r="C1098" t="str">
            <v>Core Consultancy Expenses</v>
          </cell>
          <cell r="D1098">
            <v>201199940</v>
          </cell>
          <cell r="E1098">
            <v>9.050141443079672E-2</v>
          </cell>
          <cell r="F1098">
            <v>0.1678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8.5500000000000007E-2</v>
          </cell>
          <cell r="T1098">
            <v>8.2299999999999998E-2</v>
          </cell>
        </row>
        <row r="1099">
          <cell r="B1099" t="str">
            <v>GENERALPRORAMMEMANAGEMENTFORYEAR3</v>
          </cell>
          <cell r="D1099">
            <v>201199940</v>
          </cell>
          <cell r="E1099">
            <v>0.23160416365452194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>
            <v>0</v>
          </cell>
          <cell r="AM1099">
            <v>0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 t="str">
            <v>ORGANIZATION&amp;GOVERNANCE</v>
          </cell>
          <cell r="F1100">
            <v>0</v>
          </cell>
        </row>
        <row r="1101">
          <cell r="B1101" t="str">
            <v>PROGRAMCONTROLS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>
            <v>0</v>
          </cell>
          <cell r="AM1101">
            <v>0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 t="str">
            <v>SCHEDULEMANAGEMENT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>
            <v>0</v>
          </cell>
          <cell r="AM1102">
            <v>0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 t="str">
            <v>GY3-1470</v>
          </cell>
          <cell r="C1103" t="str">
            <v>Ensuring Implementation of Change Management Processes (wrt Schedule)</v>
          </cell>
          <cell r="D1103">
            <v>0</v>
          </cell>
          <cell r="E1103">
            <v>0</v>
          </cell>
          <cell r="F1103">
            <v>0</v>
          </cell>
          <cell r="S1103">
            <v>0</v>
          </cell>
          <cell r="T1103">
            <v>0</v>
          </cell>
        </row>
        <row r="1104">
          <cell r="B1104" t="str">
            <v>GY3-1480</v>
          </cell>
          <cell r="C1104" t="str">
            <v>Monitoring perceived viability of the Contractor Schedule &amp; Prepare alternatives</v>
          </cell>
          <cell r="D1104">
            <v>0</v>
          </cell>
          <cell r="E1104">
            <v>0</v>
          </cell>
          <cell r="F1104">
            <v>0</v>
          </cell>
          <cell r="S1104">
            <v>0</v>
          </cell>
          <cell r="T1104">
            <v>0</v>
          </cell>
        </row>
        <row r="1105">
          <cell r="B1105" t="str">
            <v>GY3-2020</v>
          </cell>
          <cell r="C1105" t="str">
            <v>Maintaining the Program Master Schedule</v>
          </cell>
          <cell r="D1105">
            <v>0</v>
          </cell>
          <cell r="E1105">
            <v>0</v>
          </cell>
          <cell r="F1105">
            <v>0</v>
          </cell>
          <cell r="S1105">
            <v>0</v>
          </cell>
          <cell r="T1105">
            <v>0</v>
          </cell>
        </row>
        <row r="1106">
          <cell r="B1106" t="str">
            <v>COSTMANAGEMENT</v>
          </cell>
          <cell r="F1106">
            <v>0</v>
          </cell>
        </row>
        <row r="1107">
          <cell r="B1107" t="str">
            <v>DOCUMENTCONTROL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>
            <v>0</v>
          </cell>
          <cell r="AM1107">
            <v>0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 t="str">
            <v>GY3-1710</v>
          </cell>
          <cell r="C1108" t="str">
            <v>Training of Program Staff for Documentation Handling &amp; Control</v>
          </cell>
          <cell r="D1108">
            <v>0</v>
          </cell>
          <cell r="E1108">
            <v>0</v>
          </cell>
          <cell r="F1108">
            <v>0</v>
          </cell>
          <cell r="S1108">
            <v>0</v>
          </cell>
          <cell r="T1108">
            <v>0</v>
          </cell>
        </row>
        <row r="1109">
          <cell r="B1109" t="str">
            <v>RISKMANAGEMENT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>
            <v>0</v>
          </cell>
          <cell r="AM1109">
            <v>0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 t="str">
            <v>GY3-3630</v>
          </cell>
          <cell r="C1110" t="str">
            <v>Tracking &amp; Managing Significant Risks (Internal &amp; External) ie Risk identification, Analysis, Evaluation, Treatment</v>
          </cell>
          <cell r="D1110">
            <v>0</v>
          </cell>
          <cell r="E1110">
            <v>0</v>
          </cell>
          <cell r="F1110">
            <v>0</v>
          </cell>
          <cell r="S1110">
            <v>0</v>
          </cell>
          <cell r="T1110">
            <v>0</v>
          </cell>
        </row>
        <row r="1111">
          <cell r="B1111" t="str">
            <v>SCOPE&amp;CHANGEMANAGEMENT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>
            <v>0</v>
          </cell>
          <cell r="AM1111">
            <v>0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 t="str">
            <v>GY3-2760</v>
          </cell>
          <cell r="C1112" t="str">
            <v>Reviewing and Updating Internal Change Management Plan / System</v>
          </cell>
          <cell r="D1112">
            <v>0</v>
          </cell>
          <cell r="E1112">
            <v>0</v>
          </cell>
          <cell r="F1112">
            <v>0</v>
          </cell>
          <cell r="S1112">
            <v>0</v>
          </cell>
          <cell r="T1112">
            <v>0</v>
          </cell>
        </row>
        <row r="1113">
          <cell r="B1113" t="str">
            <v>GY3-2770</v>
          </cell>
          <cell r="C1113" t="str">
            <v>Assessing any Change Request</v>
          </cell>
          <cell r="D1113">
            <v>0</v>
          </cell>
          <cell r="E1113">
            <v>0</v>
          </cell>
          <cell r="F1113">
            <v>0</v>
          </cell>
          <cell r="S1113">
            <v>0</v>
          </cell>
          <cell r="T1113">
            <v>0</v>
          </cell>
        </row>
        <row r="1114">
          <cell r="B1114" t="str">
            <v>GY3-2780</v>
          </cell>
          <cell r="C1114" t="str">
            <v>Monitoring Changes &amp; Its Processing</v>
          </cell>
          <cell r="D1114">
            <v>0</v>
          </cell>
          <cell r="E1114">
            <v>0</v>
          </cell>
          <cell r="F1114">
            <v>0</v>
          </cell>
          <cell r="S1114">
            <v>0</v>
          </cell>
          <cell r="T1114">
            <v>0</v>
          </cell>
        </row>
        <row r="1115">
          <cell r="B1115" t="str">
            <v>GY3-2790</v>
          </cell>
          <cell r="C1115" t="str">
            <v>Advising DMICDC on matters affecting the project budget</v>
          </cell>
          <cell r="D1115">
            <v>0</v>
          </cell>
          <cell r="E1115">
            <v>0</v>
          </cell>
          <cell r="F1115">
            <v>0</v>
          </cell>
          <cell r="S1115">
            <v>0</v>
          </cell>
          <cell r="T1115">
            <v>0</v>
          </cell>
        </row>
        <row r="1116">
          <cell r="B1116" t="str">
            <v>PERFORMANCEMEASUREMENT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>
            <v>0</v>
          </cell>
          <cell r="AM1116">
            <v>0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 t="str">
            <v>GY3-1230</v>
          </cell>
          <cell r="C1117" t="str">
            <v>Assisting DMICDC in Preparing Program Status Reports</v>
          </cell>
          <cell r="D1117">
            <v>0</v>
          </cell>
          <cell r="E1117">
            <v>0</v>
          </cell>
          <cell r="F1117">
            <v>0</v>
          </cell>
          <cell r="S1117">
            <v>0</v>
          </cell>
          <cell r="T1117">
            <v>0</v>
          </cell>
        </row>
        <row r="1118">
          <cell r="B1118" t="str">
            <v>GY3-1830</v>
          </cell>
          <cell r="C1118" t="str">
            <v>Tracking, Analyzing &amp; Reporting Project Cost, Schedule and Budget Information</v>
          </cell>
          <cell r="D1118">
            <v>0</v>
          </cell>
          <cell r="E1118">
            <v>0</v>
          </cell>
          <cell r="F1118">
            <v>0</v>
          </cell>
          <cell r="S1118">
            <v>0</v>
          </cell>
          <cell r="T1118">
            <v>0</v>
          </cell>
        </row>
        <row r="1119">
          <cell r="B1119" t="str">
            <v>GY3-2030</v>
          </cell>
          <cell r="C1119" t="str">
            <v>Conducting Program Progress Review meetings</v>
          </cell>
          <cell r="D1119">
            <v>0</v>
          </cell>
          <cell r="E1119">
            <v>0</v>
          </cell>
          <cell r="F1119">
            <v>0</v>
          </cell>
          <cell r="S1119">
            <v>0</v>
          </cell>
          <cell r="T1119">
            <v>0</v>
          </cell>
        </row>
        <row r="1120">
          <cell r="B1120" t="str">
            <v>MONTHLYPROGRESSREPORT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>
            <v>0</v>
          </cell>
          <cell r="AM1120">
            <v>0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 t="str">
            <v>GY3-1260</v>
          </cell>
          <cell r="C1121" t="str">
            <v>Preparation of MPR for D+25 Month</v>
          </cell>
          <cell r="D1121">
            <v>0</v>
          </cell>
          <cell r="E1121">
            <v>0</v>
          </cell>
          <cell r="F1121">
            <v>0</v>
          </cell>
          <cell r="S1121">
            <v>0</v>
          </cell>
          <cell r="T1121">
            <v>0</v>
          </cell>
        </row>
        <row r="1122">
          <cell r="B1122" t="str">
            <v>GY3-1300</v>
          </cell>
          <cell r="C1122" t="str">
            <v>Submission of MPR for D+25 Month</v>
          </cell>
          <cell r="D1122">
            <v>0</v>
          </cell>
          <cell r="E1122">
            <v>0</v>
          </cell>
          <cell r="F1122">
            <v>0</v>
          </cell>
          <cell r="S1122">
            <v>0</v>
          </cell>
          <cell r="T1122">
            <v>0</v>
          </cell>
        </row>
        <row r="1123">
          <cell r="B1123" t="str">
            <v>GY3-1410</v>
          </cell>
          <cell r="C1123" t="str">
            <v>Preparation of MPR for D+26 Month</v>
          </cell>
          <cell r="D1123">
            <v>0</v>
          </cell>
          <cell r="E1123">
            <v>0</v>
          </cell>
          <cell r="F1123">
            <v>0</v>
          </cell>
          <cell r="S1123">
            <v>0</v>
          </cell>
          <cell r="T1123">
            <v>0</v>
          </cell>
        </row>
        <row r="1124">
          <cell r="B1124" t="str">
            <v>GY3-1450</v>
          </cell>
          <cell r="C1124" t="str">
            <v>Submission of MPR for D+26 Month</v>
          </cell>
          <cell r="D1124">
            <v>0</v>
          </cell>
          <cell r="E1124">
            <v>0</v>
          </cell>
          <cell r="F1124">
            <v>0</v>
          </cell>
          <cell r="S1124">
            <v>0</v>
          </cell>
          <cell r="T1124">
            <v>0</v>
          </cell>
        </row>
        <row r="1125">
          <cell r="B1125" t="str">
            <v>GY3-1570</v>
          </cell>
          <cell r="C1125" t="str">
            <v>Preparation of MPR for D+27 Month</v>
          </cell>
          <cell r="D1125">
            <v>0</v>
          </cell>
          <cell r="E1125">
            <v>0</v>
          </cell>
          <cell r="F1125">
            <v>0</v>
          </cell>
          <cell r="S1125">
            <v>0</v>
          </cell>
          <cell r="T1125">
            <v>0</v>
          </cell>
        </row>
        <row r="1126">
          <cell r="B1126" t="str">
            <v>GY3-1670</v>
          </cell>
          <cell r="C1126" t="str">
            <v>Submission of MPR for D+27 Month</v>
          </cell>
          <cell r="D1126">
            <v>0</v>
          </cell>
          <cell r="E1126">
            <v>0</v>
          </cell>
          <cell r="F1126">
            <v>0</v>
          </cell>
          <cell r="S1126">
            <v>0</v>
          </cell>
          <cell r="T1126">
            <v>0</v>
          </cell>
        </row>
        <row r="1127">
          <cell r="B1127" t="str">
            <v>GY3-1990</v>
          </cell>
          <cell r="C1127" t="str">
            <v>Preparation of MPR for D+28 Month</v>
          </cell>
          <cell r="D1127">
            <v>0</v>
          </cell>
          <cell r="E1127">
            <v>0</v>
          </cell>
          <cell r="F1127">
            <v>0</v>
          </cell>
          <cell r="S1127">
            <v>0</v>
          </cell>
          <cell r="T1127">
            <v>0</v>
          </cell>
        </row>
        <row r="1128">
          <cell r="B1128" t="str">
            <v>GY3-2130</v>
          </cell>
          <cell r="C1128" t="str">
            <v>Submission of MPR for D+28 Month</v>
          </cell>
          <cell r="D1128">
            <v>0</v>
          </cell>
          <cell r="E1128">
            <v>0</v>
          </cell>
          <cell r="F1128">
            <v>0</v>
          </cell>
          <cell r="S1128">
            <v>0</v>
          </cell>
          <cell r="T1128">
            <v>0</v>
          </cell>
        </row>
        <row r="1129">
          <cell r="B1129" t="str">
            <v>GY3-2170</v>
          </cell>
          <cell r="C1129" t="str">
            <v>Preparation of MPR for D+29 Month</v>
          </cell>
          <cell r="D1129">
            <v>0</v>
          </cell>
          <cell r="E1129">
            <v>0</v>
          </cell>
          <cell r="F1129">
            <v>0</v>
          </cell>
          <cell r="S1129">
            <v>0</v>
          </cell>
          <cell r="T1129">
            <v>0</v>
          </cell>
        </row>
        <row r="1130">
          <cell r="B1130" t="str">
            <v>GY3-2270</v>
          </cell>
          <cell r="C1130" t="str">
            <v>Submission of MPR for D+29 Month</v>
          </cell>
          <cell r="D1130">
            <v>0</v>
          </cell>
          <cell r="E1130">
            <v>0</v>
          </cell>
          <cell r="F1130">
            <v>0</v>
          </cell>
          <cell r="S1130">
            <v>0</v>
          </cell>
          <cell r="T1130">
            <v>0</v>
          </cell>
        </row>
        <row r="1131">
          <cell r="B1131" t="str">
            <v>GY3-2300</v>
          </cell>
          <cell r="C1131" t="str">
            <v>Preparation of MPR for D+30 Month</v>
          </cell>
          <cell r="D1131">
            <v>0</v>
          </cell>
          <cell r="E1131">
            <v>0</v>
          </cell>
          <cell r="F1131">
            <v>0</v>
          </cell>
          <cell r="S1131">
            <v>0</v>
          </cell>
          <cell r="T1131">
            <v>0</v>
          </cell>
        </row>
        <row r="1132">
          <cell r="B1132" t="str">
            <v>GY3-2350</v>
          </cell>
          <cell r="C1132" t="str">
            <v>Submission of MPR for D+30 Month</v>
          </cell>
          <cell r="D1132">
            <v>0</v>
          </cell>
          <cell r="E1132">
            <v>0</v>
          </cell>
          <cell r="F1132">
            <v>0</v>
          </cell>
          <cell r="S1132">
            <v>0</v>
          </cell>
          <cell r="T1132">
            <v>0</v>
          </cell>
        </row>
        <row r="1133">
          <cell r="B1133" t="str">
            <v>GY3-2400</v>
          </cell>
          <cell r="C1133" t="str">
            <v>Preparation of MPR for D+31 Month</v>
          </cell>
          <cell r="D1133">
            <v>0</v>
          </cell>
          <cell r="E1133">
            <v>0</v>
          </cell>
          <cell r="F1133">
            <v>0</v>
          </cell>
          <cell r="S1133">
            <v>0</v>
          </cell>
          <cell r="T1133">
            <v>0</v>
          </cell>
        </row>
        <row r="1134">
          <cell r="B1134" t="str">
            <v>GY3-2470</v>
          </cell>
          <cell r="C1134" t="str">
            <v>Submission of MPR for D+31 Month</v>
          </cell>
          <cell r="D1134">
            <v>0</v>
          </cell>
          <cell r="E1134">
            <v>0</v>
          </cell>
          <cell r="F1134">
            <v>0</v>
          </cell>
          <cell r="S1134">
            <v>0</v>
          </cell>
          <cell r="T1134">
            <v>0</v>
          </cell>
        </row>
        <row r="1135">
          <cell r="B1135" t="str">
            <v>GY3-2500</v>
          </cell>
          <cell r="C1135" t="str">
            <v>Preparation of MPR for D+32 Month</v>
          </cell>
          <cell r="D1135">
            <v>0</v>
          </cell>
          <cell r="E1135">
            <v>0</v>
          </cell>
          <cell r="F1135">
            <v>0</v>
          </cell>
          <cell r="S1135">
            <v>0</v>
          </cell>
          <cell r="T1135">
            <v>0</v>
          </cell>
        </row>
        <row r="1136">
          <cell r="B1136" t="str">
            <v>GY3-2560</v>
          </cell>
          <cell r="C1136" t="str">
            <v>Submission of MPR for D+32 Month</v>
          </cell>
          <cell r="D1136">
            <v>0</v>
          </cell>
          <cell r="E1136">
            <v>0</v>
          </cell>
          <cell r="F1136">
            <v>0</v>
          </cell>
          <cell r="S1136">
            <v>0</v>
          </cell>
          <cell r="T1136">
            <v>0</v>
          </cell>
        </row>
        <row r="1137">
          <cell r="B1137" t="str">
            <v>GY3-2610</v>
          </cell>
          <cell r="C1137" t="str">
            <v>Preparation of MPR for D+33 Month</v>
          </cell>
          <cell r="D1137">
            <v>0</v>
          </cell>
          <cell r="E1137">
            <v>0</v>
          </cell>
          <cell r="F1137">
            <v>0</v>
          </cell>
          <cell r="S1137">
            <v>0</v>
          </cell>
          <cell r="T1137">
            <v>0</v>
          </cell>
        </row>
        <row r="1138">
          <cell r="B1138" t="str">
            <v>GY3-2660</v>
          </cell>
          <cell r="C1138" t="str">
            <v>Submission of MPR for D+33 Month</v>
          </cell>
          <cell r="D1138">
            <v>0</v>
          </cell>
          <cell r="E1138">
            <v>0</v>
          </cell>
          <cell r="F1138">
            <v>0</v>
          </cell>
          <cell r="S1138">
            <v>0</v>
          </cell>
          <cell r="T1138">
            <v>0</v>
          </cell>
        </row>
        <row r="1139">
          <cell r="B1139" t="str">
            <v>GY3-2740</v>
          </cell>
          <cell r="C1139" t="str">
            <v>Preparation of MPR for D+34 Month</v>
          </cell>
          <cell r="D1139">
            <v>0</v>
          </cell>
          <cell r="E1139">
            <v>0</v>
          </cell>
          <cell r="F1139">
            <v>0</v>
          </cell>
          <cell r="S1139">
            <v>0</v>
          </cell>
          <cell r="T1139">
            <v>0</v>
          </cell>
        </row>
        <row r="1140">
          <cell r="B1140" t="str">
            <v>GY3-2830</v>
          </cell>
          <cell r="C1140" t="str">
            <v>Submission of MPR for D+34 Month</v>
          </cell>
          <cell r="D1140">
            <v>0</v>
          </cell>
          <cell r="E1140">
            <v>0</v>
          </cell>
          <cell r="F1140">
            <v>0</v>
          </cell>
          <cell r="S1140">
            <v>0</v>
          </cell>
          <cell r="T1140">
            <v>0</v>
          </cell>
        </row>
        <row r="1141">
          <cell r="B1141" t="str">
            <v>GY3-3060</v>
          </cell>
          <cell r="C1141" t="str">
            <v>Preparation of MPR for D+35 Month</v>
          </cell>
          <cell r="D1141">
            <v>0</v>
          </cell>
          <cell r="E1141">
            <v>0</v>
          </cell>
          <cell r="F1141">
            <v>0</v>
          </cell>
          <cell r="S1141">
            <v>0</v>
          </cell>
          <cell r="T1141">
            <v>0</v>
          </cell>
        </row>
        <row r="1142">
          <cell r="B1142" t="str">
            <v>GY3-3640</v>
          </cell>
          <cell r="C1142" t="str">
            <v>Submission of MPR for D+35 Month</v>
          </cell>
          <cell r="D1142">
            <v>0</v>
          </cell>
          <cell r="E1142">
            <v>0</v>
          </cell>
          <cell r="F1142">
            <v>0</v>
          </cell>
          <cell r="S1142">
            <v>0</v>
          </cell>
          <cell r="T1142">
            <v>0</v>
          </cell>
        </row>
        <row r="1143">
          <cell r="B1143" t="str">
            <v>INTERFACEMANAGEMENT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>
            <v>0</v>
          </cell>
          <cell r="AM1143">
            <v>0</v>
          </cell>
          <cell r="AN1143">
            <v>0</v>
          </cell>
          <cell r="AO1143">
            <v>0</v>
          </cell>
          <cell r="AP1143">
            <v>0</v>
          </cell>
          <cell r="AQ1143">
            <v>0</v>
          </cell>
        </row>
        <row r="1144">
          <cell r="B1144" t="str">
            <v>GY3-2220</v>
          </cell>
          <cell r="C1144" t="str">
            <v>Coordinating with the DMICDC regarding interface issues</v>
          </cell>
          <cell r="D1144">
            <v>0</v>
          </cell>
          <cell r="E1144">
            <v>0</v>
          </cell>
          <cell r="F1144">
            <v>0</v>
          </cell>
          <cell r="S1144">
            <v>0</v>
          </cell>
          <cell r="T1144">
            <v>0</v>
          </cell>
        </row>
        <row r="1145">
          <cell r="B1145" t="str">
            <v>GY3-2230</v>
          </cell>
          <cell r="C1145" t="str">
            <v>Managing External interfaces with major stakeholders (Meetings)</v>
          </cell>
          <cell r="D1145">
            <v>0</v>
          </cell>
          <cell r="E1145">
            <v>0</v>
          </cell>
          <cell r="F1145">
            <v>0</v>
          </cell>
          <cell r="S1145">
            <v>0</v>
          </cell>
          <cell r="T1145">
            <v>0</v>
          </cell>
        </row>
        <row r="1146">
          <cell r="B1146" t="str">
            <v>GY3-2240</v>
          </cell>
          <cell r="C1146" t="str">
            <v>Managing interface between DMICDC / SPV / GOI &amp; PPP Concessionaire</v>
          </cell>
          <cell r="D1146">
            <v>0</v>
          </cell>
          <cell r="E1146">
            <v>0</v>
          </cell>
          <cell r="F1146">
            <v>0</v>
          </cell>
          <cell r="S1146">
            <v>0</v>
          </cell>
          <cell r="T1146">
            <v>0</v>
          </cell>
        </row>
        <row r="1147">
          <cell r="B1147" t="str">
            <v>STAKEHOLDERMANAGEMENT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>
            <v>0</v>
          </cell>
          <cell r="AM1147">
            <v>0</v>
          </cell>
          <cell r="AN1147">
            <v>0</v>
          </cell>
          <cell r="AO1147">
            <v>0</v>
          </cell>
          <cell r="AP1147">
            <v>0</v>
          </cell>
          <cell r="AQ1147">
            <v>0</v>
          </cell>
        </row>
        <row r="1148">
          <cell r="B1148" t="str">
            <v>GY3-2010</v>
          </cell>
          <cell r="C1148" t="str">
            <v>Implementation of stakeholder management and Coordination strategy</v>
          </cell>
          <cell r="D1148">
            <v>0</v>
          </cell>
          <cell r="E1148">
            <v>0</v>
          </cell>
          <cell r="F1148">
            <v>0</v>
          </cell>
          <cell r="S1148">
            <v>0</v>
          </cell>
          <cell r="T1148">
            <v>0</v>
          </cell>
        </row>
        <row r="1149">
          <cell r="B1149" t="str">
            <v>GY3-2040</v>
          </cell>
          <cell r="C1149" t="str">
            <v>Initiation of Contacts with all governments and non governmental activity</v>
          </cell>
          <cell r="D1149">
            <v>0</v>
          </cell>
          <cell r="E1149">
            <v>0</v>
          </cell>
          <cell r="F1149">
            <v>0</v>
          </cell>
          <cell r="S1149">
            <v>0</v>
          </cell>
          <cell r="T1149">
            <v>0</v>
          </cell>
        </row>
        <row r="1150">
          <cell r="B1150" t="str">
            <v>COMMUNICATIONS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>
            <v>0</v>
          </cell>
          <cell r="AM1150">
            <v>0</v>
          </cell>
          <cell r="AN1150">
            <v>0</v>
          </cell>
          <cell r="AO1150">
            <v>0</v>
          </cell>
          <cell r="AP1150">
            <v>0</v>
          </cell>
          <cell r="AQ1150">
            <v>0</v>
          </cell>
        </row>
        <row r="1151">
          <cell r="B1151" t="str">
            <v>GY3-1360</v>
          </cell>
          <cell r="C1151" t="str">
            <v>Scheduling Status Review Meeting and its Documentation</v>
          </cell>
          <cell r="D1151">
            <v>0</v>
          </cell>
          <cell r="E1151">
            <v>0</v>
          </cell>
          <cell r="F1151">
            <v>0</v>
          </cell>
          <cell r="S1151">
            <v>0</v>
          </cell>
          <cell r="T1151">
            <v>0</v>
          </cell>
        </row>
        <row r="1152">
          <cell r="B1152" t="str">
            <v>GY3-1380</v>
          </cell>
          <cell r="C1152" t="str">
            <v>Providing DMICDC with responses to public queries</v>
          </cell>
          <cell r="D1152">
            <v>0</v>
          </cell>
          <cell r="E1152">
            <v>0</v>
          </cell>
          <cell r="F1152">
            <v>0</v>
          </cell>
          <cell r="S1152">
            <v>0</v>
          </cell>
          <cell r="T1152">
            <v>0</v>
          </cell>
        </row>
        <row r="1153">
          <cell r="B1153" t="str">
            <v>GY3-1430</v>
          </cell>
          <cell r="C1153" t="str">
            <v>Delivery &amp; Distribution of information / communication to various Stakeholders</v>
          </cell>
          <cell r="D1153">
            <v>0</v>
          </cell>
          <cell r="E1153">
            <v>0</v>
          </cell>
          <cell r="F1153">
            <v>0</v>
          </cell>
          <cell r="S1153">
            <v>0</v>
          </cell>
          <cell r="T1153">
            <v>0</v>
          </cell>
        </row>
        <row r="1154">
          <cell r="B1154" t="str">
            <v>DELIVERYSYSTEMS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>
            <v>0</v>
          </cell>
          <cell r="AM1154">
            <v>0</v>
          </cell>
          <cell r="AN1154">
            <v>0</v>
          </cell>
          <cell r="AO1154">
            <v>0</v>
          </cell>
          <cell r="AP1154">
            <v>0</v>
          </cell>
          <cell r="AQ1154">
            <v>0</v>
          </cell>
        </row>
        <row r="1155">
          <cell r="B1155" t="str">
            <v>PLANNING(REVIEWOFEXISTINGMASTERPLAN)(D+5MONTH)</v>
          </cell>
          <cell r="F1155">
            <v>0</v>
          </cell>
        </row>
        <row r="1156">
          <cell r="B1156" t="str">
            <v>SITECONTROL/MAPPING</v>
          </cell>
          <cell r="F1156">
            <v>0</v>
          </cell>
        </row>
        <row r="1157">
          <cell r="B1157" t="str">
            <v>DESIGNMANAGEMENT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>
            <v>0</v>
          </cell>
          <cell r="AM1157">
            <v>0</v>
          </cell>
          <cell r="AN1157">
            <v>0</v>
          </cell>
          <cell r="AO1157">
            <v>0</v>
          </cell>
          <cell r="AP1157">
            <v>0</v>
          </cell>
          <cell r="AQ1157">
            <v>0</v>
          </cell>
        </row>
        <row r="1158">
          <cell r="B1158" t="str">
            <v>GY3-1920</v>
          </cell>
          <cell r="C1158" t="str">
            <v>Design coordination between project related consultants, government agencies and stakeholders</v>
          </cell>
          <cell r="D1158">
            <v>0</v>
          </cell>
          <cell r="E1158">
            <v>0</v>
          </cell>
          <cell r="F1158">
            <v>0</v>
          </cell>
          <cell r="S1158">
            <v>0</v>
          </cell>
          <cell r="T1158">
            <v>0</v>
          </cell>
        </row>
        <row r="1159">
          <cell r="B1159" t="str">
            <v>GY3-1930</v>
          </cell>
          <cell r="C1159" t="str">
            <v>Monitoring the Design Schedule &amp; Managing any Changes &amp; Delay</v>
          </cell>
          <cell r="D1159">
            <v>0</v>
          </cell>
          <cell r="E1159">
            <v>0</v>
          </cell>
          <cell r="F1159">
            <v>0</v>
          </cell>
          <cell r="S1159">
            <v>0</v>
          </cell>
          <cell r="T1159">
            <v>0</v>
          </cell>
        </row>
        <row r="1160">
          <cell r="B1160" t="str">
            <v>GY3-1940</v>
          </cell>
          <cell r="C1160" t="str">
            <v>Initiating &amp; conducting all Design Value Engineering Workshop</v>
          </cell>
          <cell r="D1160">
            <v>0</v>
          </cell>
          <cell r="E1160">
            <v>0</v>
          </cell>
          <cell r="F1160">
            <v>0</v>
          </cell>
          <cell r="S1160">
            <v>0</v>
          </cell>
          <cell r="T1160">
            <v>0</v>
          </cell>
        </row>
        <row r="1161">
          <cell r="B1161" t="str">
            <v>GY3-1950</v>
          </cell>
          <cell r="C1161" t="str">
            <v>Implementing a Stage Review Process to provide benefits of controlling Quality, Cost &amp; Schedule</v>
          </cell>
          <cell r="D1161">
            <v>0</v>
          </cell>
          <cell r="E1161">
            <v>0</v>
          </cell>
          <cell r="F1161">
            <v>0</v>
          </cell>
          <cell r="S1161">
            <v>0</v>
          </cell>
          <cell r="T1161">
            <v>0</v>
          </cell>
        </row>
        <row r="1162">
          <cell r="B1162" t="str">
            <v>GY3-1960</v>
          </cell>
          <cell r="C1162" t="str">
            <v>Technical review and approval of Consultants and Contractors Designs</v>
          </cell>
          <cell r="D1162">
            <v>0</v>
          </cell>
          <cell r="E1162">
            <v>0</v>
          </cell>
          <cell r="F1162">
            <v>0</v>
          </cell>
          <cell r="S1162">
            <v>0</v>
          </cell>
          <cell r="T1162">
            <v>0</v>
          </cell>
        </row>
        <row r="1163">
          <cell r="B1163" t="str">
            <v>GY3-1970</v>
          </cell>
          <cell r="C1163" t="str">
            <v>Supervising and Overseeing the work of all bidders, contractors, vendors &amp; Supplier</v>
          </cell>
          <cell r="D1163">
            <v>0</v>
          </cell>
          <cell r="E1163">
            <v>0</v>
          </cell>
          <cell r="F1163">
            <v>0</v>
          </cell>
          <cell r="S1163">
            <v>0</v>
          </cell>
          <cell r="T1163">
            <v>0</v>
          </cell>
        </row>
        <row r="1164">
          <cell r="B1164" t="str">
            <v>GY3-2890</v>
          </cell>
          <cell r="C1164" t="str">
            <v>Providing Design Coordination between PPP Concessionaires and all Stakeholders</v>
          </cell>
          <cell r="D1164">
            <v>0</v>
          </cell>
          <cell r="E1164">
            <v>0</v>
          </cell>
          <cell r="F1164">
            <v>0</v>
          </cell>
          <cell r="S1164">
            <v>0</v>
          </cell>
          <cell r="T1164">
            <v>0</v>
          </cell>
        </row>
        <row r="1165">
          <cell r="B1165" t="str">
            <v>GY3-2900</v>
          </cell>
          <cell r="C1165" t="str">
            <v>Coordinating Design &amp; Design issues between contractors</v>
          </cell>
          <cell r="D1165">
            <v>0</v>
          </cell>
          <cell r="E1165">
            <v>0</v>
          </cell>
          <cell r="F1165">
            <v>0</v>
          </cell>
          <cell r="S1165">
            <v>0</v>
          </cell>
          <cell r="T1165">
            <v>0</v>
          </cell>
        </row>
        <row r="1166">
          <cell r="B1166" t="str">
            <v>GY3-3750</v>
          </cell>
          <cell r="C1166" t="str">
            <v>Putting forward Value Engineering Ideas</v>
          </cell>
          <cell r="D1166">
            <v>0</v>
          </cell>
          <cell r="E1166">
            <v>0</v>
          </cell>
          <cell r="F1166">
            <v>0</v>
          </cell>
          <cell r="S1166">
            <v>0</v>
          </cell>
          <cell r="T1166">
            <v>0</v>
          </cell>
        </row>
        <row r="1167">
          <cell r="B1167" t="str">
            <v>GY3-3760</v>
          </cell>
          <cell r="C1167" t="str">
            <v>Obtaining Third Party independent firms to perform the Reviews</v>
          </cell>
          <cell r="D1167">
            <v>0</v>
          </cell>
          <cell r="E1167">
            <v>0</v>
          </cell>
          <cell r="F1167">
            <v>0</v>
          </cell>
          <cell r="S1167">
            <v>0</v>
          </cell>
          <cell r="T1167">
            <v>0</v>
          </cell>
        </row>
        <row r="1168">
          <cell r="B1168" t="str">
            <v>PERMITS&amp;APPROVALS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>
            <v>0</v>
          </cell>
          <cell r="AM1168">
            <v>0</v>
          </cell>
          <cell r="AN1168">
            <v>0</v>
          </cell>
          <cell r="AO1168">
            <v>0</v>
          </cell>
          <cell r="AP1168">
            <v>0</v>
          </cell>
          <cell r="AQ1168">
            <v>0</v>
          </cell>
        </row>
        <row r="1169">
          <cell r="B1169" t="str">
            <v>GY3-1600</v>
          </cell>
          <cell r="C1169" t="str">
            <v>Ensuring the Process for obtaining the approval</v>
          </cell>
          <cell r="D1169">
            <v>0</v>
          </cell>
          <cell r="E1169">
            <v>0</v>
          </cell>
          <cell r="F1169">
            <v>0</v>
          </cell>
          <cell r="S1169">
            <v>0</v>
          </cell>
          <cell r="T1169">
            <v>0</v>
          </cell>
        </row>
        <row r="1170">
          <cell r="B1170" t="str">
            <v>GY3-1610</v>
          </cell>
          <cell r="C1170" t="str">
            <v>Assisting DMICDC and Speciality 3rd Party Consultant in Approval Process</v>
          </cell>
          <cell r="D1170">
            <v>0</v>
          </cell>
          <cell r="E1170">
            <v>0</v>
          </cell>
          <cell r="F1170">
            <v>0</v>
          </cell>
          <cell r="S1170">
            <v>0</v>
          </cell>
          <cell r="T1170">
            <v>0</v>
          </cell>
        </row>
        <row r="1171">
          <cell r="B1171" t="str">
            <v>GY3-1720</v>
          </cell>
          <cell r="C1171" t="str">
            <v>Preparing Monthly updates on Status of environmental and other regulatory approvals</v>
          </cell>
          <cell r="D1171">
            <v>0</v>
          </cell>
          <cell r="E1171">
            <v>0</v>
          </cell>
          <cell r="F1171">
            <v>0</v>
          </cell>
          <cell r="S1171">
            <v>0</v>
          </cell>
          <cell r="T1171">
            <v>0</v>
          </cell>
        </row>
        <row r="1172">
          <cell r="B1172" t="str">
            <v>PROCUREMENT&amp;SUPPLYCHAINMANAGEMENT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>
            <v>0</v>
          </cell>
          <cell r="AM1172">
            <v>0</v>
          </cell>
          <cell r="AN1172">
            <v>0</v>
          </cell>
          <cell r="AO1172">
            <v>0</v>
          </cell>
          <cell r="AP1172">
            <v>0</v>
          </cell>
          <cell r="AQ1172">
            <v>0</v>
          </cell>
        </row>
        <row r="1173">
          <cell r="B1173" t="str">
            <v>PROCUREMENTMANAGEMENT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>
            <v>0</v>
          </cell>
          <cell r="AM1173">
            <v>0</v>
          </cell>
          <cell r="AN1173">
            <v>0</v>
          </cell>
          <cell r="AO1173">
            <v>0</v>
          </cell>
          <cell r="AP1173">
            <v>0</v>
          </cell>
          <cell r="AQ1173">
            <v>0</v>
          </cell>
        </row>
        <row r="1174">
          <cell r="B1174" t="str">
            <v>SELECTIONOFEPCCONTRACTORFORPHASEIDEVELOPMENT</v>
          </cell>
          <cell r="F1174">
            <v>0</v>
          </cell>
        </row>
        <row r="1175">
          <cell r="B1175" t="str">
            <v>SELECTIONOFPPPCONCESSIONAIREFORPHASEI&amp;IIDEVELOPMENT</v>
          </cell>
          <cell r="F1175">
            <v>0</v>
          </cell>
        </row>
        <row r="1176">
          <cell r="B1176" t="str">
            <v>SUPPLYCHAINMANAGEMENT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>
            <v>0</v>
          </cell>
          <cell r="AM1176">
            <v>0</v>
          </cell>
          <cell r="AN1176">
            <v>0</v>
          </cell>
          <cell r="AO1176">
            <v>0</v>
          </cell>
          <cell r="AP1176">
            <v>0</v>
          </cell>
          <cell r="AQ1176">
            <v>0</v>
          </cell>
        </row>
        <row r="1177">
          <cell r="B1177" t="str">
            <v>GY3-2380</v>
          </cell>
          <cell r="C1177" t="str">
            <v>Undertaking a Supply Chain Analysis &amp; Recommendations by inputs from PMs, Bidders, Contractors &amp; Suppliers</v>
          </cell>
          <cell r="D1177">
            <v>0</v>
          </cell>
          <cell r="E1177">
            <v>0</v>
          </cell>
          <cell r="F1177">
            <v>0</v>
          </cell>
          <cell r="S1177">
            <v>0</v>
          </cell>
          <cell r="T1177">
            <v>0</v>
          </cell>
        </row>
        <row r="1178">
          <cell r="B1178" t="str">
            <v>GY3-2420</v>
          </cell>
          <cell r="C1178" t="str">
            <v>Meeting PMs, Bidders, Contractors, Suppliers &amp; Supervision Bidders to discuss Potential Issues, Conflicts or Problems</v>
          </cell>
          <cell r="D1178">
            <v>0</v>
          </cell>
          <cell r="E1178">
            <v>0</v>
          </cell>
          <cell r="F1178">
            <v>0</v>
          </cell>
          <cell r="S1178">
            <v>0</v>
          </cell>
          <cell r="T1178">
            <v>0</v>
          </cell>
        </row>
        <row r="1179">
          <cell r="B1179" t="str">
            <v>GY3-2440</v>
          </cell>
          <cell r="C1179" t="str">
            <v>Forecasting /Analyzing / Assessing Impact on Supply Chain</v>
          </cell>
          <cell r="D1179">
            <v>0</v>
          </cell>
          <cell r="E1179">
            <v>0</v>
          </cell>
          <cell r="F1179">
            <v>0</v>
          </cell>
          <cell r="S1179">
            <v>0</v>
          </cell>
          <cell r="T1179">
            <v>0</v>
          </cell>
        </row>
        <row r="1180">
          <cell r="B1180" t="str">
            <v>GY3-2450</v>
          </cell>
          <cell r="C1180" t="str">
            <v>Recommending Mitigation tools to ease to avoid delays, interruptions on local supply chain</v>
          </cell>
          <cell r="D1180">
            <v>0</v>
          </cell>
          <cell r="E1180">
            <v>0</v>
          </cell>
          <cell r="F1180">
            <v>0</v>
          </cell>
          <cell r="S1180">
            <v>0</v>
          </cell>
          <cell r="T1180">
            <v>0</v>
          </cell>
        </row>
        <row r="1181">
          <cell r="B1181" t="str">
            <v>GY3-2460</v>
          </cell>
          <cell r="C1181" t="str">
            <v>Developing Strategic Sourcing Solutions &amp; Value Buying</v>
          </cell>
          <cell r="D1181">
            <v>0</v>
          </cell>
          <cell r="E1181">
            <v>0</v>
          </cell>
          <cell r="F1181">
            <v>0</v>
          </cell>
          <cell r="S1181">
            <v>0</v>
          </cell>
          <cell r="T1181">
            <v>0</v>
          </cell>
        </row>
        <row r="1182">
          <cell r="B1182" t="str">
            <v>TENDERINGADMINISTRATION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>
            <v>0</v>
          </cell>
          <cell r="AM1182">
            <v>0</v>
          </cell>
          <cell r="AN1182">
            <v>0</v>
          </cell>
          <cell r="AO1182">
            <v>0</v>
          </cell>
          <cell r="AP1182">
            <v>0</v>
          </cell>
          <cell r="AQ1182">
            <v>0</v>
          </cell>
        </row>
        <row r="1183">
          <cell r="B1183" t="str">
            <v>SITELOGISTICS</v>
          </cell>
          <cell r="F1183">
            <v>0</v>
          </cell>
        </row>
        <row r="1184">
          <cell r="B1184" t="str">
            <v>CONSTRUCTIONPROGRAMMANAGEMENT</v>
          </cell>
          <cell r="F1184">
            <v>0</v>
          </cell>
        </row>
        <row r="1185">
          <cell r="B1185" t="str">
            <v>EXHIBITIONHALL1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>
            <v>0</v>
          </cell>
          <cell r="AM1185">
            <v>0</v>
          </cell>
          <cell r="AN1185">
            <v>0</v>
          </cell>
          <cell r="AO1185">
            <v>0</v>
          </cell>
          <cell r="AP1185">
            <v>0</v>
          </cell>
          <cell r="AQ1185">
            <v>0</v>
          </cell>
        </row>
        <row r="1186">
          <cell r="B1186" t="str">
            <v>PLANNING&amp;CONTROLS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>
            <v>0</v>
          </cell>
          <cell r="AM1186">
            <v>0</v>
          </cell>
          <cell r="AN1186">
            <v>0</v>
          </cell>
          <cell r="AO1186">
            <v>0</v>
          </cell>
          <cell r="AP1186">
            <v>0</v>
          </cell>
          <cell r="AQ1186">
            <v>0</v>
          </cell>
        </row>
        <row r="1187">
          <cell r="B1187" t="str">
            <v>GY3-3170</v>
          </cell>
          <cell r="C1187" t="str">
            <v>Overall Supervision &amp; Monitoring of Construction Work Package</v>
          </cell>
          <cell r="D1187">
            <v>0</v>
          </cell>
          <cell r="E1187">
            <v>0</v>
          </cell>
          <cell r="F1187">
            <v>0</v>
          </cell>
          <cell r="S1187">
            <v>0</v>
          </cell>
          <cell r="T1187">
            <v>0</v>
          </cell>
        </row>
        <row r="1188">
          <cell r="B1188" t="str">
            <v>GY3-3180</v>
          </cell>
          <cell r="C1188" t="str">
            <v>Management of Site Infrastructure</v>
          </cell>
          <cell r="D1188">
            <v>0</v>
          </cell>
          <cell r="E1188">
            <v>0</v>
          </cell>
          <cell r="F1188">
            <v>0</v>
          </cell>
          <cell r="S1188">
            <v>0</v>
          </cell>
          <cell r="T1188">
            <v>0</v>
          </cell>
        </row>
        <row r="1189">
          <cell r="B1189" t="str">
            <v>GY3-3190</v>
          </cell>
          <cell r="C1189" t="str">
            <v>Work Scope Coordination</v>
          </cell>
          <cell r="D1189">
            <v>0</v>
          </cell>
          <cell r="E1189">
            <v>0</v>
          </cell>
          <cell r="F1189">
            <v>0</v>
          </cell>
          <cell r="S1189">
            <v>0</v>
          </cell>
          <cell r="T1189">
            <v>0</v>
          </cell>
        </row>
        <row r="1190">
          <cell r="B1190" t="str">
            <v>GY3-3200</v>
          </cell>
          <cell r="C1190" t="str">
            <v>Workforce Management</v>
          </cell>
          <cell r="D1190">
            <v>0</v>
          </cell>
          <cell r="E1190">
            <v>0</v>
          </cell>
          <cell r="F1190">
            <v>0</v>
          </cell>
          <cell r="S1190">
            <v>0</v>
          </cell>
          <cell r="T1190">
            <v>0</v>
          </cell>
        </row>
        <row r="1191">
          <cell r="B1191" t="str">
            <v>GY3-3210</v>
          </cell>
          <cell r="C1191" t="str">
            <v>Document Management Practices</v>
          </cell>
          <cell r="D1191">
            <v>0</v>
          </cell>
          <cell r="E1191">
            <v>0</v>
          </cell>
          <cell r="F1191">
            <v>0</v>
          </cell>
          <cell r="S1191">
            <v>0</v>
          </cell>
          <cell r="T1191">
            <v>0</v>
          </cell>
        </row>
        <row r="1192">
          <cell r="B1192" t="str">
            <v>GY3-3220</v>
          </cell>
          <cell r="C1192" t="str">
            <v>Schedule &amp; Progress Management</v>
          </cell>
          <cell r="D1192">
            <v>0</v>
          </cell>
          <cell r="E1192">
            <v>0</v>
          </cell>
          <cell r="F1192">
            <v>0</v>
          </cell>
          <cell r="S1192">
            <v>0</v>
          </cell>
          <cell r="T1192">
            <v>0</v>
          </cell>
        </row>
        <row r="1193">
          <cell r="B1193" t="str">
            <v>GY3-3230</v>
          </cell>
          <cell r="C1193" t="str">
            <v>Material Management Process</v>
          </cell>
          <cell r="D1193">
            <v>0</v>
          </cell>
          <cell r="E1193">
            <v>0</v>
          </cell>
          <cell r="F1193">
            <v>0</v>
          </cell>
          <cell r="S1193">
            <v>0</v>
          </cell>
          <cell r="T1193">
            <v>0</v>
          </cell>
        </row>
        <row r="1194">
          <cell r="B1194" t="str">
            <v>GY3-3240</v>
          </cell>
          <cell r="C1194" t="str">
            <v>Financial Management</v>
          </cell>
          <cell r="D1194">
            <v>0</v>
          </cell>
          <cell r="E1194">
            <v>0</v>
          </cell>
          <cell r="F1194">
            <v>0</v>
          </cell>
          <cell r="S1194">
            <v>0</v>
          </cell>
          <cell r="T1194">
            <v>0</v>
          </cell>
        </row>
        <row r="1195">
          <cell r="B1195" t="str">
            <v>GY3-3250</v>
          </cell>
          <cell r="C1195" t="str">
            <v>Final Sign off on all Construction Related Design (GFCs) etc..</v>
          </cell>
          <cell r="D1195">
            <v>0</v>
          </cell>
          <cell r="E1195">
            <v>0</v>
          </cell>
          <cell r="F1195">
            <v>0</v>
          </cell>
          <cell r="S1195">
            <v>0</v>
          </cell>
          <cell r="T1195">
            <v>0</v>
          </cell>
        </row>
        <row r="1196">
          <cell r="B1196" t="str">
            <v>GY3-3280</v>
          </cell>
          <cell r="C1196" t="str">
            <v>Determine EOT, Compensation &amp; Relief from Penalties</v>
          </cell>
          <cell r="D1196">
            <v>0</v>
          </cell>
          <cell r="E1196">
            <v>0</v>
          </cell>
          <cell r="F1196">
            <v>0</v>
          </cell>
          <cell r="S1196">
            <v>0</v>
          </cell>
          <cell r="T1196">
            <v>0</v>
          </cell>
        </row>
        <row r="1197">
          <cell r="B1197" t="str">
            <v>CONSTRUCTIONDESIGN&amp;DETAILS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>
            <v>0</v>
          </cell>
          <cell r="AM1197">
            <v>0</v>
          </cell>
          <cell r="AN1197">
            <v>0</v>
          </cell>
          <cell r="AO1197">
            <v>0</v>
          </cell>
          <cell r="AP1197">
            <v>0</v>
          </cell>
          <cell r="AQ1197">
            <v>0</v>
          </cell>
        </row>
        <row r="1198">
          <cell r="B1198" t="str">
            <v>GY3-3260</v>
          </cell>
          <cell r="C1198" t="str">
            <v>Reviewing Design Documents &amp; Preparing Details</v>
          </cell>
          <cell r="D1198">
            <v>0</v>
          </cell>
          <cell r="E1198">
            <v>0</v>
          </cell>
          <cell r="F1198">
            <v>0</v>
          </cell>
          <cell r="S1198">
            <v>0</v>
          </cell>
          <cell r="T1198">
            <v>0</v>
          </cell>
        </row>
        <row r="1199">
          <cell r="B1199" t="str">
            <v>CONSTRUCTIONPROCUREMENT&amp;CONTRACTSMANAGEMENT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>
            <v>0</v>
          </cell>
          <cell r="AM1199">
            <v>0</v>
          </cell>
          <cell r="AN1199">
            <v>0</v>
          </cell>
          <cell r="AO1199">
            <v>0</v>
          </cell>
          <cell r="AP1199">
            <v>0</v>
          </cell>
          <cell r="AQ1199">
            <v>0</v>
          </cell>
        </row>
        <row r="1200">
          <cell r="B1200" t="str">
            <v>GY3-3270</v>
          </cell>
          <cell r="C1200" t="str">
            <v>Monitoring site availability, Land Acquisitions and Permits</v>
          </cell>
          <cell r="D1200">
            <v>0</v>
          </cell>
          <cell r="E1200">
            <v>0</v>
          </cell>
          <cell r="F1200">
            <v>0</v>
          </cell>
          <cell r="S1200">
            <v>0</v>
          </cell>
          <cell r="T1200">
            <v>0</v>
          </cell>
        </row>
        <row r="1201">
          <cell r="B1201" t="str">
            <v>GY3-3290</v>
          </cell>
          <cell r="C1201" t="str">
            <v>Supervision, Administration &amp; Management of Construction Contracts</v>
          </cell>
          <cell r="D1201">
            <v>0</v>
          </cell>
          <cell r="E1201">
            <v>0</v>
          </cell>
          <cell r="F1201">
            <v>0</v>
          </cell>
          <cell r="S1201">
            <v>0</v>
          </cell>
          <cell r="T1201">
            <v>0</v>
          </cell>
        </row>
        <row r="1202">
          <cell r="B1202" t="str">
            <v>CONSTRUCTIONQA/QCMANAGEMENT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>
            <v>0</v>
          </cell>
          <cell r="AM1202">
            <v>0</v>
          </cell>
          <cell r="AN1202">
            <v>0</v>
          </cell>
          <cell r="AO1202">
            <v>0</v>
          </cell>
          <cell r="AP1202">
            <v>0</v>
          </cell>
          <cell r="AQ1202">
            <v>0</v>
          </cell>
        </row>
        <row r="1203">
          <cell r="B1203" t="str">
            <v>GY3-3100</v>
          </cell>
          <cell r="C1203" t="str">
            <v>Ensuring Quality Control of Works, including Test Reports for Material &amp; Construction</v>
          </cell>
          <cell r="D1203">
            <v>0</v>
          </cell>
          <cell r="E1203">
            <v>0</v>
          </cell>
          <cell r="F1203">
            <v>0</v>
          </cell>
          <cell r="S1203">
            <v>0</v>
          </cell>
          <cell r="T1203">
            <v>0</v>
          </cell>
        </row>
        <row r="1204">
          <cell r="B1204" t="str">
            <v>GY3-3130</v>
          </cell>
          <cell r="C1204" t="str">
            <v>Reviewing &amp; Recommending Quality Assurance Programme (Test Checks, RFIs)</v>
          </cell>
          <cell r="D1204">
            <v>0</v>
          </cell>
          <cell r="E1204">
            <v>0</v>
          </cell>
          <cell r="F1204">
            <v>0</v>
          </cell>
          <cell r="S1204">
            <v>0</v>
          </cell>
          <cell r="T1204">
            <v>0</v>
          </cell>
        </row>
        <row r="1205">
          <cell r="B1205" t="str">
            <v>GY3-3310</v>
          </cell>
          <cell r="C1205" t="str">
            <v>Reviewing As Built Drawings &amp; Completion Records</v>
          </cell>
          <cell r="D1205">
            <v>0</v>
          </cell>
          <cell r="E1205">
            <v>0</v>
          </cell>
          <cell r="F1205">
            <v>0</v>
          </cell>
          <cell r="S1205">
            <v>0</v>
          </cell>
          <cell r="T1205">
            <v>0</v>
          </cell>
        </row>
        <row r="1206">
          <cell r="B1206" t="str">
            <v>CONSTRUCTIONINVOICEMANAGEMENT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>
            <v>0</v>
          </cell>
          <cell r="AM1206">
            <v>0</v>
          </cell>
          <cell r="AN1206">
            <v>0</v>
          </cell>
          <cell r="AO1206">
            <v>0</v>
          </cell>
          <cell r="AP1206">
            <v>0</v>
          </cell>
          <cell r="AQ1206">
            <v>0</v>
          </cell>
        </row>
        <row r="1207">
          <cell r="B1207" t="str">
            <v>GY3-3300</v>
          </cell>
          <cell r="C1207" t="str">
            <v>Certifications of the Bills for Payments</v>
          </cell>
          <cell r="D1207">
            <v>0</v>
          </cell>
          <cell r="E1207">
            <v>0</v>
          </cell>
          <cell r="F1207">
            <v>0</v>
          </cell>
          <cell r="S1207">
            <v>0</v>
          </cell>
          <cell r="T1207">
            <v>0</v>
          </cell>
        </row>
        <row r="1208">
          <cell r="B1208" t="str">
            <v>CONVENTIONCENTRE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>
            <v>0</v>
          </cell>
          <cell r="AM1208">
            <v>0</v>
          </cell>
          <cell r="AN1208">
            <v>0</v>
          </cell>
          <cell r="AO1208">
            <v>0</v>
          </cell>
          <cell r="AP1208">
            <v>0</v>
          </cell>
          <cell r="AQ1208">
            <v>0</v>
          </cell>
        </row>
        <row r="1209">
          <cell r="B1209" t="str">
            <v>PLANNING&amp;CONTROLS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>
            <v>0</v>
          </cell>
          <cell r="AM1209">
            <v>0</v>
          </cell>
          <cell r="AN1209">
            <v>0</v>
          </cell>
          <cell r="AO1209">
            <v>0</v>
          </cell>
          <cell r="AP1209">
            <v>0</v>
          </cell>
          <cell r="AQ1209">
            <v>0</v>
          </cell>
        </row>
        <row r="1210">
          <cell r="B1210" t="str">
            <v>GY3-3320</v>
          </cell>
          <cell r="C1210" t="str">
            <v>Overall Supervision &amp; Monitoring of Construction Work Package</v>
          </cell>
          <cell r="D1210">
            <v>0</v>
          </cell>
          <cell r="E1210">
            <v>0</v>
          </cell>
          <cell r="F1210">
            <v>0</v>
          </cell>
          <cell r="S1210">
            <v>0</v>
          </cell>
          <cell r="T1210">
            <v>0</v>
          </cell>
        </row>
        <row r="1211">
          <cell r="B1211" t="str">
            <v>GY3-3330</v>
          </cell>
          <cell r="C1211" t="str">
            <v>Management of Site Infrastructure</v>
          </cell>
          <cell r="D1211">
            <v>0</v>
          </cell>
          <cell r="E1211">
            <v>0</v>
          </cell>
          <cell r="F1211">
            <v>0</v>
          </cell>
          <cell r="S1211">
            <v>0</v>
          </cell>
          <cell r="T1211">
            <v>0</v>
          </cell>
        </row>
        <row r="1212">
          <cell r="B1212" t="str">
            <v>GY3-3340</v>
          </cell>
          <cell r="C1212" t="str">
            <v>Work Scope Coordination</v>
          </cell>
          <cell r="D1212">
            <v>0</v>
          </cell>
          <cell r="E1212">
            <v>0</v>
          </cell>
          <cell r="F1212">
            <v>0</v>
          </cell>
          <cell r="S1212">
            <v>0</v>
          </cell>
          <cell r="T1212">
            <v>0</v>
          </cell>
        </row>
        <row r="1213">
          <cell r="B1213" t="str">
            <v>GY3-3350</v>
          </cell>
          <cell r="C1213" t="str">
            <v>Workforce Management</v>
          </cell>
          <cell r="D1213">
            <v>0</v>
          </cell>
          <cell r="E1213">
            <v>0</v>
          </cell>
          <cell r="F1213">
            <v>0</v>
          </cell>
          <cell r="S1213">
            <v>0</v>
          </cell>
          <cell r="T1213">
            <v>0</v>
          </cell>
        </row>
        <row r="1214">
          <cell r="B1214" t="str">
            <v>GY3-3360</v>
          </cell>
          <cell r="C1214" t="str">
            <v>Document Management Practices</v>
          </cell>
          <cell r="D1214">
            <v>0</v>
          </cell>
          <cell r="E1214">
            <v>0</v>
          </cell>
          <cell r="F1214">
            <v>0</v>
          </cell>
          <cell r="S1214">
            <v>0</v>
          </cell>
          <cell r="T1214">
            <v>0</v>
          </cell>
        </row>
        <row r="1215">
          <cell r="B1215" t="str">
            <v>GY3-3370</v>
          </cell>
          <cell r="C1215" t="str">
            <v>Schedule &amp; Progress Management</v>
          </cell>
          <cell r="D1215">
            <v>0</v>
          </cell>
          <cell r="E1215">
            <v>0</v>
          </cell>
          <cell r="F1215">
            <v>0</v>
          </cell>
          <cell r="S1215">
            <v>0</v>
          </cell>
          <cell r="T1215">
            <v>0</v>
          </cell>
        </row>
        <row r="1216">
          <cell r="B1216" t="str">
            <v>GY3-3380</v>
          </cell>
          <cell r="C1216" t="str">
            <v>Material Management Process</v>
          </cell>
          <cell r="D1216">
            <v>0</v>
          </cell>
          <cell r="E1216">
            <v>0</v>
          </cell>
          <cell r="F1216">
            <v>0</v>
          </cell>
          <cell r="S1216">
            <v>0</v>
          </cell>
          <cell r="T1216">
            <v>0</v>
          </cell>
        </row>
        <row r="1217">
          <cell r="B1217" t="str">
            <v>GY3-3390</v>
          </cell>
          <cell r="C1217" t="str">
            <v>Financial Management</v>
          </cell>
          <cell r="D1217">
            <v>0</v>
          </cell>
          <cell r="E1217">
            <v>0</v>
          </cell>
          <cell r="F1217">
            <v>0</v>
          </cell>
          <cell r="S1217">
            <v>0</v>
          </cell>
          <cell r="T1217">
            <v>0</v>
          </cell>
        </row>
        <row r="1218">
          <cell r="B1218" t="str">
            <v>GY3-3400</v>
          </cell>
          <cell r="C1218" t="str">
            <v>Final Sign off on all Construction Related Design (GFCs) etc..</v>
          </cell>
          <cell r="D1218">
            <v>0</v>
          </cell>
          <cell r="E1218">
            <v>0</v>
          </cell>
          <cell r="F1218">
            <v>0</v>
          </cell>
          <cell r="S1218">
            <v>0</v>
          </cell>
          <cell r="T1218">
            <v>0</v>
          </cell>
        </row>
        <row r="1219">
          <cell r="B1219" t="str">
            <v>GY3-3430</v>
          </cell>
          <cell r="C1219" t="str">
            <v>Determine EOT, Compensation &amp; Relief from Penalties</v>
          </cell>
          <cell r="D1219">
            <v>0</v>
          </cell>
          <cell r="E1219">
            <v>0</v>
          </cell>
          <cell r="F1219">
            <v>0</v>
          </cell>
          <cell r="S1219">
            <v>0</v>
          </cell>
          <cell r="T1219">
            <v>0</v>
          </cell>
        </row>
        <row r="1220">
          <cell r="B1220" t="str">
            <v>CONSTRUCTIONDESIGN&amp;DETAILS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>
            <v>0</v>
          </cell>
          <cell r="AM1220">
            <v>0</v>
          </cell>
          <cell r="AN1220">
            <v>0</v>
          </cell>
          <cell r="AO1220">
            <v>0</v>
          </cell>
          <cell r="AP1220">
            <v>0</v>
          </cell>
          <cell r="AQ1220">
            <v>0</v>
          </cell>
        </row>
        <row r="1221">
          <cell r="B1221" t="str">
            <v>GY3-3410</v>
          </cell>
          <cell r="C1221" t="str">
            <v>Reviewing Design Documents &amp; Preparing Details</v>
          </cell>
          <cell r="D1221">
            <v>0</v>
          </cell>
          <cell r="E1221">
            <v>0</v>
          </cell>
          <cell r="F1221">
            <v>0</v>
          </cell>
          <cell r="S1221">
            <v>0</v>
          </cell>
          <cell r="T1221">
            <v>0</v>
          </cell>
        </row>
        <row r="1222">
          <cell r="B1222" t="str">
            <v>CONSTRUCTIONPROCUREMENT&amp;CONTRACTSMANAGEMENT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>
            <v>0</v>
          </cell>
          <cell r="AM1222">
            <v>0</v>
          </cell>
          <cell r="AN1222">
            <v>0</v>
          </cell>
          <cell r="AO1222">
            <v>0</v>
          </cell>
          <cell r="AP1222">
            <v>0</v>
          </cell>
          <cell r="AQ1222">
            <v>0</v>
          </cell>
        </row>
        <row r="1223">
          <cell r="B1223" t="str">
            <v>GY3-3420</v>
          </cell>
          <cell r="C1223" t="str">
            <v>Monitoring site availability, Land Acquisitions and Permits</v>
          </cell>
          <cell r="D1223">
            <v>0</v>
          </cell>
          <cell r="E1223">
            <v>0</v>
          </cell>
          <cell r="F1223">
            <v>0</v>
          </cell>
          <cell r="S1223">
            <v>0</v>
          </cell>
          <cell r="T1223">
            <v>0</v>
          </cell>
        </row>
        <row r="1224">
          <cell r="B1224" t="str">
            <v>GY3-3440</v>
          </cell>
          <cell r="C1224" t="str">
            <v>Supervision, Administration &amp; Management of Construction Contracts</v>
          </cell>
          <cell r="D1224">
            <v>0</v>
          </cell>
          <cell r="E1224">
            <v>0</v>
          </cell>
          <cell r="F1224">
            <v>0</v>
          </cell>
          <cell r="S1224">
            <v>0</v>
          </cell>
          <cell r="T1224">
            <v>0</v>
          </cell>
        </row>
        <row r="1225">
          <cell r="B1225" t="str">
            <v>CONSTRUCTIONQA/QCMANAGEMENT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>
            <v>0</v>
          </cell>
          <cell r="AM1225">
            <v>0</v>
          </cell>
          <cell r="AN1225">
            <v>0</v>
          </cell>
          <cell r="AO1225">
            <v>0</v>
          </cell>
          <cell r="AP1225">
            <v>0</v>
          </cell>
          <cell r="AQ1225">
            <v>0</v>
          </cell>
        </row>
        <row r="1226">
          <cell r="B1226" t="str">
            <v>GY3-3140</v>
          </cell>
          <cell r="C1226" t="str">
            <v>Reviewing &amp; Recommending Quality Assurance Programme (Test Checks, RFIs)</v>
          </cell>
          <cell r="D1226">
            <v>0</v>
          </cell>
          <cell r="E1226">
            <v>0</v>
          </cell>
          <cell r="F1226">
            <v>0</v>
          </cell>
          <cell r="S1226">
            <v>0</v>
          </cell>
          <cell r="T1226">
            <v>0</v>
          </cell>
        </row>
        <row r="1227">
          <cell r="B1227" t="str">
            <v>GY3-3150</v>
          </cell>
          <cell r="C1227" t="str">
            <v>Ensuring Quality Control of Works, including Test Reports for Material &amp; Construction</v>
          </cell>
          <cell r="D1227">
            <v>0</v>
          </cell>
          <cell r="E1227">
            <v>0</v>
          </cell>
          <cell r="F1227">
            <v>0</v>
          </cell>
          <cell r="S1227">
            <v>0</v>
          </cell>
          <cell r="T1227">
            <v>0</v>
          </cell>
        </row>
        <row r="1228">
          <cell r="B1228" t="str">
            <v>GY3-3460</v>
          </cell>
          <cell r="C1228" t="str">
            <v>Reviewing As Built Drawings Drawings &amp; Completion Records</v>
          </cell>
          <cell r="D1228">
            <v>0</v>
          </cell>
          <cell r="E1228">
            <v>0</v>
          </cell>
          <cell r="F1228">
            <v>0</v>
          </cell>
          <cell r="S1228">
            <v>0</v>
          </cell>
          <cell r="T1228">
            <v>0</v>
          </cell>
        </row>
        <row r="1229">
          <cell r="B1229" t="str">
            <v>CONSTRUCTIONINVOICEMANAGEMENT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>
            <v>0</v>
          </cell>
          <cell r="AM1229">
            <v>0</v>
          </cell>
          <cell r="AN1229">
            <v>0</v>
          </cell>
          <cell r="AO1229">
            <v>0</v>
          </cell>
          <cell r="AP1229">
            <v>0</v>
          </cell>
          <cell r="AQ1229">
            <v>0</v>
          </cell>
        </row>
        <row r="1230">
          <cell r="B1230" t="str">
            <v>GY3-3450</v>
          </cell>
          <cell r="C1230" t="str">
            <v>Certifications of the Bills for Payments</v>
          </cell>
          <cell r="D1230">
            <v>0</v>
          </cell>
          <cell r="E1230">
            <v>0</v>
          </cell>
          <cell r="F1230">
            <v>0</v>
          </cell>
          <cell r="S1230">
            <v>0</v>
          </cell>
          <cell r="T1230">
            <v>0</v>
          </cell>
        </row>
        <row r="1231">
          <cell r="B1231" t="str">
            <v>TRUNKSERVICES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0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>
            <v>0</v>
          </cell>
          <cell r="AM1231">
            <v>0</v>
          </cell>
          <cell r="AN1231">
            <v>0</v>
          </cell>
          <cell r="AO1231">
            <v>0</v>
          </cell>
          <cell r="AP1231">
            <v>0</v>
          </cell>
          <cell r="AQ1231">
            <v>0</v>
          </cell>
        </row>
        <row r="1232">
          <cell r="B1232" t="str">
            <v>PLANNING&amp;CONTROLS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0</v>
          </cell>
          <cell r="AA1232">
            <v>0</v>
          </cell>
          <cell r="AB1232">
            <v>0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G1232">
            <v>0</v>
          </cell>
          <cell r="AH1232">
            <v>0</v>
          </cell>
          <cell r="AI1232">
            <v>0</v>
          </cell>
          <cell r="AJ1232">
            <v>0</v>
          </cell>
          <cell r="AK1232">
            <v>0</v>
          </cell>
          <cell r="AL1232">
            <v>0</v>
          </cell>
          <cell r="AM1232">
            <v>0</v>
          </cell>
          <cell r="AN1232">
            <v>0</v>
          </cell>
          <cell r="AO1232">
            <v>0</v>
          </cell>
          <cell r="AP1232">
            <v>0</v>
          </cell>
          <cell r="AQ1232">
            <v>0</v>
          </cell>
        </row>
        <row r="1233">
          <cell r="B1233" t="str">
            <v>GY3-3470</v>
          </cell>
          <cell r="C1233" t="str">
            <v>Overall Supervision &amp; Monitoring of Construction Work Package</v>
          </cell>
          <cell r="D1233">
            <v>0</v>
          </cell>
          <cell r="E1233">
            <v>0</v>
          </cell>
          <cell r="F1233">
            <v>0</v>
          </cell>
          <cell r="S1233">
            <v>0</v>
          </cell>
          <cell r="T1233">
            <v>0</v>
          </cell>
        </row>
        <row r="1234">
          <cell r="B1234" t="str">
            <v>GY3-3480</v>
          </cell>
          <cell r="C1234" t="str">
            <v>Management of Site Infrastructure</v>
          </cell>
          <cell r="D1234">
            <v>0</v>
          </cell>
          <cell r="E1234">
            <v>0</v>
          </cell>
          <cell r="F1234">
            <v>0</v>
          </cell>
          <cell r="S1234">
            <v>0</v>
          </cell>
          <cell r="T1234">
            <v>0</v>
          </cell>
        </row>
        <row r="1235">
          <cell r="B1235" t="str">
            <v>GY3-3490</v>
          </cell>
          <cell r="C1235" t="str">
            <v>Work Scope Coordination</v>
          </cell>
          <cell r="D1235">
            <v>0</v>
          </cell>
          <cell r="E1235">
            <v>0</v>
          </cell>
          <cell r="F1235">
            <v>0</v>
          </cell>
          <cell r="S1235">
            <v>0</v>
          </cell>
          <cell r="T1235">
            <v>0</v>
          </cell>
        </row>
        <row r="1236">
          <cell r="B1236" t="str">
            <v>GY3-3500</v>
          </cell>
          <cell r="C1236" t="str">
            <v>Workforce Management</v>
          </cell>
          <cell r="D1236">
            <v>0</v>
          </cell>
          <cell r="E1236">
            <v>0</v>
          </cell>
          <cell r="F1236">
            <v>0</v>
          </cell>
          <cell r="S1236">
            <v>0</v>
          </cell>
          <cell r="T1236">
            <v>0</v>
          </cell>
        </row>
        <row r="1237">
          <cell r="B1237" t="str">
            <v>GY3-3510</v>
          </cell>
          <cell r="C1237" t="str">
            <v>Document Management Practices</v>
          </cell>
          <cell r="D1237">
            <v>0</v>
          </cell>
          <cell r="E1237">
            <v>0</v>
          </cell>
          <cell r="F1237">
            <v>0</v>
          </cell>
          <cell r="S1237">
            <v>0</v>
          </cell>
          <cell r="T1237">
            <v>0</v>
          </cell>
        </row>
        <row r="1238">
          <cell r="B1238" t="str">
            <v>GY3-3520</v>
          </cell>
          <cell r="C1238" t="str">
            <v>Schedule &amp; Progress Management</v>
          </cell>
          <cell r="D1238">
            <v>0</v>
          </cell>
          <cell r="E1238">
            <v>0</v>
          </cell>
          <cell r="F1238">
            <v>0</v>
          </cell>
          <cell r="S1238">
            <v>0</v>
          </cell>
          <cell r="T1238">
            <v>0</v>
          </cell>
        </row>
        <row r="1239">
          <cell r="B1239" t="str">
            <v>GY3-3530</v>
          </cell>
          <cell r="C1239" t="str">
            <v>Material Management Process</v>
          </cell>
          <cell r="D1239">
            <v>0</v>
          </cell>
          <cell r="E1239">
            <v>0</v>
          </cell>
          <cell r="F1239">
            <v>0</v>
          </cell>
          <cell r="S1239">
            <v>0</v>
          </cell>
          <cell r="T1239">
            <v>0</v>
          </cell>
        </row>
        <row r="1240">
          <cell r="B1240" t="str">
            <v>GY3-3540</v>
          </cell>
          <cell r="C1240" t="str">
            <v>Financial Management</v>
          </cell>
          <cell r="D1240">
            <v>0</v>
          </cell>
          <cell r="E1240">
            <v>0</v>
          </cell>
          <cell r="F1240">
            <v>0</v>
          </cell>
          <cell r="S1240">
            <v>0</v>
          </cell>
          <cell r="T1240">
            <v>0</v>
          </cell>
        </row>
        <row r="1241">
          <cell r="B1241" t="str">
            <v>GY3-3550</v>
          </cell>
          <cell r="C1241" t="str">
            <v>Final Sign off on all Construction Related Design (GFCs) etc..</v>
          </cell>
          <cell r="D1241">
            <v>0</v>
          </cell>
          <cell r="E1241">
            <v>0</v>
          </cell>
          <cell r="F1241">
            <v>0</v>
          </cell>
          <cell r="S1241">
            <v>0</v>
          </cell>
          <cell r="T1241">
            <v>0</v>
          </cell>
        </row>
        <row r="1242">
          <cell r="B1242" t="str">
            <v>GY3-3580</v>
          </cell>
          <cell r="C1242" t="str">
            <v>Determine EOT, Compensation &amp; Relief from Penalties</v>
          </cell>
          <cell r="D1242">
            <v>0</v>
          </cell>
          <cell r="E1242">
            <v>0</v>
          </cell>
          <cell r="F1242">
            <v>0</v>
          </cell>
          <cell r="S1242">
            <v>0</v>
          </cell>
          <cell r="T1242">
            <v>0</v>
          </cell>
        </row>
        <row r="1243">
          <cell r="B1243" t="str">
            <v>CONSTRUCTIONDESIGN&amp;DETAILS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0</v>
          </cell>
          <cell r="AA1243">
            <v>0</v>
          </cell>
          <cell r="AB1243">
            <v>0</v>
          </cell>
          <cell r="AC1243">
            <v>0</v>
          </cell>
          <cell r="AD1243">
            <v>0</v>
          </cell>
          <cell r="AE1243">
            <v>0</v>
          </cell>
          <cell r="AF1243">
            <v>0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>
            <v>0</v>
          </cell>
          <cell r="AM1243">
            <v>0</v>
          </cell>
          <cell r="AN1243">
            <v>0</v>
          </cell>
          <cell r="AO1243">
            <v>0</v>
          </cell>
          <cell r="AP1243">
            <v>0</v>
          </cell>
          <cell r="AQ1243">
            <v>0</v>
          </cell>
        </row>
        <row r="1244">
          <cell r="B1244" t="str">
            <v>GY3-3560</v>
          </cell>
          <cell r="C1244" t="str">
            <v>Reviewing Design Documents &amp; Preparing Details</v>
          </cell>
          <cell r="D1244">
            <v>0</v>
          </cell>
          <cell r="E1244">
            <v>0</v>
          </cell>
          <cell r="F1244">
            <v>0</v>
          </cell>
          <cell r="S1244">
            <v>0</v>
          </cell>
          <cell r="T1244">
            <v>0</v>
          </cell>
        </row>
        <row r="1245">
          <cell r="B1245" t="str">
            <v>CONSTRUCTIONPROCUREMENT&amp;CONTRACTSMANAGEMENT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0</v>
          </cell>
          <cell r="AA1245">
            <v>0</v>
          </cell>
          <cell r="AB1245">
            <v>0</v>
          </cell>
          <cell r="AC1245">
            <v>0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>
            <v>0</v>
          </cell>
          <cell r="AM1245">
            <v>0</v>
          </cell>
          <cell r="AN1245">
            <v>0</v>
          </cell>
          <cell r="AO1245">
            <v>0</v>
          </cell>
          <cell r="AP1245">
            <v>0</v>
          </cell>
          <cell r="AQ1245">
            <v>0</v>
          </cell>
        </row>
        <row r="1246">
          <cell r="B1246" t="str">
            <v>GY3-3570</v>
          </cell>
          <cell r="C1246" t="str">
            <v>Monitoring site availability, Land Acquisitions and Permits</v>
          </cell>
          <cell r="D1246">
            <v>0</v>
          </cell>
          <cell r="E1246">
            <v>0</v>
          </cell>
          <cell r="F1246">
            <v>0</v>
          </cell>
          <cell r="S1246">
            <v>0</v>
          </cell>
          <cell r="T1246">
            <v>0</v>
          </cell>
        </row>
        <row r="1247">
          <cell r="B1247" t="str">
            <v>GY3-3590</v>
          </cell>
          <cell r="C1247" t="str">
            <v>Supervision, Administration &amp; Management of Construction Contracts</v>
          </cell>
          <cell r="D1247">
            <v>0</v>
          </cell>
          <cell r="E1247">
            <v>0</v>
          </cell>
          <cell r="F1247">
            <v>0</v>
          </cell>
          <cell r="S1247">
            <v>0</v>
          </cell>
          <cell r="T1247">
            <v>0</v>
          </cell>
        </row>
        <row r="1248">
          <cell r="B1248" t="str">
            <v>CONSTRUCTIONQA/QCMANAGEMENT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0</v>
          </cell>
          <cell r="AA1248">
            <v>0</v>
          </cell>
          <cell r="AB1248">
            <v>0</v>
          </cell>
          <cell r="AC1248">
            <v>0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>
            <v>0</v>
          </cell>
          <cell r="AM1248">
            <v>0</v>
          </cell>
          <cell r="AN1248">
            <v>0</v>
          </cell>
          <cell r="AO1248">
            <v>0</v>
          </cell>
          <cell r="AP1248">
            <v>0</v>
          </cell>
          <cell r="AQ1248">
            <v>0</v>
          </cell>
        </row>
        <row r="1249">
          <cell r="B1249" t="str">
            <v>GY3-3110</v>
          </cell>
          <cell r="C1249" t="str">
            <v>Ensuring Quality Control of Works, including Test Reports for Material &amp; Construction</v>
          </cell>
          <cell r="D1249">
            <v>0</v>
          </cell>
          <cell r="E1249">
            <v>0</v>
          </cell>
          <cell r="F1249">
            <v>0</v>
          </cell>
          <cell r="S1249">
            <v>0</v>
          </cell>
          <cell r="T1249">
            <v>0</v>
          </cell>
        </row>
        <row r="1250">
          <cell r="B1250" t="str">
            <v>GY3-3160</v>
          </cell>
          <cell r="C1250" t="str">
            <v>Reviewing &amp; Recommending Quality Assurance Programme (Test Checks, RFIs)</v>
          </cell>
          <cell r="D1250">
            <v>0</v>
          </cell>
          <cell r="E1250">
            <v>0</v>
          </cell>
          <cell r="F1250">
            <v>0</v>
          </cell>
          <cell r="S1250">
            <v>0</v>
          </cell>
          <cell r="T1250">
            <v>0</v>
          </cell>
        </row>
        <row r="1251">
          <cell r="B1251" t="str">
            <v>GY3-3610</v>
          </cell>
          <cell r="C1251" t="str">
            <v>Reviewing As Built Drawings Drawings &amp; Completion Records</v>
          </cell>
          <cell r="D1251">
            <v>0</v>
          </cell>
          <cell r="E1251">
            <v>0</v>
          </cell>
          <cell r="F1251">
            <v>0</v>
          </cell>
          <cell r="S1251">
            <v>0</v>
          </cell>
          <cell r="T1251">
            <v>0</v>
          </cell>
        </row>
        <row r="1252">
          <cell r="B1252" t="str">
            <v>CONSTRUCTIONINVOICEMANAGEMENT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0</v>
          </cell>
          <cell r="AA1252">
            <v>0</v>
          </cell>
          <cell r="AB1252">
            <v>0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>
            <v>0</v>
          </cell>
          <cell r="AM1252">
            <v>0</v>
          </cell>
          <cell r="AN1252">
            <v>0</v>
          </cell>
          <cell r="AO1252">
            <v>0</v>
          </cell>
          <cell r="AP1252">
            <v>0</v>
          </cell>
          <cell r="AQ1252">
            <v>0</v>
          </cell>
        </row>
        <row r="1253">
          <cell r="B1253" t="str">
            <v>GY3-3600</v>
          </cell>
          <cell r="C1253" t="str">
            <v>Certifications of the Bills for Payments</v>
          </cell>
          <cell r="D1253">
            <v>0</v>
          </cell>
          <cell r="E1253">
            <v>0</v>
          </cell>
          <cell r="F1253">
            <v>0</v>
          </cell>
          <cell r="S1253">
            <v>0</v>
          </cell>
          <cell r="T1253">
            <v>0</v>
          </cell>
        </row>
        <row r="1254">
          <cell r="B1254" t="str">
            <v>COMMISSIONING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0</v>
          </cell>
          <cell r="AA1254">
            <v>0</v>
          </cell>
          <cell r="AB1254">
            <v>0</v>
          </cell>
          <cell r="AC1254">
            <v>0</v>
          </cell>
          <cell r="AD1254">
            <v>0</v>
          </cell>
          <cell r="AE1254">
            <v>0</v>
          </cell>
          <cell r="AF1254">
            <v>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>
            <v>0</v>
          </cell>
          <cell r="AM1254">
            <v>0</v>
          </cell>
          <cell r="AN1254">
            <v>0</v>
          </cell>
          <cell r="AO1254">
            <v>0</v>
          </cell>
          <cell r="AP1254">
            <v>0</v>
          </cell>
          <cell r="AQ1254">
            <v>0</v>
          </cell>
        </row>
        <row r="1255">
          <cell r="B1255" t="str">
            <v>GY3-3120</v>
          </cell>
          <cell r="C1255" t="str">
            <v>Assisting the Client to Manage Statutory Approvals</v>
          </cell>
          <cell r="D1255">
            <v>0</v>
          </cell>
          <cell r="E1255">
            <v>0</v>
          </cell>
          <cell r="F1255">
            <v>0</v>
          </cell>
          <cell r="S1255">
            <v>0</v>
          </cell>
          <cell r="T1255">
            <v>0</v>
          </cell>
        </row>
        <row r="1256">
          <cell r="B1256" t="str">
            <v>GY3-3800</v>
          </cell>
          <cell r="C1256" t="str">
            <v>Managing the Testing &amp; Commissioning Process</v>
          </cell>
          <cell r="D1256">
            <v>0</v>
          </cell>
          <cell r="E1256">
            <v>0</v>
          </cell>
          <cell r="F1256">
            <v>0</v>
          </cell>
          <cell r="S1256">
            <v>0</v>
          </cell>
          <cell r="T1256">
            <v>0</v>
          </cell>
        </row>
        <row r="1257">
          <cell r="B1257" t="str">
            <v>GY3-3810</v>
          </cell>
          <cell r="C1257" t="str">
            <v>Managing the implementation of Handover Regime</v>
          </cell>
          <cell r="D1257">
            <v>0</v>
          </cell>
          <cell r="E1257">
            <v>0</v>
          </cell>
          <cell r="F1257">
            <v>0</v>
          </cell>
          <cell r="S1257">
            <v>0</v>
          </cell>
          <cell r="T1257">
            <v>0</v>
          </cell>
        </row>
        <row r="1258">
          <cell r="B1258" t="str">
            <v>GY3-3820</v>
          </cell>
          <cell r="C1258" t="str">
            <v>Preparing and Managing Preliminary &amp; Final Punch List</v>
          </cell>
          <cell r="D1258">
            <v>0</v>
          </cell>
          <cell r="E1258">
            <v>0</v>
          </cell>
          <cell r="F1258">
            <v>0</v>
          </cell>
          <cell r="S1258">
            <v>0</v>
          </cell>
          <cell r="T1258">
            <v>0</v>
          </cell>
        </row>
        <row r="1259">
          <cell r="B1259" t="str">
            <v>GY3-3830</v>
          </cell>
          <cell r="C1259" t="str">
            <v>Preparing &amp; Delivering Operations &amp; Maintainance Manuals</v>
          </cell>
          <cell r="D1259">
            <v>0</v>
          </cell>
          <cell r="E1259">
            <v>0</v>
          </cell>
          <cell r="F1259">
            <v>0</v>
          </cell>
          <cell r="S1259">
            <v>0</v>
          </cell>
          <cell r="T1259">
            <v>0</v>
          </cell>
        </row>
        <row r="1260">
          <cell r="B1260" t="str">
            <v>GY3-3840</v>
          </cell>
          <cell r="C1260" t="str">
            <v>Preparation &amp; Delivery of As Built Drawings</v>
          </cell>
          <cell r="D1260">
            <v>0</v>
          </cell>
          <cell r="E1260">
            <v>0</v>
          </cell>
          <cell r="F1260">
            <v>0</v>
          </cell>
          <cell r="S1260">
            <v>0</v>
          </cell>
          <cell r="T1260">
            <v>0</v>
          </cell>
        </row>
        <row r="1261">
          <cell r="B1261" t="str">
            <v>GY3-3850</v>
          </cell>
          <cell r="C1261" t="str">
            <v>Functional Acceptance Test (FAT) for the new facility</v>
          </cell>
          <cell r="D1261">
            <v>0</v>
          </cell>
          <cell r="E1261">
            <v>0</v>
          </cell>
          <cell r="F1261">
            <v>0</v>
          </cell>
          <cell r="S1261">
            <v>0</v>
          </cell>
          <cell r="T1261">
            <v>0</v>
          </cell>
        </row>
        <row r="1262">
          <cell r="B1262" t="str">
            <v>GY3-3870</v>
          </cell>
          <cell r="C1262" t="str">
            <v>Overseeing the Issuance of Preliminary / Substantial / Final Completion Certificates</v>
          </cell>
          <cell r="D1262">
            <v>0</v>
          </cell>
          <cell r="E1262">
            <v>0</v>
          </cell>
          <cell r="F1262">
            <v>0</v>
          </cell>
          <cell r="S1262">
            <v>0</v>
          </cell>
          <cell r="T1262">
            <v>0</v>
          </cell>
        </row>
        <row r="1263">
          <cell r="B1263" t="str">
            <v>GY3-3880</v>
          </cell>
          <cell r="C1263" t="str">
            <v>Handover to DMICDC or Assigned Property Manager</v>
          </cell>
          <cell r="D1263">
            <v>0</v>
          </cell>
          <cell r="E1263">
            <v>0</v>
          </cell>
          <cell r="F1263">
            <v>0</v>
          </cell>
          <cell r="S1263">
            <v>0</v>
          </cell>
          <cell r="T1263">
            <v>0</v>
          </cell>
        </row>
        <row r="1264">
          <cell r="B1264" t="str">
            <v>GY3-3890</v>
          </cell>
          <cell r="C1264" t="str">
            <v>Monitor &amp; Manage consultants &amp; Contractor during Defect Liability Period</v>
          </cell>
          <cell r="D1264">
            <v>0</v>
          </cell>
          <cell r="E1264">
            <v>0</v>
          </cell>
          <cell r="F1264">
            <v>0</v>
          </cell>
          <cell r="S1264">
            <v>0</v>
          </cell>
          <cell r="T1264">
            <v>0</v>
          </cell>
        </row>
        <row r="1265">
          <cell r="B1265" t="str">
            <v>GY3-3900</v>
          </cell>
          <cell r="C1265" t="str">
            <v>O&amp;M Training</v>
          </cell>
          <cell r="D1265">
            <v>0</v>
          </cell>
          <cell r="E1265">
            <v>0</v>
          </cell>
          <cell r="F1265">
            <v>0</v>
          </cell>
          <cell r="S1265">
            <v>0</v>
          </cell>
          <cell r="T1265">
            <v>0</v>
          </cell>
        </row>
        <row r="1266">
          <cell r="B1266" t="str">
            <v>OPERATIONS&amp;MAINTENANCE(ACTIVATION)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0</v>
          </cell>
          <cell r="AB1266">
            <v>0</v>
          </cell>
          <cell r="AC1266">
            <v>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>
            <v>0</v>
          </cell>
          <cell r="AM1266">
            <v>0</v>
          </cell>
          <cell r="AN1266">
            <v>0</v>
          </cell>
          <cell r="AO1266">
            <v>0</v>
          </cell>
          <cell r="AP1266">
            <v>0</v>
          </cell>
          <cell r="AQ1266">
            <v>0</v>
          </cell>
        </row>
        <row r="1267">
          <cell r="B1267" t="str">
            <v>GY3-3860</v>
          </cell>
          <cell r="C1267" t="str">
            <v>Develop &amp; Implement an Activation Plan</v>
          </cell>
          <cell r="D1267">
            <v>0</v>
          </cell>
          <cell r="E1267">
            <v>0</v>
          </cell>
          <cell r="F1267">
            <v>0</v>
          </cell>
          <cell r="S1267">
            <v>0</v>
          </cell>
          <cell r="T1267">
            <v>0</v>
          </cell>
        </row>
        <row r="1268">
          <cell r="B1268" t="str">
            <v>GY3-3910</v>
          </cell>
          <cell r="C1268" t="str">
            <v>Identifying and Tracking Potential Delay that may impact start up of Buildings / Infrastructures</v>
          </cell>
          <cell r="D1268">
            <v>0</v>
          </cell>
          <cell r="E1268">
            <v>0</v>
          </cell>
          <cell r="F1268">
            <v>0</v>
          </cell>
          <cell r="S1268">
            <v>0</v>
          </cell>
          <cell r="T1268">
            <v>0</v>
          </cell>
        </row>
        <row r="1269">
          <cell r="B1269" t="str">
            <v>GY3-3920</v>
          </cell>
          <cell r="C1269" t="str">
            <v>Monitoring Progress of the Project Activation</v>
          </cell>
          <cell r="D1269">
            <v>0</v>
          </cell>
          <cell r="E1269">
            <v>0</v>
          </cell>
          <cell r="F1269">
            <v>0</v>
          </cell>
          <cell r="S1269">
            <v>0</v>
          </cell>
          <cell r="T1269">
            <v>0</v>
          </cell>
        </row>
        <row r="1270">
          <cell r="B1270" t="str">
            <v>CONTRACTMANAGEMENT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0</v>
          </cell>
          <cell r="AA1270">
            <v>0</v>
          </cell>
          <cell r="AB1270">
            <v>0</v>
          </cell>
          <cell r="AC1270">
            <v>0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>
            <v>0</v>
          </cell>
          <cell r="AM1270">
            <v>0</v>
          </cell>
          <cell r="AN1270">
            <v>0</v>
          </cell>
          <cell r="AO1270">
            <v>0</v>
          </cell>
          <cell r="AP1270">
            <v>0</v>
          </cell>
          <cell r="AQ1270">
            <v>0</v>
          </cell>
        </row>
        <row r="1271">
          <cell r="B1271" t="str">
            <v>ECCCOMPLEX(CONTRACTSMANAGEMENT)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0</v>
          </cell>
          <cell r="AA1271">
            <v>0</v>
          </cell>
          <cell r="AB1271">
            <v>0</v>
          </cell>
          <cell r="AC1271">
            <v>0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>
            <v>0</v>
          </cell>
          <cell r="AM1271">
            <v>0</v>
          </cell>
          <cell r="AN1271">
            <v>0</v>
          </cell>
          <cell r="AO1271">
            <v>0</v>
          </cell>
          <cell r="AP1271">
            <v>0</v>
          </cell>
          <cell r="AQ1271">
            <v>0</v>
          </cell>
        </row>
        <row r="1272">
          <cell r="B1272" t="str">
            <v>GY3-1520</v>
          </cell>
          <cell r="C1272" t="str">
            <v>Coordinating Contract Dispute Resolutions</v>
          </cell>
          <cell r="D1272">
            <v>0</v>
          </cell>
          <cell r="E1272">
            <v>0</v>
          </cell>
          <cell r="F1272">
            <v>0</v>
          </cell>
          <cell r="S1272">
            <v>0</v>
          </cell>
          <cell r="T1272">
            <v>0</v>
          </cell>
        </row>
        <row r="1273">
          <cell r="B1273" t="str">
            <v>GY3-1530</v>
          </cell>
          <cell r="C1273" t="str">
            <v>Performing Overall Assessment and Reporting of Prog. Anticipated Final Cost (AFC)</v>
          </cell>
          <cell r="D1273">
            <v>0</v>
          </cell>
          <cell r="E1273">
            <v>0</v>
          </cell>
          <cell r="F1273">
            <v>0</v>
          </cell>
          <cell r="S1273">
            <v>0</v>
          </cell>
          <cell r="T1273">
            <v>0</v>
          </cell>
        </row>
        <row r="1274">
          <cell r="B1274" t="str">
            <v>GY3-1540</v>
          </cell>
          <cell r="C1274" t="str">
            <v>Managing Authority Delegation &amp; Reporting</v>
          </cell>
          <cell r="D1274">
            <v>0</v>
          </cell>
          <cell r="E1274">
            <v>0</v>
          </cell>
          <cell r="F1274">
            <v>0</v>
          </cell>
          <cell r="S1274">
            <v>0</v>
          </cell>
          <cell r="T1274">
            <v>0</v>
          </cell>
        </row>
        <row r="1275">
          <cell r="B1275" t="str">
            <v>GY3-1550</v>
          </cell>
          <cell r="C1275" t="str">
            <v>Providing Contractual and Commercial Advice and Supporting PMs</v>
          </cell>
          <cell r="D1275">
            <v>0</v>
          </cell>
          <cell r="E1275">
            <v>0</v>
          </cell>
          <cell r="F1275">
            <v>0</v>
          </cell>
          <cell r="S1275">
            <v>0</v>
          </cell>
          <cell r="T1275">
            <v>0</v>
          </cell>
        </row>
        <row r="1276">
          <cell r="B1276" t="str">
            <v>GY3-1560</v>
          </cell>
          <cell r="C1276" t="str">
            <v>Managing Compliance with Contract Administration, Standards, Procedures Tools</v>
          </cell>
          <cell r="D1276">
            <v>0</v>
          </cell>
          <cell r="E1276">
            <v>0</v>
          </cell>
          <cell r="F1276">
            <v>0</v>
          </cell>
          <cell r="S1276">
            <v>0</v>
          </cell>
          <cell r="T1276">
            <v>0</v>
          </cell>
        </row>
        <row r="1277">
          <cell r="B1277" t="str">
            <v>PROGRAMMANAGEMENT(CONTRACTSMANAGEMENT)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  <cell r="P1277">
            <v>0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0</v>
          </cell>
          <cell r="AA1277">
            <v>0</v>
          </cell>
          <cell r="AB1277">
            <v>0</v>
          </cell>
          <cell r="AC1277">
            <v>0</v>
          </cell>
          <cell r="AD1277">
            <v>0</v>
          </cell>
          <cell r="AE1277">
            <v>0</v>
          </cell>
          <cell r="AF1277">
            <v>0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>
            <v>0</v>
          </cell>
          <cell r="AM1277">
            <v>0</v>
          </cell>
          <cell r="AN1277">
            <v>0</v>
          </cell>
          <cell r="AO1277">
            <v>0</v>
          </cell>
          <cell r="AP1277">
            <v>0</v>
          </cell>
          <cell r="AQ1277">
            <v>0</v>
          </cell>
        </row>
        <row r="1278">
          <cell r="B1278" t="str">
            <v>GY3-2110</v>
          </cell>
          <cell r="C1278" t="str">
            <v>Alerting, Analyzing, Resolution the DMICDC of any Actual, Perceived or Expected Departure from Contractual Requirements</v>
          </cell>
          <cell r="D1278">
            <v>0</v>
          </cell>
          <cell r="E1278">
            <v>0</v>
          </cell>
          <cell r="F1278">
            <v>0</v>
          </cell>
          <cell r="S1278">
            <v>0</v>
          </cell>
          <cell r="T1278">
            <v>0</v>
          </cell>
        </row>
        <row r="1279">
          <cell r="B1279" t="str">
            <v>GY3-2850</v>
          </cell>
          <cell r="C1279" t="str">
            <v>Providing Visibility to the Management in Changes, Invoicing, Claims, Valuations &amp; Payments, Notices, Early Warning, etc</v>
          </cell>
          <cell r="D1279">
            <v>0</v>
          </cell>
          <cell r="E1279">
            <v>0</v>
          </cell>
          <cell r="F1279">
            <v>0</v>
          </cell>
          <cell r="S1279">
            <v>0</v>
          </cell>
          <cell r="T1279">
            <v>0</v>
          </cell>
        </row>
        <row r="1280">
          <cell r="B1280" t="str">
            <v>GY3-2860</v>
          </cell>
          <cell r="C1280" t="str">
            <v>Assessing impact on Program, Contract Variations arising due to Changes or Change Request</v>
          </cell>
          <cell r="D1280">
            <v>0</v>
          </cell>
          <cell r="E1280">
            <v>0</v>
          </cell>
          <cell r="F1280">
            <v>0</v>
          </cell>
          <cell r="S1280">
            <v>0</v>
          </cell>
          <cell r="T1280">
            <v>0</v>
          </cell>
        </row>
        <row r="1281">
          <cell r="B1281" t="str">
            <v>GY3-2870</v>
          </cell>
          <cell r="C1281" t="str">
            <v>Monitoring the  Program and Advise impact of Non Compliance wrt Contract</v>
          </cell>
          <cell r="D1281">
            <v>0</v>
          </cell>
          <cell r="E1281">
            <v>0</v>
          </cell>
          <cell r="F1281">
            <v>0</v>
          </cell>
          <cell r="S1281">
            <v>0</v>
          </cell>
          <cell r="T1281">
            <v>0</v>
          </cell>
        </row>
        <row r="1282">
          <cell r="B1282" t="str">
            <v>GY3-2880</v>
          </cell>
          <cell r="C1282" t="str">
            <v>Development of Claims Management Process</v>
          </cell>
          <cell r="D1282">
            <v>0</v>
          </cell>
          <cell r="E1282">
            <v>0</v>
          </cell>
          <cell r="F1282">
            <v>0</v>
          </cell>
          <cell r="S1282">
            <v>0</v>
          </cell>
          <cell r="T1282">
            <v>0</v>
          </cell>
        </row>
        <row r="1283">
          <cell r="B1283" t="str">
            <v>FINANCE&amp;INVESTMENTMANAGEMENT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0</v>
          </cell>
          <cell r="AA1283">
            <v>0</v>
          </cell>
          <cell r="AB1283">
            <v>0</v>
          </cell>
          <cell r="AC1283">
            <v>0</v>
          </cell>
          <cell r="AD1283">
            <v>0</v>
          </cell>
          <cell r="AE1283">
            <v>0</v>
          </cell>
          <cell r="AF1283">
            <v>0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>
            <v>0</v>
          </cell>
          <cell r="AM1283">
            <v>0</v>
          </cell>
          <cell r="AN1283">
            <v>0</v>
          </cell>
          <cell r="AO1283">
            <v>0</v>
          </cell>
          <cell r="AP1283">
            <v>0</v>
          </cell>
          <cell r="AQ1283">
            <v>0</v>
          </cell>
        </row>
        <row r="1284">
          <cell r="B1284" t="str">
            <v>GY3-2120</v>
          </cell>
          <cell r="C1284" t="str">
            <v>Monitor &amp; Control of the Programme/Project Cash Flow</v>
          </cell>
          <cell r="D1284">
            <v>0</v>
          </cell>
          <cell r="E1284">
            <v>0</v>
          </cell>
          <cell r="F1284">
            <v>0</v>
          </cell>
          <cell r="S1284">
            <v>0</v>
          </cell>
          <cell r="T1284">
            <v>0</v>
          </cell>
        </row>
        <row r="1285">
          <cell r="B1285" t="str">
            <v>GY3-2160</v>
          </cell>
          <cell r="C1285" t="str">
            <v>Evaluation &amp; Forwarding all Documents to DMICDC for Payment Processing</v>
          </cell>
          <cell r="D1285">
            <v>0</v>
          </cell>
          <cell r="E1285">
            <v>0</v>
          </cell>
          <cell r="F1285">
            <v>0</v>
          </cell>
          <cell r="S1285">
            <v>0</v>
          </cell>
          <cell r="T1285">
            <v>0</v>
          </cell>
        </row>
        <row r="1286">
          <cell r="B1286" t="str">
            <v>GY3-2590</v>
          </cell>
          <cell r="C1286" t="str">
            <v>Establishing an Experienced and  thorough Commercial Group to assess Invoices and Variations</v>
          </cell>
          <cell r="D1286">
            <v>0</v>
          </cell>
          <cell r="E1286">
            <v>0</v>
          </cell>
          <cell r="F1286">
            <v>0</v>
          </cell>
          <cell r="S1286">
            <v>0</v>
          </cell>
          <cell r="T1286">
            <v>0</v>
          </cell>
        </row>
        <row r="1287">
          <cell r="B1287" t="str">
            <v>GY3-2600</v>
          </cell>
          <cell r="C1287" t="str">
            <v>Preparation &amp; Submission of Monthly Financial Reports to DMICDC</v>
          </cell>
          <cell r="D1287">
            <v>0</v>
          </cell>
          <cell r="E1287">
            <v>0</v>
          </cell>
          <cell r="F1287">
            <v>0</v>
          </cell>
          <cell r="S1287">
            <v>0</v>
          </cell>
          <cell r="T1287">
            <v>0</v>
          </cell>
        </row>
        <row r="1288">
          <cell r="B1288" t="str">
            <v>HUMANRESOURCESANDORGANIZATIONALDEVELOPMENT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0</v>
          </cell>
          <cell r="AA1288">
            <v>0</v>
          </cell>
          <cell r="AB1288">
            <v>0</v>
          </cell>
          <cell r="AC1288">
            <v>0</v>
          </cell>
          <cell r="AD1288">
            <v>0</v>
          </cell>
          <cell r="AE1288">
            <v>0</v>
          </cell>
          <cell r="AF1288">
            <v>0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>
            <v>0</v>
          </cell>
          <cell r="AM1288">
            <v>0</v>
          </cell>
          <cell r="AN1288">
            <v>0</v>
          </cell>
          <cell r="AO1288">
            <v>0</v>
          </cell>
          <cell r="AP1288">
            <v>0</v>
          </cell>
          <cell r="AQ1288">
            <v>0</v>
          </cell>
        </row>
        <row r="1289">
          <cell r="B1289" t="str">
            <v>RESOURCEMANAGEMENT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0</v>
          </cell>
          <cell r="AA1289">
            <v>0</v>
          </cell>
          <cell r="AB1289">
            <v>0</v>
          </cell>
          <cell r="AC1289">
            <v>0</v>
          </cell>
          <cell r="AD1289">
            <v>0</v>
          </cell>
          <cell r="AE1289">
            <v>0</v>
          </cell>
          <cell r="AF1289">
            <v>0</v>
          </cell>
          <cell r="AG1289">
            <v>0</v>
          </cell>
          <cell r="AH1289">
            <v>0</v>
          </cell>
          <cell r="AI1289">
            <v>0</v>
          </cell>
          <cell r="AJ1289">
            <v>0</v>
          </cell>
          <cell r="AK1289">
            <v>0</v>
          </cell>
          <cell r="AL1289">
            <v>0</v>
          </cell>
          <cell r="AM1289">
            <v>0</v>
          </cell>
          <cell r="AN1289">
            <v>0</v>
          </cell>
          <cell r="AO1289">
            <v>0</v>
          </cell>
          <cell r="AP1289">
            <v>0</v>
          </cell>
          <cell r="AQ1289">
            <v>0</v>
          </cell>
        </row>
        <row r="1290">
          <cell r="B1290" t="str">
            <v>GY3-1100</v>
          </cell>
          <cell r="C1290" t="str">
            <v>Ensuring that the resources are available to meet the PMC needs</v>
          </cell>
          <cell r="D1290">
            <v>0</v>
          </cell>
          <cell r="E1290">
            <v>0</v>
          </cell>
          <cell r="F1290">
            <v>0</v>
          </cell>
          <cell r="S1290">
            <v>0</v>
          </cell>
          <cell r="T1290">
            <v>0</v>
          </cell>
        </row>
        <row r="1291">
          <cell r="B1291" t="str">
            <v>GY3-1250</v>
          </cell>
          <cell r="C1291" t="str">
            <v>Monitoring &amp; Regularly report on changes caused by both PMC and the Contractors</v>
          </cell>
          <cell r="D1291">
            <v>0</v>
          </cell>
          <cell r="E1291">
            <v>0</v>
          </cell>
          <cell r="F1291">
            <v>0</v>
          </cell>
          <cell r="S1291">
            <v>0</v>
          </cell>
          <cell r="T1291">
            <v>0</v>
          </cell>
        </row>
        <row r="1292">
          <cell r="B1292" t="str">
            <v>GY3-3010</v>
          </cell>
          <cell r="C1292" t="str">
            <v>Monitoring that Contractors / Concessionaire have adequate resource Plans in Place</v>
          </cell>
          <cell r="D1292">
            <v>0</v>
          </cell>
          <cell r="E1292">
            <v>0</v>
          </cell>
          <cell r="F1292">
            <v>0</v>
          </cell>
          <cell r="S1292">
            <v>0</v>
          </cell>
          <cell r="T1292">
            <v>0</v>
          </cell>
        </row>
        <row r="1293">
          <cell r="B1293" t="str">
            <v>ORGANIZATIONALDEVELOPMENT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0</v>
          </cell>
          <cell r="AA1293">
            <v>0</v>
          </cell>
          <cell r="AB1293">
            <v>0</v>
          </cell>
          <cell r="AC1293">
            <v>0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>
            <v>0</v>
          </cell>
          <cell r="AM1293">
            <v>0</v>
          </cell>
          <cell r="AN1293">
            <v>0</v>
          </cell>
          <cell r="AO1293">
            <v>0</v>
          </cell>
          <cell r="AP1293">
            <v>0</v>
          </cell>
          <cell r="AQ1293">
            <v>0</v>
          </cell>
        </row>
        <row r="1294">
          <cell r="B1294" t="str">
            <v>GY3-1200</v>
          </cell>
          <cell r="C1294" t="str">
            <v>Monitor, Implement &amp; Address changes required to the PMC Organization resulting from the delivery of Programme</v>
          </cell>
          <cell r="D1294">
            <v>0</v>
          </cell>
          <cell r="E1294">
            <v>0</v>
          </cell>
          <cell r="F1294">
            <v>0</v>
          </cell>
          <cell r="S1294">
            <v>0</v>
          </cell>
          <cell r="T1294">
            <v>0</v>
          </cell>
        </row>
        <row r="1295">
          <cell r="B1295" t="str">
            <v>GY3-1210</v>
          </cell>
          <cell r="C1295" t="str">
            <v>Ensuring that any significant development of new business processes and procedure is adequately documented</v>
          </cell>
          <cell r="D1295">
            <v>0</v>
          </cell>
          <cell r="E1295">
            <v>0</v>
          </cell>
          <cell r="F1295">
            <v>0</v>
          </cell>
          <cell r="S1295">
            <v>0</v>
          </cell>
          <cell r="T1295">
            <v>0</v>
          </cell>
        </row>
        <row r="1296">
          <cell r="B1296" t="str">
            <v>GY3-1220</v>
          </cell>
          <cell r="C1296" t="str">
            <v>Monitoring the development of any Related policy changes, Procedures, Forms, Staffing, Job description, remuneration,etc</v>
          </cell>
          <cell r="D1296">
            <v>0</v>
          </cell>
          <cell r="E1296">
            <v>0</v>
          </cell>
          <cell r="F1296">
            <v>0</v>
          </cell>
          <cell r="S1296">
            <v>0</v>
          </cell>
          <cell r="T1296">
            <v>0</v>
          </cell>
        </row>
        <row r="1297">
          <cell r="B1297" t="str">
            <v>INFORMATION&amp;TECHNOLOGY(IT)MANAGEMENT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  <cell r="P1297">
            <v>0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0</v>
          </cell>
          <cell r="AA1297">
            <v>0</v>
          </cell>
          <cell r="AB1297">
            <v>0</v>
          </cell>
          <cell r="AC1297">
            <v>0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>
            <v>0</v>
          </cell>
          <cell r="AM1297">
            <v>0</v>
          </cell>
          <cell r="AN1297">
            <v>0</v>
          </cell>
          <cell r="AO1297">
            <v>0</v>
          </cell>
          <cell r="AP1297">
            <v>0</v>
          </cell>
          <cell r="AQ1297">
            <v>0</v>
          </cell>
        </row>
        <row r="1298">
          <cell r="B1298" t="str">
            <v>GY3-1370</v>
          </cell>
          <cell r="C1298" t="str">
            <v>Implementation of MIS</v>
          </cell>
          <cell r="D1298">
            <v>0</v>
          </cell>
          <cell r="E1298">
            <v>0</v>
          </cell>
          <cell r="F1298">
            <v>0</v>
          </cell>
          <cell r="S1298">
            <v>0</v>
          </cell>
          <cell r="T1298">
            <v>0</v>
          </cell>
        </row>
        <row r="1299">
          <cell r="B1299" t="str">
            <v>GY3-1790</v>
          </cell>
          <cell r="C1299" t="str">
            <v>Maintaining Program &amp; Information Tools and Application information Management System for the PMC</v>
          </cell>
          <cell r="D1299">
            <v>0</v>
          </cell>
          <cell r="E1299">
            <v>0</v>
          </cell>
          <cell r="F1299">
            <v>0</v>
          </cell>
          <cell r="S1299">
            <v>0</v>
          </cell>
          <cell r="T1299">
            <v>0</v>
          </cell>
        </row>
        <row r="1300">
          <cell r="B1300" t="str">
            <v>GY3-1800</v>
          </cell>
          <cell r="C1300" t="str">
            <v>Establishing &amp; Managing the Information System for the Programme</v>
          </cell>
          <cell r="D1300">
            <v>0</v>
          </cell>
          <cell r="E1300">
            <v>0</v>
          </cell>
          <cell r="F1300">
            <v>0</v>
          </cell>
          <cell r="S1300">
            <v>0</v>
          </cell>
          <cell r="T1300">
            <v>0</v>
          </cell>
        </row>
        <row r="1301">
          <cell r="B1301" t="str">
            <v>GY3-1810</v>
          </cell>
          <cell r="C1301" t="str">
            <v>Ensuring that the Information is Kept and Knowledge is transmitted to the Program Team and to various Stakeholders</v>
          </cell>
          <cell r="D1301">
            <v>0</v>
          </cell>
          <cell r="E1301">
            <v>0</v>
          </cell>
          <cell r="F1301">
            <v>0</v>
          </cell>
          <cell r="S1301">
            <v>0</v>
          </cell>
          <cell r="T1301">
            <v>0</v>
          </cell>
        </row>
        <row r="1302">
          <cell r="B1302" t="str">
            <v>GY3-1820</v>
          </cell>
          <cell r="C1302" t="str">
            <v>Training of DMICDC Staff in the Utilization of the Web Based system</v>
          </cell>
          <cell r="D1302">
            <v>0</v>
          </cell>
          <cell r="E1302">
            <v>0</v>
          </cell>
          <cell r="F1302">
            <v>0</v>
          </cell>
          <cell r="S1302">
            <v>0</v>
          </cell>
          <cell r="T1302">
            <v>0</v>
          </cell>
        </row>
        <row r="1303">
          <cell r="B1303" t="str">
            <v>MARKETING&amp;PROMOTION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0</v>
          </cell>
          <cell r="AA1303">
            <v>0</v>
          </cell>
          <cell r="AB1303">
            <v>0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>
            <v>0</v>
          </cell>
          <cell r="AM1303">
            <v>0</v>
          </cell>
          <cell r="AN1303">
            <v>0</v>
          </cell>
          <cell r="AO1303">
            <v>0</v>
          </cell>
          <cell r="AP1303">
            <v>0</v>
          </cell>
          <cell r="AQ1303">
            <v>0</v>
          </cell>
        </row>
        <row r="1304">
          <cell r="B1304" t="str">
            <v>GY3-2700</v>
          </cell>
          <cell r="C1304" t="str">
            <v>Assisting the Client in Carrying out road Shows, Conference, meetings with Investor, etc.</v>
          </cell>
          <cell r="D1304">
            <v>0</v>
          </cell>
          <cell r="E1304">
            <v>0</v>
          </cell>
          <cell r="F1304">
            <v>0</v>
          </cell>
          <cell r="S1304">
            <v>0</v>
          </cell>
          <cell r="T1304">
            <v>0</v>
          </cell>
        </row>
        <row r="1305">
          <cell r="B1305" t="str">
            <v>PROGRAMADMINISTRATION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0</v>
          </cell>
          <cell r="AB1305">
            <v>0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>
            <v>0</v>
          </cell>
          <cell r="AM1305">
            <v>0</v>
          </cell>
          <cell r="AN1305">
            <v>0</v>
          </cell>
          <cell r="AO1305">
            <v>0</v>
          </cell>
          <cell r="AP1305">
            <v>0</v>
          </cell>
          <cell r="AQ1305">
            <v>0</v>
          </cell>
        </row>
        <row r="1306">
          <cell r="B1306" t="str">
            <v>CONTRACTORPROGRESS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0</v>
          </cell>
          <cell r="AB1306">
            <v>0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>
            <v>0</v>
          </cell>
          <cell r="AM1306">
            <v>0</v>
          </cell>
          <cell r="AN1306">
            <v>0</v>
          </cell>
          <cell r="AO1306">
            <v>0</v>
          </cell>
          <cell r="AP1306">
            <v>0</v>
          </cell>
          <cell r="AQ1306">
            <v>0</v>
          </cell>
        </row>
        <row r="1307">
          <cell r="B1307" t="str">
            <v>GY3-3030</v>
          </cell>
          <cell r="C1307" t="str">
            <v>Conducting Weekly Project Management Support Meeting</v>
          </cell>
          <cell r="D1307">
            <v>0</v>
          </cell>
          <cell r="E1307">
            <v>0</v>
          </cell>
          <cell r="F1307">
            <v>0</v>
          </cell>
          <cell r="S1307">
            <v>0</v>
          </cell>
          <cell r="T1307">
            <v>0</v>
          </cell>
        </row>
        <row r="1308">
          <cell r="B1308" t="str">
            <v>GY3-3040</v>
          </cell>
          <cell r="C1308" t="str">
            <v>Maintaining Project Planning for Each Project</v>
          </cell>
          <cell r="D1308">
            <v>0</v>
          </cell>
          <cell r="E1308">
            <v>0</v>
          </cell>
          <cell r="F1308">
            <v>0</v>
          </cell>
          <cell r="S1308">
            <v>0</v>
          </cell>
          <cell r="T1308">
            <v>0</v>
          </cell>
        </row>
        <row r="1309">
          <cell r="B1309" t="str">
            <v>GY3-3050</v>
          </cell>
          <cell r="C1309" t="str">
            <v>Facilitation of Periodic Coordination &amp; Review Meetings with Contractors</v>
          </cell>
          <cell r="D1309">
            <v>0</v>
          </cell>
          <cell r="E1309">
            <v>0</v>
          </cell>
          <cell r="F1309">
            <v>0</v>
          </cell>
          <cell r="S1309">
            <v>0</v>
          </cell>
          <cell r="T1309">
            <v>0</v>
          </cell>
        </row>
        <row r="1310">
          <cell r="B1310" t="str">
            <v>PROCESSIMPROVEMENTPROGRAM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0</v>
          </cell>
          <cell r="AA1310">
            <v>0</v>
          </cell>
          <cell r="AB1310">
            <v>0</v>
          </cell>
          <cell r="AC1310">
            <v>0</v>
          </cell>
          <cell r="AD1310">
            <v>0</v>
          </cell>
          <cell r="AE1310">
            <v>0</v>
          </cell>
          <cell r="AF1310">
            <v>0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>
            <v>0</v>
          </cell>
          <cell r="AM1310">
            <v>0</v>
          </cell>
          <cell r="AN1310">
            <v>0</v>
          </cell>
          <cell r="AO1310">
            <v>0</v>
          </cell>
          <cell r="AP1310">
            <v>0</v>
          </cell>
          <cell r="AQ1310">
            <v>0</v>
          </cell>
        </row>
        <row r="1311">
          <cell r="B1311" t="str">
            <v>GY3-3020</v>
          </cell>
          <cell r="C1311" t="str">
            <v>Defining, Building and Implementing Project Management Practices</v>
          </cell>
          <cell r="D1311">
            <v>0</v>
          </cell>
          <cell r="E1311">
            <v>0</v>
          </cell>
          <cell r="F1311">
            <v>0</v>
          </cell>
          <cell r="S1311">
            <v>0</v>
          </cell>
          <cell r="T1311">
            <v>0</v>
          </cell>
        </row>
        <row r="1312">
          <cell r="B1312" t="str">
            <v>GY3-3080</v>
          </cell>
          <cell r="C1312" t="str">
            <v>Overseeing the Implementation and Completion of each Stage &amp; Achievement of Milestones</v>
          </cell>
          <cell r="D1312">
            <v>0</v>
          </cell>
          <cell r="E1312">
            <v>0</v>
          </cell>
          <cell r="F1312">
            <v>0</v>
          </cell>
          <cell r="S1312">
            <v>0</v>
          </cell>
          <cell r="T1312">
            <v>0</v>
          </cell>
        </row>
        <row r="1313">
          <cell r="B1313" t="str">
            <v>PROFESSIONALRESOURCES&amp;SUPPORTSERVICES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0</v>
          </cell>
          <cell r="AB1313">
            <v>0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G1313">
            <v>0</v>
          </cell>
          <cell r="AH1313">
            <v>0</v>
          </cell>
          <cell r="AI1313">
            <v>0</v>
          </cell>
          <cell r="AJ1313">
            <v>0</v>
          </cell>
          <cell r="AK1313">
            <v>0</v>
          </cell>
          <cell r="AL1313">
            <v>0</v>
          </cell>
          <cell r="AM1313">
            <v>0</v>
          </cell>
          <cell r="AN1313">
            <v>0</v>
          </cell>
          <cell r="AO1313">
            <v>0</v>
          </cell>
          <cell r="AP1313">
            <v>0</v>
          </cell>
          <cell r="AQ1313">
            <v>0</v>
          </cell>
        </row>
        <row r="1314">
          <cell r="B1314" t="str">
            <v>GY3-1110</v>
          </cell>
          <cell r="C1314" t="str">
            <v>Providing Staff to perform Regular Project Management Practices</v>
          </cell>
          <cell r="D1314">
            <v>0</v>
          </cell>
          <cell r="E1314">
            <v>0</v>
          </cell>
          <cell r="F1314">
            <v>0</v>
          </cell>
          <cell r="S1314">
            <v>0</v>
          </cell>
          <cell r="T1314">
            <v>0</v>
          </cell>
        </row>
        <row r="1315">
          <cell r="B1315" t="str">
            <v>GY3-1120</v>
          </cell>
          <cell r="C1315" t="str">
            <v>Maintaining documents for an internal DMICDC website focused on Project Management Manuals</v>
          </cell>
          <cell r="D1315">
            <v>0</v>
          </cell>
          <cell r="E1315">
            <v>0</v>
          </cell>
          <cell r="F1315">
            <v>0</v>
          </cell>
          <cell r="S1315">
            <v>0</v>
          </cell>
          <cell r="T1315">
            <v>0</v>
          </cell>
        </row>
        <row r="1316">
          <cell r="B1316" t="str">
            <v>GY3-1130</v>
          </cell>
          <cell r="C1316" t="str">
            <v>Providing support &amp; Training in PMO Processes, Procedures, Tools &amp; Template to DMICDC Staff</v>
          </cell>
          <cell r="D1316">
            <v>0</v>
          </cell>
          <cell r="E1316">
            <v>0</v>
          </cell>
          <cell r="F1316">
            <v>0</v>
          </cell>
          <cell r="S1316">
            <v>0</v>
          </cell>
          <cell r="T1316">
            <v>0</v>
          </cell>
        </row>
        <row r="1317">
          <cell r="B1317" t="str">
            <v>GY3-1140</v>
          </cell>
          <cell r="C1317" t="str">
            <v>Providing Consultant Services in Special Technology areas as necessary &amp; Requested</v>
          </cell>
          <cell r="D1317">
            <v>0</v>
          </cell>
          <cell r="E1317">
            <v>0</v>
          </cell>
          <cell r="F1317">
            <v>0</v>
          </cell>
          <cell r="S1317">
            <v>0</v>
          </cell>
          <cell r="T1317">
            <v>0</v>
          </cell>
        </row>
        <row r="1318">
          <cell r="B1318" t="str">
            <v>GY3-1980</v>
          </cell>
          <cell r="C1318" t="str">
            <v>Supporting a Website for the ECC</v>
          </cell>
          <cell r="D1318">
            <v>0</v>
          </cell>
          <cell r="E1318">
            <v>0</v>
          </cell>
          <cell r="F1318">
            <v>0</v>
          </cell>
          <cell r="S1318">
            <v>0</v>
          </cell>
          <cell r="T1318">
            <v>0</v>
          </cell>
        </row>
        <row r="1319">
          <cell r="B1319" t="str">
            <v>PROGRAMASSURANCEFUNCTIONS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0</v>
          </cell>
          <cell r="AA1319">
            <v>0</v>
          </cell>
          <cell r="AB1319">
            <v>0</v>
          </cell>
          <cell r="AC1319">
            <v>0</v>
          </cell>
          <cell r="AD1319">
            <v>0</v>
          </cell>
          <cell r="AE1319">
            <v>0</v>
          </cell>
          <cell r="AF1319">
            <v>0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>
            <v>0</v>
          </cell>
          <cell r="AM1319">
            <v>0</v>
          </cell>
          <cell r="AN1319">
            <v>0</v>
          </cell>
          <cell r="AO1319">
            <v>0</v>
          </cell>
          <cell r="AP1319">
            <v>0</v>
          </cell>
          <cell r="AQ1319">
            <v>0</v>
          </cell>
        </row>
        <row r="1320">
          <cell r="B1320" t="str">
            <v>QUALITYASSURANCE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0</v>
          </cell>
          <cell r="AA1320">
            <v>0</v>
          </cell>
          <cell r="AB1320">
            <v>0</v>
          </cell>
          <cell r="AC1320">
            <v>0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>
            <v>0</v>
          </cell>
          <cell r="AM1320">
            <v>0</v>
          </cell>
          <cell r="AN1320">
            <v>0</v>
          </cell>
          <cell r="AO1320">
            <v>0</v>
          </cell>
          <cell r="AP1320">
            <v>0</v>
          </cell>
          <cell r="AQ1320">
            <v>0</v>
          </cell>
        </row>
        <row r="1321">
          <cell r="B1321" t="str">
            <v>GY3-2820</v>
          </cell>
          <cell r="C1321" t="str">
            <v>Overseeing &amp; Manage the Independent 3rd Party Consultants used for Quality Check &amp; Value Engineering</v>
          </cell>
          <cell r="D1321">
            <v>0</v>
          </cell>
          <cell r="E1321">
            <v>0</v>
          </cell>
          <cell r="F1321">
            <v>0</v>
          </cell>
          <cell r="S1321">
            <v>0</v>
          </cell>
          <cell r="T1321">
            <v>0</v>
          </cell>
        </row>
        <row r="1322">
          <cell r="B1322" t="str">
            <v>HEALTH&amp;SAFETY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0</v>
          </cell>
          <cell r="AA1322">
            <v>0</v>
          </cell>
          <cell r="AB1322">
            <v>0</v>
          </cell>
          <cell r="AC1322">
            <v>0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>
            <v>0</v>
          </cell>
          <cell r="AM1322">
            <v>0</v>
          </cell>
          <cell r="AN1322">
            <v>0</v>
          </cell>
          <cell r="AO1322">
            <v>0</v>
          </cell>
          <cell r="AP1322">
            <v>0</v>
          </cell>
          <cell r="AQ1322">
            <v>0</v>
          </cell>
        </row>
        <row r="1323">
          <cell r="B1323" t="str">
            <v>GY3-2710</v>
          </cell>
          <cell r="C1323" t="str">
            <v>Delivering basic &amp; Specified health &amp; Safety Training across the Programme</v>
          </cell>
          <cell r="D1323">
            <v>0</v>
          </cell>
          <cell r="E1323">
            <v>0</v>
          </cell>
          <cell r="F1323">
            <v>0</v>
          </cell>
          <cell r="S1323">
            <v>0</v>
          </cell>
          <cell r="T1323">
            <v>0</v>
          </cell>
        </row>
        <row r="1324">
          <cell r="B1324" t="str">
            <v>GY3-2720</v>
          </cell>
          <cell r="C1324" t="str">
            <v>Implementation of a Program to Monitor &amp; Evaluate Health &amp; Safety Practices</v>
          </cell>
          <cell r="D1324">
            <v>0</v>
          </cell>
          <cell r="E1324">
            <v>0</v>
          </cell>
          <cell r="F1324">
            <v>0</v>
          </cell>
          <cell r="S1324">
            <v>0</v>
          </cell>
          <cell r="T1324">
            <v>0</v>
          </cell>
        </row>
        <row r="1325">
          <cell r="B1325" t="str">
            <v>SUSTAINABILITY&amp;ENVIRONMENT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0</v>
          </cell>
          <cell r="AA1325">
            <v>0</v>
          </cell>
          <cell r="AB1325">
            <v>0</v>
          </cell>
          <cell r="AC1325">
            <v>0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>
            <v>0</v>
          </cell>
          <cell r="AM1325">
            <v>0</v>
          </cell>
          <cell r="AN1325">
            <v>0</v>
          </cell>
          <cell r="AO1325">
            <v>0</v>
          </cell>
          <cell r="AP1325">
            <v>0</v>
          </cell>
          <cell r="AQ1325">
            <v>0</v>
          </cell>
        </row>
        <row r="1326">
          <cell r="B1326" t="str">
            <v>GY3-1590</v>
          </cell>
          <cell r="C1326" t="str">
            <v>Monitor Progress against Environment Goals at the Project &amp; Programme Level</v>
          </cell>
          <cell r="D1326">
            <v>0</v>
          </cell>
          <cell r="E1326">
            <v>0</v>
          </cell>
          <cell r="F1326">
            <v>0</v>
          </cell>
          <cell r="S1326">
            <v>0</v>
          </cell>
          <cell r="T1326">
            <v>0</v>
          </cell>
        </row>
        <row r="1327">
          <cell r="B1327" t="str">
            <v>GY3-2690</v>
          </cell>
          <cell r="C1327" t="str">
            <v>Implementation a framework that enables Program to define its sustainability and Env. Goals &amp; Strategy</v>
          </cell>
          <cell r="D1327">
            <v>0</v>
          </cell>
          <cell r="E1327">
            <v>0</v>
          </cell>
          <cell r="F1327">
            <v>0</v>
          </cell>
          <cell r="S1327">
            <v>0</v>
          </cell>
          <cell r="T1327">
            <v>0</v>
          </cell>
        </row>
        <row r="1328">
          <cell r="B1328" t="str">
            <v>SECURITY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0</v>
          </cell>
          <cell r="AA1328">
            <v>0</v>
          </cell>
          <cell r="AB1328">
            <v>0</v>
          </cell>
          <cell r="AC1328">
            <v>0</v>
          </cell>
          <cell r="AD1328">
            <v>0</v>
          </cell>
          <cell r="AE1328">
            <v>0</v>
          </cell>
          <cell r="AF1328">
            <v>0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>
            <v>0</v>
          </cell>
          <cell r="AM1328">
            <v>0</v>
          </cell>
          <cell r="AN1328">
            <v>0</v>
          </cell>
          <cell r="AO1328">
            <v>0</v>
          </cell>
          <cell r="AP1328">
            <v>0</v>
          </cell>
          <cell r="AQ1328">
            <v>0</v>
          </cell>
        </row>
        <row r="1329">
          <cell r="B1329" t="str">
            <v>GY3-1150</v>
          </cell>
          <cell r="C1329" t="str">
            <v>Implementation of Crisis Managment Response</v>
          </cell>
          <cell r="D1329">
            <v>0</v>
          </cell>
          <cell r="E1329">
            <v>0</v>
          </cell>
          <cell r="F1329">
            <v>0</v>
          </cell>
          <cell r="S1329">
            <v>0</v>
          </cell>
          <cell r="T1329">
            <v>0</v>
          </cell>
        </row>
        <row r="1330">
          <cell r="B1330" t="str">
            <v>GY3-1160</v>
          </cell>
          <cell r="C1330" t="str">
            <v>Implementation of Business Continiuty</v>
          </cell>
          <cell r="D1330">
            <v>0</v>
          </cell>
          <cell r="E1330">
            <v>0</v>
          </cell>
          <cell r="F1330">
            <v>0</v>
          </cell>
          <cell r="S1330">
            <v>0</v>
          </cell>
          <cell r="T1330">
            <v>0</v>
          </cell>
        </row>
        <row r="1331">
          <cell r="B1331" t="str">
            <v>GY3-1170</v>
          </cell>
          <cell r="C1331" t="str">
            <v>Implementation of Employee Protection</v>
          </cell>
          <cell r="D1331">
            <v>0</v>
          </cell>
          <cell r="E1331">
            <v>0</v>
          </cell>
          <cell r="F1331">
            <v>0</v>
          </cell>
          <cell r="S1331">
            <v>0</v>
          </cell>
          <cell r="T1331">
            <v>0</v>
          </cell>
        </row>
        <row r="1332">
          <cell r="B1332" t="str">
            <v>GY3-1180</v>
          </cell>
          <cell r="C1332" t="str">
            <v>Implementation of Information Security</v>
          </cell>
          <cell r="D1332">
            <v>0</v>
          </cell>
          <cell r="E1332">
            <v>0</v>
          </cell>
          <cell r="F1332">
            <v>0</v>
          </cell>
          <cell r="S1332">
            <v>0</v>
          </cell>
          <cell r="T1332">
            <v>0</v>
          </cell>
        </row>
        <row r="1333">
          <cell r="B1333" t="str">
            <v>GY3-1190</v>
          </cell>
          <cell r="C1333" t="str">
            <v>Implementation of Programe Office Security</v>
          </cell>
          <cell r="D1333">
            <v>0</v>
          </cell>
          <cell r="E1333">
            <v>0</v>
          </cell>
          <cell r="F1333">
            <v>0</v>
          </cell>
          <cell r="S1333">
            <v>0</v>
          </cell>
          <cell r="T1333">
            <v>0</v>
          </cell>
        </row>
        <row r="1334">
          <cell r="B1334" t="str">
            <v>GY3-1240</v>
          </cell>
          <cell r="C1334" t="str">
            <v>Implementation of Securities for Fcilities &amp; Job Sites</v>
          </cell>
          <cell r="D1334">
            <v>0</v>
          </cell>
          <cell r="E1334">
            <v>0</v>
          </cell>
          <cell r="F1334">
            <v>0</v>
          </cell>
          <cell r="S1334">
            <v>0</v>
          </cell>
          <cell r="T1334">
            <v>0</v>
          </cell>
        </row>
        <row r="1335">
          <cell r="B1335" t="str">
            <v>WORKSHOPFORAPPROVALOFMANUALS&amp;PROCEDDURES</v>
          </cell>
          <cell r="F1335">
            <v>0</v>
          </cell>
        </row>
        <row r="1336">
          <cell r="B1336" t="str">
            <v>INVOICES&amp;CORECONSULTANCYEXPENSES</v>
          </cell>
          <cell r="D1336">
            <v>201199940</v>
          </cell>
          <cell r="E1336">
            <v>0.23160416365452194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0</v>
          </cell>
          <cell r="AA1336">
            <v>0</v>
          </cell>
          <cell r="AB1336">
            <v>0</v>
          </cell>
          <cell r="AC1336">
            <v>0</v>
          </cell>
          <cell r="AD1336">
            <v>0</v>
          </cell>
          <cell r="AE1336">
            <v>0</v>
          </cell>
          <cell r="AF1336">
            <v>0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>
            <v>0</v>
          </cell>
          <cell r="AM1336">
            <v>0</v>
          </cell>
          <cell r="AN1336">
            <v>0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 t="str">
            <v>INVOICESFORYEAR1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0</v>
          </cell>
          <cell r="AA1337">
            <v>0</v>
          </cell>
          <cell r="AB1337">
            <v>0</v>
          </cell>
          <cell r="AC1337">
            <v>0</v>
          </cell>
          <cell r="AD1337">
            <v>0</v>
          </cell>
          <cell r="AE1337">
            <v>0</v>
          </cell>
          <cell r="AF1337">
            <v>0</v>
          </cell>
          <cell r="AG1337">
            <v>0</v>
          </cell>
          <cell r="AH1337">
            <v>0</v>
          </cell>
          <cell r="AI1337">
            <v>0</v>
          </cell>
          <cell r="AJ1337">
            <v>0</v>
          </cell>
          <cell r="AK1337">
            <v>0</v>
          </cell>
          <cell r="AL1337">
            <v>0</v>
          </cell>
          <cell r="AM1337">
            <v>0</v>
          </cell>
          <cell r="AN1337">
            <v>0</v>
          </cell>
          <cell r="AO1337">
            <v>0</v>
          </cell>
          <cell r="AP1337">
            <v>0</v>
          </cell>
          <cell r="AQ1337">
            <v>0</v>
          </cell>
        </row>
        <row r="1338">
          <cell r="B1338" t="str">
            <v>D+1MONTH</v>
          </cell>
          <cell r="F1338">
            <v>0</v>
          </cell>
        </row>
        <row r="1339">
          <cell r="B1339" t="str">
            <v>D+2MONTH</v>
          </cell>
          <cell r="F1339">
            <v>0</v>
          </cell>
        </row>
        <row r="1340">
          <cell r="B1340" t="str">
            <v>D+3MONTH</v>
          </cell>
          <cell r="F1340">
            <v>0</v>
          </cell>
        </row>
        <row r="1341">
          <cell r="B1341" t="str">
            <v>D+4MONTH</v>
          </cell>
          <cell r="F1341">
            <v>0</v>
          </cell>
        </row>
        <row r="1342">
          <cell r="B1342" t="str">
            <v>D+5MONTH</v>
          </cell>
          <cell r="F1342">
            <v>0</v>
          </cell>
        </row>
        <row r="1343">
          <cell r="B1343" t="str">
            <v>D+6MONTH</v>
          </cell>
          <cell r="F1343">
            <v>0</v>
          </cell>
        </row>
        <row r="1344">
          <cell r="B1344" t="str">
            <v>D+7MONTH</v>
          </cell>
          <cell r="F1344">
            <v>0</v>
          </cell>
        </row>
        <row r="1345">
          <cell r="B1345" t="str">
            <v>D+8MONTH</v>
          </cell>
          <cell r="F1345">
            <v>0</v>
          </cell>
        </row>
        <row r="1346">
          <cell r="B1346" t="str">
            <v>D+9MONTH</v>
          </cell>
          <cell r="F1346">
            <v>0</v>
          </cell>
        </row>
        <row r="1347">
          <cell r="B1347" t="str">
            <v>D+10MONTH</v>
          </cell>
          <cell r="F1347">
            <v>0</v>
          </cell>
        </row>
        <row r="1348">
          <cell r="B1348" t="str">
            <v>D+11MONTH</v>
          </cell>
          <cell r="F1348">
            <v>0</v>
          </cell>
        </row>
        <row r="1349">
          <cell r="B1349" t="str">
            <v>D+12MONTH</v>
          </cell>
          <cell r="F1349">
            <v>0</v>
          </cell>
        </row>
        <row r="1350">
          <cell r="B1350" t="str">
            <v>INVOICESFORYEAR2</v>
          </cell>
          <cell r="F1350">
            <v>0</v>
          </cell>
        </row>
        <row r="1351">
          <cell r="B1351" t="str">
            <v>INVOICESFORYEAR3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>
            <v>0</v>
          </cell>
          <cell r="AM1351">
            <v>0</v>
          </cell>
          <cell r="AN1351">
            <v>0</v>
          </cell>
          <cell r="AO1351">
            <v>0</v>
          </cell>
          <cell r="AP1351">
            <v>0</v>
          </cell>
          <cell r="AQ1351">
            <v>0</v>
          </cell>
        </row>
        <row r="1352">
          <cell r="B1352" t="str">
            <v>GY3-3770</v>
          </cell>
          <cell r="C1352" t="str">
            <v>Preparation of Monthly Invoice for Year 3</v>
          </cell>
          <cell r="D1352">
            <v>0</v>
          </cell>
          <cell r="E1352">
            <v>0</v>
          </cell>
          <cell r="F1352">
            <v>0</v>
          </cell>
          <cell r="S1352">
            <v>0</v>
          </cell>
          <cell r="T1352">
            <v>0</v>
          </cell>
        </row>
        <row r="1353">
          <cell r="B1353" t="str">
            <v>GY3-3780</v>
          </cell>
          <cell r="C1353" t="str">
            <v>Submission of invoice for Year 3</v>
          </cell>
          <cell r="D1353">
            <v>0</v>
          </cell>
          <cell r="E1353">
            <v>0</v>
          </cell>
          <cell r="F1353">
            <v>0</v>
          </cell>
          <cell r="S1353">
            <v>0</v>
          </cell>
          <cell r="T1353">
            <v>0</v>
          </cell>
        </row>
        <row r="1354">
          <cell r="B1354" t="str">
            <v>GY3-3790</v>
          </cell>
          <cell r="C1354" t="str">
            <v>Receipt of Payment for Year 3</v>
          </cell>
          <cell r="D1354">
            <v>0</v>
          </cell>
          <cell r="E1354">
            <v>0</v>
          </cell>
          <cell r="F1354">
            <v>0</v>
          </cell>
          <cell r="S1354">
            <v>0</v>
          </cell>
          <cell r="T1354">
            <v>0</v>
          </cell>
        </row>
        <row r="1355">
          <cell r="B1355" t="str">
            <v>CORECONSULTANCYEXPENSES</v>
          </cell>
          <cell r="D1355">
            <v>201199940</v>
          </cell>
          <cell r="E1355">
            <v>0.23160416365452194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>
            <v>0</v>
          </cell>
          <cell r="AM1355">
            <v>0</v>
          </cell>
          <cell r="AN1355">
            <v>0</v>
          </cell>
          <cell r="AO1355">
            <v>0</v>
          </cell>
          <cell r="AP1355">
            <v>0</v>
          </cell>
          <cell r="AQ1355">
            <v>0</v>
          </cell>
        </row>
        <row r="1356">
          <cell r="B1356" t="str">
            <v>GY3-1000</v>
          </cell>
          <cell r="C1356" t="str">
            <v>Core Consultancy Expenses</v>
          </cell>
          <cell r="D1356">
            <v>201199940</v>
          </cell>
          <cell r="E1356">
            <v>0.23160416365452194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</row>
        <row r="1357">
          <cell r="B1357" t="str">
            <v>PRE-OPERATIVE SERVICES</v>
          </cell>
          <cell r="E1357">
            <v>3.449198384422334</v>
          </cell>
          <cell r="F1357">
            <v>0.30351571210829981</v>
          </cell>
          <cell r="G1357">
            <v>1.9270493694067325E-3</v>
          </cell>
          <cell r="H1357">
            <v>5.0438421203344757E-3</v>
          </cell>
          <cell r="I1357">
            <v>1.273528248440918E-2</v>
          </cell>
          <cell r="J1357">
            <v>2.1918091270339727E-2</v>
          </cell>
          <cell r="K1357">
            <v>3.1771177923681004E-2</v>
          </cell>
          <cell r="L1357">
            <v>5.0103281935905478E-2</v>
          </cell>
          <cell r="M1357">
            <v>4.6249183197092009E-2</v>
          </cell>
          <cell r="N1357">
            <v>3.9563159967867322E-2</v>
          </cell>
          <cell r="O1357">
            <v>2.3677570839159862E-2</v>
          </cell>
          <cell r="P1357">
            <v>1.3740699285525283E-2</v>
          </cell>
          <cell r="Q1357">
            <v>5.7979048880385086E-3</v>
          </cell>
          <cell r="R1357">
            <v>2.0946188362594158E-3</v>
          </cell>
          <cell r="S1357">
            <v>2.4954229106059874E-2</v>
          </cell>
          <cell r="T1357">
            <v>2.3939620884220917E-2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>
            <v>0</v>
          </cell>
          <cell r="AM1357">
            <v>0</v>
          </cell>
          <cell r="AN1357">
            <v>0</v>
          </cell>
          <cell r="AO1357">
            <v>0</v>
          </cell>
          <cell r="AP1357">
            <v>0</v>
          </cell>
          <cell r="AQ1357">
            <v>0</v>
          </cell>
        </row>
        <row r="1358">
          <cell r="B1358" t="str">
            <v>PRE-OPERATIVESERVICESFORYEAR1</v>
          </cell>
          <cell r="E1358">
            <v>0.87853030504769358</v>
          </cell>
          <cell r="F1358">
            <v>1</v>
          </cell>
          <cell r="G1358">
            <v>7.5657897439280024E-3</v>
          </cell>
          <cell r="H1358">
            <v>1.9802631727990912E-2</v>
          </cell>
          <cell r="I1358">
            <v>5.0000000589622819E-2</v>
          </cell>
          <cell r="J1358">
            <v>8.6052631952375155E-2</v>
          </cell>
          <cell r="K1358">
            <v>0.12473684167287309</v>
          </cell>
          <cell r="L1358">
            <v>0.19671052679076342</v>
          </cell>
          <cell r="M1358">
            <v>0.18157894730290741</v>
          </cell>
          <cell r="N1358">
            <v>0.15532894728816685</v>
          </cell>
          <cell r="O1358">
            <v>9.2960525796593821E-2</v>
          </cell>
          <cell r="P1358">
            <v>5.3947368126241221E-2</v>
          </cell>
          <cell r="Q1358">
            <v>2.2763158035591181E-2</v>
          </cell>
          <cell r="R1358">
            <v>8.2236843333644023E-3</v>
          </cell>
          <cell r="S1358">
            <v>3.2894663958182857E-4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>
            <v>0</v>
          </cell>
          <cell r="AM1358">
            <v>0</v>
          </cell>
          <cell r="AN1358">
            <v>0</v>
          </cell>
          <cell r="AO1358">
            <v>0</v>
          </cell>
          <cell r="AP1358">
            <v>0</v>
          </cell>
          <cell r="AQ1358">
            <v>0</v>
          </cell>
        </row>
        <row r="1359">
          <cell r="B1359" t="str">
            <v>PY1-1000</v>
          </cell>
          <cell r="C1359" t="str">
            <v>Pre-Operative Cost, Preliminary,  Consultancy Services</v>
          </cell>
          <cell r="E1359">
            <v>0.87853030504769358</v>
          </cell>
          <cell r="F1359">
            <v>1</v>
          </cell>
          <cell r="G1359">
            <v>7.5657897439280024E-3</v>
          </cell>
          <cell r="H1359">
            <v>1.9802631727990912E-2</v>
          </cell>
          <cell r="I1359">
            <v>5.0000000589622819E-2</v>
          </cell>
          <cell r="J1359">
            <v>8.6052631952375155E-2</v>
          </cell>
          <cell r="K1359">
            <v>0.12473684167287309</v>
          </cell>
          <cell r="L1359">
            <v>0.19671052679076342</v>
          </cell>
          <cell r="M1359">
            <v>0.18157894730290741</v>
          </cell>
          <cell r="N1359">
            <v>0.15532894728816685</v>
          </cell>
          <cell r="O1359">
            <v>9.2960525796593821E-2</v>
          </cell>
          <cell r="P1359">
            <v>5.3947368126241221E-2</v>
          </cell>
          <cell r="Q1359">
            <v>2.2763158035591181E-2</v>
          </cell>
          <cell r="R1359">
            <v>8.2236843333644023E-3</v>
          </cell>
          <cell r="S1359">
            <v>3.2894663958182857E-4</v>
          </cell>
          <cell r="T1359">
            <v>0</v>
          </cell>
        </row>
        <row r="1360">
          <cell r="B1360" t="str">
            <v>PRE-OPERATIVESERVICESFORYEAR2</v>
          </cell>
          <cell r="E1360">
            <v>1.0033110774913481</v>
          </cell>
          <cell r="F1360">
            <v>0.1678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8.5500000000000007E-2</v>
          </cell>
          <cell r="T1360">
            <v>8.2299999999999998E-2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>
            <v>0</v>
          </cell>
          <cell r="AM1360">
            <v>0</v>
          </cell>
          <cell r="AN1360">
            <v>0</v>
          </cell>
          <cell r="AO1360">
            <v>0</v>
          </cell>
          <cell r="AP1360">
            <v>0</v>
          </cell>
          <cell r="AQ1360">
            <v>0</v>
          </cell>
        </row>
        <row r="1361">
          <cell r="B1361" t="str">
            <v>PY2-1000</v>
          </cell>
          <cell r="C1361" t="str">
            <v>Pre-Operative Cost, Preliminary,  Consultancy Services</v>
          </cell>
          <cell r="E1361">
            <v>0.43926515309940406</v>
          </cell>
          <cell r="F1361">
            <v>0.1678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8.5500000000000007E-2</v>
          </cell>
          <cell r="T1361">
            <v>8.2299999999999998E-2</v>
          </cell>
        </row>
        <row r="1362">
          <cell r="B1362" t="str">
            <v>PY2-1010</v>
          </cell>
          <cell r="C1362" t="str">
            <v>Financing Cost (By Concessionaire) for Year 2</v>
          </cell>
          <cell r="E1362">
            <v>0.56404592439194401</v>
          </cell>
          <cell r="F1362">
            <v>0.1678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8.5500000000000007E-2</v>
          </cell>
          <cell r="T1362">
            <v>8.2299999999999998E-2</v>
          </cell>
        </row>
        <row r="1363">
          <cell r="B1363" t="str">
            <v>PRE-OPERATIVESERVICESFORYEAR3</v>
          </cell>
          <cell r="E1363">
            <v>1.5673570018832921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>
            <v>0</v>
          </cell>
          <cell r="AM1363">
            <v>0</v>
          </cell>
          <cell r="AN1363">
            <v>0</v>
          </cell>
          <cell r="AO1363">
            <v>0</v>
          </cell>
          <cell r="AP1363">
            <v>0</v>
          </cell>
          <cell r="AQ1363">
            <v>0</v>
          </cell>
        </row>
        <row r="1364">
          <cell r="B1364" t="str">
            <v>PY3-1000</v>
          </cell>
          <cell r="C1364" t="str">
            <v>Pre-Operative Cost, Preliminary,  Consultancy Services</v>
          </cell>
          <cell r="E1364">
            <v>0.43926515309940406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</row>
        <row r="1365">
          <cell r="B1365" t="str">
            <v>PY3-1010</v>
          </cell>
          <cell r="C1365" t="str">
            <v>Financing Cost (By Concessionaire) for Year 3</v>
          </cell>
          <cell r="E1365">
            <v>1.128091848783888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</row>
        <row r="1366">
          <cell r="B1366" t="str">
            <v>CONSTRUCTION</v>
          </cell>
          <cell r="D1366">
            <v>51036290686</v>
          </cell>
          <cell r="E1366">
            <v>95.788072306856279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>
            <v>0</v>
          </cell>
          <cell r="AM1366">
            <v>0</v>
          </cell>
          <cell r="AN1366">
            <v>0</v>
          </cell>
          <cell r="AO1366">
            <v>0</v>
          </cell>
          <cell r="AP1366">
            <v>0</v>
          </cell>
          <cell r="AQ1366">
            <v>0</v>
          </cell>
        </row>
        <row r="1367">
          <cell r="B1367" t="str">
            <v>TRUNKINFRASTRUCTURES</v>
          </cell>
          <cell r="D1367">
            <v>2978999107</v>
          </cell>
          <cell r="E1367">
            <v>9.6016731945003819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>
            <v>0</v>
          </cell>
          <cell r="AM1367">
            <v>0</v>
          </cell>
          <cell r="AN1367">
            <v>0</v>
          </cell>
          <cell r="AO1367">
            <v>0</v>
          </cell>
          <cell r="AP1367">
            <v>0</v>
          </cell>
          <cell r="AQ1367">
            <v>0</v>
          </cell>
        </row>
        <row r="1368">
          <cell r="B1368" t="str">
            <v>CTI-1000</v>
          </cell>
          <cell r="C1368" t="str">
            <v>Mobilization for Trunk Infrastructure</v>
          </cell>
          <cell r="D1368">
            <v>297899911</v>
          </cell>
          <cell r="E1368">
            <v>0.34291690017358611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</row>
        <row r="1369">
          <cell r="B1369" t="str">
            <v>EXTERNALDEVELOPMENTWORKS</v>
          </cell>
          <cell r="D1369">
            <v>1476359557</v>
          </cell>
          <cell r="E1369">
            <v>5.0983765768371327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>
            <v>0</v>
          </cell>
          <cell r="AM1369">
            <v>0</v>
          </cell>
          <cell r="AN1369">
            <v>0</v>
          </cell>
          <cell r="AO1369">
            <v>0</v>
          </cell>
          <cell r="AP1369">
            <v>0</v>
          </cell>
          <cell r="AQ1369">
            <v>0</v>
          </cell>
        </row>
        <row r="1370">
          <cell r="B1370" t="str">
            <v>CTI-1050</v>
          </cell>
          <cell r="C1370" t="str">
            <v>Entrance Gate , Gate Facade and Boundary wall</v>
          </cell>
          <cell r="D1370">
            <v>188999943</v>
          </cell>
          <cell r="E1370">
            <v>0.65268171147467513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</row>
        <row r="1371">
          <cell r="B1371" t="str">
            <v>CTI-1060</v>
          </cell>
          <cell r="C1371" t="str">
            <v>Internal Roads and Walkways</v>
          </cell>
          <cell r="D1371">
            <v>431999870</v>
          </cell>
          <cell r="E1371">
            <v>1.4918439129287842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</row>
        <row r="1372">
          <cell r="B1372" t="str">
            <v>CTI-1070</v>
          </cell>
          <cell r="C1372" t="str">
            <v>Common Parking and Parking Signage</v>
          </cell>
          <cell r="D1372">
            <v>187109944</v>
          </cell>
          <cell r="E1372">
            <v>0.64615489584486596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</row>
        <row r="1373">
          <cell r="B1373" t="str">
            <v>CTI-1080</v>
          </cell>
          <cell r="C1373" t="str">
            <v>Waterbodies</v>
          </cell>
          <cell r="D1373">
            <v>133649960</v>
          </cell>
          <cell r="E1373">
            <v>0.46153921131776143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</row>
        <row r="1374">
          <cell r="B1374" t="str">
            <v>CTI-1090</v>
          </cell>
          <cell r="C1374" t="str">
            <v>Landscape</v>
          </cell>
          <cell r="D1374">
            <v>267299920</v>
          </cell>
          <cell r="E1374">
            <v>0.92307842263552287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</row>
        <row r="1375">
          <cell r="B1375" t="str">
            <v>CTI-1100</v>
          </cell>
          <cell r="C1375" t="str">
            <v>Plantation</v>
          </cell>
          <cell r="D1375">
            <v>133649960</v>
          </cell>
          <cell r="E1375">
            <v>0.46153921131776143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</row>
        <row r="1376">
          <cell r="B1376" t="str">
            <v>CTI-1110</v>
          </cell>
          <cell r="C1376" t="str">
            <v>Specialized/ Misc. Finishes</v>
          </cell>
          <cell r="D1376">
            <v>133649960</v>
          </cell>
          <cell r="E1376">
            <v>0.46153921131776143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</row>
        <row r="1377">
          <cell r="B1377" t="str">
            <v>MEPWORKS</v>
          </cell>
          <cell r="D1377">
            <v>1084265675</v>
          </cell>
          <cell r="E1377">
            <v>3.7443417453953614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>
            <v>0</v>
          </cell>
          <cell r="AM1377">
            <v>0</v>
          </cell>
          <cell r="AN1377">
            <v>0</v>
          </cell>
          <cell r="AO1377">
            <v>0</v>
          </cell>
          <cell r="AP1377">
            <v>0</v>
          </cell>
          <cell r="AQ1377">
            <v>0</v>
          </cell>
        </row>
        <row r="1378">
          <cell r="B1378" t="str">
            <v>CTI-1120</v>
          </cell>
          <cell r="C1378" t="str">
            <v>Street Lights, Facade Lightings &amp; Other Electrical Works</v>
          </cell>
          <cell r="D1378">
            <v>120284964</v>
          </cell>
          <cell r="E1378">
            <v>0.4153852901859853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</row>
        <row r="1379">
          <cell r="B1379" t="str">
            <v>CTI-1130</v>
          </cell>
          <cell r="C1379" t="str">
            <v>Plumbing Works</v>
          </cell>
          <cell r="D1379">
            <v>97199971</v>
          </cell>
          <cell r="E1379">
            <v>0.33566488127231225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</row>
        <row r="1380">
          <cell r="B1380" t="str">
            <v>CTI-1140</v>
          </cell>
          <cell r="C1380" t="str">
            <v>Water supply &amp; Fire Fighting Lines</v>
          </cell>
          <cell r="D1380">
            <v>72899978</v>
          </cell>
          <cell r="E1380">
            <v>0.25174866009089836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</row>
        <row r="1381">
          <cell r="B1381" t="str">
            <v>CTI-1150</v>
          </cell>
          <cell r="C1381" t="str">
            <v>Sewer and Storm water Lines</v>
          </cell>
          <cell r="D1381">
            <v>192455942</v>
          </cell>
          <cell r="E1381">
            <v>0.6646164629162391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</row>
        <row r="1382">
          <cell r="B1382" t="str">
            <v>CTI-1160</v>
          </cell>
          <cell r="C1382" t="str">
            <v>Elevators ,Escalators and Travellators</v>
          </cell>
          <cell r="D1382">
            <v>120284964</v>
          </cell>
          <cell r="E1382">
            <v>0.4153852901859853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</row>
        <row r="1383">
          <cell r="B1383" t="str">
            <v>CTI-1170</v>
          </cell>
          <cell r="C1383" t="str">
            <v>Gas Bank &amp; Gas Lines</v>
          </cell>
          <cell r="D1383">
            <v>48113986</v>
          </cell>
          <cell r="E1383">
            <v>0.1661541174557315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</row>
        <row r="1384">
          <cell r="B1384" t="str">
            <v>CTI-1180</v>
          </cell>
          <cell r="C1384" t="str">
            <v>Sub Station and DG Room</v>
          </cell>
          <cell r="D1384">
            <v>120284964</v>
          </cell>
          <cell r="E1384">
            <v>0.4153852901859853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</row>
        <row r="1385">
          <cell r="B1385" t="str">
            <v>CTI-1190</v>
          </cell>
          <cell r="C1385" t="str">
            <v>STP</v>
          </cell>
          <cell r="D1385">
            <v>96227971</v>
          </cell>
          <cell r="E1385">
            <v>0.33230823145811955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</row>
        <row r="1386">
          <cell r="B1386" t="str">
            <v>CTI-1200</v>
          </cell>
          <cell r="C1386" t="str">
            <v>Central BMS System (Fire detection, Access Control,  PA System , Security cabins &amp; Cameras)</v>
          </cell>
          <cell r="D1386">
            <v>216512935</v>
          </cell>
          <cell r="E1386">
            <v>0.74769352164410485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</row>
        <row r="1387">
          <cell r="B1387" t="str">
            <v>COMPLETION&amp;HANDINGOVER</v>
          </cell>
          <cell r="D1387">
            <v>120473964</v>
          </cell>
          <cell r="E1387">
            <v>0.41603797209430055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>
            <v>0</v>
          </cell>
          <cell r="AM1387">
            <v>0</v>
          </cell>
          <cell r="AN1387">
            <v>0</v>
          </cell>
          <cell r="AO1387">
            <v>0</v>
          </cell>
          <cell r="AP1387">
            <v>0</v>
          </cell>
          <cell r="AQ1387">
            <v>0</v>
          </cell>
        </row>
        <row r="1388">
          <cell r="B1388" t="str">
            <v>CTI-1030</v>
          </cell>
          <cell r="C1388" t="str">
            <v>Completion of Construction Work for Trunk Services</v>
          </cell>
          <cell r="D1388">
            <v>0</v>
          </cell>
          <cell r="E1388">
            <v>0</v>
          </cell>
          <cell r="F1388">
            <v>0</v>
          </cell>
          <cell r="S1388">
            <v>0</v>
          </cell>
          <cell r="T1388">
            <v>0</v>
          </cell>
        </row>
        <row r="1389">
          <cell r="B1389" t="str">
            <v>CTI-1040</v>
          </cell>
          <cell r="C1389" t="str">
            <v>Testing &amp; Commissioning of Trunk Services</v>
          </cell>
          <cell r="D1389">
            <v>120473964</v>
          </cell>
          <cell r="E1389">
            <v>0.41603797209430055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</row>
        <row r="1390">
          <cell r="B1390" t="str">
            <v>METROCONNECTIVITY</v>
          </cell>
          <cell r="D1390">
            <v>0</v>
          </cell>
          <cell r="E1390">
            <v>0</v>
          </cell>
          <cell r="F1390">
            <v>0</v>
          </cell>
        </row>
        <row r="1391">
          <cell r="B1391" t="str">
            <v>CMC-1000</v>
          </cell>
          <cell r="C1391" t="str">
            <v>Construction of Metro Line through ECC Complex</v>
          </cell>
          <cell r="D1391">
            <v>0</v>
          </cell>
          <cell r="E1391">
            <v>0</v>
          </cell>
          <cell r="F1391">
            <v>0</v>
          </cell>
          <cell r="S1391">
            <v>0</v>
          </cell>
          <cell r="T1391">
            <v>0</v>
          </cell>
        </row>
        <row r="1392">
          <cell r="B1392" t="str">
            <v>CMC-1010</v>
          </cell>
          <cell r="C1392" t="str">
            <v>Construction of Metro Station(s) over ECC Complex</v>
          </cell>
          <cell r="D1392">
            <v>0</v>
          </cell>
          <cell r="E1392">
            <v>0</v>
          </cell>
          <cell r="F1392">
            <v>0</v>
          </cell>
          <cell r="S1392">
            <v>0</v>
          </cell>
          <cell r="T1392">
            <v>0</v>
          </cell>
        </row>
        <row r="1393">
          <cell r="B1393" t="str">
            <v>EXHIBITIONCENTER</v>
          </cell>
          <cell r="D1393">
            <v>3554798931</v>
          </cell>
          <cell r="E1393">
            <v>11.457545432141792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>
            <v>0</v>
          </cell>
          <cell r="AM1393">
            <v>0</v>
          </cell>
          <cell r="AN1393">
            <v>0</v>
          </cell>
          <cell r="AO1393">
            <v>0</v>
          </cell>
          <cell r="AP1393">
            <v>0</v>
          </cell>
          <cell r="AQ1393">
            <v>0</v>
          </cell>
        </row>
        <row r="1394">
          <cell r="B1394" t="str">
            <v>EXHIBITIONCENTER-1</v>
          </cell>
          <cell r="D1394">
            <v>3554798931</v>
          </cell>
          <cell r="E1394">
            <v>11.457545432141792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>
            <v>0</v>
          </cell>
          <cell r="AM1394">
            <v>0</v>
          </cell>
          <cell r="AN1394">
            <v>0</v>
          </cell>
          <cell r="AO1394">
            <v>0</v>
          </cell>
          <cell r="AP1394">
            <v>0</v>
          </cell>
          <cell r="AQ1394">
            <v>0</v>
          </cell>
        </row>
        <row r="1395">
          <cell r="B1395" t="str">
            <v>CE1-1000</v>
          </cell>
          <cell r="C1395" t="str">
            <v>Mobilization for Exhibition Center-1</v>
          </cell>
          <cell r="D1395">
            <v>355479893</v>
          </cell>
          <cell r="E1395">
            <v>0.40919805102458745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</row>
        <row r="1396">
          <cell r="B1396" t="str">
            <v>STRUCTURE</v>
          </cell>
          <cell r="D1396">
            <v>1340999597</v>
          </cell>
          <cell r="E1396">
            <v>4.6309321482536614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>
            <v>0</v>
          </cell>
          <cell r="AM1396">
            <v>0</v>
          </cell>
          <cell r="AN1396">
            <v>0</v>
          </cell>
          <cell r="AO1396">
            <v>0</v>
          </cell>
          <cell r="AP1396">
            <v>0</v>
          </cell>
          <cell r="AQ1396">
            <v>0</v>
          </cell>
        </row>
        <row r="1397">
          <cell r="B1397" t="str">
            <v>CE1-1010</v>
          </cell>
          <cell r="C1397" t="str">
            <v>Substructure</v>
          </cell>
          <cell r="D1397">
            <v>638999808</v>
          </cell>
          <cell r="E1397">
            <v>2.2066857888810518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</row>
        <row r="1398">
          <cell r="B1398" t="str">
            <v>CE1-1060</v>
          </cell>
          <cell r="C1398" t="str">
            <v>Superstructure ( RCC &amp; Masonry)</v>
          </cell>
          <cell r="D1398">
            <v>188999943</v>
          </cell>
          <cell r="E1398">
            <v>0.65268171147467513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</row>
        <row r="1399">
          <cell r="B1399" t="str">
            <v>CE1-1070</v>
          </cell>
          <cell r="C1399" t="str">
            <v>Superstructure ( Steel work)</v>
          </cell>
          <cell r="D1399">
            <v>512999846</v>
          </cell>
          <cell r="E1399">
            <v>1.7715646478979348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</row>
        <row r="1400">
          <cell r="B1400" t="str">
            <v>FINISHES</v>
          </cell>
          <cell r="D1400">
            <v>1025279692</v>
          </cell>
          <cell r="E1400">
            <v>3.5406428885260972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>
            <v>0</v>
          </cell>
          <cell r="AM1400">
            <v>0</v>
          </cell>
          <cell r="AN1400">
            <v>0</v>
          </cell>
          <cell r="AO1400">
            <v>0</v>
          </cell>
          <cell r="AP1400">
            <v>0</v>
          </cell>
          <cell r="AQ1400">
            <v>0</v>
          </cell>
        </row>
        <row r="1401">
          <cell r="B1401" t="str">
            <v>CE1-1020</v>
          </cell>
          <cell r="C1401" t="str">
            <v>Internal Finishes</v>
          </cell>
          <cell r="D1401">
            <v>192239942</v>
          </cell>
          <cell r="E1401">
            <v>0.66387054073530738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</row>
        <row r="1402">
          <cell r="B1402" t="str">
            <v>CE1-1080</v>
          </cell>
          <cell r="C1402" t="str">
            <v>Roofing</v>
          </cell>
          <cell r="D1402">
            <v>288359913</v>
          </cell>
          <cell r="E1402">
            <v>0.99580581110296118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</row>
        <row r="1403">
          <cell r="B1403" t="str">
            <v>CE1-1090</v>
          </cell>
          <cell r="C1403" t="str">
            <v>External Facade</v>
          </cell>
          <cell r="D1403">
            <v>384479885</v>
          </cell>
          <cell r="E1403">
            <v>1.3277410849239581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</row>
        <row r="1404">
          <cell r="B1404" t="str">
            <v>CE1-1100</v>
          </cell>
          <cell r="C1404" t="str">
            <v>Specialized/ Misc. Finishes</v>
          </cell>
          <cell r="D1404">
            <v>160199952</v>
          </cell>
          <cell r="E1404">
            <v>0.55322545176387061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</row>
        <row r="1405">
          <cell r="B1405" t="str">
            <v>MEPWORKS</v>
          </cell>
          <cell r="D1405">
            <v>749735774</v>
          </cell>
          <cell r="E1405">
            <v>2.5890951095583676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>
            <v>0</v>
          </cell>
          <cell r="AM1405">
            <v>0</v>
          </cell>
          <cell r="AN1405">
            <v>0</v>
          </cell>
          <cell r="AO1405">
            <v>0</v>
          </cell>
          <cell r="AP1405">
            <v>0</v>
          </cell>
          <cell r="AQ1405">
            <v>0</v>
          </cell>
        </row>
        <row r="1406">
          <cell r="B1406" t="str">
            <v>CE1-1030</v>
          </cell>
          <cell r="C1406" t="str">
            <v>Electrical Works</v>
          </cell>
          <cell r="D1406">
            <v>144179957</v>
          </cell>
          <cell r="E1406">
            <v>0.49790290727815223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</row>
        <row r="1407">
          <cell r="B1407" t="str">
            <v>CE1-1110</v>
          </cell>
          <cell r="C1407" t="str">
            <v>Plumbing &amp; Fire Fighting Works</v>
          </cell>
          <cell r="D1407">
            <v>115343965</v>
          </cell>
          <cell r="E1407">
            <v>0.39832232375051574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</row>
        <row r="1408">
          <cell r="B1408" t="str">
            <v>CE1-1120</v>
          </cell>
          <cell r="C1408" t="str">
            <v>HVAC Works</v>
          </cell>
          <cell r="D1408">
            <v>201851939</v>
          </cell>
          <cell r="E1408">
            <v>0.69706406742673843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</row>
        <row r="1409">
          <cell r="B1409" t="str">
            <v>CE1-1130</v>
          </cell>
          <cell r="C1409" t="str">
            <v>BMS System (Fire detection, Access control, PA System, Security Camera, etc.)</v>
          </cell>
          <cell r="D1409">
            <v>288359913</v>
          </cell>
          <cell r="E1409">
            <v>0.99580581110296118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</row>
        <row r="1410">
          <cell r="B1410" t="str">
            <v>COMPLETION&amp;HANDINGOVER</v>
          </cell>
          <cell r="D1410">
            <v>83303975</v>
          </cell>
          <cell r="E1410">
            <v>0.28767723477907897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>
            <v>0</v>
          </cell>
          <cell r="AM1410">
            <v>0</v>
          </cell>
          <cell r="AN1410">
            <v>0</v>
          </cell>
          <cell r="AO1410">
            <v>0</v>
          </cell>
          <cell r="AP1410">
            <v>0</v>
          </cell>
          <cell r="AQ1410">
            <v>0</v>
          </cell>
        </row>
        <row r="1411">
          <cell r="B1411" t="str">
            <v>CE1-1040</v>
          </cell>
          <cell r="C1411" t="str">
            <v>Completion of Construction Work for Exhibition Center -1</v>
          </cell>
          <cell r="D1411">
            <v>0</v>
          </cell>
          <cell r="E1411">
            <v>0</v>
          </cell>
          <cell r="F1411">
            <v>0</v>
          </cell>
          <cell r="S1411">
            <v>0</v>
          </cell>
          <cell r="T1411">
            <v>0</v>
          </cell>
        </row>
        <row r="1412">
          <cell r="B1412" t="str">
            <v>CE1-1050</v>
          </cell>
          <cell r="C1412" t="str">
            <v>Testing &amp; Commissioning of Exhibition Center -1</v>
          </cell>
          <cell r="D1412">
            <v>83303975</v>
          </cell>
          <cell r="E1412">
            <v>0.28767723477907897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</row>
        <row r="1413">
          <cell r="B1413" t="str">
            <v>CONVENTIONCENTER</v>
          </cell>
          <cell r="D1413">
            <v>11342502597</v>
          </cell>
          <cell r="E1413">
            <v>36.557909083738963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>
            <v>0</v>
          </cell>
          <cell r="AM1413">
            <v>0</v>
          </cell>
          <cell r="AN1413">
            <v>0</v>
          </cell>
          <cell r="AO1413">
            <v>0</v>
          </cell>
          <cell r="AP1413">
            <v>0</v>
          </cell>
          <cell r="AQ1413">
            <v>0</v>
          </cell>
        </row>
        <row r="1414">
          <cell r="B1414" t="str">
            <v>CCC-1000</v>
          </cell>
          <cell r="C1414" t="str">
            <v>Mobilization for Convention Center</v>
          </cell>
          <cell r="D1414">
            <v>1134399660</v>
          </cell>
          <cell r="E1414">
            <v>1.3058238710422778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</row>
        <row r="1415">
          <cell r="B1415" t="str">
            <v>STRUCTURE</v>
          </cell>
          <cell r="D1415">
            <v>4082398775</v>
          </cell>
          <cell r="E1415">
            <v>14.09792498926371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>
            <v>0</v>
          </cell>
          <cell r="AM1415">
            <v>0</v>
          </cell>
          <cell r="AN1415">
            <v>0</v>
          </cell>
          <cell r="AO1415">
            <v>0</v>
          </cell>
          <cell r="AP1415">
            <v>0</v>
          </cell>
          <cell r="AQ1415">
            <v>0</v>
          </cell>
        </row>
        <row r="1416">
          <cell r="B1416" t="str">
            <v>CCC-1060</v>
          </cell>
          <cell r="C1416" t="str">
            <v>Substructure (RCC &amp; Masonary)</v>
          </cell>
          <cell r="D1416">
            <v>2041199388</v>
          </cell>
          <cell r="E1416">
            <v>7.0489624963585271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</row>
        <row r="1417">
          <cell r="B1417" t="str">
            <v>CCC-1070</v>
          </cell>
          <cell r="C1417" t="str">
            <v>Superstructure (RCC &amp; Masonry)</v>
          </cell>
          <cell r="D1417">
            <v>612359816</v>
          </cell>
          <cell r="E1417">
            <v>2.1146887475262206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</row>
        <row r="1418">
          <cell r="B1418" t="str">
            <v>CCC-1080</v>
          </cell>
          <cell r="C1418" t="str">
            <v>Superstructure (Steel work)</v>
          </cell>
          <cell r="D1418">
            <v>1428839571</v>
          </cell>
          <cell r="E1418">
            <v>4.9342737453789631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</row>
        <row r="1419">
          <cell r="B1419" t="str">
            <v>FINISHES</v>
          </cell>
          <cell r="D1419">
            <v>3572098929</v>
          </cell>
          <cell r="E1419">
            <v>12.335684368627421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>
            <v>0</v>
          </cell>
          <cell r="AM1419">
            <v>0</v>
          </cell>
          <cell r="AN1419">
            <v>0</v>
          </cell>
          <cell r="AO1419">
            <v>0</v>
          </cell>
          <cell r="AP1419">
            <v>0</v>
          </cell>
          <cell r="AQ1419">
            <v>0</v>
          </cell>
        </row>
        <row r="1420">
          <cell r="B1420" t="str">
            <v>CCC-1090</v>
          </cell>
          <cell r="C1420" t="str">
            <v>Internal Finishes</v>
          </cell>
          <cell r="D1420">
            <v>510299847</v>
          </cell>
          <cell r="E1420">
            <v>1.7622406240896318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</row>
        <row r="1421">
          <cell r="B1421" t="str">
            <v>CCC-1100</v>
          </cell>
          <cell r="C1421" t="str">
            <v>Roofing Work</v>
          </cell>
          <cell r="D1421">
            <v>918539724</v>
          </cell>
          <cell r="E1421">
            <v>3.1720331212893313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</row>
        <row r="1422">
          <cell r="B1422" t="str">
            <v>CCC-1110</v>
          </cell>
          <cell r="C1422" t="str">
            <v>External Facade</v>
          </cell>
          <cell r="D1422">
            <v>1122659663</v>
          </cell>
          <cell r="E1422">
            <v>3.8769293716158524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</row>
        <row r="1423">
          <cell r="B1423" t="str">
            <v>CCC-1120</v>
          </cell>
          <cell r="C1423" t="str">
            <v>Specialized/ Misc.  Finishes</v>
          </cell>
          <cell r="D1423">
            <v>408239878</v>
          </cell>
          <cell r="E1423">
            <v>1.4097925006530427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</row>
        <row r="1424">
          <cell r="B1424" t="str">
            <v>CCC-1130</v>
          </cell>
          <cell r="C1424" t="str">
            <v>Audio Visuals</v>
          </cell>
          <cell r="D1424">
            <v>204119939</v>
          </cell>
          <cell r="E1424">
            <v>0.70489625032652137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</row>
        <row r="1425">
          <cell r="B1425" t="str">
            <v>CCC-1140</v>
          </cell>
          <cell r="C1425" t="str">
            <v>Furniture</v>
          </cell>
          <cell r="D1425">
            <v>408239878</v>
          </cell>
          <cell r="E1425">
            <v>1.4097925006530427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</row>
        <row r="1426">
          <cell r="B1426" t="str">
            <v>MEPWORKS</v>
          </cell>
          <cell r="D1426">
            <v>2298455310</v>
          </cell>
          <cell r="E1426">
            <v>7.9373555444874118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>
            <v>0</v>
          </cell>
          <cell r="AM1426">
            <v>0</v>
          </cell>
          <cell r="AN1426">
            <v>0</v>
          </cell>
          <cell r="AO1426">
            <v>0</v>
          </cell>
          <cell r="AP1426">
            <v>0</v>
          </cell>
          <cell r="AQ1426">
            <v>0</v>
          </cell>
        </row>
        <row r="1427">
          <cell r="B1427" t="str">
            <v>CCC-1150</v>
          </cell>
          <cell r="C1427" t="str">
            <v>Electrical Works</v>
          </cell>
          <cell r="D1427">
            <v>367415890</v>
          </cell>
          <cell r="E1427">
            <v>1.2688132498970699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</row>
        <row r="1428">
          <cell r="B1428" t="str">
            <v>CCC-1160</v>
          </cell>
          <cell r="C1428" t="str">
            <v>Plumbing &amp; Fire Fighting Works</v>
          </cell>
          <cell r="D1428">
            <v>275561917</v>
          </cell>
          <cell r="E1428">
            <v>0.95160993569613062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</row>
        <row r="1429">
          <cell r="B1429" t="str">
            <v>CCC-1170</v>
          </cell>
          <cell r="C1429" t="str">
            <v>HVAC Works</v>
          </cell>
          <cell r="D1429">
            <v>642977807</v>
          </cell>
          <cell r="E1429">
            <v>2.2204231855932006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</row>
        <row r="1430">
          <cell r="B1430" t="str">
            <v>CCC-1180</v>
          </cell>
          <cell r="C1430" t="str">
            <v>Escalators</v>
          </cell>
          <cell r="D1430">
            <v>186299944</v>
          </cell>
          <cell r="E1430">
            <v>0.64335768766637202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</row>
        <row r="1431">
          <cell r="B1431" t="str">
            <v>CCC-1190</v>
          </cell>
          <cell r="C1431" t="str">
            <v>BMS System(Fire detection, Access Control , PA System &amp; Security Cameras )</v>
          </cell>
          <cell r="D1431">
            <v>826199752</v>
          </cell>
          <cell r="E1431">
            <v>2.8531514856346392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</row>
        <row r="1432">
          <cell r="B1432" t="str">
            <v>COMPLETION&amp;HANDINGOVER</v>
          </cell>
          <cell r="D1432">
            <v>255149923</v>
          </cell>
          <cell r="E1432">
            <v>0.88112031031814431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>
            <v>0</v>
          </cell>
          <cell r="AM1432">
            <v>0</v>
          </cell>
          <cell r="AN1432">
            <v>0</v>
          </cell>
          <cell r="AO1432">
            <v>0</v>
          </cell>
          <cell r="AP1432">
            <v>0</v>
          </cell>
          <cell r="AQ1432">
            <v>0</v>
          </cell>
        </row>
        <row r="1433">
          <cell r="B1433" t="str">
            <v>CCC-1040</v>
          </cell>
          <cell r="C1433" t="str">
            <v>Completion of Construction Work for Convention Center</v>
          </cell>
          <cell r="D1433">
            <v>0</v>
          </cell>
          <cell r="E1433">
            <v>0</v>
          </cell>
          <cell r="F1433">
            <v>0</v>
          </cell>
          <cell r="S1433">
            <v>0</v>
          </cell>
          <cell r="T1433">
            <v>0</v>
          </cell>
        </row>
        <row r="1434">
          <cell r="B1434" t="str">
            <v>CCC-1050</v>
          </cell>
          <cell r="C1434" t="str">
            <v>Testing &amp; Commissioning of Convention Center</v>
          </cell>
          <cell r="D1434">
            <v>255149923</v>
          </cell>
          <cell r="E1434">
            <v>0.88112031031814431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</row>
        <row r="1435">
          <cell r="B1435" t="str">
            <v>HOSPITALITY</v>
          </cell>
          <cell r="D1435">
            <v>17849994645</v>
          </cell>
          <cell r="E1435">
            <v>20.547387245706535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>
            <v>0</v>
          </cell>
          <cell r="AM1435">
            <v>0</v>
          </cell>
          <cell r="AN1435">
            <v>0</v>
          </cell>
          <cell r="AO1435">
            <v>0</v>
          </cell>
          <cell r="AP1435">
            <v>0</v>
          </cell>
          <cell r="AQ1435">
            <v>0</v>
          </cell>
        </row>
        <row r="1436">
          <cell r="B1436" t="str">
            <v>5STARHOTEL-1</v>
          </cell>
          <cell r="D1436">
            <v>6549998035</v>
          </cell>
          <cell r="E1436">
            <v>7.5397975607494558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>
            <v>0</v>
          </cell>
          <cell r="AM1436">
            <v>0</v>
          </cell>
          <cell r="AN1436">
            <v>0</v>
          </cell>
          <cell r="AO1436">
            <v>0</v>
          </cell>
          <cell r="AP1436">
            <v>0</v>
          </cell>
          <cell r="AQ1436">
            <v>0</v>
          </cell>
        </row>
        <row r="1437">
          <cell r="B1437" t="str">
            <v>C51-1000</v>
          </cell>
          <cell r="C1437" t="str">
            <v>Structure Works for 5 Star Hotel -1</v>
          </cell>
          <cell r="D1437">
            <v>2619999214</v>
          </cell>
          <cell r="E1437">
            <v>3.0159190242997824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</row>
        <row r="1438">
          <cell r="B1438" t="str">
            <v>C51-1010</v>
          </cell>
          <cell r="C1438" t="str">
            <v>Finishes Works for 5 Star Hotel -1</v>
          </cell>
          <cell r="D1438">
            <v>2619999214</v>
          </cell>
          <cell r="E1438">
            <v>3.0159190242997824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</row>
        <row r="1439">
          <cell r="B1439" t="str">
            <v>C51-1020</v>
          </cell>
          <cell r="C1439" t="str">
            <v>MEP Works for 5 Star Hotel -1</v>
          </cell>
          <cell r="D1439">
            <v>1309999607</v>
          </cell>
          <cell r="E1439">
            <v>1.5079595121498912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</row>
        <row r="1440">
          <cell r="B1440" t="str">
            <v>COMPLETION&amp;HANDINGOVER</v>
          </cell>
          <cell r="D1440">
            <v>0</v>
          </cell>
          <cell r="E1440">
            <v>0</v>
          </cell>
          <cell r="F1440">
            <v>0</v>
          </cell>
        </row>
        <row r="1441">
          <cell r="B1441" t="str">
            <v>C51-1030</v>
          </cell>
          <cell r="C1441" t="str">
            <v>Completion of Construction Work for 5 Star Hotel -1</v>
          </cell>
          <cell r="D1441">
            <v>0</v>
          </cell>
          <cell r="E1441">
            <v>0</v>
          </cell>
          <cell r="F1441">
            <v>0</v>
          </cell>
          <cell r="S1441">
            <v>0</v>
          </cell>
          <cell r="T1441">
            <v>0</v>
          </cell>
        </row>
        <row r="1442">
          <cell r="B1442" t="str">
            <v>C51-1040</v>
          </cell>
          <cell r="C1442" t="str">
            <v>Testing &amp; Commissioning of 5 Star Hotel -1</v>
          </cell>
          <cell r="D1442">
            <v>0</v>
          </cell>
          <cell r="E1442">
            <v>0</v>
          </cell>
          <cell r="F1442">
            <v>0</v>
          </cell>
          <cell r="S1442">
            <v>0</v>
          </cell>
          <cell r="T1442">
            <v>0</v>
          </cell>
        </row>
        <row r="1443">
          <cell r="B1443" t="str">
            <v>5STARHOTEL-2</v>
          </cell>
          <cell r="D1443">
            <v>6549998035</v>
          </cell>
          <cell r="E1443">
            <v>7.5397975607494558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>
            <v>0</v>
          </cell>
          <cell r="AM1443">
            <v>0</v>
          </cell>
          <cell r="AN1443">
            <v>0</v>
          </cell>
          <cell r="AO1443">
            <v>0</v>
          </cell>
          <cell r="AP1443">
            <v>0</v>
          </cell>
          <cell r="AQ1443">
            <v>0</v>
          </cell>
        </row>
        <row r="1444">
          <cell r="B1444" t="str">
            <v>C52-1000</v>
          </cell>
          <cell r="C1444" t="str">
            <v>Structure Works for 5 Star Hotel -2</v>
          </cell>
          <cell r="D1444">
            <v>2619999214</v>
          </cell>
          <cell r="E1444">
            <v>3.0159190242997824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</row>
        <row r="1445">
          <cell r="B1445" t="str">
            <v>C52-1010</v>
          </cell>
          <cell r="C1445" t="str">
            <v>Finishes Works for 5 Star Hotel -2</v>
          </cell>
          <cell r="D1445">
            <v>2619999214</v>
          </cell>
          <cell r="E1445">
            <v>3.0159190242997824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</row>
        <row r="1446">
          <cell r="B1446" t="str">
            <v>C52-1020</v>
          </cell>
          <cell r="C1446" t="str">
            <v>MEP Works for 5 Star Hotel -2</v>
          </cell>
          <cell r="D1446">
            <v>1309999607</v>
          </cell>
          <cell r="E1446">
            <v>1.5079595121498912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</row>
        <row r="1447">
          <cell r="B1447" t="str">
            <v>COMPLETION&amp;HANDINGOVER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>
            <v>0</v>
          </cell>
          <cell r="AM1447">
            <v>0</v>
          </cell>
          <cell r="AN1447">
            <v>0</v>
          </cell>
          <cell r="AO1447">
            <v>0</v>
          </cell>
          <cell r="AP1447">
            <v>0</v>
          </cell>
          <cell r="AQ1447">
            <v>0</v>
          </cell>
        </row>
        <row r="1448">
          <cell r="B1448" t="str">
            <v>C52-1030</v>
          </cell>
          <cell r="C1448" t="str">
            <v>Completion of Construction Work for 5 Star Hotel -2</v>
          </cell>
          <cell r="D1448">
            <v>0</v>
          </cell>
          <cell r="E1448">
            <v>0</v>
          </cell>
          <cell r="F1448">
            <v>0</v>
          </cell>
          <cell r="S1448">
            <v>0</v>
          </cell>
          <cell r="T1448">
            <v>0</v>
          </cell>
        </row>
        <row r="1449">
          <cell r="B1449" t="str">
            <v>C52-1040</v>
          </cell>
          <cell r="C1449" t="str">
            <v>Testing &amp; Commissioning of 5 Star Hotel -2</v>
          </cell>
          <cell r="D1449">
            <v>0</v>
          </cell>
          <cell r="E1449">
            <v>0</v>
          </cell>
          <cell r="F1449">
            <v>0</v>
          </cell>
          <cell r="S1449">
            <v>0</v>
          </cell>
          <cell r="T1449">
            <v>0</v>
          </cell>
        </row>
        <row r="1450">
          <cell r="B1450" t="str">
            <v>4STARHOTEL-1</v>
          </cell>
          <cell r="D1450">
            <v>2699999190</v>
          </cell>
          <cell r="E1450">
            <v>3.1080081548127532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>
            <v>0</v>
          </cell>
          <cell r="AM1450">
            <v>0</v>
          </cell>
          <cell r="AN1450">
            <v>0</v>
          </cell>
          <cell r="AO1450">
            <v>0</v>
          </cell>
          <cell r="AP1450">
            <v>0</v>
          </cell>
          <cell r="AQ1450">
            <v>0</v>
          </cell>
        </row>
        <row r="1451">
          <cell r="B1451" t="str">
            <v>C41-1000</v>
          </cell>
          <cell r="C1451" t="str">
            <v>Structure Works for 4 Star Hotel - 1</v>
          </cell>
          <cell r="D1451">
            <v>1079999676</v>
          </cell>
          <cell r="E1451">
            <v>1.2432032619251012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</row>
        <row r="1452">
          <cell r="B1452" t="str">
            <v>C41-1010</v>
          </cell>
          <cell r="C1452" t="str">
            <v>Finishes Works for 4 Star Hotel - 1</v>
          </cell>
          <cell r="D1452">
            <v>1079999676</v>
          </cell>
          <cell r="E1452">
            <v>1.2432032619251012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</row>
        <row r="1453">
          <cell r="B1453" t="str">
            <v>C41-1020</v>
          </cell>
          <cell r="C1453" t="str">
            <v>MEP Works for 4 Star Hotel - 1</v>
          </cell>
          <cell r="D1453">
            <v>539999838</v>
          </cell>
          <cell r="E1453">
            <v>0.62160163096255061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</row>
        <row r="1454">
          <cell r="B1454" t="str">
            <v>COMPLETION&amp;HANDINGOVER</v>
          </cell>
          <cell r="D1454">
            <v>0</v>
          </cell>
          <cell r="E1454">
            <v>0</v>
          </cell>
          <cell r="F1454">
            <v>0</v>
          </cell>
        </row>
        <row r="1455">
          <cell r="B1455" t="str">
            <v>C41-1030</v>
          </cell>
          <cell r="C1455" t="str">
            <v>Completion of Construction Work for 4 Star Hotel - 1</v>
          </cell>
          <cell r="D1455">
            <v>0</v>
          </cell>
          <cell r="E1455">
            <v>0</v>
          </cell>
          <cell r="F1455">
            <v>0</v>
          </cell>
          <cell r="S1455">
            <v>0</v>
          </cell>
          <cell r="T1455">
            <v>0</v>
          </cell>
        </row>
        <row r="1456">
          <cell r="B1456" t="str">
            <v>C41-1040</v>
          </cell>
          <cell r="C1456" t="str">
            <v>Testing &amp; Commissioning of 4 Star Hotel - 1</v>
          </cell>
          <cell r="D1456">
            <v>0</v>
          </cell>
          <cell r="E1456">
            <v>0</v>
          </cell>
          <cell r="F1456">
            <v>0</v>
          </cell>
          <cell r="S1456">
            <v>0</v>
          </cell>
          <cell r="T1456">
            <v>0</v>
          </cell>
        </row>
        <row r="1457">
          <cell r="B1457" t="str">
            <v>BUDGETHOTEL-1</v>
          </cell>
          <cell r="D1457">
            <v>2049999385</v>
          </cell>
          <cell r="E1457">
            <v>2.3597839693948681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>
            <v>0</v>
          </cell>
          <cell r="AM1457">
            <v>0</v>
          </cell>
          <cell r="AN1457">
            <v>0</v>
          </cell>
          <cell r="AO1457">
            <v>0</v>
          </cell>
          <cell r="AP1457">
            <v>0</v>
          </cell>
          <cell r="AQ1457">
            <v>0</v>
          </cell>
        </row>
        <row r="1458">
          <cell r="B1458" t="str">
            <v>BH1-1000</v>
          </cell>
          <cell r="C1458" t="str">
            <v>Structure Works for Budget Hotel - 1</v>
          </cell>
          <cell r="D1458">
            <v>819999754</v>
          </cell>
          <cell r="E1458">
            <v>0.9439135877579472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</row>
        <row r="1459">
          <cell r="B1459" t="str">
            <v>BH1-1010</v>
          </cell>
          <cell r="C1459" t="str">
            <v>Finishes Works for Budget  Hotel - 1</v>
          </cell>
          <cell r="D1459">
            <v>819999754</v>
          </cell>
          <cell r="E1459">
            <v>0.9439135877579472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</row>
        <row r="1460">
          <cell r="B1460" t="str">
            <v>BH1-1020</v>
          </cell>
          <cell r="C1460" t="str">
            <v>MEP Works for Budget  Hotel - 1</v>
          </cell>
          <cell r="D1460">
            <v>409999877</v>
          </cell>
          <cell r="E1460">
            <v>0.4719567938789736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</row>
        <row r="1461">
          <cell r="B1461" t="str">
            <v>COMPLETION&amp;HANDINGOVER</v>
          </cell>
          <cell r="D1461">
            <v>0</v>
          </cell>
          <cell r="E1461">
            <v>0</v>
          </cell>
          <cell r="F1461">
            <v>0</v>
          </cell>
        </row>
        <row r="1462">
          <cell r="B1462" t="str">
            <v>BH1-1030</v>
          </cell>
          <cell r="C1462" t="str">
            <v>Completion of Construction Work for 4 Star Hotel - 1</v>
          </cell>
          <cell r="D1462">
            <v>0</v>
          </cell>
          <cell r="E1462">
            <v>0</v>
          </cell>
          <cell r="F1462">
            <v>0</v>
          </cell>
          <cell r="S1462">
            <v>0</v>
          </cell>
          <cell r="T1462">
            <v>0</v>
          </cell>
        </row>
        <row r="1463">
          <cell r="B1463" t="str">
            <v>BH1-1040</v>
          </cell>
          <cell r="C1463" t="str">
            <v>Testing &amp; Commissioning of 4 Star Hotel - 1</v>
          </cell>
          <cell r="D1463">
            <v>0</v>
          </cell>
          <cell r="E1463">
            <v>0</v>
          </cell>
          <cell r="F1463">
            <v>0</v>
          </cell>
          <cell r="S1463">
            <v>0</v>
          </cell>
          <cell r="T1463">
            <v>0</v>
          </cell>
        </row>
        <row r="1464">
          <cell r="B1464" t="str">
            <v>SERVICEDAPARTMENTS</v>
          </cell>
          <cell r="F1464">
            <v>0</v>
          </cell>
        </row>
        <row r="1465">
          <cell r="B1465" t="str">
            <v>COMMERCIALSPACE</v>
          </cell>
          <cell r="D1465">
            <v>15309995406</v>
          </cell>
          <cell r="E1465">
            <v>17.623557350768607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>
            <v>0</v>
          </cell>
          <cell r="AM1465">
            <v>0</v>
          </cell>
          <cell r="AN1465">
            <v>0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 t="str">
            <v>RETAILOVERMETROSTATION</v>
          </cell>
          <cell r="D1466">
            <v>694605600</v>
          </cell>
          <cell r="E1466">
            <v>0.79957056178917041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>
            <v>0</v>
          </cell>
          <cell r="AM1466">
            <v>0</v>
          </cell>
          <cell r="AN1466">
            <v>0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 t="str">
            <v>CRM-1000</v>
          </cell>
          <cell r="C1467" t="str">
            <v>Structure Works for Retail over Metro Station</v>
          </cell>
          <cell r="D1467">
            <v>277842240</v>
          </cell>
          <cell r="E1467">
            <v>0.31982822471566819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</row>
        <row r="1468">
          <cell r="B1468" t="str">
            <v>CRM-1010</v>
          </cell>
          <cell r="C1468" t="str">
            <v>Finishes Works for Retail over Metro Station</v>
          </cell>
          <cell r="D1468">
            <v>277842240</v>
          </cell>
          <cell r="E1468">
            <v>0.31982822471566819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</row>
        <row r="1469">
          <cell r="B1469" t="str">
            <v>CRM-1020</v>
          </cell>
          <cell r="C1469" t="str">
            <v>MEP Works for Retail over Metro Station</v>
          </cell>
          <cell r="D1469">
            <v>138921120</v>
          </cell>
          <cell r="E1469">
            <v>0.15991411235783409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</row>
        <row r="1470">
          <cell r="B1470" t="str">
            <v>COMPLETION&amp;HANDINGOVER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>
            <v>0</v>
          </cell>
          <cell r="AM1470">
            <v>0</v>
          </cell>
          <cell r="AN1470">
            <v>0</v>
          </cell>
          <cell r="AO1470">
            <v>0</v>
          </cell>
          <cell r="AP1470">
            <v>0</v>
          </cell>
          <cell r="AQ1470">
            <v>0</v>
          </cell>
        </row>
        <row r="1471">
          <cell r="B1471" t="str">
            <v>CRM-1030</v>
          </cell>
          <cell r="C1471" t="str">
            <v>Completion of Construction Work for Retail over Metro Station</v>
          </cell>
          <cell r="D1471">
            <v>0</v>
          </cell>
          <cell r="E1471">
            <v>0</v>
          </cell>
          <cell r="F1471">
            <v>0</v>
          </cell>
          <cell r="S1471">
            <v>0</v>
          </cell>
          <cell r="T1471">
            <v>0</v>
          </cell>
        </row>
        <row r="1472">
          <cell r="B1472" t="str">
            <v>CRM-1040</v>
          </cell>
          <cell r="C1472" t="str">
            <v>Testing &amp; Commissioning of Retail over Metro Station</v>
          </cell>
          <cell r="D1472">
            <v>0</v>
          </cell>
          <cell r="E1472">
            <v>0</v>
          </cell>
          <cell r="F1472">
            <v>0</v>
          </cell>
          <cell r="S1472">
            <v>0</v>
          </cell>
          <cell r="T1472">
            <v>0</v>
          </cell>
        </row>
        <row r="1473">
          <cell r="B1473" t="str">
            <v>RETAIL-1</v>
          </cell>
          <cell r="D1473">
            <v>7675391888</v>
          </cell>
          <cell r="E1473">
            <v>8.8352547169792501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>
            <v>0</v>
          </cell>
          <cell r="AM1473">
            <v>0</v>
          </cell>
          <cell r="AN1473">
            <v>0</v>
          </cell>
          <cell r="AO1473">
            <v>0</v>
          </cell>
          <cell r="AP1473">
            <v>0</v>
          </cell>
          <cell r="AQ1473">
            <v>0</v>
          </cell>
        </row>
        <row r="1474">
          <cell r="B1474" t="str">
            <v>CR1-1000</v>
          </cell>
          <cell r="C1474" t="str">
            <v>Structure Works for Retail -1</v>
          </cell>
          <cell r="D1474">
            <v>3070156755</v>
          </cell>
          <cell r="E1474">
            <v>3.5341018865614768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</row>
        <row r="1475">
          <cell r="B1475" t="str">
            <v>CR1-1010</v>
          </cell>
          <cell r="C1475" t="str">
            <v>Finishes Works for Retail -1</v>
          </cell>
          <cell r="D1475">
            <v>3070156755</v>
          </cell>
          <cell r="E1475">
            <v>3.5341018865614768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</row>
        <row r="1476">
          <cell r="B1476" t="str">
            <v>CR1-1020</v>
          </cell>
          <cell r="C1476" t="str">
            <v>MEP Works for Retail -1</v>
          </cell>
          <cell r="D1476">
            <v>1535078378</v>
          </cell>
          <cell r="E1476">
            <v>1.7670509438562958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</row>
        <row r="1477">
          <cell r="B1477" t="str">
            <v>COMPLETION&amp;HANDINGOVER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>
            <v>0</v>
          </cell>
          <cell r="AM1477">
            <v>0</v>
          </cell>
          <cell r="AN1477">
            <v>0</v>
          </cell>
          <cell r="AO1477">
            <v>0</v>
          </cell>
          <cell r="AP1477">
            <v>0</v>
          </cell>
          <cell r="AQ1477">
            <v>0</v>
          </cell>
        </row>
        <row r="1478">
          <cell r="B1478" t="str">
            <v>CR1-1030</v>
          </cell>
          <cell r="C1478" t="str">
            <v>Completion of Construction Work for Retail -1</v>
          </cell>
          <cell r="D1478">
            <v>0</v>
          </cell>
          <cell r="E1478">
            <v>0</v>
          </cell>
          <cell r="F1478">
            <v>0</v>
          </cell>
          <cell r="S1478">
            <v>0</v>
          </cell>
          <cell r="T1478">
            <v>0</v>
          </cell>
        </row>
        <row r="1479">
          <cell r="B1479" t="str">
            <v>CR1-1040</v>
          </cell>
          <cell r="C1479" t="str">
            <v>Testing &amp; Commissioning of Retail -1</v>
          </cell>
          <cell r="D1479">
            <v>0</v>
          </cell>
          <cell r="E1479">
            <v>0</v>
          </cell>
          <cell r="F1479">
            <v>0</v>
          </cell>
          <cell r="S1479">
            <v>0</v>
          </cell>
          <cell r="T1479">
            <v>0</v>
          </cell>
        </row>
        <row r="1480">
          <cell r="B1480" t="str">
            <v>OFFICEBUILDINGS</v>
          </cell>
          <cell r="D1480">
            <v>6939997918</v>
          </cell>
          <cell r="E1480">
            <v>7.988732072000186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>
            <v>0</v>
          </cell>
          <cell r="AM1480">
            <v>0</v>
          </cell>
          <cell r="AN1480">
            <v>0</v>
          </cell>
          <cell r="AO1480">
            <v>0</v>
          </cell>
          <cell r="AP1480">
            <v>0</v>
          </cell>
          <cell r="AQ1480">
            <v>0</v>
          </cell>
        </row>
        <row r="1481">
          <cell r="B1481" t="str">
            <v>OFFICE-1</v>
          </cell>
          <cell r="D1481">
            <v>763399770</v>
          </cell>
          <cell r="E1481">
            <v>0.87876052679192851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>
            <v>0</v>
          </cell>
          <cell r="AM1481">
            <v>0</v>
          </cell>
          <cell r="AN1481">
            <v>0</v>
          </cell>
          <cell r="AO1481">
            <v>0</v>
          </cell>
          <cell r="AP1481">
            <v>0</v>
          </cell>
          <cell r="AQ1481">
            <v>0</v>
          </cell>
        </row>
        <row r="1482">
          <cell r="B1482" t="str">
            <v>CO1-1010</v>
          </cell>
          <cell r="C1482" t="str">
            <v>Structure Works for Office Building - 1</v>
          </cell>
          <cell r="D1482">
            <v>305359908</v>
          </cell>
          <cell r="E1482">
            <v>0.3515042107167714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</row>
        <row r="1483">
          <cell r="B1483" t="str">
            <v>CO1-1020</v>
          </cell>
          <cell r="C1483" t="str">
            <v>Finishes Works for Office Building - 1</v>
          </cell>
          <cell r="D1483">
            <v>305359908</v>
          </cell>
          <cell r="E1483">
            <v>0.3515042107167714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</row>
        <row r="1484">
          <cell r="B1484" t="str">
            <v>CO1-1030</v>
          </cell>
          <cell r="C1484" t="str">
            <v>MEP Works for Office Building - 1</v>
          </cell>
          <cell r="D1484">
            <v>152679954</v>
          </cell>
          <cell r="E1484">
            <v>0.1757521053583857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</row>
        <row r="1485">
          <cell r="B1485" t="str">
            <v>COMPLETION&amp;HANDINGOVER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>
            <v>0</v>
          </cell>
          <cell r="AM1485">
            <v>0</v>
          </cell>
          <cell r="AN1485">
            <v>0</v>
          </cell>
          <cell r="AO1485">
            <v>0</v>
          </cell>
          <cell r="AP1485">
            <v>0</v>
          </cell>
          <cell r="AQ1485">
            <v>0</v>
          </cell>
        </row>
        <row r="1486">
          <cell r="B1486" t="str">
            <v>CO1-1040</v>
          </cell>
          <cell r="C1486" t="str">
            <v>Completion of Construction Work for Office Building - 1</v>
          </cell>
          <cell r="D1486">
            <v>0</v>
          </cell>
          <cell r="E1486">
            <v>0</v>
          </cell>
          <cell r="F1486">
            <v>0</v>
          </cell>
          <cell r="S1486">
            <v>0</v>
          </cell>
          <cell r="T1486">
            <v>0</v>
          </cell>
        </row>
        <row r="1487">
          <cell r="B1487" t="str">
            <v>CO1-1050</v>
          </cell>
          <cell r="C1487" t="str">
            <v>Testing &amp; Commissioning of Office Building - 1</v>
          </cell>
          <cell r="D1487">
            <v>0</v>
          </cell>
          <cell r="E1487">
            <v>0</v>
          </cell>
          <cell r="F1487">
            <v>0</v>
          </cell>
          <cell r="S1487">
            <v>0</v>
          </cell>
          <cell r="T1487">
            <v>0</v>
          </cell>
        </row>
        <row r="1488">
          <cell r="B1488" t="str">
            <v>OFFICE-2</v>
          </cell>
          <cell r="D1488">
            <v>1318599605</v>
          </cell>
          <cell r="E1488">
            <v>1.517859094347682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>
            <v>0</v>
          </cell>
          <cell r="AM1488">
            <v>0</v>
          </cell>
          <cell r="AN1488">
            <v>0</v>
          </cell>
          <cell r="AO1488">
            <v>0</v>
          </cell>
          <cell r="AP1488">
            <v>0</v>
          </cell>
          <cell r="AQ1488">
            <v>0</v>
          </cell>
        </row>
        <row r="1489">
          <cell r="B1489" t="str">
            <v>CO2-1010</v>
          </cell>
          <cell r="C1489" t="str">
            <v>Structure Works for Office Building - 2</v>
          </cell>
          <cell r="D1489">
            <v>527439842</v>
          </cell>
          <cell r="E1489">
            <v>0.60714363773907276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</row>
        <row r="1490">
          <cell r="B1490" t="str">
            <v>CO2-1020</v>
          </cell>
          <cell r="C1490" t="str">
            <v>Finishes Works for Office Building - 2</v>
          </cell>
          <cell r="D1490">
            <v>527439842</v>
          </cell>
          <cell r="E1490">
            <v>0.60714363773907276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</row>
        <row r="1491">
          <cell r="B1491" t="str">
            <v>CO2-1030</v>
          </cell>
          <cell r="C1491" t="str">
            <v>MEP Works for Office Building - 2</v>
          </cell>
          <cell r="D1491">
            <v>263719921</v>
          </cell>
          <cell r="E1491">
            <v>0.30357181886953638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</row>
        <row r="1492">
          <cell r="B1492" t="str">
            <v>COMPLETION&amp;HANDINGOVER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>
            <v>0</v>
          </cell>
          <cell r="AM1492">
            <v>0</v>
          </cell>
          <cell r="AN1492">
            <v>0</v>
          </cell>
          <cell r="AO1492">
            <v>0</v>
          </cell>
          <cell r="AP1492">
            <v>0</v>
          </cell>
          <cell r="AQ1492">
            <v>0</v>
          </cell>
        </row>
        <row r="1493">
          <cell r="B1493" t="str">
            <v>CO2-1040</v>
          </cell>
          <cell r="C1493" t="str">
            <v>Completion of Construction Work for Office Building - 2</v>
          </cell>
          <cell r="D1493">
            <v>0</v>
          </cell>
          <cell r="E1493">
            <v>0</v>
          </cell>
          <cell r="F1493">
            <v>0</v>
          </cell>
          <cell r="S1493">
            <v>0</v>
          </cell>
          <cell r="T1493">
            <v>0</v>
          </cell>
        </row>
        <row r="1494">
          <cell r="B1494" t="str">
            <v>CO2-1050</v>
          </cell>
          <cell r="C1494" t="str">
            <v>Testing &amp; Commissioning of Office Building - 2</v>
          </cell>
          <cell r="D1494">
            <v>0</v>
          </cell>
          <cell r="E1494">
            <v>0</v>
          </cell>
          <cell r="F1494">
            <v>0</v>
          </cell>
          <cell r="S1494">
            <v>0</v>
          </cell>
          <cell r="T1494">
            <v>0</v>
          </cell>
        </row>
        <row r="1495">
          <cell r="B1495" t="str">
            <v>OFFICE-3</v>
          </cell>
          <cell r="D1495">
            <v>1457399563</v>
          </cell>
          <cell r="E1495">
            <v>1.6776337353732844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>
            <v>0</v>
          </cell>
          <cell r="AM1495">
            <v>0</v>
          </cell>
          <cell r="AN1495">
            <v>0</v>
          </cell>
          <cell r="AO1495">
            <v>0</v>
          </cell>
          <cell r="AP1495">
            <v>0</v>
          </cell>
          <cell r="AQ1495">
            <v>0</v>
          </cell>
        </row>
        <row r="1496">
          <cell r="B1496" t="str">
            <v>CO3-1010</v>
          </cell>
          <cell r="C1496" t="str">
            <v>Structure Works for Office Building - 3</v>
          </cell>
          <cell r="D1496">
            <v>582959825</v>
          </cell>
          <cell r="E1496">
            <v>0.67105349391909086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</row>
        <row r="1497">
          <cell r="B1497" t="str">
            <v>CO3-1020</v>
          </cell>
          <cell r="C1497" t="str">
            <v>Finishes Works for Office Building - 3</v>
          </cell>
          <cell r="D1497">
            <v>582959825</v>
          </cell>
          <cell r="E1497">
            <v>0.67105349391909086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</row>
        <row r="1498">
          <cell r="B1498" t="str">
            <v>CO3-1030</v>
          </cell>
          <cell r="C1498" t="str">
            <v>MEP Works for Office Building - 3</v>
          </cell>
          <cell r="D1498">
            <v>291479913</v>
          </cell>
          <cell r="E1498">
            <v>0.3355267475351027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</row>
        <row r="1499">
          <cell r="B1499" t="str">
            <v>COMPLETION&amp;HANDINGOVER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>
            <v>0</v>
          </cell>
          <cell r="AM1499">
            <v>0</v>
          </cell>
          <cell r="AN1499">
            <v>0</v>
          </cell>
          <cell r="AO1499">
            <v>0</v>
          </cell>
          <cell r="AP1499">
            <v>0</v>
          </cell>
          <cell r="AQ1499">
            <v>0</v>
          </cell>
        </row>
        <row r="1500">
          <cell r="B1500" t="str">
            <v>CO3-1040</v>
          </cell>
          <cell r="C1500" t="str">
            <v>Completion of Construction Work for Office Building - 3</v>
          </cell>
          <cell r="D1500">
            <v>0</v>
          </cell>
          <cell r="E1500">
            <v>0</v>
          </cell>
          <cell r="F1500">
            <v>0</v>
          </cell>
          <cell r="S1500">
            <v>0</v>
          </cell>
          <cell r="T1500">
            <v>0</v>
          </cell>
        </row>
        <row r="1501">
          <cell r="B1501" t="str">
            <v>CO3-1050</v>
          </cell>
          <cell r="C1501" t="str">
            <v>Testing &amp; Commissioning of Office Building - 3</v>
          </cell>
          <cell r="D1501">
            <v>0</v>
          </cell>
          <cell r="E1501">
            <v>0</v>
          </cell>
          <cell r="F1501">
            <v>0</v>
          </cell>
          <cell r="S1501">
            <v>0</v>
          </cell>
          <cell r="T1501">
            <v>0</v>
          </cell>
        </row>
        <row r="1502">
          <cell r="B1502" t="str">
            <v>OFFICE-4</v>
          </cell>
          <cell r="D1502">
            <v>2428999272</v>
          </cell>
          <cell r="E1502">
            <v>2.7960562260058452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>
            <v>0</v>
          </cell>
          <cell r="AM1502">
            <v>0</v>
          </cell>
          <cell r="AN1502">
            <v>0</v>
          </cell>
          <cell r="AO1502">
            <v>0</v>
          </cell>
          <cell r="AP1502">
            <v>0</v>
          </cell>
          <cell r="AQ1502">
            <v>0</v>
          </cell>
        </row>
        <row r="1503">
          <cell r="B1503" t="str">
            <v>CO4-1010</v>
          </cell>
          <cell r="C1503" t="str">
            <v>Structure Works for Office Building - 4</v>
          </cell>
          <cell r="D1503">
            <v>971599709</v>
          </cell>
          <cell r="E1503">
            <v>1.1184224906325611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</row>
        <row r="1504">
          <cell r="B1504" t="str">
            <v>CO4-1020</v>
          </cell>
          <cell r="C1504" t="str">
            <v>Finishes Works for Office Building - 4</v>
          </cell>
          <cell r="D1504">
            <v>971599709</v>
          </cell>
          <cell r="E1504">
            <v>1.1184224906325611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</row>
        <row r="1505">
          <cell r="B1505" t="str">
            <v>CO4-1030</v>
          </cell>
          <cell r="C1505" t="str">
            <v>MEP Works for Office Building - 4</v>
          </cell>
          <cell r="D1505">
            <v>485799854</v>
          </cell>
          <cell r="E1505">
            <v>0.55921124474072337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</row>
        <row r="1506">
          <cell r="B1506" t="str">
            <v>COMPLETION&amp;HANDINGOVER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>
            <v>0</v>
          </cell>
          <cell r="AM1506">
            <v>0</v>
          </cell>
          <cell r="AN1506">
            <v>0</v>
          </cell>
          <cell r="AO1506">
            <v>0</v>
          </cell>
          <cell r="AP1506">
            <v>0</v>
          </cell>
          <cell r="AQ1506">
            <v>0</v>
          </cell>
        </row>
        <row r="1507">
          <cell r="B1507" t="str">
            <v>CO4-1040</v>
          </cell>
          <cell r="C1507" t="str">
            <v>Completion of Construction Work for Office Building - 4</v>
          </cell>
          <cell r="D1507">
            <v>0</v>
          </cell>
          <cell r="E1507">
            <v>0</v>
          </cell>
          <cell r="F1507">
            <v>0</v>
          </cell>
          <cell r="S1507">
            <v>0</v>
          </cell>
          <cell r="T1507">
            <v>0</v>
          </cell>
        </row>
        <row r="1508">
          <cell r="B1508" t="str">
            <v>CO4-1050</v>
          </cell>
          <cell r="C1508" t="str">
            <v>Testing &amp; Commissioning of Office Building - 4</v>
          </cell>
          <cell r="D1508">
            <v>0</v>
          </cell>
          <cell r="E1508">
            <v>0</v>
          </cell>
          <cell r="F1508">
            <v>0</v>
          </cell>
          <cell r="S1508">
            <v>0</v>
          </cell>
          <cell r="T1508">
            <v>0</v>
          </cell>
        </row>
        <row r="1509">
          <cell r="B1509" t="str">
            <v>OFFICE-5</v>
          </cell>
          <cell r="D1509">
            <v>971599708</v>
          </cell>
          <cell r="E1509">
            <v>1.1184224894814467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>
            <v>0</v>
          </cell>
          <cell r="AM1509">
            <v>0</v>
          </cell>
          <cell r="AN1509">
            <v>0</v>
          </cell>
          <cell r="AO1509">
            <v>0</v>
          </cell>
          <cell r="AP1509">
            <v>0</v>
          </cell>
          <cell r="AQ1509">
            <v>0</v>
          </cell>
        </row>
        <row r="1510">
          <cell r="B1510" t="str">
            <v>CO5-1010</v>
          </cell>
          <cell r="C1510" t="str">
            <v>Structure Works for Office Building - 5</v>
          </cell>
          <cell r="D1510">
            <v>388639883</v>
          </cell>
          <cell r="E1510">
            <v>0.44736899556235582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</row>
        <row r="1511">
          <cell r="B1511" t="str">
            <v>CO5-1020</v>
          </cell>
          <cell r="C1511" t="str">
            <v>Finishes Works for Office Building - 5</v>
          </cell>
          <cell r="D1511">
            <v>388639883</v>
          </cell>
          <cell r="E1511">
            <v>0.44736899556235582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</row>
        <row r="1512">
          <cell r="B1512" t="str">
            <v>CO5-1030</v>
          </cell>
          <cell r="C1512" t="str">
            <v>MEP Works for Office Building - 5</v>
          </cell>
          <cell r="D1512">
            <v>194319942</v>
          </cell>
          <cell r="E1512">
            <v>0.22368449835673512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</row>
        <row r="1513">
          <cell r="B1513" t="str">
            <v>COMPLETION&amp;HANDINGOVER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>
            <v>0</v>
          </cell>
          <cell r="AM1513">
            <v>0</v>
          </cell>
          <cell r="AN1513">
            <v>0</v>
          </cell>
          <cell r="AO1513">
            <v>0</v>
          </cell>
          <cell r="AP1513">
            <v>0</v>
          </cell>
          <cell r="AQ1513">
            <v>0</v>
          </cell>
        </row>
        <row r="1514">
          <cell r="B1514" t="str">
            <v>CO5-1040</v>
          </cell>
          <cell r="C1514" t="str">
            <v>Completion of Construction Work for Office Building - 5</v>
          </cell>
          <cell r="D1514">
            <v>0</v>
          </cell>
          <cell r="E1514">
            <v>0</v>
          </cell>
          <cell r="F1514">
            <v>0</v>
          </cell>
          <cell r="S1514">
            <v>0</v>
          </cell>
          <cell r="T1514">
            <v>0</v>
          </cell>
        </row>
        <row r="1515">
          <cell r="B1515" t="str">
            <v>CO5-1050</v>
          </cell>
          <cell r="C1515" t="str">
            <v>Testing &amp; Commissioning of Office Building - 5</v>
          </cell>
          <cell r="D1515">
            <v>0</v>
          </cell>
          <cell r="E1515">
            <v>0</v>
          </cell>
          <cell r="F1515">
            <v>0</v>
          </cell>
          <cell r="S1515">
            <v>0</v>
          </cell>
          <cell r="T1515">
            <v>0</v>
          </cell>
        </row>
        <row r="1516">
          <cell r="B1516" t="str">
            <v>COMMISSIONING &amp; HANDINGOVER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>
            <v>0</v>
          </cell>
          <cell r="AM1516">
            <v>0</v>
          </cell>
          <cell r="AN1516">
            <v>0</v>
          </cell>
          <cell r="AO1516">
            <v>0</v>
          </cell>
          <cell r="AP1516">
            <v>0</v>
          </cell>
          <cell r="AQ1516">
            <v>0</v>
          </cell>
        </row>
        <row r="1517">
          <cell r="B1517" t="str">
            <v>COMMISSIONINGOFWORKPACKAGES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>
            <v>0</v>
          </cell>
          <cell r="AM1517">
            <v>0</v>
          </cell>
          <cell r="AN1517">
            <v>0</v>
          </cell>
          <cell r="AO1517">
            <v>0</v>
          </cell>
          <cell r="AP1517">
            <v>0</v>
          </cell>
          <cell r="AQ1517">
            <v>0</v>
          </cell>
        </row>
        <row r="1518">
          <cell r="B1518" t="str">
            <v>CP1-1000</v>
          </cell>
          <cell r="C1518" t="str">
            <v>Commissioning of 5 Star Hotel -1</v>
          </cell>
          <cell r="D1518">
            <v>0</v>
          </cell>
          <cell r="E1518">
            <v>0</v>
          </cell>
          <cell r="F1518">
            <v>0</v>
          </cell>
          <cell r="S1518">
            <v>0</v>
          </cell>
          <cell r="T1518">
            <v>0</v>
          </cell>
        </row>
        <row r="1519">
          <cell r="B1519" t="str">
            <v>CP1-1010</v>
          </cell>
          <cell r="C1519" t="str">
            <v>Commissioning of 5 Star Hotel -2</v>
          </cell>
          <cell r="D1519">
            <v>0</v>
          </cell>
          <cell r="E1519">
            <v>0</v>
          </cell>
          <cell r="F1519">
            <v>0</v>
          </cell>
          <cell r="S1519">
            <v>0</v>
          </cell>
          <cell r="T1519">
            <v>0</v>
          </cell>
        </row>
        <row r="1520">
          <cell r="B1520" t="str">
            <v>CP1-1020</v>
          </cell>
          <cell r="C1520" t="str">
            <v>Commissioning of 4 Star Hotel -1</v>
          </cell>
          <cell r="D1520">
            <v>0</v>
          </cell>
          <cell r="E1520">
            <v>0</v>
          </cell>
          <cell r="F1520">
            <v>0</v>
          </cell>
          <cell r="S1520">
            <v>0</v>
          </cell>
          <cell r="T1520">
            <v>0</v>
          </cell>
        </row>
        <row r="1521">
          <cell r="B1521" t="str">
            <v>CP1-1030</v>
          </cell>
          <cell r="C1521" t="str">
            <v>Commissioning of Office Building -1</v>
          </cell>
          <cell r="D1521">
            <v>0</v>
          </cell>
          <cell r="E1521">
            <v>0</v>
          </cell>
          <cell r="F1521">
            <v>0</v>
          </cell>
          <cell r="S1521">
            <v>0</v>
          </cell>
          <cell r="T1521">
            <v>0</v>
          </cell>
        </row>
        <row r="1522">
          <cell r="B1522" t="str">
            <v>CP1-1040</v>
          </cell>
          <cell r="C1522" t="str">
            <v>Commissioning of Office Building -2</v>
          </cell>
          <cell r="D1522">
            <v>0</v>
          </cell>
          <cell r="E1522">
            <v>0</v>
          </cell>
          <cell r="F1522">
            <v>0</v>
          </cell>
          <cell r="S1522">
            <v>0</v>
          </cell>
          <cell r="T1522">
            <v>0</v>
          </cell>
        </row>
        <row r="1523">
          <cell r="B1523" t="str">
            <v>CP1-1050</v>
          </cell>
          <cell r="C1523" t="str">
            <v>Commissioning of Office Building -3</v>
          </cell>
          <cell r="D1523">
            <v>0</v>
          </cell>
          <cell r="E1523">
            <v>0</v>
          </cell>
          <cell r="F1523">
            <v>0</v>
          </cell>
          <cell r="S1523">
            <v>0</v>
          </cell>
          <cell r="T1523">
            <v>0</v>
          </cell>
        </row>
        <row r="1524">
          <cell r="B1524" t="str">
            <v>CP1-1060</v>
          </cell>
          <cell r="C1524" t="str">
            <v>Commissioning of Retail -1</v>
          </cell>
          <cell r="D1524">
            <v>0</v>
          </cell>
          <cell r="E1524">
            <v>0</v>
          </cell>
          <cell r="F1524">
            <v>0</v>
          </cell>
          <cell r="S1524">
            <v>0</v>
          </cell>
          <cell r="T1524">
            <v>0</v>
          </cell>
        </row>
        <row r="1525">
          <cell r="B1525" t="str">
            <v>CP1-1070</v>
          </cell>
          <cell r="C1525" t="str">
            <v>Commissioning of Retail over Metro Station</v>
          </cell>
          <cell r="D1525">
            <v>0</v>
          </cell>
          <cell r="E1525">
            <v>0</v>
          </cell>
          <cell r="F1525">
            <v>0</v>
          </cell>
          <cell r="S1525">
            <v>0</v>
          </cell>
          <cell r="T1525">
            <v>0</v>
          </cell>
        </row>
        <row r="1526">
          <cell r="B1526" t="str">
            <v>CP1-1080</v>
          </cell>
          <cell r="C1526" t="str">
            <v>Commissioning of Exhibition Center -1</v>
          </cell>
          <cell r="D1526">
            <v>0</v>
          </cell>
          <cell r="E1526">
            <v>0</v>
          </cell>
          <cell r="F1526">
            <v>0</v>
          </cell>
          <cell r="S1526">
            <v>0</v>
          </cell>
          <cell r="T1526">
            <v>0</v>
          </cell>
        </row>
        <row r="1527">
          <cell r="B1527" t="str">
            <v>CP1-1090</v>
          </cell>
          <cell r="C1527" t="str">
            <v>Commissioning of Convention Center</v>
          </cell>
          <cell r="D1527">
            <v>0</v>
          </cell>
          <cell r="E1527">
            <v>0</v>
          </cell>
          <cell r="F1527">
            <v>0</v>
          </cell>
          <cell r="S1527">
            <v>0</v>
          </cell>
          <cell r="T1527">
            <v>0</v>
          </cell>
        </row>
        <row r="1528">
          <cell r="B1528" t="str">
            <v>CP1-1100</v>
          </cell>
          <cell r="C1528" t="str">
            <v>Commissioning of Trunk Infrastructure</v>
          </cell>
          <cell r="D1528">
            <v>0</v>
          </cell>
          <cell r="E1528">
            <v>0</v>
          </cell>
          <cell r="F1528">
            <v>0</v>
          </cell>
          <cell r="S1528">
            <v>0</v>
          </cell>
          <cell r="T1528">
            <v>0</v>
          </cell>
        </row>
        <row r="1529">
          <cell r="B1529" t="str">
            <v>CP1-1110</v>
          </cell>
          <cell r="C1529" t="str">
            <v>Commissioning of Office Building -4</v>
          </cell>
          <cell r="D1529">
            <v>0</v>
          </cell>
          <cell r="E1529">
            <v>0</v>
          </cell>
          <cell r="F1529">
            <v>0</v>
          </cell>
          <cell r="S1529">
            <v>0</v>
          </cell>
          <cell r="T1529">
            <v>0</v>
          </cell>
        </row>
        <row r="1530">
          <cell r="B1530" t="str">
            <v>CP1-1120</v>
          </cell>
          <cell r="C1530" t="str">
            <v>Commissioning of Office Building -5</v>
          </cell>
          <cell r="D1530">
            <v>0</v>
          </cell>
          <cell r="E1530">
            <v>0</v>
          </cell>
          <cell r="F1530">
            <v>0</v>
          </cell>
          <cell r="S1530">
            <v>0</v>
          </cell>
          <cell r="T1530">
            <v>0</v>
          </cell>
        </row>
        <row r="1531">
          <cell r="B1531" t="str">
            <v>COMPLETIONOFPROGRAMMANAGEMENTSERVICES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>
            <v>0</v>
          </cell>
          <cell r="AM1531">
            <v>0</v>
          </cell>
          <cell r="AN1531">
            <v>0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 t="str">
            <v>CPM-GY1</v>
          </cell>
          <cell r="C1532" t="str">
            <v>Completion of General Programme Management Scope of Service for Years 1</v>
          </cell>
          <cell r="D1532">
            <v>0</v>
          </cell>
          <cell r="E1532">
            <v>0</v>
          </cell>
          <cell r="F1532">
            <v>0</v>
          </cell>
          <cell r="S1532">
            <v>0</v>
          </cell>
          <cell r="T1532">
            <v>0</v>
          </cell>
        </row>
        <row r="1533">
          <cell r="B1533" t="str">
            <v>CPM-GY2</v>
          </cell>
          <cell r="C1533" t="str">
            <v>Completion of General Programme Management Scope of Service for Years 2</v>
          </cell>
          <cell r="D1533">
            <v>0</v>
          </cell>
          <cell r="E1533">
            <v>0</v>
          </cell>
          <cell r="F1533">
            <v>0</v>
          </cell>
          <cell r="S1533">
            <v>0</v>
          </cell>
          <cell r="T1533">
            <v>0</v>
          </cell>
        </row>
        <row r="1534">
          <cell r="B1534" t="str">
            <v>CPM-GY3</v>
          </cell>
          <cell r="C1534" t="str">
            <v>Completion of General Programme Management Scope of Service for Years 3</v>
          </cell>
          <cell r="D1534">
            <v>0</v>
          </cell>
          <cell r="E1534">
            <v>0</v>
          </cell>
          <cell r="F1534">
            <v>0</v>
          </cell>
          <cell r="S1534">
            <v>0</v>
          </cell>
          <cell r="T1534">
            <v>0</v>
          </cell>
        </row>
        <row r="1535">
          <cell r="B1535" t="str">
            <v>CPM-Y1</v>
          </cell>
          <cell r="C1535" t="str">
            <v>Completion of Programme Management Scope of Service for Year 1</v>
          </cell>
          <cell r="D1535">
            <v>0</v>
          </cell>
          <cell r="E1535">
            <v>0</v>
          </cell>
          <cell r="F1535">
            <v>0</v>
          </cell>
          <cell r="S1535">
            <v>0</v>
          </cell>
          <cell r="T1535">
            <v>0</v>
          </cell>
        </row>
        <row r="1538">
          <cell r="E1538">
            <v>-1.2284147032914916E-9</v>
          </cell>
          <cell r="F1538">
            <v>1.3853222541326815E-8</v>
          </cell>
        </row>
        <row r="1539">
          <cell r="E1539">
            <v>-5.5782702901296943E-9</v>
          </cell>
          <cell r="F1539">
            <v>0</v>
          </cell>
        </row>
        <row r="1540">
          <cell r="C1540">
            <v>-1.9508807874712986E-8</v>
          </cell>
          <cell r="E1540">
            <v>-5.7552638210722762E-9</v>
          </cell>
          <cell r="F1540">
            <v>-1.9431492859212085E-8</v>
          </cell>
        </row>
        <row r="1541">
          <cell r="C1541">
            <v>0</v>
          </cell>
          <cell r="E1541">
            <v>1.0105111414304702E-8</v>
          </cell>
        </row>
        <row r="1542">
          <cell r="C1542">
            <v>7.7314904478598123E-11</v>
          </cell>
        </row>
        <row r="1546">
          <cell r="C1546">
            <v>5.4106086995699382E-2</v>
          </cell>
          <cell r="D1546">
            <v>5.4106086995699382E-2</v>
          </cell>
          <cell r="E1546">
            <v>0</v>
          </cell>
        </row>
        <row r="1547">
          <cell r="C1547">
            <v>3.320920371948984E-3</v>
          </cell>
          <cell r="D1547">
            <v>3.3209203719489835E-3</v>
          </cell>
          <cell r="E1547">
            <v>0</v>
          </cell>
        </row>
        <row r="1548">
          <cell r="C1548">
            <v>8.5738459571507611E-4</v>
          </cell>
          <cell r="D1548">
            <v>8.57384595715076E-4</v>
          </cell>
          <cell r="E1548">
            <v>0</v>
          </cell>
        </row>
        <row r="1549">
          <cell r="C1549">
            <v>4.6705088556616078E-3</v>
          </cell>
          <cell r="D1549">
            <v>4.6705088556616078E-3</v>
          </cell>
          <cell r="E1549">
            <v>0</v>
          </cell>
        </row>
        <row r="1550">
          <cell r="C1550">
            <v>1.7494165860657441E-3</v>
          </cell>
          <cell r="D1550">
            <v>1.7494165860657441E-3</v>
          </cell>
          <cell r="E1550">
            <v>0</v>
          </cell>
        </row>
        <row r="1551">
          <cell r="C1551">
            <v>2.6489561450337529E-4</v>
          </cell>
          <cell r="D1551">
            <v>2.6489561450337529E-4</v>
          </cell>
          <cell r="E1551">
            <v>0</v>
          </cell>
        </row>
        <row r="1552">
          <cell r="C1552">
            <v>1.9044878216861686E-3</v>
          </cell>
          <cell r="D1552">
            <v>1.9044878216861686E-3</v>
          </cell>
          <cell r="E1552">
            <v>0</v>
          </cell>
        </row>
        <row r="1553">
          <cell r="C1553">
            <v>5.3470591226521969E-3</v>
          </cell>
          <cell r="D1553">
            <v>5.3470591226521969E-3</v>
          </cell>
          <cell r="E1553">
            <v>0</v>
          </cell>
        </row>
        <row r="1554">
          <cell r="C1554">
            <v>1.4496099717116017E-4</v>
          </cell>
          <cell r="D1554">
            <v>1.4496099717116017E-4</v>
          </cell>
          <cell r="E1554">
            <v>0</v>
          </cell>
        </row>
        <row r="1555">
          <cell r="C1555">
            <v>9.050141443079672E-2</v>
          </cell>
          <cell r="D1555">
            <v>9.050141443079672E-2</v>
          </cell>
          <cell r="E1555">
            <v>0</v>
          </cell>
        </row>
        <row r="1557">
          <cell r="D1557">
            <v>0</v>
          </cell>
          <cell r="E1557">
            <v>0</v>
          </cell>
        </row>
        <row r="1558">
          <cell r="C1558">
            <v>1.4496099717116017E-4</v>
          </cell>
          <cell r="D1558">
            <v>1.4496099717116017E-4</v>
          </cell>
          <cell r="E1558">
            <v>0</v>
          </cell>
        </row>
        <row r="1559">
          <cell r="C1559">
            <v>1.4496099717116017E-4</v>
          </cell>
          <cell r="D1559">
            <v>1.4496099717116017E-4</v>
          </cell>
          <cell r="E1559">
            <v>0</v>
          </cell>
        </row>
        <row r="1560">
          <cell r="C1560">
            <v>1.3046731479444533E-5</v>
          </cell>
          <cell r="D1560">
            <v>1.3046731479444533E-5</v>
          </cell>
          <cell r="E1560">
            <v>0</v>
          </cell>
        </row>
        <row r="1561">
          <cell r="C1561">
            <v>1.1596327238743976E-5</v>
          </cell>
          <cell r="D1561">
            <v>1.1596327238743976E-5</v>
          </cell>
          <cell r="E1561">
            <v>0</v>
          </cell>
        </row>
        <row r="1562">
          <cell r="C1562">
            <v>7.2520212035027843E-7</v>
          </cell>
          <cell r="D1562">
            <v>7.2520212035027843E-7</v>
          </cell>
          <cell r="E1562">
            <v>0</v>
          </cell>
        </row>
        <row r="1563">
          <cell r="C1563">
            <v>7.2520212035027843E-7</v>
          </cell>
          <cell r="D1563">
            <v>7.2520212035027843E-7</v>
          </cell>
          <cell r="E1563">
            <v>0</v>
          </cell>
        </row>
        <row r="1564">
          <cell r="C1564">
            <v>1.3770782485318064E-5</v>
          </cell>
          <cell r="D1564">
            <v>1.3770782485318064E-5</v>
          </cell>
          <cell r="E1564">
            <v>0</v>
          </cell>
        </row>
        <row r="1565">
          <cell r="C1565">
            <v>1.2320378244617507E-5</v>
          </cell>
          <cell r="D1565">
            <v>1.2320378244617507E-5</v>
          </cell>
          <cell r="E1565">
            <v>0</v>
          </cell>
        </row>
        <row r="1566">
          <cell r="C1566">
            <v>7.2520212035027843E-7</v>
          </cell>
          <cell r="D1566">
            <v>7.2520212035027843E-7</v>
          </cell>
          <cell r="E1566">
            <v>0</v>
          </cell>
        </row>
        <row r="1567">
          <cell r="C1567">
            <v>7.2520212035027843E-7</v>
          </cell>
          <cell r="D1567">
            <v>7.2520212035027843E-7</v>
          </cell>
          <cell r="E1567">
            <v>0</v>
          </cell>
        </row>
        <row r="1568">
          <cell r="C1568">
            <v>1.3046731479444533E-5</v>
          </cell>
          <cell r="D1568">
            <v>1.3046731479444533E-5</v>
          </cell>
          <cell r="E1568">
            <v>0</v>
          </cell>
        </row>
        <row r="1569">
          <cell r="C1569">
            <v>1.1596327238743976E-5</v>
          </cell>
          <cell r="D1569">
            <v>1.1596327238743976E-5</v>
          </cell>
          <cell r="E1569">
            <v>0</v>
          </cell>
        </row>
        <row r="1570">
          <cell r="C1570">
            <v>7.2520212035027843E-7</v>
          </cell>
          <cell r="D1570">
            <v>7.2520212035027843E-7</v>
          </cell>
          <cell r="E1570">
            <v>0</v>
          </cell>
        </row>
        <row r="1571">
          <cell r="C1571">
            <v>7.2520212035027843E-7</v>
          </cell>
          <cell r="D1571">
            <v>7.2520212035027843E-7</v>
          </cell>
          <cell r="E1571">
            <v>0</v>
          </cell>
        </row>
        <row r="1572">
          <cell r="C1572">
            <v>1.3046731479444533E-5</v>
          </cell>
          <cell r="D1572">
            <v>1.3046731479444533E-5</v>
          </cell>
          <cell r="E1572">
            <v>0</v>
          </cell>
        </row>
        <row r="1573">
          <cell r="C1573">
            <v>1.1596327238743976E-5</v>
          </cell>
          <cell r="D1573">
            <v>1.1596327238743976E-5</v>
          </cell>
          <cell r="E1573">
            <v>0</v>
          </cell>
        </row>
        <row r="1574">
          <cell r="C1574">
            <v>7.2520212035027843E-7</v>
          </cell>
          <cell r="D1574">
            <v>7.2520212035027843E-7</v>
          </cell>
          <cell r="E1574">
            <v>0</v>
          </cell>
        </row>
        <row r="1575">
          <cell r="C1575">
            <v>7.2520212035027843E-7</v>
          </cell>
          <cell r="D1575">
            <v>7.2520212035027843E-7</v>
          </cell>
          <cell r="E1575">
            <v>0</v>
          </cell>
        </row>
        <row r="1576">
          <cell r="C1576">
            <v>1.3046731479444533E-5</v>
          </cell>
          <cell r="D1576">
            <v>1.3046731479444533E-5</v>
          </cell>
          <cell r="E1576">
            <v>0</v>
          </cell>
        </row>
        <row r="1577">
          <cell r="C1577">
            <v>1.1596327238743976E-5</v>
          </cell>
          <cell r="D1577">
            <v>1.1596327238743976E-5</v>
          </cell>
          <cell r="E1577">
            <v>0</v>
          </cell>
        </row>
        <row r="1578">
          <cell r="C1578">
            <v>7.2520212035027843E-7</v>
          </cell>
          <cell r="D1578">
            <v>7.2520212035027843E-7</v>
          </cell>
          <cell r="E1578">
            <v>0</v>
          </cell>
        </row>
        <row r="1579">
          <cell r="C1579">
            <v>7.2520212035027843E-7</v>
          </cell>
          <cell r="D1579">
            <v>7.2520212035027843E-7</v>
          </cell>
          <cell r="E1579">
            <v>0</v>
          </cell>
        </row>
        <row r="1580">
          <cell r="C1580">
            <v>1.3046731479444533E-5</v>
          </cell>
          <cell r="D1580">
            <v>1.3046731479444533E-5</v>
          </cell>
          <cell r="E1580">
            <v>0</v>
          </cell>
        </row>
        <row r="1581">
          <cell r="C1581">
            <v>1.1596327238743976E-5</v>
          </cell>
          <cell r="D1581">
            <v>1.1596327238743976E-5</v>
          </cell>
          <cell r="E1581">
            <v>0</v>
          </cell>
        </row>
        <row r="1582">
          <cell r="C1582">
            <v>7.2520212035027843E-7</v>
          </cell>
          <cell r="D1582">
            <v>7.2520212035027843E-7</v>
          </cell>
          <cell r="E1582">
            <v>0</v>
          </cell>
        </row>
        <row r="1583">
          <cell r="C1583">
            <v>7.2520212035027843E-7</v>
          </cell>
          <cell r="D1583">
            <v>7.2520212035027843E-7</v>
          </cell>
          <cell r="E1583">
            <v>0</v>
          </cell>
        </row>
        <row r="1584">
          <cell r="C1584">
            <v>1.3046731479444533E-5</v>
          </cell>
          <cell r="D1584">
            <v>1.3046731479444533E-5</v>
          </cell>
          <cell r="E1584">
            <v>0</v>
          </cell>
        </row>
        <row r="1585">
          <cell r="C1585">
            <v>1.1596327238743976E-5</v>
          </cell>
          <cell r="D1585">
            <v>1.1596327238743976E-5</v>
          </cell>
          <cell r="E1585">
            <v>0</v>
          </cell>
        </row>
        <row r="1586">
          <cell r="C1586">
            <v>7.2520212035027843E-7</v>
          </cell>
          <cell r="D1586">
            <v>7.2520212035027843E-7</v>
          </cell>
          <cell r="E1586">
            <v>0</v>
          </cell>
        </row>
        <row r="1587">
          <cell r="C1587">
            <v>7.2520212035027843E-7</v>
          </cell>
          <cell r="D1587">
            <v>7.2520212035027843E-7</v>
          </cell>
          <cell r="E1587">
            <v>0</v>
          </cell>
        </row>
        <row r="1588">
          <cell r="C1588">
            <v>1.3046731479444533E-5</v>
          </cell>
          <cell r="D1588">
            <v>1.3046731479444533E-5</v>
          </cell>
          <cell r="E1588">
            <v>0</v>
          </cell>
        </row>
        <row r="1589">
          <cell r="C1589">
            <v>1.1596327238743976E-5</v>
          </cell>
          <cell r="D1589">
            <v>1.1596327238743976E-5</v>
          </cell>
          <cell r="E1589">
            <v>0</v>
          </cell>
        </row>
        <row r="1590">
          <cell r="C1590">
            <v>7.2520212035027843E-7</v>
          </cell>
          <cell r="D1590">
            <v>7.2520212035027843E-7</v>
          </cell>
          <cell r="E1590">
            <v>0</v>
          </cell>
        </row>
        <row r="1591">
          <cell r="C1591">
            <v>7.2520212035027843E-7</v>
          </cell>
          <cell r="D1591">
            <v>7.2520212035027843E-7</v>
          </cell>
          <cell r="E1591">
            <v>0</v>
          </cell>
        </row>
        <row r="1592">
          <cell r="C1592">
            <v>1.3770782485318064E-5</v>
          </cell>
          <cell r="D1592">
            <v>1.3770782485318064E-5</v>
          </cell>
          <cell r="E1592">
            <v>0</v>
          </cell>
        </row>
        <row r="1593">
          <cell r="C1593">
            <v>1.2320378244617507E-5</v>
          </cell>
          <cell r="D1593">
            <v>1.2320378244617507E-5</v>
          </cell>
          <cell r="E1593">
            <v>0</v>
          </cell>
        </row>
        <row r="1594">
          <cell r="C1594">
            <v>7.2520212035027843E-7</v>
          </cell>
          <cell r="D1594">
            <v>7.2520212035027843E-7</v>
          </cell>
          <cell r="E1594">
            <v>0</v>
          </cell>
        </row>
        <row r="1595">
          <cell r="C1595">
            <v>7.2520212035027843E-7</v>
          </cell>
          <cell r="D1595">
            <v>7.2520212035027843E-7</v>
          </cell>
          <cell r="E1595">
            <v>0</v>
          </cell>
        </row>
        <row r="1596">
          <cell r="C1596">
            <v>1.3046731479444533E-5</v>
          </cell>
          <cell r="D1596">
            <v>1.3046731479444533E-5</v>
          </cell>
          <cell r="E1596">
            <v>0</v>
          </cell>
        </row>
        <row r="1597">
          <cell r="C1597">
            <v>1.1596327238743976E-5</v>
          </cell>
          <cell r="D1597">
            <v>1.1596327238743976E-5</v>
          </cell>
          <cell r="E1597">
            <v>0</v>
          </cell>
        </row>
        <row r="1598">
          <cell r="C1598">
            <v>7.2520212035027843E-7</v>
          </cell>
          <cell r="D1598">
            <v>7.2520212035027843E-7</v>
          </cell>
          <cell r="E1598">
            <v>0</v>
          </cell>
        </row>
        <row r="1599">
          <cell r="C1599">
            <v>7.2520212035027843E-7</v>
          </cell>
          <cell r="D1599">
            <v>7.2520212035027843E-7</v>
          </cell>
          <cell r="E1599">
            <v>0</v>
          </cell>
        </row>
        <row r="1600">
          <cell r="C1600">
            <v>1.3045580364967786E-5</v>
          </cell>
          <cell r="D1600">
            <v>1.3045580364967786E-5</v>
          </cell>
          <cell r="E1600">
            <v>0</v>
          </cell>
        </row>
        <row r="1601">
          <cell r="C1601">
            <v>1.2320378244617507E-5</v>
          </cell>
          <cell r="D1601">
            <v>1.2320378244617507E-5</v>
          </cell>
          <cell r="E1601">
            <v>0</v>
          </cell>
        </row>
        <row r="1602">
          <cell r="C1602">
            <v>7.2520212035027843E-7</v>
          </cell>
          <cell r="D1602">
            <v>7.2520212035027843E-7</v>
          </cell>
          <cell r="E1602">
            <v>0</v>
          </cell>
        </row>
        <row r="1603">
          <cell r="C1603">
            <v>0</v>
          </cell>
          <cell r="D1603">
            <v>0</v>
          </cell>
          <cell r="E1603">
            <v>0</v>
          </cell>
        </row>
        <row r="1604">
          <cell r="C1604">
            <v>0</v>
          </cell>
          <cell r="D1604">
            <v>0</v>
          </cell>
          <cell r="E1604">
            <v>0</v>
          </cell>
        </row>
        <row r="1605">
          <cell r="C1605">
            <v>0</v>
          </cell>
          <cell r="D1605" t="str">
            <v/>
          </cell>
          <cell r="E1605" t="e">
            <v>#VALUE!</v>
          </cell>
        </row>
        <row r="1606">
          <cell r="C1606">
            <v>0</v>
          </cell>
          <cell r="D1606">
            <v>0</v>
          </cell>
          <cell r="E1606">
            <v>0</v>
          </cell>
        </row>
        <row r="1607">
          <cell r="C1607">
            <v>0</v>
          </cell>
          <cell r="D1607">
            <v>0</v>
          </cell>
          <cell r="E1607">
            <v>0</v>
          </cell>
        </row>
        <row r="1608">
          <cell r="C1608">
            <v>0</v>
          </cell>
          <cell r="D1608">
            <v>0</v>
          </cell>
          <cell r="E1608">
            <v>0</v>
          </cell>
        </row>
        <row r="1609">
          <cell r="C1609">
            <v>9.050141443079672E-2</v>
          </cell>
          <cell r="D1609">
            <v>9.050141443079672E-2</v>
          </cell>
          <cell r="E1609">
            <v>0</v>
          </cell>
        </row>
        <row r="1610">
          <cell r="C1610">
            <v>9.050141443079672E-2</v>
          </cell>
          <cell r="D1610">
            <v>9.050141443079672E-2</v>
          </cell>
          <cell r="E1610">
            <v>0</v>
          </cell>
        </row>
        <row r="1611">
          <cell r="C1611">
            <v>0.23160416357720703</v>
          </cell>
          <cell r="D1611">
            <v>0.23160416365452194</v>
          </cell>
          <cell r="E1611">
            <v>7.7314904478598123E-11</v>
          </cell>
        </row>
        <row r="1612">
          <cell r="C1612">
            <v>0</v>
          </cell>
          <cell r="D1612">
            <v>0</v>
          </cell>
          <cell r="E1612">
            <v>0</v>
          </cell>
        </row>
        <row r="1613">
          <cell r="C1613">
            <v>0</v>
          </cell>
          <cell r="D1613">
            <v>0</v>
          </cell>
          <cell r="E1613">
            <v>0</v>
          </cell>
        </row>
        <row r="1614">
          <cell r="C1614">
            <v>0</v>
          </cell>
          <cell r="D1614">
            <v>0</v>
          </cell>
          <cell r="E1614">
            <v>0</v>
          </cell>
        </row>
        <row r="1615">
          <cell r="C1615">
            <v>0</v>
          </cell>
          <cell r="D1615">
            <v>0</v>
          </cell>
          <cell r="E1615">
            <v>0</v>
          </cell>
        </row>
        <row r="1616">
          <cell r="C1616">
            <v>0</v>
          </cell>
          <cell r="D1616">
            <v>0</v>
          </cell>
          <cell r="E1616">
            <v>0</v>
          </cell>
        </row>
        <row r="1617">
          <cell r="C1617">
            <v>0</v>
          </cell>
          <cell r="D1617">
            <v>0</v>
          </cell>
          <cell r="E1617">
            <v>0</v>
          </cell>
        </row>
        <row r="1618">
          <cell r="C1618">
            <v>0</v>
          </cell>
          <cell r="D1618">
            <v>0</v>
          </cell>
          <cell r="E1618">
            <v>0</v>
          </cell>
        </row>
        <row r="1619">
          <cell r="C1619">
            <v>0</v>
          </cell>
          <cell r="D1619">
            <v>0</v>
          </cell>
          <cell r="E1619">
            <v>0</v>
          </cell>
        </row>
        <row r="1620">
          <cell r="C1620">
            <v>0</v>
          </cell>
          <cell r="D1620">
            <v>0</v>
          </cell>
          <cell r="E1620">
            <v>0</v>
          </cell>
        </row>
        <row r="1621">
          <cell r="C1621">
            <v>0</v>
          </cell>
          <cell r="D1621">
            <v>0</v>
          </cell>
          <cell r="E1621">
            <v>0</v>
          </cell>
        </row>
        <row r="1622">
          <cell r="C1622">
            <v>0</v>
          </cell>
          <cell r="D1622">
            <v>0</v>
          </cell>
          <cell r="E1622">
            <v>0</v>
          </cell>
        </row>
        <row r="1623">
          <cell r="C1623">
            <v>0</v>
          </cell>
          <cell r="D1623">
            <v>0</v>
          </cell>
          <cell r="E1623">
            <v>0</v>
          </cell>
        </row>
        <row r="1624">
          <cell r="C1624">
            <v>0</v>
          </cell>
          <cell r="D1624">
            <v>0</v>
          </cell>
          <cell r="E1624">
            <v>0</v>
          </cell>
        </row>
        <row r="1625">
          <cell r="C1625">
            <v>0</v>
          </cell>
          <cell r="D1625">
            <v>0</v>
          </cell>
          <cell r="E1625">
            <v>0</v>
          </cell>
        </row>
        <row r="1626">
          <cell r="C1626">
            <v>0</v>
          </cell>
          <cell r="D1626">
            <v>0</v>
          </cell>
          <cell r="E1626">
            <v>0</v>
          </cell>
        </row>
        <row r="1627">
          <cell r="C1627">
            <v>0</v>
          </cell>
          <cell r="D1627">
            <v>0</v>
          </cell>
          <cell r="E1627">
            <v>0</v>
          </cell>
        </row>
        <row r="1628">
          <cell r="C1628">
            <v>0</v>
          </cell>
          <cell r="D1628">
            <v>0</v>
          </cell>
          <cell r="E1628">
            <v>0</v>
          </cell>
        </row>
        <row r="1629">
          <cell r="C1629">
            <v>0</v>
          </cell>
          <cell r="D1629">
            <v>0</v>
          </cell>
          <cell r="E1629">
            <v>0</v>
          </cell>
        </row>
        <row r="1630">
          <cell r="C1630">
            <v>0</v>
          </cell>
          <cell r="D1630">
            <v>0</v>
          </cell>
          <cell r="E1630">
            <v>0</v>
          </cell>
        </row>
        <row r="1631">
          <cell r="C1631">
            <v>0</v>
          </cell>
          <cell r="D1631">
            <v>0</v>
          </cell>
          <cell r="E1631">
            <v>0</v>
          </cell>
        </row>
        <row r="1632">
          <cell r="C1632">
            <v>0</v>
          </cell>
          <cell r="D1632">
            <v>0</v>
          </cell>
          <cell r="E1632">
            <v>0</v>
          </cell>
        </row>
        <row r="1633">
          <cell r="C1633">
            <v>0</v>
          </cell>
          <cell r="D1633">
            <v>0</v>
          </cell>
          <cell r="E1633">
            <v>0</v>
          </cell>
        </row>
        <row r="1634">
          <cell r="C1634">
            <v>0</v>
          </cell>
          <cell r="D1634">
            <v>0</v>
          </cell>
          <cell r="E1634">
            <v>0</v>
          </cell>
        </row>
        <row r="1635">
          <cell r="C1635">
            <v>0</v>
          </cell>
          <cell r="D1635">
            <v>0</v>
          </cell>
          <cell r="E1635">
            <v>0</v>
          </cell>
        </row>
        <row r="1636">
          <cell r="C1636">
            <v>0</v>
          </cell>
          <cell r="D1636">
            <v>0</v>
          </cell>
          <cell r="E1636">
            <v>0</v>
          </cell>
        </row>
        <row r="1637">
          <cell r="C1637">
            <v>0</v>
          </cell>
          <cell r="D1637">
            <v>0</v>
          </cell>
          <cell r="E1637">
            <v>0</v>
          </cell>
        </row>
        <row r="1638">
          <cell r="C1638">
            <v>0</v>
          </cell>
          <cell r="D1638">
            <v>0</v>
          </cell>
          <cell r="E1638">
            <v>0</v>
          </cell>
        </row>
        <row r="1639">
          <cell r="C1639">
            <v>0</v>
          </cell>
          <cell r="D1639">
            <v>0</v>
          </cell>
          <cell r="E1639">
            <v>0</v>
          </cell>
        </row>
        <row r="1640">
          <cell r="C1640">
            <v>0</v>
          </cell>
          <cell r="D1640">
            <v>0</v>
          </cell>
          <cell r="E1640">
            <v>0</v>
          </cell>
        </row>
        <row r="1641">
          <cell r="C1641">
            <v>0</v>
          </cell>
          <cell r="D1641">
            <v>0</v>
          </cell>
          <cell r="E1641">
            <v>0</v>
          </cell>
        </row>
        <row r="1642">
          <cell r="C1642">
            <v>0</v>
          </cell>
          <cell r="D1642">
            <v>0</v>
          </cell>
          <cell r="E1642">
            <v>0</v>
          </cell>
        </row>
        <row r="1643">
          <cell r="C1643">
            <v>0</v>
          </cell>
          <cell r="D1643">
            <v>0</v>
          </cell>
          <cell r="E1643">
            <v>0</v>
          </cell>
        </row>
        <row r="1644">
          <cell r="C1644">
            <v>0</v>
          </cell>
          <cell r="D1644">
            <v>0</v>
          </cell>
          <cell r="E1644">
            <v>0</v>
          </cell>
        </row>
        <row r="1645">
          <cell r="C1645">
            <v>0</v>
          </cell>
          <cell r="D1645">
            <v>0</v>
          </cell>
          <cell r="E1645">
            <v>0</v>
          </cell>
        </row>
        <row r="1646">
          <cell r="C1646">
            <v>0</v>
          </cell>
          <cell r="D1646">
            <v>0</v>
          </cell>
          <cell r="E1646">
            <v>0</v>
          </cell>
        </row>
        <row r="1647">
          <cell r="C1647">
            <v>0</v>
          </cell>
          <cell r="D1647">
            <v>0</v>
          </cell>
          <cell r="E1647">
            <v>0</v>
          </cell>
        </row>
        <row r="1648">
          <cell r="C1648">
            <v>0</v>
          </cell>
          <cell r="D1648">
            <v>0</v>
          </cell>
          <cell r="E1648">
            <v>0</v>
          </cell>
        </row>
        <row r="1649">
          <cell r="C1649">
            <v>0</v>
          </cell>
          <cell r="D1649">
            <v>0</v>
          </cell>
          <cell r="E1649">
            <v>0</v>
          </cell>
        </row>
        <row r="1650">
          <cell r="C1650">
            <v>0</v>
          </cell>
          <cell r="D1650">
            <v>0</v>
          </cell>
          <cell r="E1650">
            <v>0</v>
          </cell>
        </row>
        <row r="1651">
          <cell r="C1651">
            <v>0</v>
          </cell>
          <cell r="D1651">
            <v>0</v>
          </cell>
          <cell r="E1651">
            <v>0</v>
          </cell>
        </row>
        <row r="1652">
          <cell r="C1652">
            <v>0</v>
          </cell>
          <cell r="D1652">
            <v>0</v>
          </cell>
          <cell r="E1652">
            <v>0</v>
          </cell>
        </row>
        <row r="1653">
          <cell r="C1653">
            <v>0</v>
          </cell>
          <cell r="D1653">
            <v>0</v>
          </cell>
          <cell r="E1653">
            <v>0</v>
          </cell>
        </row>
        <row r="1654">
          <cell r="C1654">
            <v>0</v>
          </cell>
          <cell r="D1654">
            <v>0</v>
          </cell>
          <cell r="E1654">
            <v>0</v>
          </cell>
        </row>
        <row r="1655">
          <cell r="C1655">
            <v>0</v>
          </cell>
          <cell r="D1655">
            <v>0</v>
          </cell>
          <cell r="E1655">
            <v>0</v>
          </cell>
        </row>
        <row r="1656">
          <cell r="C1656">
            <v>0</v>
          </cell>
          <cell r="D1656">
            <v>0</v>
          </cell>
          <cell r="E1656">
            <v>0</v>
          </cell>
        </row>
        <row r="1657">
          <cell r="C1657">
            <v>0</v>
          </cell>
          <cell r="D1657">
            <v>0</v>
          </cell>
          <cell r="E1657">
            <v>0</v>
          </cell>
        </row>
        <row r="1658">
          <cell r="C1658">
            <v>0</v>
          </cell>
          <cell r="D1658">
            <v>0</v>
          </cell>
          <cell r="E1658">
            <v>0</v>
          </cell>
        </row>
        <row r="1659">
          <cell r="C1659">
            <v>0</v>
          </cell>
          <cell r="D1659">
            <v>0</v>
          </cell>
          <cell r="E1659">
            <v>0</v>
          </cell>
        </row>
        <row r="1660">
          <cell r="C1660">
            <v>0</v>
          </cell>
          <cell r="D1660">
            <v>0</v>
          </cell>
          <cell r="E1660">
            <v>0</v>
          </cell>
        </row>
        <row r="1661">
          <cell r="C1661">
            <v>0</v>
          </cell>
          <cell r="D1661">
            <v>0</v>
          </cell>
          <cell r="E1661">
            <v>0</v>
          </cell>
        </row>
        <row r="1662">
          <cell r="C1662">
            <v>0</v>
          </cell>
          <cell r="D1662">
            <v>0</v>
          </cell>
          <cell r="E1662">
            <v>0</v>
          </cell>
        </row>
        <row r="1663">
          <cell r="C1663">
            <v>0</v>
          </cell>
          <cell r="D1663">
            <v>0</v>
          </cell>
          <cell r="E1663">
            <v>0</v>
          </cell>
        </row>
        <row r="1664">
          <cell r="C1664">
            <v>0</v>
          </cell>
          <cell r="D1664">
            <v>0</v>
          </cell>
          <cell r="E1664">
            <v>0</v>
          </cell>
        </row>
        <row r="1665">
          <cell r="C1665">
            <v>0</v>
          </cell>
          <cell r="D1665">
            <v>0</v>
          </cell>
          <cell r="E1665">
            <v>0</v>
          </cell>
        </row>
        <row r="1666">
          <cell r="C1666">
            <v>0</v>
          </cell>
          <cell r="D1666">
            <v>0</v>
          </cell>
          <cell r="E1666">
            <v>0</v>
          </cell>
        </row>
        <row r="1667">
          <cell r="C1667">
            <v>0</v>
          </cell>
          <cell r="D1667">
            <v>0</v>
          </cell>
          <cell r="E1667">
            <v>0</v>
          </cell>
        </row>
        <row r="1668">
          <cell r="C1668">
            <v>0</v>
          </cell>
          <cell r="D1668">
            <v>0</v>
          </cell>
          <cell r="E1668">
            <v>0</v>
          </cell>
        </row>
        <row r="1669">
          <cell r="C1669">
            <v>0</v>
          </cell>
          <cell r="D1669">
            <v>0</v>
          </cell>
          <cell r="E1669">
            <v>0</v>
          </cell>
        </row>
        <row r="1670">
          <cell r="C1670">
            <v>0</v>
          </cell>
          <cell r="D1670">
            <v>0</v>
          </cell>
          <cell r="E1670">
            <v>0</v>
          </cell>
        </row>
        <row r="1671">
          <cell r="C1671">
            <v>0</v>
          </cell>
          <cell r="D1671">
            <v>0</v>
          </cell>
          <cell r="E1671">
            <v>0</v>
          </cell>
        </row>
        <row r="1672">
          <cell r="C1672">
            <v>0</v>
          </cell>
          <cell r="D1672">
            <v>0</v>
          </cell>
          <cell r="E1672">
            <v>0</v>
          </cell>
        </row>
        <row r="1673">
          <cell r="C1673">
            <v>0</v>
          </cell>
          <cell r="D1673">
            <v>0</v>
          </cell>
          <cell r="E1673">
            <v>0</v>
          </cell>
        </row>
        <row r="1674">
          <cell r="C1674">
            <v>0</v>
          </cell>
          <cell r="D1674">
            <v>0</v>
          </cell>
          <cell r="E1674">
            <v>0</v>
          </cell>
        </row>
        <row r="1675">
          <cell r="C1675">
            <v>0</v>
          </cell>
          <cell r="D1675">
            <v>0</v>
          </cell>
          <cell r="E1675">
            <v>0</v>
          </cell>
        </row>
        <row r="1676">
          <cell r="C1676">
            <v>0</v>
          </cell>
          <cell r="D1676">
            <v>0</v>
          </cell>
          <cell r="E1676">
            <v>0</v>
          </cell>
        </row>
        <row r="1677">
          <cell r="C1677">
            <v>0</v>
          </cell>
          <cell r="D1677">
            <v>0</v>
          </cell>
          <cell r="E1677">
            <v>0</v>
          </cell>
        </row>
        <row r="1678">
          <cell r="C1678">
            <v>0</v>
          </cell>
          <cell r="D1678">
            <v>0</v>
          </cell>
          <cell r="E1678">
            <v>0</v>
          </cell>
        </row>
        <row r="1679">
          <cell r="C1679">
            <v>0</v>
          </cell>
          <cell r="D1679">
            <v>0</v>
          </cell>
          <cell r="E1679">
            <v>0</v>
          </cell>
        </row>
        <row r="1680">
          <cell r="C1680">
            <v>0</v>
          </cell>
          <cell r="D1680">
            <v>0</v>
          </cell>
          <cell r="E1680">
            <v>0</v>
          </cell>
        </row>
        <row r="1681">
          <cell r="C1681">
            <v>0</v>
          </cell>
          <cell r="D1681">
            <v>0</v>
          </cell>
          <cell r="E1681">
            <v>0</v>
          </cell>
        </row>
        <row r="1682">
          <cell r="C1682">
            <v>0</v>
          </cell>
          <cell r="D1682">
            <v>0</v>
          </cell>
          <cell r="E1682">
            <v>0</v>
          </cell>
        </row>
        <row r="1683">
          <cell r="C1683">
            <v>0</v>
          </cell>
          <cell r="D1683">
            <v>0</v>
          </cell>
          <cell r="E1683">
            <v>0</v>
          </cell>
        </row>
        <row r="1684">
          <cell r="C1684">
            <v>0</v>
          </cell>
          <cell r="D1684">
            <v>0</v>
          </cell>
          <cell r="E1684">
            <v>0</v>
          </cell>
        </row>
        <row r="1685">
          <cell r="C1685">
            <v>0</v>
          </cell>
          <cell r="D1685">
            <v>0</v>
          </cell>
          <cell r="E1685">
            <v>0</v>
          </cell>
        </row>
      </sheetData>
      <sheetData sheetId="4"/>
      <sheetData sheetId="5"/>
      <sheetData sheetId="6" refreshError="1"/>
      <sheetData sheetId="7"/>
      <sheetData sheetId="8" refreshError="1"/>
      <sheetData sheetId="9"/>
      <sheetData sheetId="10" refreshError="1"/>
      <sheetData sheetId="11"/>
      <sheetData sheetId="12" refreshError="1"/>
      <sheetData sheetId="13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  <sheetData sheetId="21"/>
      <sheetData sheetId="22" refreshError="1"/>
      <sheetData sheetId="23"/>
      <sheetData sheetId="24" refreshError="1"/>
      <sheetData sheetId="25"/>
      <sheetData sheetId="26">
        <row r="6">
          <cell r="B6">
            <v>20</v>
          </cell>
        </row>
        <row r="7">
          <cell r="B7">
            <v>20</v>
          </cell>
        </row>
        <row r="16">
          <cell r="B16">
            <v>19</v>
          </cell>
        </row>
      </sheetData>
      <sheetData sheetId="27"/>
      <sheetData sheetId="2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ormat"/>
      <sheetName val="Status"/>
      <sheetName val="430-434 AVG LEVELS"/>
      <sheetName val="EMB. FROM AVG. (RA-3)"/>
      <sheetName val="EMB_CROSS-SEC"/>
      <sheetName val="E.W Summary"/>
      <sheetName val="C &amp; G  LHS"/>
      <sheetName val="C &amp; G RHS"/>
      <sheetName val="Summary C &amp; G"/>
      <sheetName val="Sheet2"/>
      <sheetName val="SUB-GRADE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hu's acc."/>
      <sheetName val="mat'l for bm"/>
      <sheetName val="BM DATA SHEET"/>
      <sheetName val="Inputs"/>
      <sheetName val="frombreak"/>
      <sheetName val="Ex-Rate"/>
      <sheetName val="Pipe Classes"/>
      <sheetName val="Est-Trench1"/>
      <sheetName val="h-013211-2"/>
      <sheetName val="BM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 quoted by Bidders"/>
      <sheetName val="List of Holidays - DMICDC"/>
      <sheetName val="Curve Sheet"/>
      <sheetName val="Sheet2"/>
      <sheetName val="Planning"/>
    </sheetNames>
    <sheetDataSet>
      <sheetData sheetId="0" refreshError="1"/>
      <sheetData sheetId="1"/>
      <sheetData sheetId="2"/>
      <sheetData sheetId="3" refreshError="1"/>
      <sheetData sheetId="4">
        <row r="2">
          <cell r="B2" t="str">
            <v>Activity ID</v>
          </cell>
          <cell r="C2" t="str">
            <v>Activity Name</v>
          </cell>
          <cell r="D2" t="str">
            <v>Original duration</v>
          </cell>
          <cell r="E2" t="str">
            <v>Start</v>
          </cell>
          <cell r="F2" t="str">
            <v>Finish</v>
          </cell>
        </row>
        <row r="3">
          <cell r="B3" t="str">
            <v>IICC-GN-10</v>
          </cell>
          <cell r="C3" t="str">
            <v>Issue of LOI</v>
          </cell>
          <cell r="D3">
            <v>0</v>
          </cell>
          <cell r="E3">
            <v>43102</v>
          </cell>
        </row>
        <row r="4">
          <cell r="B4" t="str">
            <v>IICC-GN-20</v>
          </cell>
          <cell r="C4" t="str">
            <v>Commecement of Works</v>
          </cell>
          <cell r="D4">
            <v>0</v>
          </cell>
          <cell r="E4">
            <v>43116</v>
          </cell>
        </row>
        <row r="5">
          <cell r="B5" t="str">
            <v>IICC-Prelim-20</v>
          </cell>
          <cell r="C5" t="str">
            <v>Submission of performance guarantee</v>
          </cell>
          <cell r="D5">
            <v>15</v>
          </cell>
          <cell r="E5">
            <v>43104</v>
          </cell>
          <cell r="F5">
            <v>43118</v>
          </cell>
        </row>
        <row r="6">
          <cell r="B6" t="str">
            <v>IICC-Prelim-70</v>
          </cell>
          <cell r="C6" t="str">
            <v>submission of mobilization advance pavment guarantee</v>
          </cell>
          <cell r="D6">
            <v>15</v>
          </cell>
          <cell r="E6">
            <v>43104</v>
          </cell>
          <cell r="F6">
            <v>43120</v>
          </cell>
        </row>
        <row r="7">
          <cell r="B7" t="str">
            <v>IICC-Prelim-80</v>
          </cell>
          <cell r="C7" t="str">
            <v>insurance</v>
          </cell>
          <cell r="D7">
            <v>30</v>
          </cell>
          <cell r="E7">
            <v>43110</v>
          </cell>
          <cell r="F7">
            <v>43139</v>
          </cell>
        </row>
        <row r="8">
          <cell r="B8" t="str">
            <v>IICC-Prelim-60</v>
          </cell>
          <cell r="C8" t="str">
            <v>submission of project master schedule</v>
          </cell>
          <cell r="D8">
            <v>15</v>
          </cell>
          <cell r="E8">
            <v>43106</v>
          </cell>
          <cell r="F8">
            <v>43120</v>
          </cell>
        </row>
        <row r="9">
          <cell r="B9" t="str">
            <v>IICC-Prelim-120</v>
          </cell>
          <cell r="C9" t="str">
            <v>approval of project master schedule</v>
          </cell>
          <cell r="D9">
            <v>14</v>
          </cell>
          <cell r="E9">
            <v>43120</v>
          </cell>
          <cell r="F9">
            <v>43134</v>
          </cell>
        </row>
        <row r="10">
          <cell r="B10" t="str">
            <v>IICC-Prelim-100</v>
          </cell>
          <cell r="C10" t="str">
            <v>submission of project quality plan</v>
          </cell>
          <cell r="D10">
            <v>15</v>
          </cell>
          <cell r="E10">
            <v>43112</v>
          </cell>
          <cell r="F10">
            <v>43127</v>
          </cell>
        </row>
        <row r="11">
          <cell r="B11" t="str">
            <v>IICC-Prelim-150</v>
          </cell>
          <cell r="C11" t="str">
            <v>approval of project quality plan</v>
          </cell>
          <cell r="D11">
            <v>14</v>
          </cell>
          <cell r="E11">
            <v>43127</v>
          </cell>
          <cell r="F11">
            <v>43140</v>
          </cell>
        </row>
        <row r="12">
          <cell r="B12" t="str">
            <v>IICC-Prelim-110</v>
          </cell>
          <cell r="C12" t="str">
            <v>submission of project safety plan</v>
          </cell>
          <cell r="D12">
            <v>15</v>
          </cell>
          <cell r="E12">
            <v>43118</v>
          </cell>
          <cell r="F12">
            <v>43133</v>
          </cell>
        </row>
        <row r="13">
          <cell r="B13" t="str">
            <v>IICC-Prelim-160</v>
          </cell>
          <cell r="C13" t="str">
            <v>approval of project safety plan</v>
          </cell>
          <cell r="D13">
            <v>14</v>
          </cell>
          <cell r="E13">
            <v>43102</v>
          </cell>
          <cell r="F13">
            <v>43146</v>
          </cell>
        </row>
        <row r="14">
          <cell r="B14" t="str">
            <v>IICC-Prelim-30</v>
          </cell>
          <cell r="C14" t="str">
            <v>site office erection</v>
          </cell>
          <cell r="D14">
            <v>30</v>
          </cell>
          <cell r="E14">
            <v>43106</v>
          </cell>
          <cell r="F14">
            <v>43136</v>
          </cell>
        </row>
        <row r="15">
          <cell r="B15" t="str">
            <v>IICC-Prelim-90</v>
          </cell>
          <cell r="C15" t="str">
            <v>installation of temporary water &amp; sewage</v>
          </cell>
          <cell r="D15">
            <v>24</v>
          </cell>
          <cell r="E15">
            <v>43112</v>
          </cell>
          <cell r="F15">
            <v>43136</v>
          </cell>
        </row>
        <row r="16">
          <cell r="B16" t="str">
            <v>IICC-Prelim-130</v>
          </cell>
          <cell r="C16" t="str">
            <v>stores setup</v>
          </cell>
          <cell r="D16">
            <v>24</v>
          </cell>
          <cell r="E16">
            <v>43124</v>
          </cell>
          <cell r="F16">
            <v>43147</v>
          </cell>
        </row>
        <row r="17">
          <cell r="B17" t="str">
            <v>IICC-Prelim-140</v>
          </cell>
          <cell r="C17" t="str">
            <v>setup of reinforcement &amp; formwork yards</v>
          </cell>
          <cell r="D17">
            <v>24</v>
          </cell>
          <cell r="E17">
            <v>43127</v>
          </cell>
          <cell r="F17">
            <v>43150</v>
          </cell>
        </row>
        <row r="18">
          <cell r="B18" t="str">
            <v>IICC-Prelim-10</v>
          </cell>
          <cell r="C18" t="str">
            <v>mobilisation of key personnel</v>
          </cell>
          <cell r="D18">
            <v>30</v>
          </cell>
          <cell r="E18">
            <v>43102</v>
          </cell>
          <cell r="F18">
            <v>43131</v>
          </cell>
        </row>
        <row r="19">
          <cell r="B19" t="str">
            <v>IICC-Prelim-40</v>
          </cell>
          <cell r="C19" t="str">
            <v>labour camp setup</v>
          </cell>
          <cell r="D19">
            <v>30</v>
          </cell>
          <cell r="E19">
            <v>43106</v>
          </cell>
          <cell r="F19">
            <v>43136</v>
          </cell>
        </row>
        <row r="20">
          <cell r="B20" t="str">
            <v>IICC-Prelim-50</v>
          </cell>
          <cell r="C20" t="str">
            <v>mobilisation of labour (progressively)</v>
          </cell>
          <cell r="D20">
            <v>30</v>
          </cell>
          <cell r="E20">
            <v>43106</v>
          </cell>
          <cell r="F20">
            <v>43136</v>
          </cell>
        </row>
        <row r="21">
          <cell r="B21" t="str">
            <v>IICC-Prelim-170</v>
          </cell>
          <cell r="C21" t="str">
            <v>completion of initial mobilisation works</v>
          </cell>
          <cell r="D21">
            <v>0</v>
          </cell>
          <cell r="F21">
            <v>43150</v>
          </cell>
        </row>
        <row r="22">
          <cell r="B22" t="str">
            <v>IICC-ED-10</v>
          </cell>
          <cell r="C22" t="str">
            <v>preparation, submission &amp; approval of preliminary design</v>
          </cell>
          <cell r="D22">
            <v>30</v>
          </cell>
          <cell r="E22">
            <v>43102</v>
          </cell>
          <cell r="F22">
            <v>43131</v>
          </cell>
        </row>
        <row r="23">
          <cell r="B23" t="str">
            <v>IICC-ED-20</v>
          </cell>
          <cell r="C23" t="str">
            <v>preparation, submission &amp; approval of schematic design for foundation</v>
          </cell>
          <cell r="D23">
            <v>45</v>
          </cell>
          <cell r="E23">
            <v>43111</v>
          </cell>
          <cell r="F23">
            <v>43154</v>
          </cell>
        </row>
        <row r="24">
          <cell r="B24" t="str">
            <v>IICC-ED-30</v>
          </cell>
          <cell r="C24" t="str">
            <v>preparation, submission &amp; approval of schematic design for substructure</v>
          </cell>
          <cell r="D24">
            <v>45</v>
          </cell>
          <cell r="E24">
            <v>43122</v>
          </cell>
          <cell r="F24">
            <v>43166</v>
          </cell>
        </row>
        <row r="25">
          <cell r="B25" t="str">
            <v>IICC-ED-50</v>
          </cell>
          <cell r="C25" t="str">
            <v>preparation, submission &amp; approval of schematic design for superstructure</v>
          </cell>
          <cell r="D25">
            <v>45</v>
          </cell>
          <cell r="E25">
            <v>43133</v>
          </cell>
          <cell r="F25">
            <v>43176</v>
          </cell>
        </row>
        <row r="26">
          <cell r="B26" t="str">
            <v>IICC-ED-70</v>
          </cell>
          <cell r="C26" t="str">
            <v>preparation, submission &amp; approval of schematic design for architecture works</v>
          </cell>
          <cell r="D26">
            <v>45</v>
          </cell>
          <cell r="E26">
            <v>43143</v>
          </cell>
          <cell r="F26">
            <v>43186</v>
          </cell>
        </row>
        <row r="27">
          <cell r="B27" t="str">
            <v>IICC-ED-90</v>
          </cell>
          <cell r="C27" t="str">
            <v>preparation, submission &amp; approval of schematic design for MEP works</v>
          </cell>
          <cell r="D27">
            <v>45</v>
          </cell>
          <cell r="E27">
            <v>43148</v>
          </cell>
          <cell r="F27">
            <v>43192</v>
          </cell>
        </row>
        <row r="28">
          <cell r="B28" t="str">
            <v>IICC-ED-110</v>
          </cell>
          <cell r="C28" t="str">
            <v>preparation, submission &amp; approval of schematic design for external development works</v>
          </cell>
          <cell r="D28">
            <v>45</v>
          </cell>
          <cell r="E28">
            <v>43159</v>
          </cell>
          <cell r="F28">
            <v>43203</v>
          </cell>
        </row>
        <row r="29">
          <cell r="B29" t="str">
            <v>IICC-ED-40</v>
          </cell>
          <cell r="C29" t="str">
            <v>preparation, submission &amp; approval of detailed drawing for foundation</v>
          </cell>
          <cell r="D29">
            <v>60</v>
          </cell>
          <cell r="E29">
            <v>43125</v>
          </cell>
          <cell r="F29">
            <v>43183</v>
          </cell>
        </row>
        <row r="30">
          <cell r="B30" t="str">
            <v>IICC-ED-60</v>
          </cell>
          <cell r="C30" t="str">
            <v>preparation, submission &amp; approval of detailed drawing for substructure</v>
          </cell>
          <cell r="D30">
            <v>60</v>
          </cell>
          <cell r="E30">
            <v>43137</v>
          </cell>
          <cell r="F30">
            <v>43195</v>
          </cell>
        </row>
        <row r="31">
          <cell r="B31" t="str">
            <v>IICC-ED-80</v>
          </cell>
          <cell r="C31" t="str">
            <v>preparation, submission &amp; approval of detailed drawing for superstructure</v>
          </cell>
          <cell r="D31">
            <v>60</v>
          </cell>
          <cell r="E31">
            <v>43147</v>
          </cell>
          <cell r="F31">
            <v>43206</v>
          </cell>
        </row>
        <row r="32">
          <cell r="B32" t="str">
            <v>IICC-ED-100</v>
          </cell>
          <cell r="C32" t="str">
            <v>preparation, submission &amp; approval of detailed drawing for architecture works</v>
          </cell>
          <cell r="D32">
            <v>75</v>
          </cell>
          <cell r="E32">
            <v>43157</v>
          </cell>
          <cell r="F32">
            <v>43230</v>
          </cell>
        </row>
        <row r="33">
          <cell r="B33" t="str">
            <v>IICC-ED-120</v>
          </cell>
          <cell r="C33" t="str">
            <v>preparation, submission &amp; approval of detailed drawing for MEP works</v>
          </cell>
          <cell r="D33">
            <v>75</v>
          </cell>
          <cell r="E33">
            <v>43166</v>
          </cell>
          <cell r="F33">
            <v>43238</v>
          </cell>
        </row>
        <row r="34">
          <cell r="B34" t="str">
            <v>IICC-ED-130</v>
          </cell>
          <cell r="C34" t="str">
            <v>preparation, submission &amp; approval of detailed drawing for external development works</v>
          </cell>
          <cell r="D34">
            <v>60</v>
          </cell>
          <cell r="E34">
            <v>43188</v>
          </cell>
          <cell r="F34">
            <v>43246</v>
          </cell>
        </row>
        <row r="35">
          <cell r="B35" t="str">
            <v>IICC-ED-140</v>
          </cell>
          <cell r="C35" t="str">
            <v>preparation of shop drawings for structural steel works</v>
          </cell>
          <cell r="D35">
            <v>210</v>
          </cell>
          <cell r="E35">
            <v>43222</v>
          </cell>
          <cell r="F35">
            <v>43109</v>
          </cell>
        </row>
        <row r="36">
          <cell r="B36" t="str">
            <v>IICC-ED-150</v>
          </cell>
          <cell r="C36" t="str">
            <v>preparation of shop drawings for façade</v>
          </cell>
          <cell r="D36">
            <v>210</v>
          </cell>
          <cell r="E36">
            <v>43249</v>
          </cell>
          <cell r="F36">
            <v>43133</v>
          </cell>
        </row>
        <row r="37">
          <cell r="B37" t="str">
            <v>IICC-ED-160</v>
          </cell>
          <cell r="C37" t="str">
            <v>preparation of shop drawings for roof sheering</v>
          </cell>
          <cell r="D37">
            <v>210</v>
          </cell>
          <cell r="E37">
            <v>43252</v>
          </cell>
          <cell r="F37">
            <v>43138</v>
          </cell>
        </row>
        <row r="38">
          <cell r="B38" t="str">
            <v>IICC-ED-170</v>
          </cell>
          <cell r="C38" t="str">
            <v>preparation of shop drawings for interior finishes</v>
          </cell>
          <cell r="D38">
            <v>240</v>
          </cell>
          <cell r="E38">
            <v>43284</v>
          </cell>
          <cell r="F38">
            <v>43205</v>
          </cell>
        </row>
        <row r="39">
          <cell r="B39" t="str">
            <v>IICC-App-10</v>
          </cell>
          <cell r="C39" t="str">
            <v>intimation to DDA/SDMC before 7 days of start of construction</v>
          </cell>
          <cell r="D39">
            <v>0</v>
          </cell>
          <cell r="E39" t="str">
            <v xml:space="preserve"> </v>
          </cell>
          <cell r="F39">
            <v>43116</v>
          </cell>
        </row>
        <row r="40">
          <cell r="B40" t="str">
            <v>IICC-App-20</v>
          </cell>
          <cell r="C40" t="str">
            <v>intimation to Health &amp; Safety department before start of construction</v>
          </cell>
          <cell r="D40">
            <v>0</v>
          </cell>
          <cell r="F40">
            <v>43109</v>
          </cell>
        </row>
        <row r="41">
          <cell r="B41" t="str">
            <v>IICC-App-30</v>
          </cell>
          <cell r="C41" t="str">
            <v>Permissoin from department of mines for excavation</v>
          </cell>
          <cell r="D41">
            <v>0</v>
          </cell>
          <cell r="F41">
            <v>43116</v>
          </cell>
        </row>
        <row r="42">
          <cell r="B42" t="str">
            <v>IICC-App-40</v>
          </cell>
          <cell r="C42" t="str">
            <v>consent to operate (COP) certificate from DPCC</v>
          </cell>
          <cell r="D42">
            <v>15</v>
          </cell>
          <cell r="E42">
            <v>43370</v>
          </cell>
          <cell r="F42">
            <v>43385</v>
          </cell>
        </row>
        <row r="43">
          <cell r="B43" t="str">
            <v>IICC-Proc-40</v>
          </cell>
          <cell r="C43" t="str">
            <v>input to float tender</v>
          </cell>
          <cell r="D43">
            <v>0</v>
          </cell>
          <cell r="E43">
            <v>43176</v>
          </cell>
          <cell r="F43">
            <v>43385</v>
          </cell>
        </row>
        <row r="44">
          <cell r="B44" t="str">
            <v>IICC-Proc-50</v>
          </cell>
          <cell r="C44" t="str">
            <v>selection of vendor</v>
          </cell>
          <cell r="D44">
            <v>30</v>
          </cell>
          <cell r="E44">
            <v>43176</v>
          </cell>
          <cell r="F44">
            <v>43400</v>
          </cell>
        </row>
        <row r="45">
          <cell r="B45" t="str">
            <v>IICC-Proc-100</v>
          </cell>
          <cell r="C45" t="str">
            <v>procurement of material (Issue of PO)</v>
          </cell>
          <cell r="D45">
            <v>30</v>
          </cell>
          <cell r="E45">
            <v>43183</v>
          </cell>
          <cell r="F45">
            <v>43213</v>
          </cell>
        </row>
        <row r="46">
          <cell r="B46" t="str">
            <v>IICC-Proc-300</v>
          </cell>
          <cell r="C46" t="str">
            <v>fabrication</v>
          </cell>
          <cell r="D46">
            <v>150</v>
          </cell>
          <cell r="E46">
            <v>43220</v>
          </cell>
          <cell r="F46">
            <v>43220</v>
          </cell>
        </row>
        <row r="47">
          <cell r="B47" t="str">
            <v>IICC-Proc-450</v>
          </cell>
          <cell r="C47" t="str">
            <v>release of first consignment to site</v>
          </cell>
          <cell r="D47">
            <v>0</v>
          </cell>
          <cell r="E47">
            <v>43249</v>
          </cell>
          <cell r="F47">
            <v>43400</v>
          </cell>
        </row>
        <row r="48">
          <cell r="B48" t="str">
            <v>IICC-Proc-80</v>
          </cell>
          <cell r="C48" t="str">
            <v>input to float tender</v>
          </cell>
          <cell r="D48">
            <v>0</v>
          </cell>
          <cell r="E48">
            <v>43176</v>
          </cell>
          <cell r="F48" t="str">
            <v xml:space="preserve"> </v>
          </cell>
        </row>
        <row r="49">
          <cell r="B49" t="str">
            <v>IICC-Proc-90</v>
          </cell>
          <cell r="C49" t="str">
            <v>selection of vendor</v>
          </cell>
          <cell r="D49">
            <v>15</v>
          </cell>
          <cell r="E49">
            <v>43176</v>
          </cell>
          <cell r="F49">
            <v>43195</v>
          </cell>
        </row>
        <row r="50">
          <cell r="B50" t="str">
            <v>IICC-Proc-170</v>
          </cell>
          <cell r="C50" t="str">
            <v>procurement of material (Issue of PO)</v>
          </cell>
          <cell r="D50">
            <v>15</v>
          </cell>
          <cell r="E50">
            <v>43195</v>
          </cell>
          <cell r="F50">
            <v>43213</v>
          </cell>
        </row>
        <row r="51">
          <cell r="B51" t="str">
            <v>IICC-Proc-270</v>
          </cell>
          <cell r="C51" t="str">
            <v>fabrication</v>
          </cell>
          <cell r="D51">
            <v>120</v>
          </cell>
          <cell r="E51">
            <v>43213</v>
          </cell>
          <cell r="F51">
            <v>43356</v>
          </cell>
        </row>
        <row r="52">
          <cell r="B52" t="str">
            <v>IICC-Proc-560</v>
          </cell>
          <cell r="C52" t="str">
            <v>release of first consignment to site</v>
          </cell>
          <cell r="D52">
            <v>0</v>
          </cell>
          <cell r="E52">
            <v>43301</v>
          </cell>
          <cell r="F52" t="str">
            <v xml:space="preserve"> </v>
          </cell>
        </row>
        <row r="53">
          <cell r="B53" t="str">
            <v>IICC-Proc-110</v>
          </cell>
          <cell r="C53" t="str">
            <v>input to float tender</v>
          </cell>
          <cell r="D53">
            <v>0</v>
          </cell>
          <cell r="E53">
            <v>43186</v>
          </cell>
        </row>
        <row r="54">
          <cell r="B54" t="str">
            <v>IICC-Proc-120</v>
          </cell>
          <cell r="C54" t="str">
            <v>Tender float &amp; techno commercial negotitions</v>
          </cell>
          <cell r="D54">
            <v>15</v>
          </cell>
          <cell r="E54">
            <v>43186</v>
          </cell>
          <cell r="F54">
            <v>43204</v>
          </cell>
        </row>
        <row r="55">
          <cell r="B55" t="str">
            <v>IICC-Proc-200</v>
          </cell>
          <cell r="C55" t="str">
            <v>Mockup</v>
          </cell>
          <cell r="D55">
            <v>24</v>
          </cell>
          <cell r="E55">
            <v>43204</v>
          </cell>
          <cell r="F55">
            <v>43234</v>
          </cell>
        </row>
        <row r="56">
          <cell r="B56" t="str">
            <v>IICC-Proc-210</v>
          </cell>
          <cell r="C56" t="str">
            <v>vendor finalization</v>
          </cell>
          <cell r="D56">
            <v>6</v>
          </cell>
          <cell r="E56">
            <v>43204</v>
          </cell>
          <cell r="F56">
            <v>43211</v>
          </cell>
        </row>
        <row r="57">
          <cell r="B57" t="str">
            <v>IICC-Proc-380</v>
          </cell>
          <cell r="C57" t="str">
            <v>Mockup approval</v>
          </cell>
          <cell r="D57">
            <v>12</v>
          </cell>
          <cell r="E57">
            <v>43234</v>
          </cell>
          <cell r="F57">
            <v>43248</v>
          </cell>
        </row>
        <row r="58">
          <cell r="B58" t="str">
            <v>IICC-Proc-430</v>
          </cell>
          <cell r="C58" t="str">
            <v>procurement of material (Issue of PO)</v>
          </cell>
          <cell r="D58">
            <v>12</v>
          </cell>
          <cell r="E58">
            <v>43248</v>
          </cell>
          <cell r="F58">
            <v>43262</v>
          </cell>
        </row>
        <row r="59">
          <cell r="B59" t="str">
            <v>IICC-Proc-350</v>
          </cell>
          <cell r="C59" t="str">
            <v>input to float tender</v>
          </cell>
          <cell r="D59">
            <v>0</v>
          </cell>
          <cell r="E59">
            <v>43228</v>
          </cell>
        </row>
        <row r="60">
          <cell r="B60" t="str">
            <v>IICC-Proc-360</v>
          </cell>
          <cell r="C60" t="str">
            <v>Tender float &amp; techno commercial negotitions</v>
          </cell>
          <cell r="D60">
            <v>21</v>
          </cell>
          <cell r="E60">
            <v>43228</v>
          </cell>
          <cell r="F60">
            <v>43251</v>
          </cell>
        </row>
        <row r="61">
          <cell r="B61" t="str">
            <v>IICC-Proc-460</v>
          </cell>
          <cell r="C61" t="str">
            <v>vendor finalization</v>
          </cell>
          <cell r="D61">
            <v>6</v>
          </cell>
          <cell r="E61">
            <v>43252</v>
          </cell>
          <cell r="F61">
            <v>43258</v>
          </cell>
        </row>
        <row r="62">
          <cell r="B62" t="str">
            <v>IICC-Proc-60</v>
          </cell>
          <cell r="C62" t="str">
            <v>input to float tender</v>
          </cell>
          <cell r="D62">
            <v>0</v>
          </cell>
          <cell r="E62">
            <v>43176</v>
          </cell>
        </row>
        <row r="63">
          <cell r="B63" t="str">
            <v>IICC-Proc-70</v>
          </cell>
          <cell r="C63" t="str">
            <v>Tender float &amp; techno commercial negotitions</v>
          </cell>
          <cell r="D63">
            <v>21</v>
          </cell>
          <cell r="E63">
            <v>43176</v>
          </cell>
          <cell r="F63">
            <v>43202</v>
          </cell>
        </row>
        <row r="64">
          <cell r="B64" t="str">
            <v>IICC-Proc-190</v>
          </cell>
          <cell r="C64" t="str">
            <v>vendor finalization</v>
          </cell>
          <cell r="D64">
            <v>6</v>
          </cell>
          <cell r="E64">
            <v>43202</v>
          </cell>
          <cell r="F64">
            <v>43209</v>
          </cell>
        </row>
        <row r="65">
          <cell r="B65" t="str">
            <v>IICC-Proc-130</v>
          </cell>
          <cell r="C65" t="str">
            <v>input to float tender</v>
          </cell>
          <cell r="D65">
            <v>0</v>
          </cell>
          <cell r="E65">
            <v>43186</v>
          </cell>
        </row>
        <row r="66">
          <cell r="B66" t="str">
            <v>IICC-Proc-140</v>
          </cell>
          <cell r="C66" t="str">
            <v>Tender float &amp; techno commercial negotitions</v>
          </cell>
          <cell r="D66">
            <v>21</v>
          </cell>
          <cell r="E66">
            <v>43186</v>
          </cell>
          <cell r="F66">
            <v>43211</v>
          </cell>
        </row>
        <row r="67">
          <cell r="B67" t="str">
            <v>IICC-Proc-250</v>
          </cell>
          <cell r="C67" t="str">
            <v>Mockup</v>
          </cell>
          <cell r="D67">
            <v>30</v>
          </cell>
          <cell r="E67">
            <v>43211</v>
          </cell>
          <cell r="F67">
            <v>43248</v>
          </cell>
        </row>
        <row r="68">
          <cell r="B68" t="str">
            <v>IICC-Proc-260</v>
          </cell>
          <cell r="C68" t="str">
            <v>vendor finalization</v>
          </cell>
          <cell r="D68">
            <v>6</v>
          </cell>
          <cell r="E68">
            <v>43211</v>
          </cell>
          <cell r="F68">
            <v>43218</v>
          </cell>
        </row>
        <row r="69">
          <cell r="B69" t="str">
            <v>IICC-Proc-440</v>
          </cell>
          <cell r="C69" t="str">
            <v>Mockup approval</v>
          </cell>
          <cell r="D69">
            <v>12</v>
          </cell>
          <cell r="E69">
            <v>43248</v>
          </cell>
          <cell r="F69">
            <v>43262</v>
          </cell>
        </row>
        <row r="70">
          <cell r="B70" t="str">
            <v>IICC-Proc-500</v>
          </cell>
          <cell r="C70" t="str">
            <v>procurement of material (Issue of PO)</v>
          </cell>
          <cell r="D70">
            <v>12</v>
          </cell>
          <cell r="E70">
            <v>43262</v>
          </cell>
          <cell r="F70">
            <v>43276</v>
          </cell>
        </row>
        <row r="71">
          <cell r="B71" t="str">
            <v>IICC-Proc-150</v>
          </cell>
          <cell r="C71" t="str">
            <v>input to float tender</v>
          </cell>
          <cell r="D71">
            <v>0</v>
          </cell>
          <cell r="E71">
            <v>43190</v>
          </cell>
        </row>
        <row r="72">
          <cell r="B72" t="str">
            <v>IICC-Proc-160</v>
          </cell>
          <cell r="C72" t="str">
            <v>Tender float &amp; techno commercial negotitions</v>
          </cell>
          <cell r="D72">
            <v>24</v>
          </cell>
          <cell r="E72">
            <v>43190</v>
          </cell>
          <cell r="F72">
            <v>43220</v>
          </cell>
        </row>
        <row r="73">
          <cell r="B73" t="str">
            <v>IICC-Proc-310</v>
          </cell>
          <cell r="C73" t="str">
            <v>Mockup</v>
          </cell>
          <cell r="D73">
            <v>42</v>
          </cell>
          <cell r="E73">
            <v>43220</v>
          </cell>
          <cell r="F73">
            <v>43270</v>
          </cell>
        </row>
        <row r="74">
          <cell r="B74" t="str">
            <v>IICC-Proc-320</v>
          </cell>
          <cell r="C74" t="str">
            <v>vendor finalization</v>
          </cell>
          <cell r="D74">
            <v>6</v>
          </cell>
          <cell r="E74">
            <v>43220</v>
          </cell>
          <cell r="F74">
            <v>43228</v>
          </cell>
        </row>
        <row r="75">
          <cell r="B75" t="str">
            <v>IICC-Proc-530</v>
          </cell>
          <cell r="C75" t="str">
            <v>Mockup approval</v>
          </cell>
          <cell r="D75">
            <v>12</v>
          </cell>
          <cell r="E75">
            <v>43270</v>
          </cell>
          <cell r="F75">
            <v>43284</v>
          </cell>
        </row>
        <row r="76">
          <cell r="B76" t="str">
            <v>IICC-Proc-540</v>
          </cell>
          <cell r="C76" t="str">
            <v>procurement of material (Issue of PO)</v>
          </cell>
          <cell r="D76">
            <v>12</v>
          </cell>
          <cell r="E76">
            <v>43277</v>
          </cell>
          <cell r="F76">
            <v>43291</v>
          </cell>
        </row>
        <row r="77">
          <cell r="B77" t="str">
            <v>IICC-Proc-10</v>
          </cell>
          <cell r="C77" t="str">
            <v>input to float tender</v>
          </cell>
          <cell r="D77">
            <v>0</v>
          </cell>
          <cell r="E77">
            <v>43248</v>
          </cell>
        </row>
        <row r="78">
          <cell r="B78" t="str">
            <v>IICC-Proc-20</v>
          </cell>
          <cell r="C78" t="str">
            <v>Tender float &amp; techno commercial negotitions</v>
          </cell>
          <cell r="D78">
            <v>21</v>
          </cell>
          <cell r="E78">
            <v>43248</v>
          </cell>
          <cell r="F78">
            <v>43271</v>
          </cell>
        </row>
        <row r="79">
          <cell r="B79" t="str">
            <v>IICC-Proc-30</v>
          </cell>
          <cell r="C79" t="str">
            <v>vendor finalization</v>
          </cell>
          <cell r="D79">
            <v>6</v>
          </cell>
          <cell r="E79">
            <v>43272</v>
          </cell>
          <cell r="F79">
            <v>43278</v>
          </cell>
        </row>
        <row r="80">
          <cell r="B80" t="str">
            <v>IICC-Proc-220</v>
          </cell>
          <cell r="C80" t="str">
            <v>cooling towers</v>
          </cell>
          <cell r="D80">
            <v>0</v>
          </cell>
          <cell r="F80">
            <v>43207</v>
          </cell>
        </row>
        <row r="81">
          <cell r="B81" t="str">
            <v>IICC-Proc-240</v>
          </cell>
          <cell r="C81" t="str">
            <v>chillers</v>
          </cell>
          <cell r="D81">
            <v>0</v>
          </cell>
          <cell r="F81">
            <v>43209</v>
          </cell>
        </row>
        <row r="82">
          <cell r="B82" t="str">
            <v>IICC-Proc-280</v>
          </cell>
          <cell r="C82" t="str">
            <v>heat pumps</v>
          </cell>
          <cell r="D82">
            <v>0</v>
          </cell>
          <cell r="F82">
            <v>43215</v>
          </cell>
        </row>
        <row r="83">
          <cell r="B83" t="str">
            <v>IICC-Proc-400</v>
          </cell>
          <cell r="C83" t="str">
            <v>AHU</v>
          </cell>
          <cell r="D83">
            <v>0</v>
          </cell>
          <cell r="F83">
            <v>43244</v>
          </cell>
        </row>
        <row r="84">
          <cell r="B84" t="str">
            <v>IICC-Proc-180</v>
          </cell>
          <cell r="C84" t="str">
            <v>virtual reality content development</v>
          </cell>
          <cell r="D84">
            <v>0</v>
          </cell>
          <cell r="F84">
            <v>43196</v>
          </cell>
        </row>
        <row r="85">
          <cell r="B85" t="str">
            <v>IICC-Proc-330</v>
          </cell>
          <cell r="C85" t="str">
            <v>LED media façade</v>
          </cell>
          <cell r="D85">
            <v>0</v>
          </cell>
          <cell r="F85">
            <v>43222</v>
          </cell>
        </row>
        <row r="86">
          <cell r="B86" t="str">
            <v>IICC-Proc-370</v>
          </cell>
          <cell r="C86" t="str">
            <v>LED video walls</v>
          </cell>
          <cell r="D86">
            <v>0</v>
          </cell>
          <cell r="F86">
            <v>43232</v>
          </cell>
        </row>
        <row r="87">
          <cell r="B87" t="str">
            <v>IICC-Proc-410</v>
          </cell>
          <cell r="C87" t="str">
            <v>AV speakers</v>
          </cell>
          <cell r="D87">
            <v>0</v>
          </cell>
          <cell r="F87">
            <v>43244</v>
          </cell>
        </row>
        <row r="88">
          <cell r="B88" t="str">
            <v>IICC-Proc-470</v>
          </cell>
          <cell r="C88" t="str">
            <v>Active network switches</v>
          </cell>
          <cell r="D88">
            <v>0</v>
          </cell>
          <cell r="F88">
            <v>43256</v>
          </cell>
        </row>
        <row r="89">
          <cell r="B89" t="str">
            <v>IICC-Proc-510</v>
          </cell>
          <cell r="C89" t="str">
            <v>X-ray baggage scanners</v>
          </cell>
          <cell r="D89">
            <v>0</v>
          </cell>
          <cell r="F89">
            <v>43264</v>
          </cell>
        </row>
        <row r="90">
          <cell r="B90" t="str">
            <v>IICC-Proc-520</v>
          </cell>
          <cell r="C90" t="str">
            <v>sprinklers</v>
          </cell>
          <cell r="D90">
            <v>0</v>
          </cell>
          <cell r="F90">
            <v>43266</v>
          </cell>
        </row>
        <row r="91">
          <cell r="B91" t="str">
            <v>IICC-Proc-550</v>
          </cell>
          <cell r="C91" t="str">
            <v>fire pump set</v>
          </cell>
          <cell r="D91">
            <v>0</v>
          </cell>
          <cell r="F91">
            <v>43278</v>
          </cell>
        </row>
        <row r="92">
          <cell r="B92" t="str">
            <v>IICC-Proc-230</v>
          </cell>
          <cell r="C92" t="str">
            <v>transformers</v>
          </cell>
          <cell r="D92">
            <v>0</v>
          </cell>
          <cell r="F92">
            <v>43207</v>
          </cell>
        </row>
        <row r="93">
          <cell r="B93" t="str">
            <v>IICC-Proc-290</v>
          </cell>
          <cell r="C93" t="str">
            <v>DG set</v>
          </cell>
          <cell r="D93">
            <v>0</v>
          </cell>
          <cell r="F93">
            <v>43215</v>
          </cell>
        </row>
        <row r="94">
          <cell r="B94" t="str">
            <v>IICC-Proc-340</v>
          </cell>
          <cell r="C94" t="str">
            <v>HT panels</v>
          </cell>
          <cell r="D94">
            <v>0</v>
          </cell>
          <cell r="F94">
            <v>43222</v>
          </cell>
        </row>
        <row r="95">
          <cell r="B95" t="str">
            <v>IICC-Proc-390</v>
          </cell>
          <cell r="C95" t="str">
            <v>solar PV system</v>
          </cell>
          <cell r="D95">
            <v>0</v>
          </cell>
          <cell r="F95">
            <v>43236</v>
          </cell>
        </row>
        <row r="96">
          <cell r="B96" t="str">
            <v>IICC-Proc-420</v>
          </cell>
          <cell r="C96" t="str">
            <v>STP</v>
          </cell>
          <cell r="D96">
            <v>0</v>
          </cell>
          <cell r="F96">
            <v>43244</v>
          </cell>
        </row>
        <row r="97">
          <cell r="B97" t="str">
            <v>IICC-Proc-480</v>
          </cell>
          <cell r="C97" t="str">
            <v>solid waste system</v>
          </cell>
          <cell r="D97">
            <v>0</v>
          </cell>
          <cell r="F97">
            <v>43256</v>
          </cell>
        </row>
        <row r="98">
          <cell r="B98" t="str">
            <v>IICC-Proc-490</v>
          </cell>
          <cell r="C98" t="str">
            <v>organic waste convertor</v>
          </cell>
          <cell r="D98">
            <v>0</v>
          </cell>
          <cell r="F98">
            <v>43260</v>
          </cell>
        </row>
        <row r="99">
          <cell r="B99" t="str">
            <v>IICC-Precon-10</v>
          </cell>
          <cell r="C99" t="str">
            <v>Re-routing of HT over head lines</v>
          </cell>
          <cell r="D99">
            <v>12</v>
          </cell>
          <cell r="E99">
            <v>43102</v>
          </cell>
          <cell r="F99">
            <v>43116</v>
          </cell>
        </row>
        <row r="100">
          <cell r="B100" t="str">
            <v>IICC-Precon-20</v>
          </cell>
          <cell r="C100" t="str">
            <v>identification of undergroung services</v>
          </cell>
          <cell r="D100">
            <v>0</v>
          </cell>
          <cell r="F100">
            <v>43125</v>
          </cell>
        </row>
        <row r="101">
          <cell r="B101" t="str">
            <v>IICC-Precon-30</v>
          </cell>
          <cell r="C101" t="str">
            <v>statutory approvals</v>
          </cell>
          <cell r="D101">
            <v>0</v>
          </cell>
          <cell r="F101">
            <v>43150</v>
          </cell>
        </row>
        <row r="102">
          <cell r="B102" t="str">
            <v>IICC-CC-10</v>
          </cell>
          <cell r="C102" t="str">
            <v>Earth work zone 1,2,3</v>
          </cell>
          <cell r="D102">
            <v>48</v>
          </cell>
          <cell r="E102">
            <v>43116</v>
          </cell>
          <cell r="F102">
            <v>43162</v>
          </cell>
        </row>
        <row r="103">
          <cell r="B103" t="str">
            <v>IICC-CC-20</v>
          </cell>
          <cell r="C103" t="str">
            <v>Earth work zone 4</v>
          </cell>
          <cell r="D103">
            <v>30</v>
          </cell>
          <cell r="E103">
            <v>43148</v>
          </cell>
          <cell r="F103">
            <v>43178</v>
          </cell>
        </row>
        <row r="104">
          <cell r="B104" t="str">
            <v>IICC-CC-70</v>
          </cell>
          <cell r="C104" t="str">
            <v>Earth work zone 5</v>
          </cell>
          <cell r="D104">
            <v>30</v>
          </cell>
          <cell r="E104">
            <v>43189</v>
          </cell>
          <cell r="F104">
            <v>43192</v>
          </cell>
        </row>
        <row r="105">
          <cell r="B105" t="str">
            <v>IICC-CC-60</v>
          </cell>
          <cell r="C105" t="str">
            <v>excavation upto basement 2</v>
          </cell>
          <cell r="D105">
            <v>24</v>
          </cell>
          <cell r="E105">
            <v>43162</v>
          </cell>
          <cell r="F105">
            <v>43186</v>
          </cell>
        </row>
        <row r="106">
          <cell r="B106" t="str">
            <v>IICC-CC-150</v>
          </cell>
          <cell r="C106" t="str">
            <v>foundation works for core walls</v>
          </cell>
          <cell r="D106">
            <v>25</v>
          </cell>
          <cell r="E106">
            <v>43186</v>
          </cell>
          <cell r="F106">
            <v>43210</v>
          </cell>
        </row>
        <row r="107">
          <cell r="B107" t="str">
            <v>IICC-CC-320</v>
          </cell>
          <cell r="C107" t="str">
            <v>setting up climbing from work</v>
          </cell>
          <cell r="D107">
            <v>20</v>
          </cell>
          <cell r="E107">
            <v>43210</v>
          </cell>
          <cell r="F107">
            <v>43230</v>
          </cell>
        </row>
        <row r="108">
          <cell r="B108" t="str">
            <v>IICC-CC-490</v>
          </cell>
          <cell r="C108" t="str">
            <v>core wall concreting upto level 8</v>
          </cell>
          <cell r="D108">
            <v>57</v>
          </cell>
          <cell r="E108">
            <v>43230</v>
          </cell>
          <cell r="F108">
            <v>43283</v>
          </cell>
        </row>
        <row r="109">
          <cell r="B109" t="str">
            <v>IICC-CC-970</v>
          </cell>
          <cell r="C109" t="str">
            <v>dismantling of formwork</v>
          </cell>
          <cell r="D109">
            <v>15</v>
          </cell>
          <cell r="E109">
            <v>43284</v>
          </cell>
          <cell r="F109">
            <v>43297</v>
          </cell>
        </row>
        <row r="110">
          <cell r="B110" t="str">
            <v>IICC-CC-30</v>
          </cell>
          <cell r="C110" t="str">
            <v>foundation works &amp; waterproofing</v>
          </cell>
          <cell r="D110">
            <v>18</v>
          </cell>
          <cell r="E110">
            <v>43154</v>
          </cell>
          <cell r="F110">
            <v>43173</v>
          </cell>
        </row>
        <row r="111">
          <cell r="B111" t="str">
            <v>IICC-CC-80</v>
          </cell>
          <cell r="C111" t="str">
            <v>backfiling &amp; slab on grade</v>
          </cell>
          <cell r="D111">
            <v>12</v>
          </cell>
          <cell r="E111">
            <v>43167</v>
          </cell>
          <cell r="F111">
            <v>43178</v>
          </cell>
        </row>
        <row r="112">
          <cell r="B112" t="str">
            <v>IICC-CC-40</v>
          </cell>
          <cell r="C112" t="str">
            <v>foundation works &amp; waterproofing</v>
          </cell>
          <cell r="D112">
            <v>18</v>
          </cell>
          <cell r="E112">
            <v>43158</v>
          </cell>
          <cell r="F112">
            <v>43173</v>
          </cell>
        </row>
        <row r="113">
          <cell r="B113" t="str">
            <v>IICC-CC-90</v>
          </cell>
          <cell r="C113" t="str">
            <v>backfiling &amp; slab on grade</v>
          </cell>
          <cell r="D113">
            <v>12</v>
          </cell>
          <cell r="E113">
            <v>43167</v>
          </cell>
          <cell r="F113">
            <v>43178</v>
          </cell>
        </row>
        <row r="114">
          <cell r="B114" t="str">
            <v>IICC-CC-50</v>
          </cell>
          <cell r="C114" t="str">
            <v>foundation works &amp; waterproofing</v>
          </cell>
          <cell r="D114">
            <v>18</v>
          </cell>
          <cell r="E114">
            <v>43160</v>
          </cell>
          <cell r="F114">
            <v>43178</v>
          </cell>
        </row>
        <row r="115">
          <cell r="B115" t="str">
            <v>IICC-CC-100</v>
          </cell>
          <cell r="C115" t="str">
            <v>backfiling &amp; slab on grade</v>
          </cell>
          <cell r="D115">
            <v>12</v>
          </cell>
          <cell r="E115">
            <v>43173</v>
          </cell>
          <cell r="F115">
            <v>43183</v>
          </cell>
        </row>
        <row r="116">
          <cell r="B116" t="str">
            <v>IICC-CC-930</v>
          </cell>
          <cell r="C116" t="str">
            <v>foundation works &amp; waterproofing</v>
          </cell>
          <cell r="D116">
            <v>18</v>
          </cell>
          <cell r="E116">
            <v>43279</v>
          </cell>
          <cell r="F116">
            <v>43297</v>
          </cell>
        </row>
        <row r="117">
          <cell r="B117" t="str">
            <v>IICC-CC-1040</v>
          </cell>
          <cell r="C117" t="str">
            <v>backfiling &amp; slab on grade</v>
          </cell>
          <cell r="D117">
            <v>12</v>
          </cell>
          <cell r="E117">
            <v>43291</v>
          </cell>
          <cell r="F117">
            <v>43301</v>
          </cell>
        </row>
        <row r="118">
          <cell r="B118" t="str">
            <v>IICC-CC-960</v>
          </cell>
          <cell r="C118" t="str">
            <v>foundation works &amp; waterproofing</v>
          </cell>
          <cell r="D118">
            <v>18</v>
          </cell>
          <cell r="E118">
            <v>43283</v>
          </cell>
          <cell r="F118">
            <v>43299</v>
          </cell>
        </row>
        <row r="119">
          <cell r="B119" t="str">
            <v>IICC-CC-1050</v>
          </cell>
          <cell r="C119" t="str">
            <v>backfiling &amp; slab on grade</v>
          </cell>
          <cell r="D119">
            <v>12</v>
          </cell>
          <cell r="E119">
            <v>43293</v>
          </cell>
          <cell r="F119">
            <v>43305</v>
          </cell>
        </row>
        <row r="120">
          <cell r="B120" t="str">
            <v>IICC-CC-990</v>
          </cell>
          <cell r="C120" t="str">
            <v>foundation works &amp; waterproofing</v>
          </cell>
          <cell r="D120">
            <v>18</v>
          </cell>
          <cell r="E120">
            <v>43285</v>
          </cell>
          <cell r="F120">
            <v>43301</v>
          </cell>
        </row>
        <row r="121">
          <cell r="B121" t="str">
            <v>IICC-CC-1070</v>
          </cell>
          <cell r="C121" t="str">
            <v>backfiling &amp; slab on grade</v>
          </cell>
          <cell r="D121">
            <v>12</v>
          </cell>
          <cell r="E121">
            <v>43297</v>
          </cell>
          <cell r="F121">
            <v>43307</v>
          </cell>
        </row>
        <row r="122">
          <cell r="B122" t="str">
            <v>IICC-CC-110</v>
          </cell>
          <cell r="C122" t="str">
            <v>columns &amp; retaining wall</v>
          </cell>
          <cell r="D122">
            <v>15</v>
          </cell>
          <cell r="E122">
            <v>43179</v>
          </cell>
          <cell r="F122">
            <v>43192</v>
          </cell>
        </row>
        <row r="123">
          <cell r="B123" t="str">
            <v>IICC-CC-170</v>
          </cell>
          <cell r="C123" t="str">
            <v>slab</v>
          </cell>
          <cell r="D123">
            <v>12</v>
          </cell>
          <cell r="E123">
            <v>43187</v>
          </cell>
          <cell r="F123">
            <v>43199</v>
          </cell>
        </row>
        <row r="124">
          <cell r="B124" t="str">
            <v>IICC-CC-120</v>
          </cell>
          <cell r="C124" t="str">
            <v>columns &amp; retaining wall</v>
          </cell>
          <cell r="D124">
            <v>15</v>
          </cell>
          <cell r="E124">
            <v>43181</v>
          </cell>
          <cell r="F124">
            <v>43196</v>
          </cell>
        </row>
        <row r="125">
          <cell r="B125" t="str">
            <v>IICC-CC-200</v>
          </cell>
          <cell r="C125" t="str">
            <v>slab</v>
          </cell>
          <cell r="D125">
            <v>12</v>
          </cell>
          <cell r="E125">
            <v>43189</v>
          </cell>
          <cell r="F125">
            <v>43202</v>
          </cell>
        </row>
        <row r="126">
          <cell r="B126" t="str">
            <v>IICC-CC-130</v>
          </cell>
          <cell r="C126" t="str">
            <v>foundation works &amp; waterproofing</v>
          </cell>
          <cell r="D126">
            <v>15</v>
          </cell>
          <cell r="E126">
            <v>43183</v>
          </cell>
          <cell r="F126">
            <v>43199</v>
          </cell>
        </row>
        <row r="127">
          <cell r="B127" t="str">
            <v>IICC-CC-210</v>
          </cell>
          <cell r="C127" t="str">
            <v>backfiling &amp; slab on grade</v>
          </cell>
          <cell r="D127">
            <v>12</v>
          </cell>
          <cell r="E127">
            <v>43194</v>
          </cell>
          <cell r="F127">
            <v>43204</v>
          </cell>
        </row>
        <row r="128">
          <cell r="B128" t="str">
            <v>IICC-CC-180</v>
          </cell>
          <cell r="C128" t="str">
            <v>foundation works &amp; waterproofing</v>
          </cell>
          <cell r="D128">
            <v>15</v>
          </cell>
          <cell r="E128">
            <v>43187</v>
          </cell>
          <cell r="F128">
            <v>43202</v>
          </cell>
        </row>
        <row r="129">
          <cell r="B129" t="str">
            <v>IICC-CC-230</v>
          </cell>
          <cell r="C129" t="str">
            <v>backfiling &amp; slab on grade</v>
          </cell>
          <cell r="D129">
            <v>12</v>
          </cell>
          <cell r="E129">
            <v>43196</v>
          </cell>
          <cell r="F129">
            <v>43207</v>
          </cell>
        </row>
        <row r="130">
          <cell r="B130" t="str">
            <v>IICC-CC-160</v>
          </cell>
          <cell r="C130" t="str">
            <v>foundation works &amp; waterproofing</v>
          </cell>
          <cell r="D130">
            <v>18</v>
          </cell>
          <cell r="E130">
            <v>43187</v>
          </cell>
          <cell r="F130">
            <v>43204</v>
          </cell>
        </row>
        <row r="131">
          <cell r="B131" t="str">
            <v>IICC-CC-240</v>
          </cell>
          <cell r="C131" t="str">
            <v>backfiling &amp; slab on grade</v>
          </cell>
          <cell r="D131">
            <v>12</v>
          </cell>
          <cell r="E131">
            <v>43199</v>
          </cell>
          <cell r="F131">
            <v>43210</v>
          </cell>
        </row>
        <row r="132">
          <cell r="B132" t="str">
            <v>IICC-CC-190</v>
          </cell>
          <cell r="C132" t="str">
            <v>foundation works &amp; waterproofing</v>
          </cell>
          <cell r="D132">
            <v>18</v>
          </cell>
          <cell r="E132">
            <v>43189</v>
          </cell>
          <cell r="F132">
            <v>43207</v>
          </cell>
        </row>
        <row r="133">
          <cell r="B133" t="str">
            <v>IICC-CC-260</v>
          </cell>
          <cell r="C133" t="str">
            <v>backfiling &amp; slab on grade</v>
          </cell>
          <cell r="D133">
            <v>12</v>
          </cell>
          <cell r="E133">
            <v>43202</v>
          </cell>
          <cell r="F133">
            <v>43213</v>
          </cell>
        </row>
        <row r="134">
          <cell r="B134" t="str">
            <v>IICC-CC-140</v>
          </cell>
          <cell r="C134" t="str">
            <v>columns &amp; retaining wall</v>
          </cell>
          <cell r="D134">
            <v>15</v>
          </cell>
          <cell r="E134">
            <v>43183</v>
          </cell>
          <cell r="F134">
            <v>43199</v>
          </cell>
        </row>
        <row r="135">
          <cell r="B135" t="str">
            <v>IICC-CC-220</v>
          </cell>
          <cell r="C135" t="str">
            <v>slab</v>
          </cell>
          <cell r="D135">
            <v>12</v>
          </cell>
          <cell r="E135">
            <v>43194</v>
          </cell>
          <cell r="F135">
            <v>43204</v>
          </cell>
        </row>
        <row r="136">
          <cell r="B136" t="str">
            <v>IICC-CC-1100</v>
          </cell>
          <cell r="C136" t="str">
            <v>columns &amp; retaining wall</v>
          </cell>
          <cell r="D136">
            <v>15</v>
          </cell>
          <cell r="E136">
            <v>43302</v>
          </cell>
          <cell r="F136">
            <v>43315</v>
          </cell>
        </row>
        <row r="137">
          <cell r="B137" t="str">
            <v>IICC-CC-1130</v>
          </cell>
          <cell r="C137" t="str">
            <v>slab</v>
          </cell>
          <cell r="D137">
            <v>12</v>
          </cell>
          <cell r="E137">
            <v>43311</v>
          </cell>
          <cell r="F137">
            <v>43321</v>
          </cell>
        </row>
        <row r="138">
          <cell r="B138" t="str">
            <v>IICC-CC-1120</v>
          </cell>
          <cell r="C138" t="str">
            <v>columns &amp; retaining wall</v>
          </cell>
          <cell r="D138">
            <v>15</v>
          </cell>
          <cell r="E138">
            <v>43287</v>
          </cell>
          <cell r="F138">
            <v>43321</v>
          </cell>
        </row>
        <row r="139">
          <cell r="B139" t="str">
            <v>IICC-CC-1150</v>
          </cell>
          <cell r="C139" t="str">
            <v>slab</v>
          </cell>
          <cell r="D139">
            <v>12</v>
          </cell>
          <cell r="E139">
            <v>43316</v>
          </cell>
          <cell r="F139">
            <v>43328</v>
          </cell>
        </row>
        <row r="140">
          <cell r="B140" t="str">
            <v>IICC-CC-1530</v>
          </cell>
          <cell r="C140" t="str">
            <v>foundation works &amp; waterproofing</v>
          </cell>
          <cell r="D140">
            <v>18</v>
          </cell>
          <cell r="E140">
            <v>43444</v>
          </cell>
          <cell r="F140">
            <v>43462</v>
          </cell>
        </row>
        <row r="141">
          <cell r="B141" t="str">
            <v>IICC-CC-1580</v>
          </cell>
          <cell r="C141" t="str">
            <v>backfiling &amp; slab on grade</v>
          </cell>
          <cell r="D141">
            <v>15</v>
          </cell>
          <cell r="E141">
            <v>43453</v>
          </cell>
          <cell r="F141">
            <v>43468</v>
          </cell>
        </row>
        <row r="142">
          <cell r="B142" t="str">
            <v>IICC-CC-1540</v>
          </cell>
          <cell r="C142" t="str">
            <v>foundation works &amp; waterproofing</v>
          </cell>
          <cell r="D142">
            <v>18</v>
          </cell>
          <cell r="E142">
            <v>43447</v>
          </cell>
          <cell r="F142">
            <v>43465</v>
          </cell>
        </row>
        <row r="143">
          <cell r="B143" t="str">
            <v>IICC-CC-1590</v>
          </cell>
          <cell r="C143" t="str">
            <v>backfiling &amp; slab on grade</v>
          </cell>
          <cell r="D143">
            <v>15</v>
          </cell>
          <cell r="E143">
            <v>43455</v>
          </cell>
          <cell r="F143">
            <v>43472</v>
          </cell>
        </row>
        <row r="144">
          <cell r="B144" t="str">
            <v>IICC-CC-1560</v>
          </cell>
          <cell r="C144" t="str">
            <v>foundation works &amp; waterproofing</v>
          </cell>
          <cell r="D144">
            <v>18</v>
          </cell>
          <cell r="E144">
            <v>43449</v>
          </cell>
          <cell r="F144">
            <v>43468</v>
          </cell>
        </row>
        <row r="145">
          <cell r="B145" t="str">
            <v>IICC-CC-1620</v>
          </cell>
          <cell r="C145" t="str">
            <v>backfiling &amp; slab on grade</v>
          </cell>
          <cell r="D145">
            <v>15</v>
          </cell>
          <cell r="E145">
            <v>43458</v>
          </cell>
          <cell r="F145">
            <v>43474</v>
          </cell>
        </row>
        <row r="146">
          <cell r="B146" t="str">
            <v>IICC-CC-250</v>
          </cell>
          <cell r="C146" t="str">
            <v>columns &amp; retaining wall</v>
          </cell>
          <cell r="D146">
            <v>12</v>
          </cell>
          <cell r="E146">
            <v>43199</v>
          </cell>
          <cell r="F146">
            <v>43210</v>
          </cell>
        </row>
        <row r="147">
          <cell r="B147" t="str">
            <v>IICC-CC-300</v>
          </cell>
          <cell r="C147" t="str">
            <v>slab</v>
          </cell>
          <cell r="D147">
            <v>10</v>
          </cell>
          <cell r="E147">
            <v>43207</v>
          </cell>
          <cell r="F147">
            <v>43206</v>
          </cell>
        </row>
        <row r="148">
          <cell r="B148" t="str">
            <v>IICC-CC-270</v>
          </cell>
          <cell r="C148" t="str">
            <v>columns &amp; retaining wall</v>
          </cell>
          <cell r="D148">
            <v>12</v>
          </cell>
          <cell r="E148">
            <v>43202</v>
          </cell>
          <cell r="F148">
            <v>43213</v>
          </cell>
        </row>
        <row r="149">
          <cell r="B149" t="str">
            <v>IICC-CC-330</v>
          </cell>
          <cell r="C149" t="str">
            <v>slab</v>
          </cell>
          <cell r="D149">
            <v>10</v>
          </cell>
          <cell r="E149">
            <v>43209</v>
          </cell>
          <cell r="F149">
            <v>43218</v>
          </cell>
        </row>
        <row r="150">
          <cell r="B150" t="str">
            <v>IICC-CC-280</v>
          </cell>
          <cell r="C150" t="str">
            <v xml:space="preserve">columns </v>
          </cell>
          <cell r="D150">
            <v>12</v>
          </cell>
          <cell r="E150">
            <v>43204</v>
          </cell>
          <cell r="F150">
            <v>43216</v>
          </cell>
        </row>
        <row r="151">
          <cell r="B151" t="str">
            <v>IICC-CC-350</v>
          </cell>
          <cell r="C151" t="str">
            <v>slab</v>
          </cell>
          <cell r="D151">
            <v>10</v>
          </cell>
          <cell r="E151">
            <v>43213</v>
          </cell>
          <cell r="F151">
            <v>43222</v>
          </cell>
        </row>
        <row r="152">
          <cell r="B152" t="str">
            <v>IICC-CC-310</v>
          </cell>
          <cell r="C152" t="str">
            <v xml:space="preserve">columns </v>
          </cell>
          <cell r="D152">
            <v>12</v>
          </cell>
          <cell r="E152">
            <v>43208</v>
          </cell>
          <cell r="F152">
            <v>43218</v>
          </cell>
        </row>
        <row r="153">
          <cell r="B153" t="str">
            <v>IICC-CC-370</v>
          </cell>
          <cell r="C153" t="str">
            <v>slab</v>
          </cell>
          <cell r="D153">
            <v>10</v>
          </cell>
          <cell r="E153">
            <v>43215</v>
          </cell>
          <cell r="F153">
            <v>43225</v>
          </cell>
        </row>
        <row r="154">
          <cell r="B154" t="str">
            <v>IICC-CC-340</v>
          </cell>
          <cell r="C154" t="str">
            <v>columns &amp; retaining wall</v>
          </cell>
          <cell r="D154">
            <v>12</v>
          </cell>
          <cell r="E154">
            <v>43210</v>
          </cell>
          <cell r="F154">
            <v>43222</v>
          </cell>
        </row>
        <row r="155">
          <cell r="B155" t="str">
            <v>IICC-CC-390</v>
          </cell>
          <cell r="C155" t="str">
            <v>slab</v>
          </cell>
          <cell r="D155">
            <v>10</v>
          </cell>
          <cell r="E155">
            <v>43217</v>
          </cell>
          <cell r="F155">
            <v>43228</v>
          </cell>
        </row>
        <row r="156">
          <cell r="B156" t="str">
            <v>IICC-CC-360</v>
          </cell>
          <cell r="C156" t="str">
            <v>columns &amp; retaining wall</v>
          </cell>
          <cell r="D156">
            <v>12</v>
          </cell>
          <cell r="E156">
            <v>43213</v>
          </cell>
          <cell r="F156">
            <v>43225</v>
          </cell>
        </row>
        <row r="157">
          <cell r="B157" t="str">
            <v>IICC-CC-420</v>
          </cell>
          <cell r="C157" t="str">
            <v>slab</v>
          </cell>
          <cell r="D157">
            <v>10</v>
          </cell>
          <cell r="E157">
            <v>43222</v>
          </cell>
          <cell r="F157">
            <v>43231</v>
          </cell>
        </row>
        <row r="158">
          <cell r="B158" t="str">
            <v>IICC-CC-290</v>
          </cell>
          <cell r="C158" t="str">
            <v xml:space="preserve">columns </v>
          </cell>
          <cell r="D158">
            <v>15</v>
          </cell>
          <cell r="E158">
            <v>43204</v>
          </cell>
          <cell r="F158">
            <v>43218</v>
          </cell>
        </row>
        <row r="159">
          <cell r="B159" t="str">
            <v>IICC-CC-1160</v>
          </cell>
          <cell r="C159" t="str">
            <v>columns &amp; retaining wall</v>
          </cell>
          <cell r="D159">
            <v>12</v>
          </cell>
          <cell r="E159">
            <v>43321</v>
          </cell>
          <cell r="F159">
            <v>43334</v>
          </cell>
        </row>
        <row r="160">
          <cell r="B160" t="str">
            <v>IICC-CC-1180</v>
          </cell>
          <cell r="C160" t="str">
            <v>slab</v>
          </cell>
          <cell r="D160">
            <v>10</v>
          </cell>
          <cell r="E160">
            <v>43330</v>
          </cell>
          <cell r="F160">
            <v>43340</v>
          </cell>
        </row>
        <row r="161">
          <cell r="B161" t="str">
            <v>IICC-CC-1170</v>
          </cell>
          <cell r="C161" t="str">
            <v xml:space="preserve">columns </v>
          </cell>
          <cell r="D161">
            <v>12</v>
          </cell>
          <cell r="E161">
            <v>43328</v>
          </cell>
          <cell r="F161">
            <v>43340</v>
          </cell>
        </row>
        <row r="162">
          <cell r="B162" t="str">
            <v>IICC-CC-1210</v>
          </cell>
          <cell r="C162" t="str">
            <v>slab</v>
          </cell>
          <cell r="D162">
            <v>10</v>
          </cell>
          <cell r="E162">
            <v>43336</v>
          </cell>
          <cell r="F162">
            <v>43347</v>
          </cell>
        </row>
        <row r="163">
          <cell r="B163" t="str">
            <v>IICC-CC-1640</v>
          </cell>
          <cell r="C163" t="str">
            <v>ramp slab</v>
          </cell>
          <cell r="D163">
            <v>15</v>
          </cell>
          <cell r="E163">
            <v>43465</v>
          </cell>
          <cell r="F163">
            <v>43480</v>
          </cell>
        </row>
        <row r="164">
          <cell r="B164" t="str">
            <v>IICC-CC-1700</v>
          </cell>
          <cell r="C164" t="str">
            <v>columns &amp; retaining wall</v>
          </cell>
          <cell r="D164">
            <v>12</v>
          </cell>
          <cell r="E164">
            <v>43474</v>
          </cell>
          <cell r="F164">
            <v>43486</v>
          </cell>
        </row>
        <row r="165">
          <cell r="B165" t="str">
            <v>IICC-CC-1800</v>
          </cell>
          <cell r="C165" t="str">
            <v>slab</v>
          </cell>
          <cell r="D165">
            <v>10</v>
          </cell>
          <cell r="E165">
            <v>43482</v>
          </cell>
          <cell r="F165">
            <v>43493</v>
          </cell>
        </row>
        <row r="166">
          <cell r="B166" t="str">
            <v>IICC-CC-380</v>
          </cell>
          <cell r="C166" t="str">
            <v xml:space="preserve">columns </v>
          </cell>
          <cell r="D166">
            <v>10</v>
          </cell>
          <cell r="E166">
            <v>43216</v>
          </cell>
          <cell r="F166">
            <v>43227</v>
          </cell>
        </row>
        <row r="167">
          <cell r="B167" t="str">
            <v>IICC-CC-440</v>
          </cell>
          <cell r="C167" t="str">
            <v>slab</v>
          </cell>
          <cell r="D167">
            <v>8</v>
          </cell>
          <cell r="E167">
            <v>43223</v>
          </cell>
          <cell r="F167">
            <v>43231</v>
          </cell>
        </row>
        <row r="168">
          <cell r="B168" t="str">
            <v>IICC-CC-470</v>
          </cell>
          <cell r="C168" t="str">
            <v>matel deck erection &amp; concreting</v>
          </cell>
          <cell r="D168">
            <v>6</v>
          </cell>
          <cell r="E168">
            <v>43227</v>
          </cell>
          <cell r="F168">
            <v>43231</v>
          </cell>
        </row>
        <row r="169">
          <cell r="B169" t="str">
            <v>IICC-CC-410</v>
          </cell>
          <cell r="C169" t="str">
            <v xml:space="preserve">columns </v>
          </cell>
          <cell r="D169">
            <v>10</v>
          </cell>
          <cell r="E169">
            <v>43218</v>
          </cell>
          <cell r="F169">
            <v>43239</v>
          </cell>
        </row>
        <row r="170">
          <cell r="B170" t="str">
            <v>IICC-CC-460</v>
          </cell>
          <cell r="C170" t="str">
            <v>slab</v>
          </cell>
          <cell r="D170">
            <v>8</v>
          </cell>
          <cell r="E170">
            <v>43227</v>
          </cell>
          <cell r="F170">
            <v>43234</v>
          </cell>
        </row>
        <row r="171">
          <cell r="B171" t="str">
            <v>IICC-CC-430</v>
          </cell>
          <cell r="C171" t="str">
            <v xml:space="preserve">columns </v>
          </cell>
          <cell r="D171">
            <v>10</v>
          </cell>
          <cell r="E171">
            <v>43223</v>
          </cell>
          <cell r="F171">
            <v>43231</v>
          </cell>
        </row>
        <row r="172">
          <cell r="B172" t="str">
            <v>IICC-CC-510</v>
          </cell>
          <cell r="C172" t="str">
            <v>slab</v>
          </cell>
          <cell r="D172">
            <v>8</v>
          </cell>
          <cell r="E172">
            <v>43229</v>
          </cell>
          <cell r="F172">
            <v>43236</v>
          </cell>
        </row>
        <row r="173">
          <cell r="B173" t="str">
            <v>IICC-CC-450</v>
          </cell>
          <cell r="C173" t="str">
            <v xml:space="preserve">columns </v>
          </cell>
          <cell r="D173">
            <v>10</v>
          </cell>
          <cell r="E173">
            <v>43225</v>
          </cell>
          <cell r="F173">
            <v>43235</v>
          </cell>
        </row>
        <row r="174">
          <cell r="B174" t="str">
            <v>IICC-CC-530</v>
          </cell>
          <cell r="C174" t="str">
            <v>slab</v>
          </cell>
          <cell r="D174">
            <v>8</v>
          </cell>
          <cell r="E174">
            <v>43232</v>
          </cell>
          <cell r="F174">
            <v>43239</v>
          </cell>
        </row>
        <row r="175">
          <cell r="B175" t="str">
            <v>IICC-CC-480</v>
          </cell>
          <cell r="C175" t="str">
            <v xml:space="preserve">columns </v>
          </cell>
          <cell r="D175">
            <v>10</v>
          </cell>
          <cell r="E175">
            <v>43228</v>
          </cell>
          <cell r="F175">
            <v>43237</v>
          </cell>
        </row>
        <row r="176">
          <cell r="B176" t="str">
            <v>IICC-CC-520</v>
          </cell>
          <cell r="C176" t="str">
            <v xml:space="preserve">columns </v>
          </cell>
          <cell r="D176">
            <v>10</v>
          </cell>
          <cell r="E176">
            <v>43231</v>
          </cell>
          <cell r="F176">
            <v>43241</v>
          </cell>
        </row>
        <row r="177">
          <cell r="B177" t="str">
            <v>IICC-CC-400</v>
          </cell>
          <cell r="C177" t="str">
            <v xml:space="preserve">columns </v>
          </cell>
          <cell r="D177">
            <v>10</v>
          </cell>
          <cell r="E177">
            <v>43218</v>
          </cell>
          <cell r="F177">
            <v>43284</v>
          </cell>
        </row>
        <row r="178">
          <cell r="B178" t="str">
            <v>IICC-CC-500</v>
          </cell>
          <cell r="C178" t="str">
            <v>structural steel erection</v>
          </cell>
          <cell r="D178">
            <v>6</v>
          </cell>
          <cell r="E178">
            <v>43229</v>
          </cell>
          <cell r="F178">
            <v>43229</v>
          </cell>
        </row>
        <row r="179">
          <cell r="B179" t="str">
            <v>IICC-CC-830</v>
          </cell>
          <cell r="C179" t="str">
            <v>erection of bleachers</v>
          </cell>
          <cell r="D179">
            <v>12</v>
          </cell>
          <cell r="E179">
            <v>43270</v>
          </cell>
          <cell r="F179">
            <v>43235</v>
          </cell>
        </row>
        <row r="180">
          <cell r="B180" t="str">
            <v>IICC-CC-1220</v>
          </cell>
          <cell r="C180" t="str">
            <v xml:space="preserve">columns </v>
          </cell>
          <cell r="D180">
            <v>10</v>
          </cell>
          <cell r="E180">
            <v>43340</v>
          </cell>
          <cell r="F180">
            <v>43350</v>
          </cell>
        </row>
        <row r="181">
          <cell r="B181" t="str">
            <v>IICC-CC-1260</v>
          </cell>
          <cell r="C181" t="str">
            <v>slab</v>
          </cell>
          <cell r="D181">
            <v>8</v>
          </cell>
          <cell r="E181">
            <v>43347</v>
          </cell>
          <cell r="F181">
            <v>43355</v>
          </cell>
        </row>
        <row r="182">
          <cell r="B182" t="str">
            <v>IICC-CC-1250</v>
          </cell>
          <cell r="C182" t="str">
            <v>columns</v>
          </cell>
          <cell r="D182">
            <v>7</v>
          </cell>
          <cell r="E182">
            <v>43347</v>
          </cell>
          <cell r="F182">
            <v>43353</v>
          </cell>
        </row>
        <row r="183">
          <cell r="B183" t="str">
            <v>IICC-CC-1270</v>
          </cell>
          <cell r="C183" t="str">
            <v>erection of metal deck &amp; concreting</v>
          </cell>
          <cell r="D183">
            <v>3</v>
          </cell>
          <cell r="E183">
            <v>43354</v>
          </cell>
          <cell r="F183">
            <v>43356</v>
          </cell>
        </row>
        <row r="184">
          <cell r="B184" t="str">
            <v>IICC-CC-1710</v>
          </cell>
          <cell r="C184" t="str">
            <v>ramp slab</v>
          </cell>
          <cell r="D184">
            <v>12</v>
          </cell>
          <cell r="E184">
            <v>43474</v>
          </cell>
          <cell r="F184">
            <v>43486</v>
          </cell>
        </row>
        <row r="185">
          <cell r="B185" t="str">
            <v>IICC-CC-540</v>
          </cell>
          <cell r="C185" t="str">
            <v>columns</v>
          </cell>
          <cell r="D185">
            <v>10</v>
          </cell>
          <cell r="E185">
            <v>43232</v>
          </cell>
          <cell r="F185">
            <v>43241</v>
          </cell>
        </row>
        <row r="186">
          <cell r="B186" t="str">
            <v>IICC-CC-580</v>
          </cell>
          <cell r="C186" t="str">
            <v>slab</v>
          </cell>
          <cell r="D186">
            <v>8</v>
          </cell>
          <cell r="E186">
            <v>43238</v>
          </cell>
          <cell r="F186">
            <v>43245</v>
          </cell>
        </row>
        <row r="187">
          <cell r="B187" t="str">
            <v>IICC-CC-550</v>
          </cell>
          <cell r="C187" t="str">
            <v>columns</v>
          </cell>
          <cell r="D187">
            <v>10</v>
          </cell>
          <cell r="E187">
            <v>43234</v>
          </cell>
          <cell r="F187">
            <v>43243</v>
          </cell>
        </row>
        <row r="188">
          <cell r="B188" t="str">
            <v>IICC-CC-600</v>
          </cell>
          <cell r="C188" t="str">
            <v>slab</v>
          </cell>
          <cell r="D188">
            <v>8</v>
          </cell>
          <cell r="E188">
            <v>43241</v>
          </cell>
          <cell r="F188">
            <v>43248</v>
          </cell>
        </row>
        <row r="189">
          <cell r="B189" t="str">
            <v>IICC-CC-570</v>
          </cell>
          <cell r="C189" t="str">
            <v>columns</v>
          </cell>
          <cell r="D189">
            <v>10</v>
          </cell>
          <cell r="E189">
            <v>43237</v>
          </cell>
          <cell r="F189">
            <v>43245</v>
          </cell>
        </row>
        <row r="190">
          <cell r="B190" t="str">
            <v>IICC-CC-620</v>
          </cell>
          <cell r="C190" t="str">
            <v>slab</v>
          </cell>
          <cell r="D190">
            <v>8</v>
          </cell>
          <cell r="E190">
            <v>43243</v>
          </cell>
          <cell r="F190">
            <v>43250</v>
          </cell>
        </row>
        <row r="191">
          <cell r="B191" t="str">
            <v>IICC-CC-590</v>
          </cell>
          <cell r="C191" t="str">
            <v>columns</v>
          </cell>
          <cell r="D191">
            <v>10</v>
          </cell>
          <cell r="E191">
            <v>43239</v>
          </cell>
          <cell r="F191">
            <v>43239</v>
          </cell>
        </row>
        <row r="192">
          <cell r="B192" t="str">
            <v>IICC-CC-640</v>
          </cell>
          <cell r="C192" t="str">
            <v>slab</v>
          </cell>
          <cell r="D192">
            <v>8</v>
          </cell>
          <cell r="E192">
            <v>43246</v>
          </cell>
          <cell r="F192">
            <v>43253</v>
          </cell>
        </row>
        <row r="193">
          <cell r="B193" t="str">
            <v>IICC-CC-610</v>
          </cell>
          <cell r="C193" t="str">
            <v>columns</v>
          </cell>
          <cell r="D193">
            <v>10</v>
          </cell>
          <cell r="E193">
            <v>43241</v>
          </cell>
          <cell r="F193">
            <v>43250</v>
          </cell>
        </row>
        <row r="194">
          <cell r="B194" t="str">
            <v>IICC-CC-680</v>
          </cell>
          <cell r="C194" t="str">
            <v>truss assembly &amp; erection</v>
          </cell>
          <cell r="D194">
            <v>5</v>
          </cell>
          <cell r="E194">
            <v>43250</v>
          </cell>
          <cell r="F194">
            <v>43255</v>
          </cell>
        </row>
        <row r="195">
          <cell r="B195" t="str">
            <v>IICC-CC-720</v>
          </cell>
          <cell r="C195" t="str">
            <v>erection of beam</v>
          </cell>
          <cell r="D195">
            <v>1</v>
          </cell>
          <cell r="E195">
            <v>43255</v>
          </cell>
          <cell r="F195">
            <v>43255</v>
          </cell>
        </row>
        <row r="196">
          <cell r="B196" t="str">
            <v>IICC-CC-730</v>
          </cell>
          <cell r="C196" t="str">
            <v>erection of metal deck &amp; concreting</v>
          </cell>
          <cell r="D196">
            <v>3</v>
          </cell>
          <cell r="E196">
            <v>43256</v>
          </cell>
          <cell r="F196">
            <v>43258</v>
          </cell>
        </row>
        <row r="197">
          <cell r="B197" t="str">
            <v>IICC-CC-560</v>
          </cell>
          <cell r="C197" t="str">
            <v>columns</v>
          </cell>
          <cell r="D197">
            <v>10</v>
          </cell>
          <cell r="E197">
            <v>43235</v>
          </cell>
          <cell r="F197">
            <v>43244</v>
          </cell>
        </row>
        <row r="198">
          <cell r="B198" t="str">
            <v>IICC-CC-530</v>
          </cell>
          <cell r="C198" t="str">
            <v>erection of metal deck &amp; concreting</v>
          </cell>
          <cell r="D198">
            <v>5</v>
          </cell>
          <cell r="E198">
            <v>43244</v>
          </cell>
          <cell r="F198">
            <v>43249</v>
          </cell>
        </row>
        <row r="199">
          <cell r="B199" t="str">
            <v>IICC-CC-1280</v>
          </cell>
          <cell r="C199" t="str">
            <v>columns</v>
          </cell>
          <cell r="D199">
            <v>6</v>
          </cell>
          <cell r="E199">
            <v>43355</v>
          </cell>
          <cell r="F199">
            <v>43360</v>
          </cell>
        </row>
        <row r="200">
          <cell r="B200" t="str">
            <v>IICC-CC-1300</v>
          </cell>
          <cell r="C200" t="str">
            <v>slab</v>
          </cell>
          <cell r="D200">
            <v>6</v>
          </cell>
          <cell r="E200">
            <v>43358</v>
          </cell>
          <cell r="F200">
            <v>43364</v>
          </cell>
        </row>
        <row r="201">
          <cell r="B201" t="str">
            <v>IICC-CC-1290</v>
          </cell>
          <cell r="C201" t="str">
            <v>columns</v>
          </cell>
          <cell r="D201">
            <v>7</v>
          </cell>
          <cell r="E201">
            <v>43356</v>
          </cell>
          <cell r="F201">
            <v>43363</v>
          </cell>
        </row>
        <row r="202">
          <cell r="B202" t="str">
            <v>IICC-CC-1310</v>
          </cell>
          <cell r="C202" t="str">
            <v>erection of metal deck &amp; concreting</v>
          </cell>
          <cell r="D202">
            <v>2</v>
          </cell>
          <cell r="E202">
            <v>43363</v>
          </cell>
          <cell r="F202">
            <v>43364</v>
          </cell>
        </row>
        <row r="203">
          <cell r="B203" t="str">
            <v>IICC-CC-1790</v>
          </cell>
          <cell r="C203" t="str">
            <v>slab</v>
          </cell>
          <cell r="D203">
            <v>12</v>
          </cell>
          <cell r="E203">
            <v>43480</v>
          </cell>
          <cell r="F203">
            <v>43493</v>
          </cell>
        </row>
        <row r="204">
          <cell r="B204" t="str">
            <v>IICC-CC-650</v>
          </cell>
          <cell r="C204" t="str">
            <v>columns</v>
          </cell>
          <cell r="D204">
            <v>10</v>
          </cell>
          <cell r="E204">
            <v>43246</v>
          </cell>
          <cell r="F204">
            <v>43255</v>
          </cell>
        </row>
        <row r="205">
          <cell r="B205" t="str">
            <v>IICC-CC-700</v>
          </cell>
          <cell r="C205" t="str">
            <v>slab</v>
          </cell>
          <cell r="D205">
            <v>8</v>
          </cell>
          <cell r="E205">
            <v>43252</v>
          </cell>
          <cell r="F205">
            <v>43259</v>
          </cell>
        </row>
        <row r="206">
          <cell r="B206" t="str">
            <v>IICC-CC-660</v>
          </cell>
          <cell r="C206" t="str">
            <v>columns</v>
          </cell>
          <cell r="D206">
            <v>10</v>
          </cell>
          <cell r="E206">
            <v>43248</v>
          </cell>
          <cell r="F206">
            <v>43257</v>
          </cell>
        </row>
        <row r="207">
          <cell r="B207" t="str">
            <v>IICC-CC-710</v>
          </cell>
          <cell r="C207" t="str">
            <v>slab</v>
          </cell>
          <cell r="D207">
            <v>8</v>
          </cell>
          <cell r="E207">
            <v>43255</v>
          </cell>
          <cell r="F207">
            <v>43262</v>
          </cell>
        </row>
        <row r="208">
          <cell r="B208" t="str">
            <v>IICC-CC-690</v>
          </cell>
          <cell r="C208" t="str">
            <v>columns</v>
          </cell>
          <cell r="D208">
            <v>10</v>
          </cell>
          <cell r="E208">
            <v>43251</v>
          </cell>
          <cell r="F208">
            <v>43259</v>
          </cell>
        </row>
        <row r="209">
          <cell r="B209" t="str">
            <v>IICC-CC-740</v>
          </cell>
          <cell r="C209" t="str">
            <v>slab</v>
          </cell>
          <cell r="D209">
            <v>8</v>
          </cell>
          <cell r="E209">
            <v>43257</v>
          </cell>
          <cell r="F209">
            <v>43264</v>
          </cell>
        </row>
        <row r="210">
          <cell r="B210" t="str">
            <v>IICC-CC-760</v>
          </cell>
          <cell r="C210" t="str">
            <v>columns</v>
          </cell>
          <cell r="D210">
            <v>12</v>
          </cell>
          <cell r="E210">
            <v>43258</v>
          </cell>
          <cell r="F210">
            <v>43270</v>
          </cell>
        </row>
        <row r="211">
          <cell r="B211" t="str">
            <v>IICC-CC-810</v>
          </cell>
          <cell r="C211" t="str">
            <v>erection of beam</v>
          </cell>
          <cell r="D211">
            <v>1</v>
          </cell>
          <cell r="E211">
            <v>43270</v>
          </cell>
          <cell r="F211">
            <v>43270</v>
          </cell>
        </row>
        <row r="212">
          <cell r="B212" t="str">
            <v>IICC-CC-840</v>
          </cell>
          <cell r="C212" t="str">
            <v>erection of metal deck &amp; concreting</v>
          </cell>
          <cell r="D212">
            <v>2</v>
          </cell>
          <cell r="E212">
            <v>43271</v>
          </cell>
          <cell r="F212">
            <v>43272</v>
          </cell>
        </row>
        <row r="213">
          <cell r="B213" t="str">
            <v>IICC-CC-670</v>
          </cell>
          <cell r="C213" t="str">
            <v>columns</v>
          </cell>
          <cell r="D213">
            <v>10</v>
          </cell>
          <cell r="E213">
            <v>43249</v>
          </cell>
          <cell r="F213">
            <v>43258</v>
          </cell>
        </row>
        <row r="214">
          <cell r="B214" t="str">
            <v>IICC-CC-750</v>
          </cell>
          <cell r="C214" t="str">
            <v>truss assembly &amp; erection</v>
          </cell>
          <cell r="D214">
            <v>6</v>
          </cell>
          <cell r="E214">
            <v>43258</v>
          </cell>
          <cell r="F214">
            <v>43263</v>
          </cell>
        </row>
        <row r="215">
          <cell r="B215" t="str">
            <v>IICC-CC-770</v>
          </cell>
          <cell r="C215" t="str">
            <v>erection of metal deck &amp; concreting</v>
          </cell>
          <cell r="D215">
            <v>2</v>
          </cell>
          <cell r="E215">
            <v>43264</v>
          </cell>
          <cell r="F215">
            <v>43265</v>
          </cell>
        </row>
        <row r="216">
          <cell r="B216" t="str">
            <v>IICC-CC-1320</v>
          </cell>
          <cell r="C216" t="str">
            <v>columns</v>
          </cell>
          <cell r="D216">
            <v>6</v>
          </cell>
          <cell r="E216">
            <v>43364</v>
          </cell>
          <cell r="F216">
            <v>43368</v>
          </cell>
        </row>
        <row r="217">
          <cell r="B217" t="str">
            <v>IICC-CC-1350</v>
          </cell>
          <cell r="C217" t="str">
            <v>slab</v>
          </cell>
          <cell r="D217">
            <v>6</v>
          </cell>
          <cell r="E217">
            <v>43368</v>
          </cell>
          <cell r="F217">
            <v>43374</v>
          </cell>
        </row>
        <row r="218">
          <cell r="B218" t="str">
            <v>IICC-CC-1340</v>
          </cell>
          <cell r="C218" t="str">
            <v>columns</v>
          </cell>
          <cell r="D218">
            <v>7</v>
          </cell>
          <cell r="E218">
            <v>43371</v>
          </cell>
          <cell r="F218">
            <v>43371</v>
          </cell>
        </row>
        <row r="219">
          <cell r="B219" t="str">
            <v>IICC-CC-1370</v>
          </cell>
          <cell r="C219" t="str">
            <v>erection of metal deck &amp; concreting</v>
          </cell>
          <cell r="D219">
            <v>3</v>
          </cell>
          <cell r="E219">
            <v>43255</v>
          </cell>
          <cell r="F219">
            <v>43374</v>
          </cell>
        </row>
        <row r="220">
          <cell r="B220" t="str">
            <v>IICC-CC-800</v>
          </cell>
          <cell r="C220" t="str">
            <v>erection of beam &amp; columns</v>
          </cell>
          <cell r="D220">
            <v>6</v>
          </cell>
          <cell r="E220">
            <v>43269</v>
          </cell>
          <cell r="F220">
            <v>43273</v>
          </cell>
        </row>
        <row r="221">
          <cell r="B221" t="str">
            <v>IICC-CC-870</v>
          </cell>
          <cell r="C221" t="str">
            <v>erection of metal deck &amp; concreting</v>
          </cell>
          <cell r="D221">
            <v>6</v>
          </cell>
          <cell r="E221">
            <v>43274</v>
          </cell>
          <cell r="F221">
            <v>43279</v>
          </cell>
        </row>
        <row r="222">
          <cell r="B222" t="str">
            <v>IICC-CC-860</v>
          </cell>
          <cell r="C222" t="str">
            <v>erection of beam &amp; columns</v>
          </cell>
          <cell r="D222">
            <v>2</v>
          </cell>
          <cell r="E222">
            <v>43272</v>
          </cell>
          <cell r="F222">
            <v>43274</v>
          </cell>
        </row>
        <row r="223">
          <cell r="B223" t="str">
            <v>IICC-CC-880</v>
          </cell>
          <cell r="C223" t="str">
            <v>erection of metal deck &amp; concreting</v>
          </cell>
          <cell r="D223">
            <v>3</v>
          </cell>
          <cell r="E223">
            <v>43274</v>
          </cell>
          <cell r="F223">
            <v>43277</v>
          </cell>
        </row>
        <row r="224">
          <cell r="B224" t="str">
            <v>IICC-CC-780</v>
          </cell>
          <cell r="C224" t="str">
            <v>erection of beam &amp; columns</v>
          </cell>
          <cell r="D224">
            <v>2</v>
          </cell>
          <cell r="E224">
            <v>43265</v>
          </cell>
          <cell r="F224">
            <v>43267</v>
          </cell>
        </row>
        <row r="225">
          <cell r="B225" t="str">
            <v>IICC-CC-790</v>
          </cell>
          <cell r="C225" t="str">
            <v>erection of metal deck &amp; concreting</v>
          </cell>
          <cell r="D225">
            <v>3</v>
          </cell>
          <cell r="E225">
            <v>43267</v>
          </cell>
          <cell r="F225">
            <v>43270</v>
          </cell>
        </row>
        <row r="226">
          <cell r="B226" t="str">
            <v>IICC-CC-940</v>
          </cell>
          <cell r="C226" t="str">
            <v>erection of beam &amp; columns</v>
          </cell>
          <cell r="D226">
            <v>4</v>
          </cell>
          <cell r="E226">
            <v>43281</v>
          </cell>
          <cell r="F226">
            <v>43285</v>
          </cell>
        </row>
        <row r="227">
          <cell r="B227" t="str">
            <v>IICC-CC-1000</v>
          </cell>
          <cell r="C227" t="str">
            <v>erection of metal deck &amp; concreting</v>
          </cell>
          <cell r="D227">
            <v>4</v>
          </cell>
          <cell r="E227">
            <v>43285</v>
          </cell>
          <cell r="F227">
            <v>43288</v>
          </cell>
        </row>
        <row r="228">
          <cell r="B228" t="str">
            <v>IICC-CC-910</v>
          </cell>
          <cell r="C228" t="str">
            <v>erection of beam &amp; columns</v>
          </cell>
          <cell r="D228">
            <v>2</v>
          </cell>
          <cell r="E228">
            <v>43277</v>
          </cell>
          <cell r="F228">
            <v>43279</v>
          </cell>
        </row>
        <row r="229">
          <cell r="B229" t="str">
            <v>IICC-CC-920</v>
          </cell>
          <cell r="C229" t="str">
            <v>erection of metal deck &amp; concreting</v>
          </cell>
          <cell r="D229">
            <v>3</v>
          </cell>
          <cell r="E229">
            <v>43279</v>
          </cell>
          <cell r="F229">
            <v>43281</v>
          </cell>
        </row>
        <row r="230">
          <cell r="B230" t="str">
            <v>IICC-CC-820</v>
          </cell>
          <cell r="C230" t="str">
            <v>erection of beam &amp; columns</v>
          </cell>
          <cell r="D230">
            <v>2</v>
          </cell>
          <cell r="E230">
            <v>43270</v>
          </cell>
          <cell r="F230">
            <v>43272</v>
          </cell>
        </row>
        <row r="231">
          <cell r="B231" t="str">
            <v>IICC-CC-850</v>
          </cell>
          <cell r="C231" t="str">
            <v>erection of metal deck &amp; concreting</v>
          </cell>
          <cell r="D231">
            <v>3</v>
          </cell>
          <cell r="E231">
            <v>43272</v>
          </cell>
          <cell r="F231">
            <v>43274</v>
          </cell>
        </row>
        <row r="232">
          <cell r="B232" t="str">
            <v>IICC-CC-1030</v>
          </cell>
          <cell r="C232" t="str">
            <v>erection of beam &amp; columns</v>
          </cell>
          <cell r="D232">
            <v>6</v>
          </cell>
          <cell r="E232">
            <v>43288</v>
          </cell>
          <cell r="F232">
            <v>43294</v>
          </cell>
        </row>
        <row r="233">
          <cell r="B233" t="str">
            <v>IICC-CC-1060</v>
          </cell>
          <cell r="C233" t="str">
            <v>truss assembly &amp; erection</v>
          </cell>
          <cell r="D233">
            <v>6</v>
          </cell>
          <cell r="E233">
            <v>43294</v>
          </cell>
          <cell r="F233">
            <v>43300</v>
          </cell>
        </row>
        <row r="234">
          <cell r="B234" t="str">
            <v>IICC-CC-1090</v>
          </cell>
          <cell r="C234" t="str">
            <v>erection of metal deck &amp; concreting</v>
          </cell>
          <cell r="D234">
            <v>3</v>
          </cell>
          <cell r="E234">
            <v>43300</v>
          </cell>
          <cell r="F234">
            <v>43302</v>
          </cell>
        </row>
        <row r="235">
          <cell r="B235" t="str">
            <v>IICC-CC-950</v>
          </cell>
          <cell r="C235" t="str">
            <v>erection of beam &amp; columns</v>
          </cell>
          <cell r="D235">
            <v>2</v>
          </cell>
          <cell r="E235">
            <v>43281</v>
          </cell>
          <cell r="F235">
            <v>43284</v>
          </cell>
        </row>
        <row r="236">
          <cell r="B236" t="str">
            <v>IICC-CC-980</v>
          </cell>
          <cell r="C236" t="str">
            <v>truss assembly &amp; erection</v>
          </cell>
          <cell r="D236">
            <v>3</v>
          </cell>
          <cell r="E236">
            <v>43284</v>
          </cell>
          <cell r="F236">
            <v>43286</v>
          </cell>
        </row>
        <row r="237">
          <cell r="B237" t="str">
            <v>IICC-CC-1010</v>
          </cell>
          <cell r="C237" t="str">
            <v>erection of metal deck &amp; concreting</v>
          </cell>
          <cell r="D237">
            <v>3</v>
          </cell>
          <cell r="E237">
            <v>43286</v>
          </cell>
          <cell r="F237">
            <v>43288</v>
          </cell>
        </row>
        <row r="238">
          <cell r="B238" t="str">
            <v>IICC-CC-890</v>
          </cell>
          <cell r="C238" t="str">
            <v>erection of beam &amp; columns</v>
          </cell>
          <cell r="D238">
            <v>2</v>
          </cell>
          <cell r="E238">
            <v>43274</v>
          </cell>
          <cell r="F238">
            <v>43277</v>
          </cell>
        </row>
        <row r="239">
          <cell r="B239" t="str">
            <v>IICC-CC-900</v>
          </cell>
          <cell r="C239" t="str">
            <v>erection of metal deck &amp; concreting</v>
          </cell>
          <cell r="D239">
            <v>3</v>
          </cell>
          <cell r="E239">
            <v>43277</v>
          </cell>
          <cell r="F239">
            <v>43279</v>
          </cell>
        </row>
        <row r="240">
          <cell r="B240" t="str">
            <v>IICC-CC-1660</v>
          </cell>
          <cell r="C240" t="str">
            <v>erection of beam &amp; columns</v>
          </cell>
          <cell r="D240">
            <v>2</v>
          </cell>
          <cell r="E240">
            <v>43469</v>
          </cell>
          <cell r="F240">
            <v>43472</v>
          </cell>
        </row>
        <row r="241">
          <cell r="B241" t="str">
            <v>IICC-CC-1680</v>
          </cell>
          <cell r="C241" t="str">
            <v>erection of metal deck &amp; concreting</v>
          </cell>
          <cell r="D241">
            <v>3</v>
          </cell>
          <cell r="E241">
            <v>43472</v>
          </cell>
          <cell r="F241">
            <v>43474</v>
          </cell>
        </row>
        <row r="242">
          <cell r="B242" t="str">
            <v>IICC-CC-1690</v>
          </cell>
          <cell r="C242" t="str">
            <v>erection of beam &amp; columns</v>
          </cell>
          <cell r="D242">
            <v>2</v>
          </cell>
          <cell r="E242">
            <v>43473</v>
          </cell>
          <cell r="F242">
            <v>43475</v>
          </cell>
        </row>
        <row r="243">
          <cell r="B243" t="str">
            <v>IICC-CC-1720</v>
          </cell>
          <cell r="C243" t="str">
            <v>erection of metal deck &amp; concreting</v>
          </cell>
          <cell r="D243">
            <v>3</v>
          </cell>
          <cell r="E243">
            <v>43475</v>
          </cell>
          <cell r="F243">
            <v>43477</v>
          </cell>
        </row>
        <row r="244">
          <cell r="B244" t="str">
            <v>IICC-CC-1750</v>
          </cell>
          <cell r="C244" t="str">
            <v>erection of beam &amp; columns</v>
          </cell>
          <cell r="D244">
            <v>2</v>
          </cell>
          <cell r="E244">
            <v>43476</v>
          </cell>
          <cell r="F244">
            <v>43479</v>
          </cell>
        </row>
        <row r="245">
          <cell r="B245" t="str">
            <v>IICC-CC-1760</v>
          </cell>
          <cell r="C245" t="str">
            <v>erection of metal deck &amp; concreting</v>
          </cell>
          <cell r="D245">
            <v>3</v>
          </cell>
          <cell r="E245">
            <v>43479</v>
          </cell>
          <cell r="F245">
            <v>43481</v>
          </cell>
        </row>
        <row r="246">
          <cell r="B246" t="str">
            <v>IICC-CC-1410</v>
          </cell>
          <cell r="C246" t="str">
            <v>truss assembly</v>
          </cell>
          <cell r="D246">
            <v>24</v>
          </cell>
          <cell r="E246">
            <v>43393</v>
          </cell>
          <cell r="F246">
            <v>43420</v>
          </cell>
        </row>
        <row r="247">
          <cell r="B247" t="str">
            <v>IICC-CC-1470</v>
          </cell>
          <cell r="C247" t="str">
            <v>truss erection</v>
          </cell>
          <cell r="D247">
            <v>18</v>
          </cell>
          <cell r="E247">
            <v>43421</v>
          </cell>
          <cell r="F247">
            <v>43444</v>
          </cell>
        </row>
        <row r="248">
          <cell r="B248" t="str">
            <v>IICC-CC-1510</v>
          </cell>
          <cell r="C248" t="str">
            <v>Roof sheeting works</v>
          </cell>
          <cell r="D248">
            <v>24</v>
          </cell>
          <cell r="E248">
            <v>43438</v>
          </cell>
          <cell r="F248">
            <v>43466</v>
          </cell>
        </row>
        <row r="249">
          <cell r="B249" t="str">
            <v>IICC-CC-1520</v>
          </cell>
          <cell r="C249" t="str">
            <v>Roof water proofing</v>
          </cell>
          <cell r="D249">
            <v>24</v>
          </cell>
          <cell r="E249">
            <v>43438</v>
          </cell>
          <cell r="F249">
            <v>43466</v>
          </cell>
        </row>
        <row r="250">
          <cell r="B250" t="str">
            <v>IICC-CC-1230</v>
          </cell>
          <cell r="C250" t="str">
            <v>truss assembly</v>
          </cell>
          <cell r="D250">
            <v>24</v>
          </cell>
          <cell r="E250">
            <v>43343</v>
          </cell>
          <cell r="F250">
            <v>43371</v>
          </cell>
        </row>
        <row r="251">
          <cell r="B251" t="str">
            <v>IICC-CC-1330</v>
          </cell>
          <cell r="C251" t="str">
            <v>truss erection</v>
          </cell>
          <cell r="D251">
            <v>24</v>
          </cell>
          <cell r="E251">
            <v>43365</v>
          </cell>
          <cell r="F251">
            <v>43392</v>
          </cell>
        </row>
        <row r="252">
          <cell r="B252" t="str">
            <v>IICC-CC-1380</v>
          </cell>
          <cell r="C252" t="str">
            <v>Roof sheeting works</v>
          </cell>
          <cell r="D252">
            <v>24</v>
          </cell>
          <cell r="E252">
            <v>43386</v>
          </cell>
          <cell r="F252">
            <v>43413</v>
          </cell>
        </row>
        <row r="253">
          <cell r="B253" t="str">
            <v>IICC-CC-1390</v>
          </cell>
          <cell r="C253" t="str">
            <v>Roof water proofing</v>
          </cell>
          <cell r="D253">
            <v>24</v>
          </cell>
          <cell r="E253">
            <v>43386</v>
          </cell>
          <cell r="F253">
            <v>43413</v>
          </cell>
        </row>
        <row r="254">
          <cell r="B254" t="str">
            <v>IICC-CC-1080</v>
          </cell>
          <cell r="C254" t="str">
            <v>truss assembly</v>
          </cell>
          <cell r="D254">
            <v>21</v>
          </cell>
          <cell r="E254">
            <v>43298</v>
          </cell>
          <cell r="F254">
            <v>43321</v>
          </cell>
        </row>
        <row r="255">
          <cell r="B255" t="str">
            <v>IICC-CC-1140</v>
          </cell>
          <cell r="C255" t="str">
            <v>truss erection</v>
          </cell>
          <cell r="D255">
            <v>24</v>
          </cell>
          <cell r="E255">
            <v>43315</v>
          </cell>
          <cell r="F255">
            <v>43342</v>
          </cell>
        </row>
        <row r="256">
          <cell r="B256" t="str">
            <v>IICC-CC-1190</v>
          </cell>
          <cell r="C256" t="str">
            <v>Roof sheeting works</v>
          </cell>
          <cell r="D256">
            <v>24</v>
          </cell>
          <cell r="E256">
            <v>43336</v>
          </cell>
          <cell r="F256">
            <v>43364</v>
          </cell>
        </row>
        <row r="257">
          <cell r="B257" t="str">
            <v>IICC-CC-1200</v>
          </cell>
          <cell r="C257" t="str">
            <v>Roof water proofing</v>
          </cell>
          <cell r="D257">
            <v>24</v>
          </cell>
          <cell r="E257">
            <v>43336</v>
          </cell>
          <cell r="F257">
            <v>43364</v>
          </cell>
        </row>
        <row r="258">
          <cell r="B258" t="str">
            <v>IICC-CC-2390</v>
          </cell>
          <cell r="C258" t="str">
            <v>Installation of solar panels</v>
          </cell>
          <cell r="D258">
            <v>45</v>
          </cell>
          <cell r="E258">
            <v>43589</v>
          </cell>
          <cell r="F258">
            <v>43641</v>
          </cell>
        </row>
        <row r="259">
          <cell r="B259" t="str">
            <v>IICC-CC-1020</v>
          </cell>
          <cell r="C259" t="str">
            <v>Masonary works</v>
          </cell>
          <cell r="D259">
            <v>120</v>
          </cell>
          <cell r="E259">
            <v>43288</v>
          </cell>
          <cell r="F259">
            <v>43404</v>
          </cell>
        </row>
        <row r="260">
          <cell r="B260" t="str">
            <v>IICC-CC-1730</v>
          </cell>
          <cell r="C260" t="str">
            <v>Celling finishes (GFRC &amp; Other false ceiling)</v>
          </cell>
          <cell r="D260">
            <v>120</v>
          </cell>
          <cell r="E260">
            <v>43475</v>
          </cell>
          <cell r="F260">
            <v>43592</v>
          </cell>
        </row>
        <row r="261">
          <cell r="B261" t="str">
            <v>IICC-CC-1810</v>
          </cell>
          <cell r="C261" t="str">
            <v>wall finishes</v>
          </cell>
          <cell r="D261">
            <v>120</v>
          </cell>
          <cell r="E261">
            <v>43486</v>
          </cell>
          <cell r="F261">
            <v>43602</v>
          </cell>
        </row>
        <row r="262">
          <cell r="B262" t="str">
            <v>IICC-CC-1870</v>
          </cell>
          <cell r="C262" t="str">
            <v>Auditorium seating</v>
          </cell>
          <cell r="D262">
            <v>240</v>
          </cell>
          <cell r="E262">
            <v>43496</v>
          </cell>
          <cell r="F262">
            <v>43725</v>
          </cell>
        </row>
        <row r="263">
          <cell r="B263" t="str">
            <v>IICC-CC-1960</v>
          </cell>
          <cell r="C263" t="str">
            <v>floor finishes</v>
          </cell>
          <cell r="D263">
            <v>120</v>
          </cell>
          <cell r="E263">
            <v>43524</v>
          </cell>
          <cell r="F263">
            <v>43638</v>
          </cell>
        </row>
        <row r="264">
          <cell r="B264" t="str">
            <v>IICC-CC-2100</v>
          </cell>
          <cell r="C264" t="str">
            <v>internal partitions</v>
          </cell>
          <cell r="D264">
            <v>75</v>
          </cell>
          <cell r="E264">
            <v>43553</v>
          </cell>
          <cell r="F264">
            <v>43624</v>
          </cell>
        </row>
        <row r="265">
          <cell r="B265" t="str">
            <v>IICC-CC-1500</v>
          </cell>
          <cell r="C265" t="str">
            <v>Masonary works</v>
          </cell>
          <cell r="D265">
            <v>75</v>
          </cell>
          <cell r="E265">
            <v>43434</v>
          </cell>
          <cell r="F265">
            <v>43507</v>
          </cell>
        </row>
        <row r="266">
          <cell r="B266" t="str">
            <v>IICC-CC-2210</v>
          </cell>
          <cell r="C266" t="str">
            <v>Celling finishes (GFRC &amp; Other false ceiling)</v>
          </cell>
          <cell r="D266">
            <v>75</v>
          </cell>
          <cell r="E266">
            <v>43572</v>
          </cell>
          <cell r="F266">
            <v>43643</v>
          </cell>
        </row>
        <row r="267">
          <cell r="B267" t="str">
            <v>IICC-CC-2440</v>
          </cell>
          <cell r="C267" t="str">
            <v>wall finishes</v>
          </cell>
          <cell r="D267">
            <v>75</v>
          </cell>
          <cell r="E267">
            <v>43595</v>
          </cell>
          <cell r="F267">
            <v>43665</v>
          </cell>
        </row>
        <row r="268">
          <cell r="B268" t="str">
            <v>IICC-CC-2630</v>
          </cell>
          <cell r="C268" t="str">
            <v>floor finishes</v>
          </cell>
          <cell r="D268">
            <v>75</v>
          </cell>
          <cell r="E268">
            <v>43621</v>
          </cell>
          <cell r="F268">
            <v>43691</v>
          </cell>
        </row>
        <row r="269">
          <cell r="B269" t="str">
            <v>IICC-CC-2690</v>
          </cell>
          <cell r="C269" t="str">
            <v>internal partitions</v>
          </cell>
          <cell r="D269">
            <v>45</v>
          </cell>
          <cell r="E269">
            <v>43635</v>
          </cell>
          <cell r="F269">
            <v>43677</v>
          </cell>
        </row>
        <row r="270">
          <cell r="B270" t="str">
            <v>IICC-CC-1550</v>
          </cell>
          <cell r="C270" t="str">
            <v>Masonary works</v>
          </cell>
          <cell r="D270">
            <v>75</v>
          </cell>
          <cell r="E270">
            <v>43448</v>
          </cell>
          <cell r="F270">
            <v>43521</v>
          </cell>
        </row>
        <row r="271">
          <cell r="B271" t="str">
            <v>IICC-CC-2230</v>
          </cell>
          <cell r="C271" t="str">
            <v>Celling finishes (GFRC &amp; Other false ceiling)</v>
          </cell>
          <cell r="D271">
            <v>75</v>
          </cell>
          <cell r="E271">
            <v>43574</v>
          </cell>
          <cell r="F271">
            <v>43645</v>
          </cell>
        </row>
        <row r="272">
          <cell r="B272" t="str">
            <v>IICC-CC-2470</v>
          </cell>
          <cell r="C272" t="str">
            <v>wall finishes</v>
          </cell>
          <cell r="D272">
            <v>75</v>
          </cell>
          <cell r="E272">
            <v>43603</v>
          </cell>
          <cell r="F272">
            <v>43673</v>
          </cell>
        </row>
        <row r="273">
          <cell r="B273" t="str">
            <v>IICC-CC-2640</v>
          </cell>
          <cell r="C273" t="str">
            <v>floor finishes</v>
          </cell>
          <cell r="D273">
            <v>75</v>
          </cell>
          <cell r="E273">
            <v>43621</v>
          </cell>
          <cell r="F273">
            <v>43691</v>
          </cell>
        </row>
        <row r="274">
          <cell r="B274" t="str">
            <v>IICC-CC-2650</v>
          </cell>
          <cell r="C274" t="str">
            <v>internal partitions</v>
          </cell>
          <cell r="D274">
            <v>45</v>
          </cell>
          <cell r="E274">
            <v>43623</v>
          </cell>
          <cell r="F274">
            <v>43665</v>
          </cell>
        </row>
        <row r="275">
          <cell r="B275" t="str">
            <v>IICC-CC-1630</v>
          </cell>
          <cell r="C275" t="str">
            <v>Masonary works</v>
          </cell>
          <cell r="D275">
            <v>75</v>
          </cell>
          <cell r="E275">
            <v>43463</v>
          </cell>
          <cell r="F275">
            <v>43536</v>
          </cell>
        </row>
        <row r="276">
          <cell r="B276" t="str">
            <v>IICC-CC-2290</v>
          </cell>
          <cell r="C276" t="str">
            <v>Celling finishes (GFRC &amp; Other false ceiling)</v>
          </cell>
          <cell r="D276">
            <v>75</v>
          </cell>
          <cell r="E276">
            <v>43578</v>
          </cell>
          <cell r="F276">
            <v>43649</v>
          </cell>
        </row>
        <row r="277">
          <cell r="B277" t="str">
            <v>IICC-CC-2530</v>
          </cell>
          <cell r="C277" t="str">
            <v>wall finishes</v>
          </cell>
          <cell r="D277">
            <v>75</v>
          </cell>
          <cell r="E277">
            <v>43607</v>
          </cell>
          <cell r="F277">
            <v>43677</v>
          </cell>
        </row>
        <row r="278">
          <cell r="B278" t="str">
            <v>IICC-CC-2790</v>
          </cell>
          <cell r="C278" t="str">
            <v>floor finishes</v>
          </cell>
          <cell r="D278">
            <v>75</v>
          </cell>
          <cell r="E278">
            <v>43649</v>
          </cell>
          <cell r="F278">
            <v>43721</v>
          </cell>
        </row>
        <row r="279">
          <cell r="B279" t="str">
            <v>IICC-CC-2900</v>
          </cell>
          <cell r="C279" t="str">
            <v>internal partitions</v>
          </cell>
          <cell r="D279">
            <v>45</v>
          </cell>
          <cell r="E279">
            <v>43653</v>
          </cell>
          <cell r="F279">
            <v>43707</v>
          </cell>
        </row>
        <row r="280">
          <cell r="B280" t="str">
            <v>IICC-CC-1780</v>
          </cell>
          <cell r="C280" t="str">
            <v>Masonary works</v>
          </cell>
          <cell r="D280">
            <v>75</v>
          </cell>
          <cell r="E280">
            <v>43479</v>
          </cell>
          <cell r="F280">
            <v>43550</v>
          </cell>
        </row>
        <row r="281">
          <cell r="B281" t="str">
            <v>IICC-CC-2330</v>
          </cell>
          <cell r="C281" t="str">
            <v>Celling finishes (GFRC &amp; Other false ceiling)</v>
          </cell>
          <cell r="D281">
            <v>75</v>
          </cell>
          <cell r="E281">
            <v>43580</v>
          </cell>
          <cell r="F281">
            <v>43651</v>
          </cell>
        </row>
        <row r="282">
          <cell r="B282" t="str">
            <v>IICC-CC-2560</v>
          </cell>
          <cell r="C282" t="str">
            <v>wall finishes</v>
          </cell>
          <cell r="D282">
            <v>75</v>
          </cell>
          <cell r="E282">
            <v>43609</v>
          </cell>
          <cell r="F282">
            <v>43504</v>
          </cell>
        </row>
        <row r="283">
          <cell r="B283" t="str">
            <v>IICC-CC-2830</v>
          </cell>
          <cell r="C283" t="str">
            <v>floor finishes</v>
          </cell>
          <cell r="D283">
            <v>75</v>
          </cell>
          <cell r="E283">
            <v>43651</v>
          </cell>
          <cell r="F283">
            <v>43724</v>
          </cell>
        </row>
        <row r="284">
          <cell r="B284" t="str">
            <v>IICC-CC-2930</v>
          </cell>
          <cell r="C284" t="str">
            <v>internal partitions</v>
          </cell>
          <cell r="D284">
            <v>45</v>
          </cell>
          <cell r="E284">
            <v>43665</v>
          </cell>
          <cell r="F284">
            <v>43710</v>
          </cell>
        </row>
        <row r="285">
          <cell r="B285" t="str">
            <v>IICC-CC-1850</v>
          </cell>
          <cell r="C285" t="str">
            <v>Masonary works</v>
          </cell>
          <cell r="D285">
            <v>75</v>
          </cell>
          <cell r="E285">
            <v>43488</v>
          </cell>
          <cell r="F285">
            <v>43561</v>
          </cell>
        </row>
        <row r="286">
          <cell r="B286" t="str">
            <v>IICC-CC-2350</v>
          </cell>
          <cell r="C286" t="str">
            <v>Celling finishes (GFRC &amp; Other false ceiling)</v>
          </cell>
          <cell r="D286">
            <v>75</v>
          </cell>
          <cell r="E286">
            <v>43584</v>
          </cell>
          <cell r="F286">
            <v>43654</v>
          </cell>
        </row>
        <row r="287">
          <cell r="B287" t="str">
            <v>IICC-CC-2570</v>
          </cell>
          <cell r="C287" t="str">
            <v>wall finishes</v>
          </cell>
          <cell r="D287">
            <v>75</v>
          </cell>
          <cell r="E287">
            <v>43613</v>
          </cell>
          <cell r="F287">
            <v>43682</v>
          </cell>
        </row>
        <row r="288">
          <cell r="B288" t="str">
            <v>IICC-CC-2850</v>
          </cell>
          <cell r="C288" t="str">
            <v>floor finishes</v>
          </cell>
          <cell r="D288">
            <v>75</v>
          </cell>
          <cell r="E288">
            <v>43655</v>
          </cell>
          <cell r="F288">
            <v>43726</v>
          </cell>
        </row>
        <row r="289">
          <cell r="B289" t="str">
            <v>IICC-CC-2940</v>
          </cell>
          <cell r="C289" t="str">
            <v>internal partitions</v>
          </cell>
          <cell r="D289">
            <v>45</v>
          </cell>
          <cell r="E289">
            <v>43669</v>
          </cell>
          <cell r="F289">
            <v>43712</v>
          </cell>
        </row>
        <row r="290">
          <cell r="B290" t="str">
            <v>IICC-CC-1860</v>
          </cell>
          <cell r="C290" t="str">
            <v>Masonary works</v>
          </cell>
          <cell r="D290">
            <v>75</v>
          </cell>
          <cell r="E290">
            <v>43494</v>
          </cell>
          <cell r="F290">
            <v>43565</v>
          </cell>
        </row>
        <row r="291">
          <cell r="B291" t="str">
            <v>IICC-CC-2360</v>
          </cell>
          <cell r="C291" t="str">
            <v>Celling finishes (GFRC &amp; Other false ceiling)</v>
          </cell>
          <cell r="D291">
            <v>75</v>
          </cell>
          <cell r="E291">
            <v>43587</v>
          </cell>
          <cell r="F291">
            <v>43657</v>
          </cell>
        </row>
        <row r="292">
          <cell r="B292" t="str">
            <v>IICC-CC-2590</v>
          </cell>
          <cell r="C292" t="str">
            <v>wall finishes</v>
          </cell>
          <cell r="D292">
            <v>75</v>
          </cell>
          <cell r="E292">
            <v>43615</v>
          </cell>
          <cell r="F292">
            <v>43685</v>
          </cell>
        </row>
        <row r="293">
          <cell r="B293" t="str">
            <v>IICC-CC-2870</v>
          </cell>
          <cell r="C293" t="str">
            <v>floor finishes</v>
          </cell>
          <cell r="D293">
            <v>75</v>
          </cell>
          <cell r="E293">
            <v>43657</v>
          </cell>
          <cell r="F293">
            <v>43729</v>
          </cell>
        </row>
        <row r="294">
          <cell r="B294" t="str">
            <v>IICC-CC-2950</v>
          </cell>
          <cell r="C294" t="str">
            <v>internal partitions</v>
          </cell>
          <cell r="D294">
            <v>45</v>
          </cell>
          <cell r="E294">
            <v>43671</v>
          </cell>
          <cell r="F294">
            <v>43715</v>
          </cell>
        </row>
        <row r="295">
          <cell r="B295" t="str">
            <v>IICC-CC-1890</v>
          </cell>
          <cell r="C295" t="str">
            <v>Masonary works</v>
          </cell>
          <cell r="D295">
            <v>75</v>
          </cell>
          <cell r="E295">
            <v>43504</v>
          </cell>
          <cell r="F295">
            <v>43577</v>
          </cell>
        </row>
        <row r="296">
          <cell r="B296" t="str">
            <v>IICC-CC-2300</v>
          </cell>
          <cell r="C296" t="str">
            <v>Celling finishes (GFRC &amp; Other false ceiling)</v>
          </cell>
          <cell r="D296">
            <v>75</v>
          </cell>
          <cell r="E296">
            <v>43578</v>
          </cell>
          <cell r="F296">
            <v>43649</v>
          </cell>
        </row>
        <row r="297">
          <cell r="B297" t="str">
            <v>IICC-CC-2540</v>
          </cell>
          <cell r="C297" t="str">
            <v>wall finishes</v>
          </cell>
          <cell r="D297">
            <v>75</v>
          </cell>
          <cell r="E297">
            <v>43607</v>
          </cell>
          <cell r="F297">
            <v>43677</v>
          </cell>
        </row>
        <row r="298">
          <cell r="B298" t="str">
            <v>IICC-CC-2800</v>
          </cell>
          <cell r="C298" t="str">
            <v>floor finishes</v>
          </cell>
          <cell r="D298">
            <v>75</v>
          </cell>
          <cell r="E298">
            <v>43649</v>
          </cell>
          <cell r="F298">
            <v>43721</v>
          </cell>
        </row>
        <row r="299">
          <cell r="B299" t="str">
            <v>IICC-CC-2910</v>
          </cell>
          <cell r="C299" t="str">
            <v>internal partitions</v>
          </cell>
          <cell r="D299">
            <v>45</v>
          </cell>
          <cell r="E299">
            <v>43663</v>
          </cell>
          <cell r="F299">
            <v>43707</v>
          </cell>
        </row>
        <row r="300">
          <cell r="B300" t="str">
            <v>IICC-CC-1930</v>
          </cell>
          <cell r="C300" t="str">
            <v>Masonary works</v>
          </cell>
          <cell r="D300">
            <v>75</v>
          </cell>
          <cell r="E300">
            <v>43516</v>
          </cell>
          <cell r="F300">
            <v>43589</v>
          </cell>
        </row>
        <row r="301">
          <cell r="B301" t="str">
            <v>IICC-CC-2310</v>
          </cell>
          <cell r="C301" t="str">
            <v>Celling finishes (GFRC &amp; Other false ceiling)</v>
          </cell>
          <cell r="D301">
            <v>75</v>
          </cell>
          <cell r="E301">
            <v>43578</v>
          </cell>
          <cell r="F301">
            <v>43649</v>
          </cell>
        </row>
        <row r="302">
          <cell r="B302" t="str">
            <v>IICC-CC-2550</v>
          </cell>
          <cell r="C302" t="str">
            <v>wall finishes</v>
          </cell>
          <cell r="D302">
            <v>75</v>
          </cell>
          <cell r="E302">
            <v>43607</v>
          </cell>
          <cell r="F302">
            <v>43677</v>
          </cell>
        </row>
        <row r="303">
          <cell r="B303" t="str">
            <v>IICC-CC-2810</v>
          </cell>
          <cell r="C303" t="str">
            <v>floor finishes</v>
          </cell>
          <cell r="D303">
            <v>75</v>
          </cell>
          <cell r="E303">
            <v>43649</v>
          </cell>
          <cell r="F303">
            <v>43721</v>
          </cell>
        </row>
        <row r="304">
          <cell r="B304" t="str">
            <v>IICC-CC-2920</v>
          </cell>
          <cell r="C304" t="str">
            <v>internal partitions</v>
          </cell>
          <cell r="D304">
            <v>45</v>
          </cell>
          <cell r="E304">
            <v>43663</v>
          </cell>
          <cell r="F304">
            <v>43707</v>
          </cell>
        </row>
        <row r="305">
          <cell r="B305" t="str">
            <v>IICC-CC-1770</v>
          </cell>
          <cell r="C305" t="str">
            <v>Masonary works</v>
          </cell>
          <cell r="D305">
            <v>90</v>
          </cell>
          <cell r="E305">
            <v>43479</v>
          </cell>
          <cell r="F305">
            <v>43566</v>
          </cell>
        </row>
        <row r="306">
          <cell r="B306" t="str">
            <v>IICC-CC-2240</v>
          </cell>
          <cell r="C306" t="str">
            <v>Celling finishes (GFRC &amp; Other false ceiling)</v>
          </cell>
          <cell r="D306">
            <v>105</v>
          </cell>
          <cell r="E306">
            <v>43574</v>
          </cell>
          <cell r="F306">
            <v>43673</v>
          </cell>
        </row>
        <row r="307">
          <cell r="B307" t="str">
            <v>IICC-CC-2480</v>
          </cell>
          <cell r="C307" t="str">
            <v>wall finishes</v>
          </cell>
          <cell r="D307">
            <v>105</v>
          </cell>
          <cell r="E307">
            <v>43603</v>
          </cell>
          <cell r="F307">
            <v>43703</v>
          </cell>
        </row>
        <row r="308">
          <cell r="B308" t="str">
            <v>IICC-CC-2660</v>
          </cell>
          <cell r="C308" t="str">
            <v>floor finishes</v>
          </cell>
          <cell r="D308">
            <v>105</v>
          </cell>
          <cell r="E308">
            <v>43623</v>
          </cell>
          <cell r="F308">
            <v>43724</v>
          </cell>
        </row>
        <row r="309">
          <cell r="B309" t="str">
            <v>IICC-CC-2720</v>
          </cell>
          <cell r="C309" t="str">
            <v>internal partitions</v>
          </cell>
          <cell r="D309">
            <v>75</v>
          </cell>
          <cell r="E309">
            <v>43637</v>
          </cell>
          <cell r="F309">
            <v>43710</v>
          </cell>
        </row>
        <row r="310">
          <cell r="B310" t="str">
            <v>IICC-CC-2730</v>
          </cell>
          <cell r="C310" t="str">
            <v>seating</v>
          </cell>
          <cell r="D310">
            <v>105</v>
          </cell>
          <cell r="E310">
            <v>43637</v>
          </cell>
          <cell r="F310">
            <v>43738</v>
          </cell>
        </row>
        <row r="311">
          <cell r="B311" t="str">
            <v>IICC-CC-1240</v>
          </cell>
          <cell r="C311" t="str">
            <v>installation of aluminium composite panels</v>
          </cell>
          <cell r="D311">
            <v>90</v>
          </cell>
          <cell r="E311">
            <v>43342</v>
          </cell>
          <cell r="F311">
            <v>43430</v>
          </cell>
        </row>
        <row r="312">
          <cell r="B312" t="str">
            <v>IICC-CC-1430</v>
          </cell>
          <cell r="C312" t="str">
            <v>installation of aluminium GRC sandwitch panels</v>
          </cell>
          <cell r="D312">
            <v>150</v>
          </cell>
          <cell r="E312">
            <v>43399</v>
          </cell>
          <cell r="F312">
            <v>43545</v>
          </cell>
        </row>
        <row r="313">
          <cell r="B313" t="str">
            <v>IICC-CC-2050</v>
          </cell>
          <cell r="C313" t="str">
            <v>installation of LED screen system</v>
          </cell>
          <cell r="D313">
            <v>90</v>
          </cell>
          <cell r="E313">
            <v>43180</v>
          </cell>
          <cell r="F313">
            <v>43631</v>
          </cell>
        </row>
        <row r="314">
          <cell r="B314" t="str">
            <v>IICC-CC-1360</v>
          </cell>
          <cell r="C314" t="str">
            <v>installation of aluminium composite panels</v>
          </cell>
          <cell r="D314">
            <v>90</v>
          </cell>
          <cell r="E314">
            <v>43370</v>
          </cell>
          <cell r="F314">
            <v>43458</v>
          </cell>
        </row>
        <row r="315">
          <cell r="B315" t="str">
            <v>IICC-CC-1480</v>
          </cell>
          <cell r="C315" t="str">
            <v>installation of GRC sandwitch panels</v>
          </cell>
          <cell r="D315">
            <v>150</v>
          </cell>
          <cell r="E315">
            <v>43428</v>
          </cell>
          <cell r="F315">
            <v>43574</v>
          </cell>
        </row>
        <row r="316">
          <cell r="B316" t="str">
            <v>IICC-CC-1830</v>
          </cell>
          <cell r="C316" t="str">
            <v>installation of Double Glazing composite panels</v>
          </cell>
          <cell r="D316">
            <v>120</v>
          </cell>
          <cell r="E316">
            <v>43487</v>
          </cell>
          <cell r="F316">
            <v>43603</v>
          </cell>
        </row>
        <row r="317">
          <cell r="B317" t="str">
            <v>IICC-CC-2250</v>
          </cell>
          <cell r="C317" t="str">
            <v>installation of LED screen system</v>
          </cell>
          <cell r="D317">
            <v>90</v>
          </cell>
          <cell r="E317">
            <v>43564</v>
          </cell>
          <cell r="F317">
            <v>43659</v>
          </cell>
        </row>
        <row r="318">
          <cell r="B318" t="str">
            <v>IICC-CC-1440</v>
          </cell>
          <cell r="C318" t="str">
            <v>installation of aluminium composite panels</v>
          </cell>
          <cell r="D318">
            <v>90</v>
          </cell>
          <cell r="E318">
            <v>43400</v>
          </cell>
          <cell r="F318">
            <v>43488</v>
          </cell>
        </row>
        <row r="319">
          <cell r="B319" t="str">
            <v>IICC-CC-1600</v>
          </cell>
          <cell r="C319" t="str">
            <v>installation of aluminium GRC sandwitch panels</v>
          </cell>
          <cell r="D319">
            <v>150</v>
          </cell>
          <cell r="E319">
            <v>43456</v>
          </cell>
          <cell r="F319">
            <v>43603</v>
          </cell>
        </row>
        <row r="320">
          <cell r="B320" t="str">
            <v>IICC-CC-2490</v>
          </cell>
          <cell r="C320" t="str">
            <v>installation of LED screen system</v>
          </cell>
          <cell r="D320">
            <v>90</v>
          </cell>
          <cell r="E320">
            <v>43603</v>
          </cell>
          <cell r="F320">
            <v>43687</v>
          </cell>
        </row>
        <row r="321">
          <cell r="B321" t="str">
            <v>IICC-CC-1490</v>
          </cell>
          <cell r="C321" t="str">
            <v>installation of aluminium composite panels</v>
          </cell>
          <cell r="D321">
            <v>90</v>
          </cell>
          <cell r="E321">
            <v>43430</v>
          </cell>
          <cell r="F321">
            <v>43517</v>
          </cell>
        </row>
        <row r="322">
          <cell r="B322" t="str">
            <v>IICC-CC-1840</v>
          </cell>
          <cell r="C322" t="str">
            <v>installation of GRC sandwitch panels</v>
          </cell>
          <cell r="D322">
            <v>150</v>
          </cell>
          <cell r="E322">
            <v>43487</v>
          </cell>
          <cell r="F322">
            <v>43631</v>
          </cell>
        </row>
        <row r="323">
          <cell r="B323" t="str">
            <v>IICC-CC-2060</v>
          </cell>
          <cell r="C323" t="str">
            <v>installation of Double Glazing composite panels</v>
          </cell>
          <cell r="D323">
            <v>120</v>
          </cell>
          <cell r="E323">
            <v>43545</v>
          </cell>
          <cell r="F323">
            <v>43659</v>
          </cell>
        </row>
        <row r="324">
          <cell r="B324" t="str">
            <v>IICC-CC-2500</v>
          </cell>
          <cell r="C324" t="str">
            <v>installation of LED screen system</v>
          </cell>
          <cell r="D324">
            <v>90</v>
          </cell>
          <cell r="E324">
            <v>43603</v>
          </cell>
          <cell r="F324">
            <v>43687</v>
          </cell>
        </row>
        <row r="325">
          <cell r="B325" t="str">
            <v>IICC-CC-1400</v>
          </cell>
          <cell r="C325" t="str">
            <v>Support structures</v>
          </cell>
          <cell r="D325">
            <v>30</v>
          </cell>
          <cell r="E325">
            <v>43391</v>
          </cell>
          <cell r="F325">
            <v>43428</v>
          </cell>
        </row>
        <row r="326">
          <cell r="B326" t="str">
            <v>IICC-CC-1450</v>
          </cell>
          <cell r="C326" t="str">
            <v>Duct flxing &amp; insulation</v>
          </cell>
          <cell r="D326">
            <v>45</v>
          </cell>
          <cell r="E326">
            <v>43402</v>
          </cell>
          <cell r="F326">
            <v>43456</v>
          </cell>
        </row>
        <row r="327">
          <cell r="B327" t="str">
            <v>IICC-CC-1460</v>
          </cell>
          <cell r="C327" t="str">
            <v>chill water pipe laying &amp; insulation</v>
          </cell>
          <cell r="D327">
            <v>45</v>
          </cell>
          <cell r="E327">
            <v>43419</v>
          </cell>
          <cell r="F327">
            <v>43475</v>
          </cell>
        </row>
        <row r="328">
          <cell r="B328" t="str">
            <v>IICC-CC-1510</v>
          </cell>
          <cell r="C328" t="str">
            <v>Other piping works for plumbing &amp; fire fighting</v>
          </cell>
          <cell r="D328">
            <v>30</v>
          </cell>
          <cell r="E328">
            <v>43456</v>
          </cell>
          <cell r="F328">
            <v>43493</v>
          </cell>
        </row>
        <row r="329">
          <cell r="B329" t="str">
            <v>IICC-CC-1740</v>
          </cell>
          <cell r="C329" t="str">
            <v>Electrical &amp; ELV cable tray laying</v>
          </cell>
          <cell r="D329">
            <v>30</v>
          </cell>
          <cell r="E329">
            <v>43475</v>
          </cell>
          <cell r="F329">
            <v>43510</v>
          </cell>
        </row>
        <row r="330">
          <cell r="B330" t="str">
            <v>IICC-CC-2420</v>
          </cell>
          <cell r="C330" t="str">
            <v>Installation of diffusers, sprinklers &amp; light fixtures</v>
          </cell>
          <cell r="D330">
            <v>24</v>
          </cell>
          <cell r="E330">
            <v>43592</v>
          </cell>
          <cell r="F330">
            <v>43620</v>
          </cell>
        </row>
        <row r="331">
          <cell r="B331" t="str">
            <v>IICC-CC-1880</v>
          </cell>
          <cell r="C331" t="str">
            <v>Support structures</v>
          </cell>
          <cell r="D331">
            <v>30</v>
          </cell>
          <cell r="E331">
            <v>43496</v>
          </cell>
          <cell r="F331">
            <v>43531</v>
          </cell>
        </row>
        <row r="332">
          <cell r="B332" t="str">
            <v>IICC-CC-1900</v>
          </cell>
          <cell r="C332" t="str">
            <v>Duct flxing &amp; insulation</v>
          </cell>
          <cell r="D332">
            <v>45</v>
          </cell>
          <cell r="E332">
            <v>43507</v>
          </cell>
          <cell r="F332">
            <v>43559</v>
          </cell>
        </row>
        <row r="333">
          <cell r="B333" t="str">
            <v>IICC-CC-1970</v>
          </cell>
          <cell r="C333" t="str">
            <v>chill water pipe laying &amp; insulation</v>
          </cell>
          <cell r="D333">
            <v>45</v>
          </cell>
          <cell r="E333">
            <v>43524</v>
          </cell>
          <cell r="F333">
            <v>43577</v>
          </cell>
        </row>
        <row r="334">
          <cell r="B334" t="str">
            <v>IICC-CC-2140</v>
          </cell>
          <cell r="C334" t="str">
            <v>Other piping works for plumbing &amp; fire fighting</v>
          </cell>
          <cell r="D334">
            <v>30</v>
          </cell>
          <cell r="E334">
            <v>43559</v>
          </cell>
          <cell r="F334">
            <v>43594</v>
          </cell>
        </row>
        <row r="335">
          <cell r="B335" t="str">
            <v>IICC-CC-2270</v>
          </cell>
          <cell r="C335" t="str">
            <v>Electrical &amp; ELV cable tray laying</v>
          </cell>
          <cell r="D335">
            <v>30</v>
          </cell>
          <cell r="E335">
            <v>43577</v>
          </cell>
          <cell r="F335">
            <v>43612</v>
          </cell>
        </row>
        <row r="336">
          <cell r="B336" t="str">
            <v>IICC-CC-2750</v>
          </cell>
          <cell r="C336" t="str">
            <v>Installation of diffusers, sprinklers &amp; light fixtures</v>
          </cell>
          <cell r="D336">
            <v>24</v>
          </cell>
          <cell r="E336">
            <v>43643</v>
          </cell>
          <cell r="F336">
            <v>43671</v>
          </cell>
        </row>
        <row r="337">
          <cell r="B337" t="str">
            <v>IICC-CC-1910</v>
          </cell>
          <cell r="C337" t="str">
            <v>Support structures</v>
          </cell>
          <cell r="D337">
            <v>30</v>
          </cell>
          <cell r="E337">
            <v>43510</v>
          </cell>
          <cell r="F337">
            <v>43545</v>
          </cell>
        </row>
        <row r="338">
          <cell r="B338" t="str">
            <v>IICC-CC-1950</v>
          </cell>
          <cell r="C338" t="str">
            <v>Duct flxing &amp; insulation</v>
          </cell>
          <cell r="D338">
            <v>45</v>
          </cell>
          <cell r="E338">
            <v>43521</v>
          </cell>
          <cell r="F338">
            <v>43573</v>
          </cell>
        </row>
        <row r="339">
          <cell r="B339" t="str">
            <v>IICC-CC-2010</v>
          </cell>
          <cell r="C339" t="str">
            <v>chill water pipe laying &amp; insulation</v>
          </cell>
          <cell r="D339">
            <v>45</v>
          </cell>
          <cell r="E339">
            <v>43538</v>
          </cell>
          <cell r="F339">
            <v>43591</v>
          </cell>
        </row>
        <row r="340">
          <cell r="B340" t="str">
            <v>IICC-CC-2220</v>
          </cell>
          <cell r="C340" t="str">
            <v>Other piping works for plumbing &amp; fire fighting</v>
          </cell>
          <cell r="D340">
            <v>30</v>
          </cell>
          <cell r="E340">
            <v>43573</v>
          </cell>
          <cell r="F340">
            <v>43608</v>
          </cell>
        </row>
        <row r="341">
          <cell r="B341" t="str">
            <v>IICC-CC-2410</v>
          </cell>
          <cell r="C341" t="str">
            <v>Electrical &amp; ELV cable tray laying</v>
          </cell>
          <cell r="D341">
            <v>30</v>
          </cell>
          <cell r="E341">
            <v>43591</v>
          </cell>
          <cell r="F341">
            <v>43626</v>
          </cell>
        </row>
        <row r="342">
          <cell r="B342" t="str">
            <v>IICC-CC-2760</v>
          </cell>
          <cell r="C342" t="str">
            <v>Installation of diffusers, sprinklers &amp; light fixtures</v>
          </cell>
          <cell r="D342">
            <v>24</v>
          </cell>
          <cell r="E342">
            <v>43647</v>
          </cell>
          <cell r="F342">
            <v>43673</v>
          </cell>
        </row>
        <row r="343">
          <cell r="B343" t="str">
            <v>IICC-CC-1990</v>
          </cell>
          <cell r="C343" t="str">
            <v>Support structures</v>
          </cell>
          <cell r="D343">
            <v>30</v>
          </cell>
          <cell r="E343">
            <v>43525</v>
          </cell>
          <cell r="F343">
            <v>43560</v>
          </cell>
        </row>
        <row r="344">
          <cell r="B344" t="str">
            <v>IICC-CC-2000</v>
          </cell>
          <cell r="C344" t="str">
            <v>Duct flxing &amp; insulation</v>
          </cell>
          <cell r="D344">
            <v>45</v>
          </cell>
          <cell r="E344">
            <v>43536</v>
          </cell>
          <cell r="F344">
            <v>43588</v>
          </cell>
        </row>
        <row r="345">
          <cell r="B345" t="str">
            <v>IICC-CC-2110</v>
          </cell>
          <cell r="C345" t="str">
            <v>chill water pipe laying &amp; insulation</v>
          </cell>
          <cell r="D345">
            <v>45</v>
          </cell>
          <cell r="E345">
            <v>43553</v>
          </cell>
          <cell r="F345">
            <v>43606</v>
          </cell>
        </row>
        <row r="346">
          <cell r="B346" t="str">
            <v>IICC-CC-2380</v>
          </cell>
          <cell r="C346" t="str">
            <v>Other piping works for plumbing &amp; fire fighting</v>
          </cell>
          <cell r="D346">
            <v>30</v>
          </cell>
          <cell r="E346">
            <v>43588</v>
          </cell>
          <cell r="F346">
            <v>43623</v>
          </cell>
        </row>
        <row r="347">
          <cell r="B347" t="str">
            <v>IICC-CC-2520</v>
          </cell>
          <cell r="C347" t="str">
            <v>Electrical &amp; ELV cable tray laying</v>
          </cell>
          <cell r="D347">
            <v>30</v>
          </cell>
          <cell r="E347">
            <v>43606</v>
          </cell>
          <cell r="F347">
            <v>43641</v>
          </cell>
        </row>
        <row r="348">
          <cell r="B348" t="str">
            <v>IICC-CC-2820</v>
          </cell>
          <cell r="C348" t="str">
            <v>Installation of diffusers, sprinklers &amp; light fixtures</v>
          </cell>
          <cell r="D348">
            <v>24</v>
          </cell>
          <cell r="E348">
            <v>43649</v>
          </cell>
          <cell r="F348">
            <v>43677</v>
          </cell>
        </row>
        <row r="349">
          <cell r="B349" t="str">
            <v>IICC-CC-2020</v>
          </cell>
          <cell r="C349" t="str">
            <v>Support structures</v>
          </cell>
          <cell r="D349">
            <v>30</v>
          </cell>
          <cell r="E349">
            <v>43539</v>
          </cell>
          <cell r="F349">
            <v>43574</v>
          </cell>
        </row>
        <row r="350">
          <cell r="B350" t="str">
            <v>IICC-CC-2090</v>
          </cell>
          <cell r="C350" t="str">
            <v>Duct flxing &amp; insulation</v>
          </cell>
          <cell r="D350">
            <v>45</v>
          </cell>
          <cell r="E350">
            <v>43550</v>
          </cell>
          <cell r="F350">
            <v>43602</v>
          </cell>
        </row>
        <row r="351">
          <cell r="B351" t="str">
            <v>IICC-CC-2180</v>
          </cell>
          <cell r="C351" t="str">
            <v>chill water pipe laying &amp; insulation</v>
          </cell>
          <cell r="D351">
            <v>45</v>
          </cell>
          <cell r="E351">
            <v>43567</v>
          </cell>
          <cell r="F351">
            <v>43620</v>
          </cell>
        </row>
        <row r="352">
          <cell r="B352" t="str">
            <v>IICC-CC-2460</v>
          </cell>
          <cell r="C352" t="str">
            <v>Other piping works for plumbing &amp; fire fighting</v>
          </cell>
          <cell r="D352">
            <v>30</v>
          </cell>
          <cell r="E352">
            <v>43602</v>
          </cell>
          <cell r="F352">
            <v>43637</v>
          </cell>
        </row>
        <row r="353">
          <cell r="B353" t="str">
            <v>IICC-CC-2620</v>
          </cell>
          <cell r="C353" t="str">
            <v>Electrical &amp; ELV cable tray laying</v>
          </cell>
          <cell r="D353">
            <v>30</v>
          </cell>
          <cell r="E353">
            <v>43620</v>
          </cell>
          <cell r="F353">
            <v>43655</v>
          </cell>
        </row>
        <row r="354">
          <cell r="B354" t="str">
            <v>IICC-CC-2840</v>
          </cell>
          <cell r="C354" t="str">
            <v>Installation of diffusers, sprinklers &amp; light fixtures</v>
          </cell>
          <cell r="D354">
            <v>24</v>
          </cell>
          <cell r="E354">
            <v>43651</v>
          </cell>
          <cell r="F354">
            <v>43679</v>
          </cell>
        </row>
        <row r="355">
          <cell r="B355" t="str">
            <v>IICC-CC-2080</v>
          </cell>
          <cell r="C355" t="str">
            <v>Support structures</v>
          </cell>
          <cell r="D355">
            <v>30</v>
          </cell>
          <cell r="E355">
            <v>43550</v>
          </cell>
          <cell r="F355">
            <v>43584</v>
          </cell>
        </row>
        <row r="356">
          <cell r="B356" t="str">
            <v>IICC-CC-2150</v>
          </cell>
          <cell r="C356" t="str">
            <v>Duct flxing &amp; insulation</v>
          </cell>
          <cell r="D356">
            <v>45</v>
          </cell>
          <cell r="E356">
            <v>43560</v>
          </cell>
          <cell r="F356">
            <v>43612</v>
          </cell>
        </row>
        <row r="357">
          <cell r="B357" t="str">
            <v>IICC-CC-2320</v>
          </cell>
          <cell r="C357" t="str">
            <v>chill water pipe laying &amp; insulation</v>
          </cell>
          <cell r="D357">
            <v>45</v>
          </cell>
          <cell r="E357">
            <v>43578</v>
          </cell>
          <cell r="F357">
            <v>43629</v>
          </cell>
        </row>
        <row r="358">
          <cell r="B358" t="str">
            <v>IICC-CC-2580</v>
          </cell>
          <cell r="C358" t="str">
            <v>Other piping works for plumbing &amp; fire fighting</v>
          </cell>
          <cell r="D358">
            <v>30</v>
          </cell>
          <cell r="E358">
            <v>43613</v>
          </cell>
          <cell r="F358">
            <v>43647</v>
          </cell>
        </row>
        <row r="359">
          <cell r="B359" t="str">
            <v>IICC-CC-2680</v>
          </cell>
          <cell r="C359" t="str">
            <v>Electrical &amp; ELV cable tray laying</v>
          </cell>
          <cell r="D359">
            <v>30</v>
          </cell>
          <cell r="E359">
            <v>43630</v>
          </cell>
          <cell r="F359">
            <v>43664</v>
          </cell>
        </row>
        <row r="360">
          <cell r="B360" t="str">
            <v>IICC-CC-2860</v>
          </cell>
          <cell r="C360" t="str">
            <v>Installation of diffusers, sprinklers &amp; light fixtures</v>
          </cell>
          <cell r="D360">
            <v>24</v>
          </cell>
          <cell r="E360">
            <v>43655</v>
          </cell>
          <cell r="F360">
            <v>43683</v>
          </cell>
        </row>
        <row r="361">
          <cell r="B361" t="str">
            <v>IICC-CC-2120</v>
          </cell>
          <cell r="C361" t="str">
            <v>Support structures</v>
          </cell>
          <cell r="D361">
            <v>30</v>
          </cell>
          <cell r="E361">
            <v>43554</v>
          </cell>
          <cell r="F361">
            <v>43589</v>
          </cell>
        </row>
        <row r="362">
          <cell r="B362" t="str">
            <v>IICC-CC-2160</v>
          </cell>
          <cell r="C362" t="str">
            <v>Duct flxing &amp; insulation</v>
          </cell>
          <cell r="D362">
            <v>45</v>
          </cell>
          <cell r="E362">
            <v>43565</v>
          </cell>
          <cell r="F362">
            <v>43617</v>
          </cell>
        </row>
        <row r="363">
          <cell r="B363" t="str">
            <v>IICC-CC-2340</v>
          </cell>
          <cell r="C363" t="str">
            <v>chill water pipe laying &amp; insulation</v>
          </cell>
          <cell r="D363">
            <v>45</v>
          </cell>
          <cell r="E363">
            <v>43582</v>
          </cell>
          <cell r="F363">
            <v>43635</v>
          </cell>
        </row>
        <row r="364">
          <cell r="B364" t="str">
            <v>IICC-CC-2600</v>
          </cell>
          <cell r="C364" t="str">
            <v>Other piping works for plumbing &amp; fire fighting</v>
          </cell>
          <cell r="D364">
            <v>30</v>
          </cell>
          <cell r="E364">
            <v>43617</v>
          </cell>
          <cell r="F364">
            <v>43652</v>
          </cell>
        </row>
        <row r="365">
          <cell r="B365" t="str">
            <v>IICC-CC-2700</v>
          </cell>
          <cell r="C365" t="str">
            <v>Electrical &amp; ELV cable tray laying</v>
          </cell>
          <cell r="D365">
            <v>30</v>
          </cell>
          <cell r="E365">
            <v>43635</v>
          </cell>
          <cell r="F365">
            <v>43670</v>
          </cell>
        </row>
        <row r="366">
          <cell r="B366" t="str">
            <v>IICC-CC-2890</v>
          </cell>
          <cell r="C366" t="str">
            <v>Installation of diffusers, sprinklers &amp; light fixtures</v>
          </cell>
          <cell r="D366">
            <v>24</v>
          </cell>
          <cell r="E366">
            <v>43659</v>
          </cell>
          <cell r="F366">
            <v>43718</v>
          </cell>
        </row>
        <row r="367">
          <cell r="B367" t="str">
            <v>IICC-CC-2170</v>
          </cell>
          <cell r="C367" t="str">
            <v>Support structures</v>
          </cell>
          <cell r="D367">
            <v>30</v>
          </cell>
          <cell r="E367">
            <v>43566</v>
          </cell>
          <cell r="F367">
            <v>43600</v>
          </cell>
        </row>
        <row r="368">
          <cell r="B368" t="str">
            <v>IICC-CC-2260</v>
          </cell>
          <cell r="C368" t="str">
            <v>Duct flxing &amp; insulation</v>
          </cell>
          <cell r="D368">
            <v>45</v>
          </cell>
          <cell r="E368">
            <v>43577</v>
          </cell>
          <cell r="F368">
            <v>43628</v>
          </cell>
        </row>
        <row r="369">
          <cell r="B369" t="str">
            <v>IICC-CC-2430</v>
          </cell>
          <cell r="C369" t="str">
            <v>chill water pipe laying &amp; insulation</v>
          </cell>
          <cell r="D369">
            <v>45</v>
          </cell>
          <cell r="E369">
            <v>43594</v>
          </cell>
          <cell r="F369">
            <v>43645</v>
          </cell>
        </row>
        <row r="370">
          <cell r="B370" t="str">
            <v>IICC-CC-2670</v>
          </cell>
          <cell r="C370" t="str">
            <v>Other piping works for plumbing &amp; fire fighting</v>
          </cell>
          <cell r="D370">
            <v>30</v>
          </cell>
          <cell r="E370">
            <v>43629</v>
          </cell>
          <cell r="F370">
            <v>43663</v>
          </cell>
        </row>
        <row r="371">
          <cell r="B371" t="str">
            <v>IICC-CC-2780</v>
          </cell>
          <cell r="C371" t="str">
            <v>Electrical &amp; ELV cable tray laying</v>
          </cell>
          <cell r="D371">
            <v>30</v>
          </cell>
          <cell r="E371">
            <v>43647</v>
          </cell>
          <cell r="F371">
            <v>43680</v>
          </cell>
        </row>
        <row r="372">
          <cell r="B372" t="str">
            <v>IICC-CC-2960</v>
          </cell>
          <cell r="C372" t="str">
            <v>Installation of diffusers, sprinklers &amp; light fixtures</v>
          </cell>
          <cell r="D372">
            <v>24</v>
          </cell>
          <cell r="E372">
            <v>43671</v>
          </cell>
          <cell r="F372">
            <v>43698</v>
          </cell>
        </row>
        <row r="373">
          <cell r="B373" t="str">
            <v>IICC-CC-2280</v>
          </cell>
          <cell r="C373" t="str">
            <v>Support structures</v>
          </cell>
          <cell r="D373">
            <v>30</v>
          </cell>
          <cell r="E373">
            <v>43577</v>
          </cell>
          <cell r="F373">
            <v>43612</v>
          </cell>
        </row>
        <row r="374">
          <cell r="B374" t="str">
            <v>IICC-CC-2370</v>
          </cell>
          <cell r="C374" t="str">
            <v>Duct flxing &amp; insulation</v>
          </cell>
          <cell r="D374">
            <v>45</v>
          </cell>
          <cell r="E374">
            <v>43587</v>
          </cell>
          <cell r="F374">
            <v>43640</v>
          </cell>
        </row>
        <row r="375">
          <cell r="B375" t="str">
            <v>IICC-CC-2510</v>
          </cell>
          <cell r="C375" t="str">
            <v>chill water pipe laying &amp; insulation</v>
          </cell>
          <cell r="D375">
            <v>45</v>
          </cell>
          <cell r="E375">
            <v>43605</v>
          </cell>
          <cell r="F375">
            <v>43657</v>
          </cell>
        </row>
        <row r="376">
          <cell r="B376" t="str">
            <v>IICC-CC-2740</v>
          </cell>
          <cell r="C376" t="str">
            <v>Other piping works for plumbing &amp; fire fighting</v>
          </cell>
          <cell r="D376">
            <v>30</v>
          </cell>
          <cell r="E376">
            <v>43640</v>
          </cell>
          <cell r="F376">
            <v>43675</v>
          </cell>
        </row>
        <row r="377">
          <cell r="B377" t="str">
            <v>IICC-CC-2880</v>
          </cell>
          <cell r="C377" t="str">
            <v>Electrical &amp; ELV cable tray laying</v>
          </cell>
          <cell r="D377">
            <v>30</v>
          </cell>
          <cell r="E377">
            <v>43657</v>
          </cell>
          <cell r="F377">
            <v>43692</v>
          </cell>
        </row>
        <row r="378">
          <cell r="B378" t="str">
            <v>IICC-CC-2980</v>
          </cell>
          <cell r="C378" t="str">
            <v>Installation of diffusers, sprinklers &amp; light fixtures</v>
          </cell>
          <cell r="D378">
            <v>24</v>
          </cell>
          <cell r="E378">
            <v>43682</v>
          </cell>
          <cell r="F378">
            <v>43710</v>
          </cell>
        </row>
        <row r="379">
          <cell r="B379" t="str">
            <v>IICC-CC-2070</v>
          </cell>
          <cell r="C379" t="str">
            <v>Support structures</v>
          </cell>
          <cell r="D379">
            <v>30</v>
          </cell>
          <cell r="E379">
            <v>43549</v>
          </cell>
          <cell r="F379">
            <v>43582</v>
          </cell>
        </row>
        <row r="380">
          <cell r="B380" t="str">
            <v>IICC-CC-2130</v>
          </cell>
          <cell r="C380" t="str">
            <v>Duct flxing &amp; insulation</v>
          </cell>
          <cell r="D380">
            <v>45</v>
          </cell>
          <cell r="E380">
            <v>43556</v>
          </cell>
          <cell r="F380">
            <v>43607</v>
          </cell>
        </row>
        <row r="381">
          <cell r="B381" t="str">
            <v>IICC-CC-2190</v>
          </cell>
          <cell r="C381" t="str">
            <v>chill water pipe laying &amp; insulation</v>
          </cell>
          <cell r="D381">
            <v>45</v>
          </cell>
          <cell r="E381">
            <v>43570</v>
          </cell>
          <cell r="F381">
            <v>43621</v>
          </cell>
        </row>
        <row r="382">
          <cell r="B382" t="str">
            <v>IICC-CC-2450</v>
          </cell>
          <cell r="C382" t="str">
            <v>Other piping works for plumbing &amp; fire fighting</v>
          </cell>
          <cell r="D382">
            <v>30</v>
          </cell>
          <cell r="E382">
            <v>43601</v>
          </cell>
          <cell r="F382">
            <v>43635</v>
          </cell>
        </row>
        <row r="383">
          <cell r="B383" t="str">
            <v>IICC-CC-2610</v>
          </cell>
          <cell r="C383" t="str">
            <v>Electrical &amp; ELV cable tray laying</v>
          </cell>
          <cell r="D383">
            <v>30</v>
          </cell>
          <cell r="E383">
            <v>43619</v>
          </cell>
          <cell r="F383">
            <v>43652</v>
          </cell>
        </row>
        <row r="384">
          <cell r="B384" t="str">
            <v>IICC-CC-2970</v>
          </cell>
          <cell r="C384" t="str">
            <v>Installation of diffusers, sprinklers &amp; light fixtures</v>
          </cell>
          <cell r="D384">
            <v>24</v>
          </cell>
          <cell r="E384">
            <v>43676</v>
          </cell>
          <cell r="F384">
            <v>43703</v>
          </cell>
        </row>
        <row r="385">
          <cell r="B385" t="str">
            <v>IICC-CC-2710</v>
          </cell>
          <cell r="C385" t="str">
            <v>Installation MEP high side equipment</v>
          </cell>
          <cell r="D385">
            <v>90</v>
          </cell>
          <cell r="E385">
            <v>43635</v>
          </cell>
          <cell r="F385">
            <v>43740</v>
          </cell>
        </row>
        <row r="386">
          <cell r="B386" t="str">
            <v>IICC-CC-1650</v>
          </cell>
          <cell r="C386" t="str">
            <v>Installation of elevators</v>
          </cell>
          <cell r="D386">
            <v>135</v>
          </cell>
          <cell r="E386">
            <v>43467</v>
          </cell>
          <cell r="F386">
            <v>43623</v>
          </cell>
        </row>
        <row r="387">
          <cell r="B387" t="str">
            <v>IICC-CC-1940</v>
          </cell>
          <cell r="C387" t="str">
            <v>Installation of escalators, travelotors</v>
          </cell>
          <cell r="D387">
            <v>120</v>
          </cell>
          <cell r="E387">
            <v>43519</v>
          </cell>
          <cell r="F387">
            <v>43658</v>
          </cell>
        </row>
        <row r="388">
          <cell r="B388" t="str">
            <v>IICC-CC-2990</v>
          </cell>
          <cell r="C388" t="str">
            <v>Indivitual system testing</v>
          </cell>
          <cell r="D388">
            <v>30</v>
          </cell>
          <cell r="E388">
            <v>43728</v>
          </cell>
          <cell r="F388">
            <v>43763</v>
          </cell>
        </row>
        <row r="389">
          <cell r="B389" t="str">
            <v>IICC-CC-1110</v>
          </cell>
          <cell r="C389" t="str">
            <v xml:space="preserve">Excavation  </v>
          </cell>
          <cell r="D389">
            <v>150</v>
          </cell>
          <cell r="E389">
            <v>43306</v>
          </cell>
          <cell r="F389">
            <v>43452</v>
          </cell>
        </row>
        <row r="390">
          <cell r="B390" t="str">
            <v>IICC-CC-1420</v>
          </cell>
          <cell r="C390" t="str">
            <v>Level B3 (Foundation works)</v>
          </cell>
          <cell r="D390">
            <v>79</v>
          </cell>
          <cell r="E390">
            <v>43399</v>
          </cell>
          <cell r="F390">
            <v>43476</v>
          </cell>
        </row>
        <row r="391">
          <cell r="B391" t="str">
            <v>IICC-CC-1570</v>
          </cell>
          <cell r="C391" t="str">
            <v>Level B2</v>
          </cell>
          <cell r="D391">
            <v>42</v>
          </cell>
          <cell r="E391">
            <v>43452</v>
          </cell>
          <cell r="F391">
            <v>43494</v>
          </cell>
        </row>
        <row r="392">
          <cell r="B392" t="str">
            <v>IICC-CC-1670</v>
          </cell>
          <cell r="C392" t="str">
            <v>Level B1</v>
          </cell>
          <cell r="D392">
            <v>42</v>
          </cell>
          <cell r="E392">
            <v>43470</v>
          </cell>
          <cell r="F392">
            <v>43511</v>
          </cell>
        </row>
        <row r="393">
          <cell r="B393" t="str">
            <v>IICC-CC-1820</v>
          </cell>
          <cell r="C393" t="str">
            <v>Level F0</v>
          </cell>
          <cell r="D393">
            <v>42</v>
          </cell>
          <cell r="E393">
            <v>43488</v>
          </cell>
          <cell r="F393">
            <v>43528</v>
          </cell>
        </row>
        <row r="394">
          <cell r="B394" t="str">
            <v>IICC-CC-1920</v>
          </cell>
          <cell r="C394" t="str">
            <v>Masonary works</v>
          </cell>
          <cell r="D394">
            <v>60</v>
          </cell>
          <cell r="E394">
            <v>43511</v>
          </cell>
          <cell r="F394">
            <v>43570</v>
          </cell>
        </row>
        <row r="395">
          <cell r="B395" t="str">
            <v>IICC-CC-2040</v>
          </cell>
          <cell r="C395" t="str">
            <v>ceiling finishes</v>
          </cell>
          <cell r="D395">
            <v>120</v>
          </cell>
          <cell r="E395">
            <v>43540</v>
          </cell>
          <cell r="F395">
            <v>43655</v>
          </cell>
        </row>
        <row r="396">
          <cell r="B396" t="str">
            <v>IICC-CC-2200</v>
          </cell>
          <cell r="C396" t="str">
            <v>wall finishes</v>
          </cell>
          <cell r="D396">
            <v>120</v>
          </cell>
          <cell r="E396">
            <v>43570</v>
          </cell>
          <cell r="F396">
            <v>43683</v>
          </cell>
        </row>
        <row r="397">
          <cell r="B397" t="str">
            <v>IICC-CC-2400</v>
          </cell>
          <cell r="C397" t="str">
            <v>floor finishes</v>
          </cell>
          <cell r="D397">
            <v>120</v>
          </cell>
          <cell r="E397">
            <v>43591</v>
          </cell>
          <cell r="F397">
            <v>43703</v>
          </cell>
        </row>
        <row r="398">
          <cell r="B398" t="str">
            <v>IICC-CC-1980</v>
          </cell>
          <cell r="C398" t="str">
            <v>1st Fix MEP works</v>
          </cell>
          <cell r="D398">
            <v>90</v>
          </cell>
          <cell r="E398">
            <v>43525</v>
          </cell>
          <cell r="F398">
            <v>43613</v>
          </cell>
        </row>
        <row r="399">
          <cell r="B399" t="str">
            <v>IICC-CC-2030</v>
          </cell>
          <cell r="C399" t="str">
            <v>2nd Fix MEP works</v>
          </cell>
          <cell r="D399">
            <v>105</v>
          </cell>
          <cell r="E399">
            <v>43540</v>
          </cell>
          <cell r="F399">
            <v>43641</v>
          </cell>
        </row>
        <row r="400">
          <cell r="B400" t="str">
            <v>IICC-CC-2770</v>
          </cell>
          <cell r="C400" t="str">
            <v>Final Fix works</v>
          </cell>
          <cell r="D400">
            <v>90</v>
          </cell>
          <cell r="E400">
            <v>43647</v>
          </cell>
          <cell r="F400">
            <v>43732</v>
          </cell>
        </row>
        <row r="401">
          <cell r="B401" t="str">
            <v>IICC-EH1-10</v>
          </cell>
          <cell r="C401" t="str">
            <v xml:space="preserve">Excavation  </v>
          </cell>
          <cell r="D401">
            <v>60</v>
          </cell>
          <cell r="E401">
            <v>43154</v>
          </cell>
          <cell r="F401">
            <v>43213</v>
          </cell>
        </row>
        <row r="402">
          <cell r="B402" t="str">
            <v>IICC-EH1-40</v>
          </cell>
          <cell r="C402" t="str">
            <v>foundation works for core walls</v>
          </cell>
          <cell r="D402">
            <v>56</v>
          </cell>
          <cell r="E402">
            <v>43179</v>
          </cell>
          <cell r="F402">
            <v>43232</v>
          </cell>
        </row>
        <row r="403">
          <cell r="B403" t="str">
            <v>IICC-EH1-80</v>
          </cell>
          <cell r="C403" t="str">
            <v>setting up climbing from work</v>
          </cell>
          <cell r="D403">
            <v>20</v>
          </cell>
          <cell r="E403">
            <v>43232</v>
          </cell>
          <cell r="F403">
            <v>43251</v>
          </cell>
        </row>
        <row r="404">
          <cell r="B404" t="str">
            <v>IICC-EH1-100</v>
          </cell>
          <cell r="C404" t="str">
            <v>core wall concreting</v>
          </cell>
          <cell r="D404">
            <v>37</v>
          </cell>
          <cell r="E404">
            <v>43251</v>
          </cell>
          <cell r="F404">
            <v>43286</v>
          </cell>
        </row>
        <row r="405">
          <cell r="B405" t="str">
            <v>IICC-EH1-150</v>
          </cell>
          <cell r="C405" t="str">
            <v>dismantling of formwork</v>
          </cell>
          <cell r="D405">
            <v>15</v>
          </cell>
          <cell r="E405">
            <v>43286</v>
          </cell>
          <cell r="F405">
            <v>43300</v>
          </cell>
        </row>
        <row r="406">
          <cell r="B406" t="str">
            <v>IICC-EH1-20</v>
          </cell>
          <cell r="C406" t="str">
            <v>Level B1 (4.4m) Foundation works</v>
          </cell>
          <cell r="D406">
            <v>66</v>
          </cell>
          <cell r="E406">
            <v>43173</v>
          </cell>
          <cell r="F406">
            <v>43236</v>
          </cell>
        </row>
        <row r="407">
          <cell r="B407" t="str">
            <v>IICC-EH1-60</v>
          </cell>
          <cell r="C407" t="str">
            <v>Level F0 (0.00m) Foundation &amp; RCC works</v>
          </cell>
          <cell r="D407">
            <v>115</v>
          </cell>
          <cell r="E407">
            <v>43202</v>
          </cell>
          <cell r="F407">
            <v>43311</v>
          </cell>
        </row>
        <row r="408">
          <cell r="B408" t="str">
            <v>IICC-EH1-160</v>
          </cell>
          <cell r="C408" t="str">
            <v>Mezzanine floor fevel (+3.20m)</v>
          </cell>
          <cell r="D408">
            <v>24</v>
          </cell>
          <cell r="E408">
            <v>43299</v>
          </cell>
          <cell r="F408">
            <v>43321</v>
          </cell>
        </row>
        <row r="409">
          <cell r="B409" t="str">
            <v>IICC-EH1-170</v>
          </cell>
          <cell r="C409" t="str">
            <v>F1 Level (+6.40m)</v>
          </cell>
          <cell r="D409">
            <v>24</v>
          </cell>
          <cell r="E409">
            <v>43311</v>
          </cell>
          <cell r="F409">
            <v>43334</v>
          </cell>
        </row>
        <row r="410">
          <cell r="B410" t="str">
            <v>IICC-EH1-190</v>
          </cell>
          <cell r="C410" t="str">
            <v>F2 Level (+9.60m)</v>
          </cell>
          <cell r="D410">
            <v>24</v>
          </cell>
          <cell r="E410">
            <v>43321</v>
          </cell>
          <cell r="F410">
            <v>43346</v>
          </cell>
        </row>
        <row r="411">
          <cell r="B411" t="str">
            <v>IICC-EH1-210</v>
          </cell>
          <cell r="C411" t="str">
            <v>F3 Level (+16.00m)</v>
          </cell>
          <cell r="D411">
            <v>24</v>
          </cell>
          <cell r="E411">
            <v>43334</v>
          </cell>
          <cell r="F411">
            <v>43357</v>
          </cell>
        </row>
        <row r="412">
          <cell r="B412" t="str">
            <v>IICC-EH1-30</v>
          </cell>
          <cell r="C412" t="str">
            <v xml:space="preserve">Excavation  </v>
          </cell>
          <cell r="D412">
            <v>75</v>
          </cell>
          <cell r="E412">
            <v>43175</v>
          </cell>
          <cell r="F412">
            <v>43248</v>
          </cell>
        </row>
        <row r="413">
          <cell r="B413" t="str">
            <v>IICC-EH1-70</v>
          </cell>
          <cell r="C413" t="str">
            <v>foundation works for core walls</v>
          </cell>
          <cell r="D413">
            <v>54</v>
          </cell>
          <cell r="E413">
            <v>43210</v>
          </cell>
          <cell r="F413">
            <v>43262</v>
          </cell>
        </row>
        <row r="414">
          <cell r="B414" t="str">
            <v>IICC-EH1-120</v>
          </cell>
          <cell r="C414" t="str">
            <v>setting up climbing from work</v>
          </cell>
          <cell r="D414">
            <v>20</v>
          </cell>
          <cell r="E414">
            <v>43262</v>
          </cell>
          <cell r="F414">
            <v>43280</v>
          </cell>
        </row>
        <row r="415">
          <cell r="B415" t="str">
            <v>IICC-EH1-140</v>
          </cell>
          <cell r="C415" t="str">
            <v>core wall concreting (level 41.75m - 1.5m/d)</v>
          </cell>
          <cell r="D415">
            <v>37</v>
          </cell>
          <cell r="E415">
            <v>43280</v>
          </cell>
          <cell r="F415">
            <v>43315</v>
          </cell>
        </row>
        <row r="416">
          <cell r="B416" t="str">
            <v>IICC-EH1-180</v>
          </cell>
          <cell r="C416" t="str">
            <v>dismantling of formwork</v>
          </cell>
          <cell r="D416">
            <v>15</v>
          </cell>
          <cell r="E416">
            <v>43315</v>
          </cell>
          <cell r="F416">
            <v>43330</v>
          </cell>
        </row>
        <row r="417">
          <cell r="B417" t="str">
            <v>IICC-EH1-50</v>
          </cell>
          <cell r="C417" t="str">
            <v>Level B3 (Foundation works)</v>
          </cell>
          <cell r="D417">
            <v>90</v>
          </cell>
          <cell r="E417">
            <v>43189</v>
          </cell>
          <cell r="F417">
            <v>43276</v>
          </cell>
        </row>
        <row r="418">
          <cell r="B418" t="str">
            <v>IICC-EH1-90</v>
          </cell>
          <cell r="C418" t="str">
            <v>Level B2</v>
          </cell>
          <cell r="D418">
            <v>66</v>
          </cell>
          <cell r="E418">
            <v>43234</v>
          </cell>
          <cell r="F418">
            <v>43295</v>
          </cell>
        </row>
        <row r="419">
          <cell r="B419" t="str">
            <v>IICC-EH1-110</v>
          </cell>
          <cell r="C419" t="str">
            <v>Level B1 (4.4m)</v>
          </cell>
          <cell r="D419">
            <v>66</v>
          </cell>
          <cell r="E419">
            <v>43253</v>
          </cell>
          <cell r="F419">
            <v>43315</v>
          </cell>
        </row>
        <row r="420">
          <cell r="B420" t="str">
            <v>IICC-EH1-130</v>
          </cell>
          <cell r="C420" t="str">
            <v xml:space="preserve">Level F0 (0.00m) </v>
          </cell>
          <cell r="D420">
            <v>66</v>
          </cell>
          <cell r="E420">
            <v>43270</v>
          </cell>
          <cell r="F420">
            <v>43330</v>
          </cell>
        </row>
        <row r="421">
          <cell r="B421" t="str">
            <v>IICC-EH1-200</v>
          </cell>
          <cell r="C421" t="str">
            <v>Mezzanine floor fevel (+3.20m)</v>
          </cell>
          <cell r="D421">
            <v>15</v>
          </cell>
          <cell r="E421">
            <v>43330</v>
          </cell>
          <cell r="F421">
            <v>43346</v>
          </cell>
        </row>
        <row r="422">
          <cell r="B422" t="str">
            <v>IICC-EH1-230</v>
          </cell>
          <cell r="C422" t="str">
            <v>F1 Level (+6.40m)</v>
          </cell>
          <cell r="D422">
            <v>15</v>
          </cell>
          <cell r="E422">
            <v>43340</v>
          </cell>
          <cell r="F422">
            <v>43355</v>
          </cell>
        </row>
        <row r="423">
          <cell r="B423" t="str">
            <v>IICC-EH1-240</v>
          </cell>
          <cell r="C423" t="str">
            <v>F2 Level (+9.60m)</v>
          </cell>
          <cell r="D423">
            <v>15</v>
          </cell>
          <cell r="E423">
            <v>43350</v>
          </cell>
          <cell r="F423">
            <v>43364</v>
          </cell>
        </row>
        <row r="424">
          <cell r="B424" t="str">
            <v>IICC-EH1-260</v>
          </cell>
          <cell r="C424" t="str">
            <v>F3 Level (+16.00m)</v>
          </cell>
          <cell r="D424">
            <v>15</v>
          </cell>
          <cell r="E424">
            <v>43360</v>
          </cell>
          <cell r="F424">
            <v>43374</v>
          </cell>
        </row>
        <row r="425">
          <cell r="B425" t="str">
            <v>IICC-EH1-220</v>
          </cell>
          <cell r="C425" t="str">
            <v>truss assembly</v>
          </cell>
          <cell r="D425">
            <v>129</v>
          </cell>
          <cell r="E425">
            <v>43336</v>
          </cell>
          <cell r="F425">
            <v>43462</v>
          </cell>
        </row>
        <row r="426">
          <cell r="B426" t="str">
            <v>IICC-EH1-290</v>
          </cell>
          <cell r="C426" t="str">
            <v>truss erection</v>
          </cell>
          <cell r="D426">
            <v>105</v>
          </cell>
          <cell r="E426">
            <v>43386</v>
          </cell>
          <cell r="F426">
            <v>43489</v>
          </cell>
        </row>
        <row r="427">
          <cell r="B427" t="str">
            <v>IICC-EH1-340</v>
          </cell>
          <cell r="C427" t="str">
            <v>Roof sheeting works</v>
          </cell>
          <cell r="D427">
            <v>60</v>
          </cell>
          <cell r="E427">
            <v>43445</v>
          </cell>
          <cell r="F427">
            <v>43504</v>
          </cell>
        </row>
        <row r="428">
          <cell r="B428" t="str">
            <v>IICC-EH1-380</v>
          </cell>
          <cell r="C428" t="str">
            <v>Roof water proofing</v>
          </cell>
          <cell r="D428">
            <v>30</v>
          </cell>
          <cell r="E428">
            <v>43480</v>
          </cell>
          <cell r="F428">
            <v>43510</v>
          </cell>
        </row>
        <row r="429">
          <cell r="B429" t="str">
            <v>IICC-EH1-470</v>
          </cell>
          <cell r="C429" t="str">
            <v>Installation of solar panels</v>
          </cell>
          <cell r="D429">
            <v>45</v>
          </cell>
          <cell r="E429">
            <v>43582</v>
          </cell>
          <cell r="F429">
            <v>43635</v>
          </cell>
        </row>
        <row r="430">
          <cell r="B430" t="str">
            <v>IICC-EH1-250</v>
          </cell>
          <cell r="C430" t="str">
            <v>Masonary works (Blockwork &amp; Plastering)</v>
          </cell>
          <cell r="D430">
            <v>150</v>
          </cell>
          <cell r="E430">
            <v>43355</v>
          </cell>
          <cell r="F430">
            <v>43502</v>
          </cell>
        </row>
        <row r="431">
          <cell r="B431" t="str">
            <v>IICC-EH1-390</v>
          </cell>
          <cell r="C431" t="str">
            <v>ceiling finishes (GFRC &amp; Other false ceiling)</v>
          </cell>
          <cell r="D431">
            <v>180</v>
          </cell>
          <cell r="E431">
            <v>43489</v>
          </cell>
          <cell r="F431">
            <v>43662</v>
          </cell>
        </row>
        <row r="432">
          <cell r="B432" t="str">
            <v>IICC-EH1-410</v>
          </cell>
          <cell r="C432" t="str">
            <v>wall finishes</v>
          </cell>
          <cell r="D432">
            <v>180</v>
          </cell>
          <cell r="E432">
            <v>43510</v>
          </cell>
          <cell r="F432">
            <v>43683</v>
          </cell>
        </row>
        <row r="433">
          <cell r="B433" t="str">
            <v>IICC-EH1-430</v>
          </cell>
          <cell r="C433" t="str">
            <v>floor finishes</v>
          </cell>
          <cell r="D433">
            <v>180</v>
          </cell>
          <cell r="E433">
            <v>43526</v>
          </cell>
          <cell r="F433">
            <v>43699</v>
          </cell>
        </row>
        <row r="434">
          <cell r="B434" t="str">
            <v>IICC-EH1-440</v>
          </cell>
          <cell r="C434" t="str">
            <v>seating works</v>
          </cell>
          <cell r="D434">
            <v>210</v>
          </cell>
          <cell r="E434">
            <v>43533</v>
          </cell>
          <cell r="F434">
            <v>43734</v>
          </cell>
        </row>
        <row r="435">
          <cell r="B435" t="str">
            <v>IICC-EH1-480</v>
          </cell>
          <cell r="C435" t="str">
            <v>internal partitions</v>
          </cell>
          <cell r="D435">
            <v>75</v>
          </cell>
          <cell r="E435">
            <v>43614</v>
          </cell>
          <cell r="F435">
            <v>43684</v>
          </cell>
        </row>
        <row r="436">
          <cell r="B436" t="str">
            <v>IICC-EH1-280</v>
          </cell>
          <cell r="C436" t="str">
            <v>installation of aluminium composite panels</v>
          </cell>
          <cell r="D436">
            <v>150</v>
          </cell>
          <cell r="E436">
            <v>43386</v>
          </cell>
          <cell r="F436">
            <v>43533</v>
          </cell>
        </row>
        <row r="437">
          <cell r="B437" t="str">
            <v>IICC-EH1-320</v>
          </cell>
          <cell r="C437" t="str">
            <v>installation of GRC sandwitch panels</v>
          </cell>
          <cell r="D437">
            <v>180</v>
          </cell>
          <cell r="E437">
            <v>43431</v>
          </cell>
          <cell r="F437">
            <v>43545</v>
          </cell>
        </row>
        <row r="438">
          <cell r="B438" t="str">
            <v>IICC-EH1-360</v>
          </cell>
          <cell r="C438" t="str">
            <v>installation of Double Glazing composite panels</v>
          </cell>
          <cell r="D438">
            <v>180</v>
          </cell>
          <cell r="E438">
            <v>43460</v>
          </cell>
          <cell r="F438">
            <v>43634</v>
          </cell>
        </row>
        <row r="439">
          <cell r="B439" t="str">
            <v>IICC-EH1-370</v>
          </cell>
          <cell r="C439" t="str">
            <v>installation of Copper TECU Bronze strip cladding</v>
          </cell>
          <cell r="D439">
            <v>150</v>
          </cell>
          <cell r="E439">
            <v>43473</v>
          </cell>
          <cell r="F439">
            <v>43648</v>
          </cell>
        </row>
        <row r="440">
          <cell r="B440" t="str">
            <v>IICC-EH1-420</v>
          </cell>
          <cell r="C440" t="str">
            <v>installation of LED screen system</v>
          </cell>
          <cell r="D440">
            <v>135</v>
          </cell>
          <cell r="E440">
            <v>43521</v>
          </cell>
          <cell r="F440">
            <v>43650</v>
          </cell>
        </row>
        <row r="441">
          <cell r="B441" t="str">
            <v>IICC-EH1-270</v>
          </cell>
          <cell r="C441" t="str">
            <v>Support structures</v>
          </cell>
          <cell r="D441">
            <v>150</v>
          </cell>
          <cell r="E441">
            <v>43367</v>
          </cell>
          <cell r="F441">
            <v>43545</v>
          </cell>
        </row>
        <row r="442">
          <cell r="B442" t="str">
            <v>IICC-EH1-300</v>
          </cell>
          <cell r="C442" t="str">
            <v>Duct flxing &amp; insulation</v>
          </cell>
          <cell r="D442">
            <v>180</v>
          </cell>
          <cell r="E442">
            <v>43395</v>
          </cell>
          <cell r="F442">
            <v>43547</v>
          </cell>
        </row>
        <row r="443">
          <cell r="B443" t="str">
            <v>IICC-EH1-310</v>
          </cell>
          <cell r="C443" t="str">
            <v>chill water pipe laying &amp; insulation</v>
          </cell>
          <cell r="D443">
            <v>180</v>
          </cell>
          <cell r="E443">
            <v>43412</v>
          </cell>
          <cell r="F443">
            <v>43626</v>
          </cell>
        </row>
        <row r="444">
          <cell r="B444" t="str">
            <v>IICC-EH1-330</v>
          </cell>
          <cell r="C444" t="str">
            <v>Other piping works for plumbing &amp; fire fighting</v>
          </cell>
          <cell r="D444">
            <v>180</v>
          </cell>
          <cell r="E444">
            <v>43432</v>
          </cell>
          <cell r="F444">
            <v>43643</v>
          </cell>
        </row>
        <row r="445">
          <cell r="B445" t="str">
            <v>IICC-EH1-350</v>
          </cell>
          <cell r="C445" t="str">
            <v>Electrical &amp; ELV cable tray laying</v>
          </cell>
          <cell r="D445">
            <v>180</v>
          </cell>
          <cell r="E445">
            <v>43449</v>
          </cell>
          <cell r="F445">
            <v>43661</v>
          </cell>
        </row>
        <row r="446">
          <cell r="B446" t="str">
            <v>IICC-EH1-460</v>
          </cell>
          <cell r="C446" t="str">
            <v>Installation of diffusers, sprinklers &amp; light fixtures</v>
          </cell>
          <cell r="D446">
            <v>120</v>
          </cell>
          <cell r="E446">
            <v>43565</v>
          </cell>
          <cell r="F446">
            <v>43705</v>
          </cell>
        </row>
        <row r="447">
          <cell r="B447" t="str">
            <v>IICC-EH1-400</v>
          </cell>
          <cell r="C447" t="str">
            <v>Installation of elevators</v>
          </cell>
          <cell r="D447">
            <v>120</v>
          </cell>
          <cell r="E447">
            <v>43504</v>
          </cell>
          <cell r="F447">
            <v>43644</v>
          </cell>
        </row>
        <row r="448">
          <cell r="B448" t="str">
            <v>IICC-EH1-450</v>
          </cell>
          <cell r="C448" t="str">
            <v>Installation of travelators &amp; escalators</v>
          </cell>
          <cell r="D448">
            <v>105</v>
          </cell>
          <cell r="E448">
            <v>43546</v>
          </cell>
          <cell r="F448">
            <v>43669</v>
          </cell>
        </row>
        <row r="449">
          <cell r="B449" t="str">
            <v>IICC-EH1-490</v>
          </cell>
          <cell r="C449" t="str">
            <v>Indivitual system testing</v>
          </cell>
          <cell r="D449">
            <v>30</v>
          </cell>
          <cell r="E449">
            <v>43722</v>
          </cell>
          <cell r="F449">
            <v>43757</v>
          </cell>
        </row>
        <row r="450">
          <cell r="B450" t="str">
            <v>IICC-EH2-10</v>
          </cell>
          <cell r="C450" t="str">
            <v xml:space="preserve">Excavation  </v>
          </cell>
          <cell r="D450">
            <v>18</v>
          </cell>
          <cell r="E450">
            <v>43197</v>
          </cell>
          <cell r="F450">
            <v>43214</v>
          </cell>
        </row>
        <row r="451">
          <cell r="B451" t="str">
            <v>IICC-EH2-30</v>
          </cell>
          <cell r="C451" t="str">
            <v>foundation works for core walls</v>
          </cell>
          <cell r="D451">
            <v>54</v>
          </cell>
          <cell r="E451">
            <v>43214</v>
          </cell>
          <cell r="F451">
            <v>43265</v>
          </cell>
        </row>
        <row r="452">
          <cell r="B452" t="str">
            <v>IICC-EH2-80</v>
          </cell>
          <cell r="C452" t="str">
            <v>setting up climbing from work</v>
          </cell>
          <cell r="D452">
            <v>20</v>
          </cell>
          <cell r="E452">
            <v>43265</v>
          </cell>
          <cell r="F452">
            <v>43284</v>
          </cell>
        </row>
        <row r="453">
          <cell r="B453" t="str">
            <v>IICC-EH2-100</v>
          </cell>
          <cell r="C453" t="str">
            <v>core wall concreting</v>
          </cell>
          <cell r="D453">
            <v>38</v>
          </cell>
          <cell r="E453">
            <v>43284</v>
          </cell>
          <cell r="F453">
            <v>43319</v>
          </cell>
        </row>
        <row r="454">
          <cell r="B454" t="str">
            <v>IICC-EH2-140</v>
          </cell>
          <cell r="C454" t="str">
            <v>dismantling of the formwork</v>
          </cell>
          <cell r="D454">
            <v>15</v>
          </cell>
          <cell r="E454">
            <v>43319</v>
          </cell>
          <cell r="F454">
            <v>43334</v>
          </cell>
        </row>
        <row r="455">
          <cell r="B455" t="str">
            <v>IICC-EH2-20</v>
          </cell>
          <cell r="C455" t="str">
            <v>Level B1 (4.4m) Foundation works</v>
          </cell>
          <cell r="D455">
            <v>36</v>
          </cell>
          <cell r="E455">
            <v>43203</v>
          </cell>
          <cell r="F455">
            <v>43237</v>
          </cell>
        </row>
        <row r="456">
          <cell r="B456" t="str">
            <v>IICC-EH2-50</v>
          </cell>
          <cell r="C456" t="str">
            <v>Level B1 (0.00m) Foundation works &amp; RCC works</v>
          </cell>
          <cell r="D456">
            <v>135</v>
          </cell>
          <cell r="E456">
            <v>43220</v>
          </cell>
          <cell r="F456">
            <v>43349</v>
          </cell>
        </row>
        <row r="457">
          <cell r="B457" t="str">
            <v>IICC-EH2-160</v>
          </cell>
          <cell r="C457" t="str">
            <v>Mezzanine floor fevel (+3.20m)</v>
          </cell>
          <cell r="D457">
            <v>15</v>
          </cell>
          <cell r="E457">
            <v>43340</v>
          </cell>
          <cell r="F457">
            <v>43355</v>
          </cell>
        </row>
        <row r="458">
          <cell r="B458" t="str">
            <v>IICC-EH2-170</v>
          </cell>
          <cell r="C458" t="str">
            <v>F1 Level (+6.40m)</v>
          </cell>
          <cell r="D458">
            <v>15</v>
          </cell>
          <cell r="E458">
            <v>43347</v>
          </cell>
          <cell r="F458">
            <v>43361</v>
          </cell>
        </row>
        <row r="459">
          <cell r="B459" t="str">
            <v>IICC-EH2-190</v>
          </cell>
          <cell r="C459" t="str">
            <v>F2 Level (+9.60m)</v>
          </cell>
          <cell r="D459">
            <v>15</v>
          </cell>
          <cell r="E459">
            <v>43351</v>
          </cell>
          <cell r="F459">
            <v>43365</v>
          </cell>
        </row>
        <row r="460">
          <cell r="B460" t="str">
            <v>IICC-EH2-200</v>
          </cell>
          <cell r="C460" t="str">
            <v>F3 Level (+16.00m)</v>
          </cell>
          <cell r="D460">
            <v>15</v>
          </cell>
          <cell r="E460">
            <v>43357</v>
          </cell>
          <cell r="F460">
            <v>43371</v>
          </cell>
        </row>
        <row r="461">
          <cell r="B461" t="str">
            <v>IICC-EH2-40</v>
          </cell>
          <cell r="C461" t="str">
            <v>excavation</v>
          </cell>
          <cell r="D461">
            <v>90</v>
          </cell>
          <cell r="E461">
            <v>43214</v>
          </cell>
          <cell r="F461">
            <v>43299</v>
          </cell>
        </row>
        <row r="462">
          <cell r="B462" t="str">
            <v>IICC-EH2-70</v>
          </cell>
          <cell r="C462" t="str">
            <v>foundation works for core walls</v>
          </cell>
          <cell r="D462">
            <v>56</v>
          </cell>
          <cell r="E462">
            <v>43252</v>
          </cell>
          <cell r="F462">
            <v>43305</v>
          </cell>
        </row>
        <row r="463">
          <cell r="B463" t="str">
            <v>IICC-EH2-120</v>
          </cell>
          <cell r="C463" t="str">
            <v>setting up climbing from work</v>
          </cell>
          <cell r="D463">
            <v>20</v>
          </cell>
          <cell r="E463">
            <v>43305</v>
          </cell>
          <cell r="F463">
            <v>43323</v>
          </cell>
        </row>
        <row r="464">
          <cell r="B464" t="str">
            <v>IICC-EH2-150</v>
          </cell>
          <cell r="C464" t="str">
            <v>core wall concreting (level 41.75m - 1.5m/d)</v>
          </cell>
          <cell r="D464">
            <v>39</v>
          </cell>
          <cell r="E464">
            <v>43323</v>
          </cell>
          <cell r="F464">
            <v>43362</v>
          </cell>
        </row>
        <row r="465">
          <cell r="B465" t="str">
            <v>IICC-EH2-210</v>
          </cell>
          <cell r="C465" t="str">
            <v>dismentling of the formwork</v>
          </cell>
          <cell r="D465">
            <v>15</v>
          </cell>
          <cell r="E465">
            <v>43362</v>
          </cell>
          <cell r="F465">
            <v>43377</v>
          </cell>
        </row>
        <row r="466">
          <cell r="B466" t="str">
            <v>IICC-EH2-60</v>
          </cell>
          <cell r="C466" t="str">
            <v>Level B3 (Foundation works)</v>
          </cell>
          <cell r="D466">
            <v>105</v>
          </cell>
          <cell r="E466">
            <v>43227</v>
          </cell>
          <cell r="F466">
            <v>43325</v>
          </cell>
        </row>
        <row r="467">
          <cell r="B467" t="str">
            <v>IICC-EH2-90</v>
          </cell>
          <cell r="C467" t="str">
            <v>Level B2</v>
          </cell>
          <cell r="D467">
            <v>75</v>
          </cell>
          <cell r="E467">
            <v>43274</v>
          </cell>
          <cell r="F467">
            <v>43346</v>
          </cell>
        </row>
        <row r="468">
          <cell r="B468" t="str">
            <v>IICC-EH2-110</v>
          </cell>
          <cell r="C468" t="str">
            <v>Level B1 (-4.4m)</v>
          </cell>
          <cell r="D468">
            <v>75</v>
          </cell>
          <cell r="E468">
            <v>43293</v>
          </cell>
          <cell r="F468">
            <v>43365</v>
          </cell>
        </row>
        <row r="469">
          <cell r="B469" t="str">
            <v>IICC-EH2-130</v>
          </cell>
          <cell r="C469" t="str">
            <v>Level F0 (+0.00m)</v>
          </cell>
          <cell r="D469">
            <v>75</v>
          </cell>
          <cell r="E469">
            <v>43311</v>
          </cell>
          <cell r="F469">
            <v>43384</v>
          </cell>
        </row>
        <row r="470">
          <cell r="B470" t="str">
            <v>IICC-EH2-220</v>
          </cell>
          <cell r="C470" t="str">
            <v>Mezzanine floor fevel (+3.20m)</v>
          </cell>
          <cell r="D470">
            <v>15</v>
          </cell>
          <cell r="E470">
            <v>43376</v>
          </cell>
          <cell r="F470">
            <v>43389</v>
          </cell>
        </row>
        <row r="471">
          <cell r="B471" t="str">
            <v>IICC-EH2-230</v>
          </cell>
          <cell r="C471" t="str">
            <v>F1 Level (+4.0m, +4.65m)</v>
          </cell>
          <cell r="D471">
            <v>15</v>
          </cell>
          <cell r="E471">
            <v>43381</v>
          </cell>
          <cell r="F471">
            <v>43395</v>
          </cell>
        </row>
        <row r="472">
          <cell r="B472" t="str">
            <v>IICC-EH2-240</v>
          </cell>
          <cell r="C472" t="str">
            <v>F2 Level (+9.60m)</v>
          </cell>
          <cell r="D472">
            <v>15</v>
          </cell>
          <cell r="E472">
            <v>43386</v>
          </cell>
          <cell r="F472">
            <v>43402</v>
          </cell>
        </row>
        <row r="473">
          <cell r="B473" t="str">
            <v>IICC-EH2-250</v>
          </cell>
          <cell r="C473" t="str">
            <v>F3 Level (+16.00m)</v>
          </cell>
          <cell r="D473">
            <v>15</v>
          </cell>
          <cell r="E473">
            <v>43392</v>
          </cell>
          <cell r="F473">
            <v>43407</v>
          </cell>
        </row>
        <row r="474">
          <cell r="B474" t="str">
            <v>IICC-EH2-180</v>
          </cell>
          <cell r="C474" t="str">
            <v>Truss assembly</v>
          </cell>
          <cell r="D474">
            <v>120</v>
          </cell>
          <cell r="E474">
            <v>43349</v>
          </cell>
          <cell r="F474">
            <v>43467</v>
          </cell>
        </row>
        <row r="475">
          <cell r="B475" t="str">
            <v>IICC-EH2-270</v>
          </cell>
          <cell r="C475" t="str">
            <v>Truss erection</v>
          </cell>
          <cell r="D475">
            <v>96</v>
          </cell>
          <cell r="E475">
            <v>43395</v>
          </cell>
          <cell r="F475">
            <v>43489</v>
          </cell>
        </row>
        <row r="476">
          <cell r="B476" t="str">
            <v>IICC-EH2-330</v>
          </cell>
          <cell r="C476" t="str">
            <v>Roof sheeting works</v>
          </cell>
          <cell r="D476">
            <v>45</v>
          </cell>
          <cell r="E476">
            <v>43460</v>
          </cell>
          <cell r="F476">
            <v>43504</v>
          </cell>
        </row>
        <row r="477">
          <cell r="B477" t="str">
            <v>IICC-EH2-370</v>
          </cell>
          <cell r="C477" t="str">
            <v>Roof water proofing</v>
          </cell>
          <cell r="D477">
            <v>30</v>
          </cell>
          <cell r="E477">
            <v>43481</v>
          </cell>
          <cell r="F477">
            <v>43510</v>
          </cell>
        </row>
        <row r="478">
          <cell r="B478" t="str">
            <v>IICC-EH2-470</v>
          </cell>
          <cell r="C478" t="str">
            <v>Installation of solar panels</v>
          </cell>
          <cell r="D478">
            <v>45</v>
          </cell>
          <cell r="E478">
            <v>43612</v>
          </cell>
          <cell r="F478">
            <v>43664</v>
          </cell>
        </row>
        <row r="479">
          <cell r="B479" t="str">
            <v>IICC-EH2-260</v>
          </cell>
          <cell r="C479" t="str">
            <v>Masonary works (Blockwork &amp; Plastering)</v>
          </cell>
          <cell r="D479">
            <v>150</v>
          </cell>
          <cell r="E479">
            <v>43395</v>
          </cell>
          <cell r="F479">
            <v>43542</v>
          </cell>
        </row>
        <row r="480">
          <cell r="B480" t="str">
            <v>IICC-EH2-390</v>
          </cell>
          <cell r="C480" t="str">
            <v>ceiling finishes (GFRC &amp; Other false ceiling)</v>
          </cell>
          <cell r="D480">
            <v>165</v>
          </cell>
          <cell r="E480">
            <v>43508</v>
          </cell>
          <cell r="F480">
            <v>43665</v>
          </cell>
        </row>
        <row r="481">
          <cell r="B481" t="str">
            <v>IICC-EH2-420</v>
          </cell>
          <cell r="C481" t="str">
            <v>wall finishes</v>
          </cell>
          <cell r="D481">
            <v>165</v>
          </cell>
          <cell r="E481">
            <v>43528</v>
          </cell>
          <cell r="F481">
            <v>43685</v>
          </cell>
        </row>
        <row r="482">
          <cell r="B482" t="str">
            <v>IICC-EH2-430</v>
          </cell>
          <cell r="C482" t="str">
            <v>floor finishes</v>
          </cell>
          <cell r="D482">
            <v>165</v>
          </cell>
          <cell r="E482">
            <v>43545</v>
          </cell>
          <cell r="F482">
            <v>43703</v>
          </cell>
        </row>
        <row r="483">
          <cell r="B483" t="str">
            <v>IICC-EH2-450</v>
          </cell>
          <cell r="C483" t="str">
            <v>seating works</v>
          </cell>
          <cell r="D483">
            <v>180</v>
          </cell>
          <cell r="E483">
            <v>43551</v>
          </cell>
          <cell r="F483">
            <v>43724</v>
          </cell>
        </row>
        <row r="484">
          <cell r="B484" t="str">
            <v>IICC-EH2-480</v>
          </cell>
          <cell r="C484" t="str">
            <v>internal partitions</v>
          </cell>
          <cell r="D484">
            <v>75</v>
          </cell>
          <cell r="E484">
            <v>43613</v>
          </cell>
          <cell r="F484">
            <v>43683</v>
          </cell>
        </row>
        <row r="485">
          <cell r="B485" t="str">
            <v>IICC-EH2-280</v>
          </cell>
          <cell r="C485" t="str">
            <v>installation of aluminium composite panels</v>
          </cell>
          <cell r="D485">
            <v>150</v>
          </cell>
          <cell r="E485">
            <v>43402</v>
          </cell>
          <cell r="F485">
            <v>43547</v>
          </cell>
        </row>
        <row r="486">
          <cell r="B486" t="str">
            <v>IICC-EH2-300</v>
          </cell>
          <cell r="C486" t="str">
            <v>installation of GRC sandwitch panels</v>
          </cell>
          <cell r="D486">
            <v>180</v>
          </cell>
          <cell r="E486">
            <v>43431</v>
          </cell>
          <cell r="F486">
            <v>43606</v>
          </cell>
        </row>
        <row r="487">
          <cell r="B487" t="str">
            <v>IICC-EH2-340</v>
          </cell>
          <cell r="C487" t="str">
            <v>installation of Double Glazing composite panels</v>
          </cell>
          <cell r="D487">
            <v>180</v>
          </cell>
          <cell r="E487">
            <v>43460</v>
          </cell>
          <cell r="F487">
            <v>43634</v>
          </cell>
        </row>
        <row r="488">
          <cell r="B488" t="str">
            <v>IICC-EH2-350</v>
          </cell>
          <cell r="C488" t="str">
            <v>installation of Copper TECU Bronze strip cladding</v>
          </cell>
          <cell r="D488">
            <v>150</v>
          </cell>
          <cell r="E488">
            <v>43473</v>
          </cell>
          <cell r="F488">
            <v>43648</v>
          </cell>
        </row>
        <row r="489">
          <cell r="B489" t="str">
            <v>IICC-EH2-410</v>
          </cell>
          <cell r="C489" t="str">
            <v>installation of LED screen system</v>
          </cell>
          <cell r="D489">
            <v>135</v>
          </cell>
          <cell r="E489">
            <v>43522</v>
          </cell>
          <cell r="F489">
            <v>43651</v>
          </cell>
        </row>
        <row r="490">
          <cell r="B490" t="str">
            <v>IICC-EH2-290</v>
          </cell>
          <cell r="C490" t="str">
            <v>Support structures</v>
          </cell>
          <cell r="D490">
            <v>150</v>
          </cell>
          <cell r="E490">
            <v>43407</v>
          </cell>
          <cell r="F490">
            <v>43585</v>
          </cell>
        </row>
        <row r="491">
          <cell r="B491" t="str">
            <v>IICC-EH2-310</v>
          </cell>
          <cell r="C491" t="str">
            <v>Duct flxing &amp; insulation</v>
          </cell>
          <cell r="D491">
            <v>180</v>
          </cell>
          <cell r="E491">
            <v>43438</v>
          </cell>
          <cell r="F491">
            <v>43648</v>
          </cell>
        </row>
        <row r="492">
          <cell r="B492" t="str">
            <v>IICC-EH2-320</v>
          </cell>
          <cell r="C492" t="str">
            <v>chill water pipe laying &amp; insulation</v>
          </cell>
          <cell r="D492">
            <v>180</v>
          </cell>
          <cell r="E492">
            <v>43455</v>
          </cell>
          <cell r="F492">
            <v>43665</v>
          </cell>
        </row>
        <row r="493">
          <cell r="B493" t="str">
            <v>IICC-EH2-360</v>
          </cell>
          <cell r="C493" t="str">
            <v>Other piping works for plumbing &amp; fire fighting</v>
          </cell>
          <cell r="D493">
            <v>180</v>
          </cell>
          <cell r="E493">
            <v>43481</v>
          </cell>
          <cell r="F493">
            <v>43690</v>
          </cell>
        </row>
        <row r="494">
          <cell r="B494" t="str">
            <v>IICC-EH2-400</v>
          </cell>
          <cell r="C494" t="str">
            <v>Electrical &amp; ELV cable tray laying</v>
          </cell>
          <cell r="D494">
            <v>180</v>
          </cell>
          <cell r="E494">
            <v>43509</v>
          </cell>
          <cell r="F494">
            <v>43718</v>
          </cell>
        </row>
        <row r="495">
          <cell r="B495" t="str">
            <v>IICC-EH2-460</v>
          </cell>
          <cell r="C495" t="str">
            <v>Installation of diffusers, sprinklers &amp; light fixtures</v>
          </cell>
          <cell r="D495">
            <v>120</v>
          </cell>
          <cell r="E495">
            <v>43596</v>
          </cell>
          <cell r="F495">
            <v>43735</v>
          </cell>
        </row>
        <row r="496">
          <cell r="B496" t="str">
            <v>IICC-EH2-380</v>
          </cell>
          <cell r="C496" t="str">
            <v>Installation of elevators</v>
          </cell>
          <cell r="D496">
            <v>120</v>
          </cell>
          <cell r="E496">
            <v>43504</v>
          </cell>
          <cell r="F496">
            <v>43644</v>
          </cell>
        </row>
        <row r="497">
          <cell r="B497" t="str">
            <v>IICC-EH2-440</v>
          </cell>
          <cell r="C497" t="str">
            <v>Installation of travelators &amp; escalators</v>
          </cell>
          <cell r="D497">
            <v>105</v>
          </cell>
          <cell r="E497">
            <v>43546</v>
          </cell>
          <cell r="F497">
            <v>43669</v>
          </cell>
        </row>
        <row r="498">
          <cell r="B498" t="str">
            <v>IICC-EH2-490</v>
          </cell>
          <cell r="C498" t="str">
            <v>Indivitual system testing</v>
          </cell>
          <cell r="D498">
            <v>30</v>
          </cell>
          <cell r="E498">
            <v>43722</v>
          </cell>
          <cell r="F498">
            <v>43756</v>
          </cell>
        </row>
        <row r="499">
          <cell r="B499" t="str">
            <v>IICC-EH3-10</v>
          </cell>
          <cell r="C499" t="str">
            <v>Handing over access to exhibition 3</v>
          </cell>
          <cell r="D499">
            <v>0</v>
          </cell>
          <cell r="E499" t="str">
            <v xml:space="preserve"> </v>
          </cell>
          <cell r="F499">
            <v>43313</v>
          </cell>
        </row>
        <row r="500">
          <cell r="B500" t="str">
            <v>IICC-EH3-20</v>
          </cell>
          <cell r="C500" t="str">
            <v>excavation</v>
          </cell>
          <cell r="D500">
            <v>135</v>
          </cell>
          <cell r="E500">
            <v>43313</v>
          </cell>
          <cell r="F500">
            <v>43445</v>
          </cell>
        </row>
        <row r="501">
          <cell r="B501" t="str">
            <v>IICC-EH3-30</v>
          </cell>
          <cell r="C501" t="str">
            <v>Level B3 (Raft slab)</v>
          </cell>
          <cell r="D501">
            <v>96</v>
          </cell>
          <cell r="E501">
            <v>43376</v>
          </cell>
          <cell r="F501">
            <v>43469</v>
          </cell>
        </row>
        <row r="502">
          <cell r="B502" t="str">
            <v>IICC-EH3-40</v>
          </cell>
          <cell r="C502" t="str">
            <v>Level B2 (Columns)</v>
          </cell>
          <cell r="D502">
            <v>60</v>
          </cell>
          <cell r="E502">
            <v>43428</v>
          </cell>
          <cell r="F502">
            <v>43487</v>
          </cell>
        </row>
        <row r="503">
          <cell r="B503" t="str">
            <v>IICC-EH3-50</v>
          </cell>
          <cell r="C503" t="str">
            <v>Level B1</v>
          </cell>
          <cell r="D503">
            <v>45</v>
          </cell>
          <cell r="E503">
            <v>43456</v>
          </cell>
          <cell r="F503">
            <v>43502</v>
          </cell>
        </row>
        <row r="504">
          <cell r="B504" t="str">
            <v>IICC-EH3-60</v>
          </cell>
          <cell r="C504" t="str">
            <v>Level F0</v>
          </cell>
          <cell r="D504">
            <v>45</v>
          </cell>
          <cell r="E504">
            <v>43473</v>
          </cell>
          <cell r="F504">
            <v>43516</v>
          </cell>
        </row>
        <row r="505">
          <cell r="B505" t="str">
            <v>IICC-EH3-70</v>
          </cell>
          <cell r="C505" t="str">
            <v>Masonary works</v>
          </cell>
          <cell r="D505">
            <v>60</v>
          </cell>
          <cell r="E505">
            <v>43497</v>
          </cell>
          <cell r="F505">
            <v>43554</v>
          </cell>
        </row>
        <row r="506">
          <cell r="B506" t="str">
            <v>IICC-EH3-100</v>
          </cell>
          <cell r="C506" t="str">
            <v>Ceiling finishes</v>
          </cell>
          <cell r="D506">
            <v>120</v>
          </cell>
          <cell r="E506">
            <v>43517</v>
          </cell>
          <cell r="F506">
            <v>43633</v>
          </cell>
        </row>
        <row r="507">
          <cell r="B507" t="str">
            <v>IICC-EH3-110</v>
          </cell>
          <cell r="C507" t="str">
            <v>wall finishes</v>
          </cell>
          <cell r="D507">
            <v>120</v>
          </cell>
          <cell r="E507">
            <v>43546</v>
          </cell>
          <cell r="F507">
            <v>43661</v>
          </cell>
        </row>
        <row r="508">
          <cell r="B508" t="str">
            <v>IICC-EH3-120</v>
          </cell>
          <cell r="C508" t="str">
            <v>floor finishes</v>
          </cell>
          <cell r="D508">
            <v>120</v>
          </cell>
          <cell r="E508">
            <v>43567</v>
          </cell>
          <cell r="F508">
            <v>43679</v>
          </cell>
        </row>
        <row r="509">
          <cell r="B509" t="str">
            <v>IICC-EH3-80</v>
          </cell>
          <cell r="C509" t="str">
            <v>1st Fix MEP works</v>
          </cell>
          <cell r="D509">
            <v>90</v>
          </cell>
          <cell r="E509">
            <v>43503</v>
          </cell>
          <cell r="F509">
            <v>43591</v>
          </cell>
        </row>
        <row r="510">
          <cell r="B510" t="str">
            <v>IICC-EH3-90</v>
          </cell>
          <cell r="C510" t="str">
            <v>2nd Fix MEP works</v>
          </cell>
          <cell r="D510">
            <v>105</v>
          </cell>
          <cell r="E510">
            <v>43517</v>
          </cell>
          <cell r="F510">
            <v>43619</v>
          </cell>
        </row>
        <row r="511">
          <cell r="B511" t="str">
            <v>IICC-EH3-140</v>
          </cell>
          <cell r="C511" t="str">
            <v>Final Fix works</v>
          </cell>
          <cell r="D511">
            <v>90</v>
          </cell>
          <cell r="E511">
            <v>43596</v>
          </cell>
          <cell r="F511">
            <v>43679</v>
          </cell>
        </row>
        <row r="512">
          <cell r="B512" t="str">
            <v>IICC-EH3-130</v>
          </cell>
          <cell r="C512" t="str">
            <v>Installation of chillers</v>
          </cell>
          <cell r="D512">
            <v>75</v>
          </cell>
          <cell r="E512">
            <v>43591</v>
          </cell>
          <cell r="F512">
            <v>43678</v>
          </cell>
        </row>
        <row r="513">
          <cell r="B513" t="str">
            <v>IICC-EH3-150</v>
          </cell>
          <cell r="C513" t="str">
            <v>installation of cooling towers</v>
          </cell>
          <cell r="D513">
            <v>75</v>
          </cell>
          <cell r="E513">
            <v>43598</v>
          </cell>
          <cell r="F513">
            <v>43685</v>
          </cell>
        </row>
        <row r="514">
          <cell r="B514" t="str">
            <v>IICC-EH3-160</v>
          </cell>
          <cell r="C514" t="str">
            <v>installation of heat pumps</v>
          </cell>
          <cell r="D514">
            <v>75</v>
          </cell>
          <cell r="E514">
            <v>43602</v>
          </cell>
          <cell r="F514">
            <v>43690</v>
          </cell>
        </row>
        <row r="515">
          <cell r="B515" t="str">
            <v>IICC-EXT-180</v>
          </cell>
          <cell r="C515" t="str">
            <v>BG Building</v>
          </cell>
          <cell r="D515">
            <v>45</v>
          </cell>
          <cell r="E515">
            <v>43489</v>
          </cell>
          <cell r="F515">
            <v>43540</v>
          </cell>
        </row>
        <row r="516">
          <cell r="B516" t="str">
            <v>IICC-EXT-250</v>
          </cell>
          <cell r="C516" t="str">
            <v>Fire Station</v>
          </cell>
          <cell r="D516">
            <v>45</v>
          </cell>
          <cell r="E516">
            <v>43531</v>
          </cell>
          <cell r="F516">
            <v>43582</v>
          </cell>
        </row>
        <row r="517">
          <cell r="B517" t="str">
            <v>IICC-EXT-270</v>
          </cell>
          <cell r="C517" t="str">
            <v>ESS</v>
          </cell>
          <cell r="D517">
            <v>45</v>
          </cell>
          <cell r="E517">
            <v>43538</v>
          </cell>
          <cell r="F517">
            <v>43589</v>
          </cell>
        </row>
        <row r="518">
          <cell r="B518" t="str">
            <v>Service Tunnel</v>
          </cell>
          <cell r="D518">
            <v>259</v>
          </cell>
          <cell r="E518">
            <v>43278</v>
          </cell>
          <cell r="F518">
            <v>43586</v>
          </cell>
        </row>
        <row r="519">
          <cell r="B519" t="str">
            <v>IICC-EXT-10</v>
          </cell>
          <cell r="C519" t="str">
            <v>Earthwork</v>
          </cell>
          <cell r="D519">
            <v>21</v>
          </cell>
          <cell r="E519">
            <v>43278</v>
          </cell>
          <cell r="F519">
            <v>43304</v>
          </cell>
        </row>
        <row r="520">
          <cell r="B520" t="str">
            <v>IICC-EXT-20</v>
          </cell>
          <cell r="C520" t="str">
            <v>Foundation works</v>
          </cell>
          <cell r="D520">
            <v>15</v>
          </cell>
          <cell r="E520">
            <v>43304</v>
          </cell>
          <cell r="F520">
            <v>43321</v>
          </cell>
        </row>
        <row r="521">
          <cell r="B521" t="str">
            <v>IICC-EXT-30</v>
          </cell>
          <cell r="C521" t="str">
            <v>Concreting works (B2)</v>
          </cell>
          <cell r="D521">
            <v>24</v>
          </cell>
          <cell r="E521">
            <v>43321</v>
          </cell>
          <cell r="F521">
            <v>43350</v>
          </cell>
        </row>
        <row r="522">
          <cell r="B522" t="str">
            <v>IICC-EXT-70</v>
          </cell>
          <cell r="C522" t="str">
            <v>Concreting works (B1)</v>
          </cell>
          <cell r="D522">
            <v>18</v>
          </cell>
          <cell r="E522">
            <v>43350</v>
          </cell>
          <cell r="F522">
            <v>43371</v>
          </cell>
        </row>
        <row r="523">
          <cell r="B523" t="str">
            <v>IICC-EXT-90</v>
          </cell>
          <cell r="C523" t="str">
            <v>Laying of pipes</v>
          </cell>
          <cell r="D523">
            <v>30</v>
          </cell>
          <cell r="E523">
            <v>43371</v>
          </cell>
          <cell r="F523">
            <v>43406</v>
          </cell>
        </row>
        <row r="524">
          <cell r="B524" t="str">
            <v>IICC-EXT-40</v>
          </cell>
          <cell r="C524" t="str">
            <v>Earthwork</v>
          </cell>
          <cell r="D524">
            <v>21</v>
          </cell>
          <cell r="E524">
            <v>43321</v>
          </cell>
          <cell r="F524">
            <v>43347</v>
          </cell>
        </row>
        <row r="525">
          <cell r="B525" t="str">
            <v>IICC-EXT-50</v>
          </cell>
          <cell r="C525" t="str">
            <v>Foundation works</v>
          </cell>
          <cell r="D525">
            <v>15</v>
          </cell>
          <cell r="E525">
            <v>43347</v>
          </cell>
          <cell r="F525">
            <v>43364</v>
          </cell>
        </row>
        <row r="526">
          <cell r="B526" t="str">
            <v>IICC-EXT-80</v>
          </cell>
          <cell r="C526" t="str">
            <v>concreting works (B1)</v>
          </cell>
          <cell r="D526">
            <v>18</v>
          </cell>
          <cell r="E526">
            <v>43364</v>
          </cell>
          <cell r="F526">
            <v>43385</v>
          </cell>
        </row>
        <row r="527">
          <cell r="B527" t="str">
            <v>IICC-EXT-120</v>
          </cell>
          <cell r="C527" t="str">
            <v>Laying of pipes</v>
          </cell>
          <cell r="D527">
            <v>30</v>
          </cell>
          <cell r="E527">
            <v>43406</v>
          </cell>
          <cell r="F527">
            <v>43444</v>
          </cell>
        </row>
        <row r="528">
          <cell r="B528" t="str">
            <v>IICC-EXT-60</v>
          </cell>
          <cell r="C528" t="str">
            <v>Earthwork</v>
          </cell>
          <cell r="D528">
            <v>21</v>
          </cell>
          <cell r="E528">
            <v>43347</v>
          </cell>
          <cell r="F528">
            <v>43371</v>
          </cell>
        </row>
        <row r="529">
          <cell r="B529" t="str">
            <v>IICC-EXT-100</v>
          </cell>
          <cell r="C529" t="str">
            <v>Foundation works</v>
          </cell>
          <cell r="D529">
            <v>15</v>
          </cell>
          <cell r="E529">
            <v>43371</v>
          </cell>
          <cell r="F529">
            <v>43389</v>
          </cell>
        </row>
        <row r="530">
          <cell r="B530" t="str">
            <v>IICC-EXT-110</v>
          </cell>
          <cell r="C530" t="str">
            <v>concreting works (B1)</v>
          </cell>
          <cell r="D530">
            <v>18</v>
          </cell>
          <cell r="E530">
            <v>43389</v>
          </cell>
          <cell r="F530">
            <v>43444</v>
          </cell>
        </row>
        <row r="531">
          <cell r="B531" t="str">
            <v>IICC-EXT-130</v>
          </cell>
          <cell r="C531" t="str">
            <v>Laying of pipes</v>
          </cell>
          <cell r="D531">
            <v>30</v>
          </cell>
          <cell r="E531">
            <v>43444</v>
          </cell>
          <cell r="F531">
            <v>43480</v>
          </cell>
        </row>
        <row r="532">
          <cell r="B532" t="str">
            <v>IICC-EXT-150</v>
          </cell>
          <cell r="C532" t="str">
            <v>Earthwork</v>
          </cell>
          <cell r="D532">
            <v>21</v>
          </cell>
          <cell r="E532">
            <v>43452</v>
          </cell>
          <cell r="F532">
            <v>43811</v>
          </cell>
        </row>
        <row r="533">
          <cell r="B533" t="str">
            <v>IICC-EXT-170</v>
          </cell>
          <cell r="C533" t="str">
            <v>Foundation works</v>
          </cell>
          <cell r="D533">
            <v>15</v>
          </cell>
          <cell r="E533">
            <v>43811</v>
          </cell>
          <cell r="F533">
            <v>43495</v>
          </cell>
        </row>
        <row r="534">
          <cell r="B534" t="str">
            <v>IICC-EXT-210</v>
          </cell>
          <cell r="C534" t="str">
            <v>Concreting works (B2)</v>
          </cell>
          <cell r="D534">
            <v>24</v>
          </cell>
          <cell r="E534">
            <v>43495</v>
          </cell>
          <cell r="F534">
            <v>43523</v>
          </cell>
        </row>
        <row r="535">
          <cell r="B535" t="str">
            <v>IICC-EXT-240</v>
          </cell>
          <cell r="C535" t="str">
            <v>Concreting works (B1)</v>
          </cell>
          <cell r="D535">
            <v>18</v>
          </cell>
          <cell r="E535">
            <v>43523</v>
          </cell>
          <cell r="F535">
            <v>43544</v>
          </cell>
        </row>
        <row r="536">
          <cell r="B536" t="str">
            <v>IICC-EXT-290</v>
          </cell>
          <cell r="C536" t="str">
            <v>Laying of pipes</v>
          </cell>
          <cell r="D536">
            <v>30</v>
          </cell>
          <cell r="E536">
            <v>43544</v>
          </cell>
          <cell r="F536">
            <v>43579</v>
          </cell>
        </row>
        <row r="537">
          <cell r="B537" t="str">
            <v>IICC-EXT-140</v>
          </cell>
          <cell r="C537" t="str">
            <v>Earthwork</v>
          </cell>
          <cell r="D537">
            <v>21</v>
          </cell>
          <cell r="E537">
            <v>43446</v>
          </cell>
          <cell r="F537">
            <v>43470</v>
          </cell>
        </row>
        <row r="538">
          <cell r="B538" t="str">
            <v>IICC-EXT-160</v>
          </cell>
          <cell r="C538" t="str">
            <v>Foundation works</v>
          </cell>
          <cell r="D538">
            <v>15</v>
          </cell>
          <cell r="E538">
            <v>43472</v>
          </cell>
          <cell r="F538">
            <v>43488</v>
          </cell>
        </row>
        <row r="539">
          <cell r="B539" t="str">
            <v>IICC-EXT-190</v>
          </cell>
          <cell r="C539" t="str">
            <v>concreting works (B1)</v>
          </cell>
          <cell r="D539">
            <v>18</v>
          </cell>
          <cell r="E539">
            <v>43489</v>
          </cell>
          <cell r="F539">
            <v>43509</v>
          </cell>
        </row>
        <row r="540">
          <cell r="B540" t="str">
            <v>IICC-EXT-220</v>
          </cell>
          <cell r="C540" t="str">
            <v>Laying of pipes</v>
          </cell>
          <cell r="D540">
            <v>30</v>
          </cell>
          <cell r="E540">
            <v>43510</v>
          </cell>
          <cell r="F540">
            <v>43544</v>
          </cell>
        </row>
        <row r="541">
          <cell r="B541" t="str">
            <v>IICC-EXT-200</v>
          </cell>
          <cell r="C541" t="str">
            <v>Earthwork</v>
          </cell>
          <cell r="D541">
            <v>71</v>
          </cell>
          <cell r="E541">
            <v>43489</v>
          </cell>
          <cell r="F541">
            <v>43512</v>
          </cell>
        </row>
        <row r="542">
          <cell r="B542" t="str">
            <v>IICC-EXT-230</v>
          </cell>
          <cell r="C542" t="str">
            <v>Foundation works</v>
          </cell>
          <cell r="D542">
            <v>15</v>
          </cell>
          <cell r="E542">
            <v>43514</v>
          </cell>
          <cell r="F542">
            <v>43530</v>
          </cell>
        </row>
        <row r="543">
          <cell r="B543" t="str">
            <v>IICC-EXT-260</v>
          </cell>
          <cell r="C543" t="str">
            <v>concreting works (B1)</v>
          </cell>
          <cell r="D543">
            <v>18</v>
          </cell>
          <cell r="E543">
            <v>43531</v>
          </cell>
          <cell r="F543">
            <v>43551</v>
          </cell>
        </row>
        <row r="544">
          <cell r="B544" t="str">
            <v>IICC-EXT-300</v>
          </cell>
          <cell r="C544" t="str">
            <v>Laying of pipes</v>
          </cell>
          <cell r="D544">
            <v>30</v>
          </cell>
          <cell r="E544">
            <v>43552</v>
          </cell>
          <cell r="F544">
            <v>43525</v>
          </cell>
        </row>
        <row r="545">
          <cell r="B545" t="str">
            <v>IICC-EXT-280</v>
          </cell>
          <cell r="C545" t="str">
            <v>Installation of solid waste system</v>
          </cell>
          <cell r="D545">
            <v>75</v>
          </cell>
          <cell r="E545">
            <v>43539</v>
          </cell>
          <cell r="F545">
            <v>43627</v>
          </cell>
        </row>
        <row r="546">
          <cell r="B546" t="str">
            <v>IICC-EXT-310</v>
          </cell>
          <cell r="C546" t="str">
            <v>installation of DG sets</v>
          </cell>
          <cell r="D546">
            <v>75</v>
          </cell>
          <cell r="E546">
            <v>43563</v>
          </cell>
          <cell r="F546">
            <v>43649</v>
          </cell>
        </row>
        <row r="547">
          <cell r="B547" t="str">
            <v>IICC-EXT-320</v>
          </cell>
          <cell r="C547" t="str">
            <v>installation of STP</v>
          </cell>
          <cell r="D547">
            <v>60</v>
          </cell>
          <cell r="E547">
            <v>43584</v>
          </cell>
          <cell r="F547">
            <v>43652</v>
          </cell>
        </row>
        <row r="548">
          <cell r="B548" t="str">
            <v>IICC-EXT-330</v>
          </cell>
          <cell r="C548" t="str">
            <v>installation of transformers, HT panels</v>
          </cell>
          <cell r="D548">
            <v>75</v>
          </cell>
          <cell r="E548">
            <v>43591</v>
          </cell>
          <cell r="F548">
            <v>43677</v>
          </cell>
        </row>
        <row r="549">
          <cell r="B549" t="str">
            <v>IICC-EXT-340</v>
          </cell>
          <cell r="C549" t="str">
            <v>power on date</v>
          </cell>
          <cell r="D549">
            <v>0</v>
          </cell>
          <cell r="F549">
            <v>43690</v>
          </cell>
        </row>
        <row r="550">
          <cell r="B550" t="str">
            <v>IICC-TC-10</v>
          </cell>
          <cell r="C550" t="str">
            <v>integrated testing &amp; commissioning</v>
          </cell>
          <cell r="D550">
            <v>75</v>
          </cell>
          <cell r="E550">
            <v>43697</v>
          </cell>
          <cell r="F550">
            <v>43770</v>
          </cell>
        </row>
        <row r="551">
          <cell r="B551" t="str">
            <v>IICC-HO-10</v>
          </cell>
          <cell r="C551" t="str">
            <v>Handover</v>
          </cell>
          <cell r="D551">
            <v>0</v>
          </cell>
          <cell r="F551">
            <v>43770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00"/>
      <sheetName val="제출내역 (2)"/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6공구(당초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E7:L35"/>
  <sheetViews>
    <sheetView tabSelected="1" view="pageBreakPreview" zoomScale="60" zoomScaleNormal="100" workbookViewId="0">
      <selection activeCell="F21" sqref="F21"/>
    </sheetView>
  </sheetViews>
  <sheetFormatPr defaultRowHeight="14.4" x14ac:dyDescent="0.3"/>
  <cols>
    <col min="5" max="5" width="31.109375" customWidth="1"/>
    <col min="6" max="6" width="11.33203125" customWidth="1"/>
    <col min="8" max="8" width="11.44140625" customWidth="1"/>
    <col min="9" max="9" width="11.33203125" customWidth="1"/>
    <col min="10" max="10" width="12.109375" customWidth="1"/>
    <col min="11" max="11" width="10.33203125" hidden="1" customWidth="1"/>
    <col min="12" max="12" width="14.88671875" customWidth="1"/>
  </cols>
  <sheetData>
    <row r="7" spans="5:12" hidden="1" x14ac:dyDescent="0.3">
      <c r="E7" s="12" t="s">
        <v>88</v>
      </c>
      <c r="F7" s="13"/>
      <c r="G7" s="13"/>
      <c r="H7" s="13"/>
      <c r="I7" s="13"/>
      <c r="J7" s="13"/>
      <c r="K7" s="13"/>
      <c r="L7" s="14"/>
    </row>
    <row r="8" spans="5:12" hidden="1" x14ac:dyDescent="0.3">
      <c r="E8" s="15" t="s">
        <v>50</v>
      </c>
      <c r="F8" s="15" t="s">
        <v>49</v>
      </c>
      <c r="G8" s="16" t="s">
        <v>0</v>
      </c>
      <c r="H8" s="16" t="s">
        <v>1</v>
      </c>
      <c r="I8" s="16" t="s">
        <v>2</v>
      </c>
      <c r="J8" s="16" t="s">
        <v>3</v>
      </c>
      <c r="K8" s="16" t="s">
        <v>14</v>
      </c>
      <c r="L8" s="15" t="s">
        <v>46</v>
      </c>
    </row>
    <row r="9" spans="5:12" hidden="1" x14ac:dyDescent="0.3">
      <c r="E9" s="1" t="s">
        <v>98</v>
      </c>
      <c r="F9" s="1">
        <v>157.46</v>
      </c>
      <c r="G9" s="1">
        <v>157.46</v>
      </c>
      <c r="H9" s="1"/>
      <c r="I9" s="1"/>
      <c r="J9" s="1"/>
      <c r="K9" s="1"/>
      <c r="L9" s="1"/>
    </row>
    <row r="10" spans="5:12" hidden="1" x14ac:dyDescent="0.3">
      <c r="E10" s="1" t="s">
        <v>99</v>
      </c>
      <c r="F10" s="1">
        <v>197</v>
      </c>
      <c r="G10" s="1"/>
      <c r="H10" s="1">
        <v>197</v>
      </c>
      <c r="I10" s="1"/>
      <c r="J10" s="1"/>
      <c r="K10" s="1"/>
      <c r="L10" s="1"/>
    </row>
    <row r="11" spans="5:12" hidden="1" x14ac:dyDescent="0.3">
      <c r="E11" s="1" t="s">
        <v>102</v>
      </c>
      <c r="F11" s="1">
        <v>20</v>
      </c>
      <c r="G11" s="1"/>
      <c r="H11" s="1">
        <v>20</v>
      </c>
      <c r="I11" s="1"/>
      <c r="J11" s="1"/>
      <c r="K11" s="1"/>
      <c r="L11" s="1"/>
    </row>
    <row r="12" spans="5:12" hidden="1" x14ac:dyDescent="0.3">
      <c r="E12" s="1" t="s">
        <v>100</v>
      </c>
      <c r="F12" s="1">
        <v>258</v>
      </c>
      <c r="G12" s="1"/>
      <c r="H12" s="1"/>
      <c r="I12" s="1">
        <v>258</v>
      </c>
      <c r="J12" s="1"/>
      <c r="K12" s="1"/>
      <c r="L12" s="1"/>
    </row>
    <row r="13" spans="5:12" hidden="1" x14ac:dyDescent="0.3">
      <c r="E13" s="1" t="s">
        <v>102</v>
      </c>
      <c r="F13" s="1">
        <v>14</v>
      </c>
      <c r="G13" s="1"/>
      <c r="H13" s="1"/>
      <c r="I13" s="1">
        <v>14</v>
      </c>
      <c r="J13" s="1"/>
      <c r="K13" s="1"/>
      <c r="L13" s="1"/>
    </row>
    <row r="14" spans="5:12" hidden="1" x14ac:dyDescent="0.3">
      <c r="E14" s="1" t="s">
        <v>101</v>
      </c>
      <c r="F14" s="1">
        <v>140</v>
      </c>
      <c r="G14" s="1"/>
      <c r="H14" s="1"/>
      <c r="I14" s="1"/>
      <c r="J14" s="1">
        <v>140</v>
      </c>
      <c r="K14" s="1"/>
      <c r="L14" s="1"/>
    </row>
    <row r="15" spans="5:12" hidden="1" x14ac:dyDescent="0.3">
      <c r="E15" s="1" t="s">
        <v>103</v>
      </c>
      <c r="F15" s="1">
        <v>22</v>
      </c>
      <c r="G15" s="1"/>
      <c r="H15" s="1"/>
      <c r="I15" s="1"/>
      <c r="J15" s="1">
        <v>22</v>
      </c>
      <c r="K15" s="1"/>
      <c r="L15" s="1"/>
    </row>
    <row r="16" spans="5:12" hidden="1" x14ac:dyDescent="0.3">
      <c r="F16">
        <f>SUM(F9:F15)</f>
        <v>808.46</v>
      </c>
    </row>
    <row r="18" spans="5:12" ht="36.6" x14ac:dyDescent="0.7">
      <c r="E18" s="56" t="s">
        <v>104</v>
      </c>
      <c r="F18" s="13" t="s">
        <v>134</v>
      </c>
      <c r="G18" s="13"/>
      <c r="H18" s="13"/>
      <c r="I18" s="13"/>
      <c r="J18" s="13"/>
      <c r="K18" s="13"/>
      <c r="L18" s="52" t="s">
        <v>135</v>
      </c>
    </row>
    <row r="19" spans="5:12" x14ac:dyDescent="0.3">
      <c r="E19" s="15" t="s">
        <v>50</v>
      </c>
      <c r="F19" s="15" t="s">
        <v>49</v>
      </c>
      <c r="G19" s="16" t="s">
        <v>0</v>
      </c>
      <c r="H19" s="16" t="s">
        <v>1</v>
      </c>
      <c r="I19" s="16" t="s">
        <v>2</v>
      </c>
      <c r="J19" s="16" t="s">
        <v>3</v>
      </c>
      <c r="K19" s="16" t="s">
        <v>14</v>
      </c>
      <c r="L19" s="15" t="s">
        <v>46</v>
      </c>
    </row>
    <row r="20" spans="5:12" x14ac:dyDescent="0.3">
      <c r="E20" s="1" t="s">
        <v>105</v>
      </c>
      <c r="F20" s="1">
        <v>12.75</v>
      </c>
      <c r="G20" s="1">
        <v>12.75</v>
      </c>
      <c r="H20" s="1"/>
      <c r="I20" s="1"/>
      <c r="J20" s="1"/>
      <c r="K20" s="1"/>
      <c r="L20" s="1"/>
    </row>
    <row r="21" spans="5:12" x14ac:dyDescent="0.3">
      <c r="E21" s="1" t="s">
        <v>106</v>
      </c>
      <c r="F21" s="1">
        <v>40</v>
      </c>
      <c r="G21" s="1"/>
      <c r="H21" s="1">
        <v>40</v>
      </c>
      <c r="I21" s="1"/>
      <c r="J21" s="1"/>
      <c r="K21" s="1"/>
      <c r="L21" s="1"/>
    </row>
    <row r="22" spans="5:12" x14ac:dyDescent="0.3">
      <c r="E22" s="7" t="s">
        <v>110</v>
      </c>
      <c r="F22" s="1">
        <f>SUM(G22:K22)</f>
        <v>144</v>
      </c>
      <c r="G22" s="1"/>
      <c r="H22" s="1"/>
      <c r="I22" s="1">
        <v>72</v>
      </c>
      <c r="J22" s="1">
        <v>72</v>
      </c>
      <c r="K22" s="1"/>
      <c r="L22" s="1"/>
    </row>
    <row r="23" spans="5:12" ht="15.6" x14ac:dyDescent="0.3">
      <c r="E23" s="21"/>
      <c r="F23" s="20">
        <f t="shared" ref="F23:K23" si="0">SUM(F20:F22)</f>
        <v>196.75</v>
      </c>
      <c r="G23" s="11">
        <f t="shared" si="0"/>
        <v>12.75</v>
      </c>
      <c r="H23" s="11">
        <f t="shared" si="0"/>
        <v>40</v>
      </c>
      <c r="I23" s="11">
        <f t="shared" si="0"/>
        <v>72</v>
      </c>
      <c r="J23" s="11">
        <f t="shared" si="0"/>
        <v>72</v>
      </c>
      <c r="K23" s="11">
        <f t="shared" si="0"/>
        <v>0</v>
      </c>
      <c r="L23" s="20">
        <f>SUM(G23:K23)</f>
        <v>196.75</v>
      </c>
    </row>
    <row r="25" spans="5:12" ht="36.6" x14ac:dyDescent="0.7">
      <c r="E25" s="56" t="s">
        <v>107</v>
      </c>
      <c r="F25" s="13" t="s">
        <v>134</v>
      </c>
      <c r="G25" s="13"/>
      <c r="H25" s="13"/>
      <c r="I25" s="13"/>
      <c r="J25" s="13"/>
      <c r="K25" s="13"/>
      <c r="L25" s="52" t="s">
        <v>136</v>
      </c>
    </row>
    <row r="26" spans="5:12" x14ac:dyDescent="0.3">
      <c r="E26" s="15" t="s">
        <v>50</v>
      </c>
      <c r="F26" s="15" t="s">
        <v>49</v>
      </c>
      <c r="G26" s="16" t="s">
        <v>0</v>
      </c>
      <c r="H26" s="16" t="s">
        <v>1</v>
      </c>
      <c r="I26" s="16" t="s">
        <v>2</v>
      </c>
      <c r="J26" s="16" t="s">
        <v>3</v>
      </c>
      <c r="K26" s="16" t="s">
        <v>14</v>
      </c>
      <c r="L26" s="15" t="s">
        <v>46</v>
      </c>
    </row>
    <row r="27" spans="5:12" x14ac:dyDescent="0.3">
      <c r="E27" s="1" t="s">
        <v>109</v>
      </c>
      <c r="F27" s="1">
        <f>SUM(G27:J27)</f>
        <v>990</v>
      </c>
      <c r="G27" s="1">
        <v>350</v>
      </c>
      <c r="H27" s="1">
        <v>350</v>
      </c>
      <c r="I27" s="1">
        <v>150</v>
      </c>
      <c r="J27" s="1">
        <v>140</v>
      </c>
      <c r="K27" s="1"/>
      <c r="L27" s="1"/>
    </row>
    <row r="28" spans="5:12" x14ac:dyDescent="0.3">
      <c r="E28" s="1" t="s">
        <v>108</v>
      </c>
      <c r="F28" s="1">
        <f>SUM(G28:J28)</f>
        <v>380</v>
      </c>
      <c r="G28" s="1"/>
      <c r="H28" s="1">
        <v>80</v>
      </c>
      <c r="I28" s="1">
        <v>100</v>
      </c>
      <c r="J28" s="1">
        <v>200</v>
      </c>
      <c r="K28" s="1"/>
      <c r="L28" s="1"/>
    </row>
    <row r="29" spans="5:12" ht="15.6" x14ac:dyDescent="0.3">
      <c r="E29" s="4"/>
      <c r="F29" s="20">
        <f t="shared" ref="F29:K29" si="1">SUM(F27:F28)</f>
        <v>1370</v>
      </c>
      <c r="G29" s="11">
        <f t="shared" si="1"/>
        <v>350</v>
      </c>
      <c r="H29" s="11">
        <f t="shared" si="1"/>
        <v>430</v>
      </c>
      <c r="I29" s="11">
        <f t="shared" si="1"/>
        <v>250</v>
      </c>
      <c r="J29" s="11">
        <f t="shared" si="1"/>
        <v>340</v>
      </c>
      <c r="K29" s="11">
        <f t="shared" si="1"/>
        <v>0</v>
      </c>
      <c r="L29" s="20">
        <f>SUM(G29:K29)</f>
        <v>1370</v>
      </c>
    </row>
    <row r="31" spans="5:12" ht="31.2" x14ac:dyDescent="0.6">
      <c r="E31" s="55" t="s">
        <v>88</v>
      </c>
      <c r="F31" s="13" t="s">
        <v>134</v>
      </c>
      <c r="G31" s="13"/>
      <c r="H31" s="13"/>
      <c r="I31" s="13"/>
      <c r="J31" s="13"/>
      <c r="K31" s="13"/>
      <c r="L31" s="52" t="s">
        <v>137</v>
      </c>
    </row>
    <row r="32" spans="5:12" x14ac:dyDescent="0.3">
      <c r="E32" s="15" t="s">
        <v>50</v>
      </c>
      <c r="F32" s="15" t="s">
        <v>49</v>
      </c>
      <c r="G32" s="16" t="s">
        <v>0</v>
      </c>
      <c r="H32" s="16" t="s">
        <v>1</v>
      </c>
      <c r="I32" s="16" t="s">
        <v>2</v>
      </c>
      <c r="J32" s="16" t="s">
        <v>3</v>
      </c>
      <c r="K32" s="16" t="s">
        <v>14</v>
      </c>
      <c r="L32" s="15" t="s">
        <v>46</v>
      </c>
    </row>
    <row r="33" spans="5:12" x14ac:dyDescent="0.3">
      <c r="E33" s="1" t="s">
        <v>27</v>
      </c>
      <c r="F33" s="1">
        <f>SUM(G33:J33)</f>
        <v>752.46</v>
      </c>
      <c r="G33" s="1">
        <v>157.46</v>
      </c>
      <c r="H33" s="1">
        <v>197</v>
      </c>
      <c r="I33" s="1">
        <v>258</v>
      </c>
      <c r="J33" s="1">
        <v>140</v>
      </c>
      <c r="K33" s="1"/>
      <c r="L33" s="1"/>
    </row>
    <row r="34" spans="5:12" x14ac:dyDescent="0.3">
      <c r="E34" s="1" t="s">
        <v>102</v>
      </c>
      <c r="F34" s="1">
        <f>SUM(G34:J34)</f>
        <v>56</v>
      </c>
      <c r="G34" s="1"/>
      <c r="H34" s="1">
        <v>20</v>
      </c>
      <c r="I34" s="1">
        <v>14</v>
      </c>
      <c r="J34" s="1">
        <v>22</v>
      </c>
      <c r="K34" s="1"/>
      <c r="L34" s="1"/>
    </row>
    <row r="35" spans="5:12" ht="15.6" x14ac:dyDescent="0.3">
      <c r="F35" s="20">
        <f t="shared" ref="F35:K35" si="2">SUM(F33:F34)</f>
        <v>808.46</v>
      </c>
      <c r="G35" s="5">
        <f t="shared" si="2"/>
        <v>157.46</v>
      </c>
      <c r="H35" s="5">
        <f t="shared" si="2"/>
        <v>217</v>
      </c>
      <c r="I35" s="5">
        <f t="shared" si="2"/>
        <v>272</v>
      </c>
      <c r="J35" s="5">
        <f t="shared" si="2"/>
        <v>162</v>
      </c>
      <c r="K35" s="5">
        <f t="shared" si="2"/>
        <v>0</v>
      </c>
      <c r="L35" s="20">
        <f>SUM(G35:K35)</f>
        <v>808.46</v>
      </c>
    </row>
  </sheetData>
  <printOptions horizontalCentered="1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7:N58"/>
  <sheetViews>
    <sheetView view="pageBreakPreview" zoomScale="60" zoomScaleNormal="100" workbookViewId="0">
      <selection activeCell="B46" sqref="B46"/>
    </sheetView>
  </sheetViews>
  <sheetFormatPr defaultRowHeight="14.4" x14ac:dyDescent="0.3"/>
  <cols>
    <col min="2" max="2" width="22.44140625" customWidth="1"/>
    <col min="3" max="3" width="28.44140625" customWidth="1"/>
    <col min="4" max="5" width="17.109375" customWidth="1"/>
    <col min="7" max="7" width="11.44140625" customWidth="1"/>
    <col min="10" max="12" width="10.5546875" customWidth="1"/>
    <col min="14" max="14" width="23.44140625" customWidth="1"/>
  </cols>
  <sheetData>
    <row r="7" spans="2:14" ht="36.6" x14ac:dyDescent="0.7">
      <c r="B7" s="12"/>
      <c r="C7" s="53" t="s">
        <v>212</v>
      </c>
      <c r="D7" s="13"/>
      <c r="E7" s="13"/>
      <c r="F7" s="13"/>
      <c r="G7" s="13" t="s">
        <v>127</v>
      </c>
      <c r="H7" s="13"/>
      <c r="I7" s="13"/>
      <c r="J7" s="13" t="s">
        <v>128</v>
      </c>
      <c r="K7" s="13"/>
      <c r="L7" s="14"/>
    </row>
    <row r="8" spans="2:14" x14ac:dyDescent="0.3">
      <c r="B8" s="22"/>
      <c r="C8" s="22" t="s">
        <v>50</v>
      </c>
      <c r="D8" s="22" t="s">
        <v>210</v>
      </c>
      <c r="E8" s="22" t="s">
        <v>211</v>
      </c>
      <c r="F8" s="22" t="s">
        <v>49</v>
      </c>
      <c r="G8" s="23" t="s">
        <v>0</v>
      </c>
      <c r="H8" s="23" t="s">
        <v>1</v>
      </c>
      <c r="I8" s="23" t="s">
        <v>2</v>
      </c>
      <c r="J8" s="23" t="s">
        <v>3</v>
      </c>
      <c r="K8" s="23" t="s">
        <v>14</v>
      </c>
      <c r="L8" s="22" t="s">
        <v>46</v>
      </c>
    </row>
    <row r="9" spans="2:14" x14ac:dyDescent="0.3">
      <c r="B9" s="1"/>
      <c r="C9" s="1" t="s">
        <v>55</v>
      </c>
      <c r="D9" s="31">
        <v>43316</v>
      </c>
      <c r="E9" s="31">
        <v>43316</v>
      </c>
      <c r="F9" s="1">
        <f>G9+H9+I9+J9+K9</f>
        <v>265</v>
      </c>
      <c r="G9" s="1">
        <v>265</v>
      </c>
      <c r="H9" s="1"/>
      <c r="I9" s="1"/>
      <c r="J9" s="1"/>
      <c r="K9" s="1"/>
      <c r="L9" s="1"/>
    </row>
    <row r="10" spans="2:14" x14ac:dyDescent="0.3">
      <c r="B10" s="1"/>
      <c r="C10" s="1" t="s">
        <v>54</v>
      </c>
      <c r="D10" s="1"/>
      <c r="E10" s="1"/>
      <c r="F10" s="1">
        <f t="shared" ref="F10:F22" si="0">G10+H10+I10+J10+K10</f>
        <v>576</v>
      </c>
      <c r="G10" s="1"/>
      <c r="H10" s="1">
        <v>576</v>
      </c>
      <c r="I10" s="1"/>
      <c r="J10" s="1"/>
      <c r="K10" s="1"/>
      <c r="L10" s="1"/>
    </row>
    <row r="11" spans="2:14" x14ac:dyDescent="0.3">
      <c r="B11" s="1"/>
      <c r="C11" s="1" t="s">
        <v>53</v>
      </c>
      <c r="D11" s="1"/>
      <c r="E11" s="1"/>
      <c r="F11" s="1">
        <f t="shared" si="0"/>
        <v>265</v>
      </c>
      <c r="G11" s="1"/>
      <c r="H11" s="1">
        <v>265</v>
      </c>
      <c r="I11" s="1"/>
      <c r="J11" s="1"/>
      <c r="K11" s="1"/>
      <c r="L11" s="1"/>
      <c r="N11" s="51" t="s">
        <v>97</v>
      </c>
    </row>
    <row r="12" spans="2:14" x14ac:dyDescent="0.3">
      <c r="B12" s="1"/>
      <c r="C12" s="1" t="s">
        <v>56</v>
      </c>
      <c r="D12" s="1"/>
      <c r="E12" s="1"/>
      <c r="F12" s="1">
        <f t="shared" si="0"/>
        <v>365.75</v>
      </c>
      <c r="G12" s="1"/>
      <c r="H12" s="6">
        <v>87.78</v>
      </c>
      <c r="I12" s="1">
        <f>263.34+14.63</f>
        <v>277.96999999999997</v>
      </c>
      <c r="J12" s="1"/>
      <c r="K12" s="1"/>
      <c r="L12" s="1"/>
      <c r="N12" s="51"/>
    </row>
    <row r="13" spans="2:14" x14ac:dyDescent="0.3">
      <c r="B13" s="1"/>
      <c r="C13" s="1" t="s">
        <v>57</v>
      </c>
      <c r="D13" s="1"/>
      <c r="E13" s="1"/>
      <c r="F13" s="1">
        <f t="shared" si="0"/>
        <v>175.56</v>
      </c>
      <c r="G13" s="1"/>
      <c r="H13" s="1"/>
      <c r="I13" s="6">
        <v>131.66999999999999</v>
      </c>
      <c r="J13" s="1">
        <v>43.89</v>
      </c>
      <c r="K13" s="1"/>
      <c r="L13" s="1"/>
      <c r="N13" s="51"/>
    </row>
    <row r="14" spans="2:14" x14ac:dyDescent="0.3">
      <c r="B14" s="1"/>
      <c r="C14" s="1" t="s">
        <v>58</v>
      </c>
      <c r="D14" s="1"/>
      <c r="E14" s="1"/>
      <c r="F14" s="1">
        <f t="shared" si="0"/>
        <v>323</v>
      </c>
      <c r="G14" s="1"/>
      <c r="H14" s="1"/>
      <c r="I14" s="1"/>
      <c r="J14" s="1"/>
      <c r="K14" s="1">
        <v>323</v>
      </c>
      <c r="L14" s="1"/>
      <c r="N14" s="51"/>
    </row>
    <row r="15" spans="2:14" x14ac:dyDescent="0.3">
      <c r="B15" s="1"/>
      <c r="C15" s="1" t="s">
        <v>94</v>
      </c>
      <c r="D15" s="1"/>
      <c r="E15" s="1"/>
      <c r="F15" s="1">
        <f t="shared" si="0"/>
        <v>56.457000000000001</v>
      </c>
      <c r="G15" s="1"/>
      <c r="H15" s="6">
        <v>56.457000000000001</v>
      </c>
      <c r="I15" s="1"/>
      <c r="J15" s="1"/>
      <c r="K15" s="1"/>
      <c r="L15" s="1"/>
    </row>
    <row r="16" spans="2:14" x14ac:dyDescent="0.3">
      <c r="B16" s="1"/>
      <c r="C16" s="1" t="s">
        <v>95</v>
      </c>
      <c r="D16" s="1"/>
      <c r="E16" s="1"/>
      <c r="F16" s="1">
        <f t="shared" si="0"/>
        <v>56.457000000000001</v>
      </c>
      <c r="G16" s="1"/>
      <c r="H16" s="6">
        <v>56.457000000000001</v>
      </c>
      <c r="I16" s="1"/>
      <c r="J16" s="1"/>
      <c r="K16" s="1"/>
      <c r="L16" s="1"/>
    </row>
    <row r="17" spans="2:12" x14ac:dyDescent="0.3">
      <c r="B17" s="1"/>
      <c r="C17" s="1" t="s">
        <v>89</v>
      </c>
      <c r="D17" s="1"/>
      <c r="E17" s="1"/>
      <c r="F17" s="1">
        <f t="shared" si="0"/>
        <v>21.6</v>
      </c>
      <c r="G17" s="1"/>
      <c r="H17" s="1"/>
      <c r="I17" s="6">
        <v>21.6</v>
      </c>
      <c r="J17" s="1"/>
      <c r="K17" s="1"/>
      <c r="L17" s="1"/>
    </row>
    <row r="18" spans="2:12" x14ac:dyDescent="0.3">
      <c r="B18" s="1"/>
      <c r="C18" s="1" t="s">
        <v>90</v>
      </c>
      <c r="D18" s="1"/>
      <c r="E18" s="1"/>
      <c r="F18" s="1">
        <f t="shared" si="0"/>
        <v>10.8</v>
      </c>
      <c r="G18" s="1"/>
      <c r="H18" s="1"/>
      <c r="I18" s="6">
        <v>10.8</v>
      </c>
      <c r="J18" s="1"/>
      <c r="K18" s="1"/>
      <c r="L18" s="1"/>
    </row>
    <row r="19" spans="2:12" x14ac:dyDescent="0.3">
      <c r="B19" s="1"/>
      <c r="C19" s="1" t="s">
        <v>91</v>
      </c>
      <c r="D19" s="1"/>
      <c r="E19" s="1"/>
      <c r="F19" s="1">
        <f t="shared" si="0"/>
        <v>72</v>
      </c>
      <c r="G19" s="1"/>
      <c r="H19" s="1"/>
      <c r="I19" s="1"/>
      <c r="J19" s="6">
        <v>72</v>
      </c>
      <c r="K19" s="1"/>
      <c r="L19" s="1"/>
    </row>
    <row r="20" spans="2:12" x14ac:dyDescent="0.3">
      <c r="B20" s="1"/>
      <c r="C20" s="1" t="s">
        <v>96</v>
      </c>
      <c r="D20" s="1"/>
      <c r="E20" s="1"/>
      <c r="F20" s="1">
        <f t="shared" si="0"/>
        <v>457.38</v>
      </c>
      <c r="G20" s="1"/>
      <c r="H20" s="1"/>
      <c r="I20" s="1"/>
      <c r="J20" s="6">
        <v>457.38</v>
      </c>
      <c r="K20" s="1"/>
      <c r="L20" s="1"/>
    </row>
    <row r="21" spans="2:12" x14ac:dyDescent="0.3">
      <c r="B21" s="1"/>
      <c r="C21" s="1" t="s">
        <v>93</v>
      </c>
      <c r="D21" s="1"/>
      <c r="E21" s="1"/>
      <c r="F21" s="1">
        <f t="shared" si="0"/>
        <v>90.944999999999993</v>
      </c>
      <c r="G21" s="1"/>
      <c r="H21" s="1"/>
      <c r="I21" s="1"/>
      <c r="J21" s="6">
        <v>90.944999999999993</v>
      </c>
      <c r="K21" s="1"/>
      <c r="L21" s="1"/>
    </row>
    <row r="22" spans="2:12" x14ac:dyDescent="0.3">
      <c r="B22" s="1"/>
      <c r="C22" s="1" t="s">
        <v>92</v>
      </c>
      <c r="D22" s="1"/>
      <c r="E22" s="1"/>
      <c r="F22" s="1">
        <f t="shared" si="0"/>
        <v>650</v>
      </c>
      <c r="G22" s="1"/>
      <c r="H22" s="1"/>
      <c r="I22" s="1"/>
      <c r="J22" s="6">
        <v>325</v>
      </c>
      <c r="K22" s="6">
        <v>325</v>
      </c>
      <c r="L22" s="1"/>
    </row>
    <row r="23" spans="2:12" ht="18" x14ac:dyDescent="0.35">
      <c r="B23" s="1"/>
      <c r="C23" s="1"/>
      <c r="D23" s="1"/>
      <c r="E23" s="1"/>
      <c r="F23" s="8">
        <f t="shared" ref="F23:K23" si="1">SUM(F9:F22)</f>
        <v>3385.9490000000005</v>
      </c>
      <c r="G23" s="5">
        <f t="shared" si="1"/>
        <v>265</v>
      </c>
      <c r="H23" s="5">
        <f t="shared" si="1"/>
        <v>1041.694</v>
      </c>
      <c r="I23" s="5">
        <f t="shared" si="1"/>
        <v>442.04</v>
      </c>
      <c r="J23" s="5">
        <f t="shared" si="1"/>
        <v>989.21499999999992</v>
      </c>
      <c r="K23" s="5">
        <f t="shared" si="1"/>
        <v>648</v>
      </c>
      <c r="L23" s="8">
        <f>SUM(G23:K23)</f>
        <v>3385.9489999999996</v>
      </c>
    </row>
    <row r="24" spans="2:12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2:12" ht="36.6" x14ac:dyDescent="0.7">
      <c r="B25" s="19"/>
      <c r="C25" s="54" t="s">
        <v>213</v>
      </c>
      <c r="D25" s="19"/>
      <c r="E25" s="19"/>
      <c r="F25" s="19"/>
      <c r="G25" s="13" t="s">
        <v>127</v>
      </c>
      <c r="H25" s="19"/>
      <c r="I25" s="19"/>
      <c r="J25" s="13" t="s">
        <v>129</v>
      </c>
      <c r="K25" s="19"/>
      <c r="L25" s="19"/>
    </row>
    <row r="26" spans="2:12" x14ac:dyDescent="0.3">
      <c r="B26" s="15"/>
      <c r="C26" s="15" t="s">
        <v>50</v>
      </c>
      <c r="D26" s="15"/>
      <c r="E26" s="15"/>
      <c r="F26" s="15" t="s">
        <v>49</v>
      </c>
      <c r="G26" s="16" t="s">
        <v>0</v>
      </c>
      <c r="H26" s="16" t="s">
        <v>1</v>
      </c>
      <c r="I26" s="16" t="s">
        <v>2</v>
      </c>
      <c r="J26" s="16" t="s">
        <v>3</v>
      </c>
      <c r="K26" s="16" t="s">
        <v>14</v>
      </c>
      <c r="L26" s="15" t="s">
        <v>46</v>
      </c>
    </row>
    <row r="27" spans="2:12" x14ac:dyDescent="0.3">
      <c r="B27" s="1" t="s">
        <v>60</v>
      </c>
      <c r="C27" s="1" t="s">
        <v>61</v>
      </c>
      <c r="D27" s="1"/>
      <c r="E27" s="1"/>
      <c r="F27" s="1">
        <v>180</v>
      </c>
      <c r="G27" s="1">
        <v>180</v>
      </c>
      <c r="H27" s="1"/>
      <c r="I27" s="1"/>
      <c r="J27" s="1"/>
      <c r="K27" s="1"/>
      <c r="L27" s="1"/>
    </row>
    <row r="28" spans="2:12" x14ac:dyDescent="0.3">
      <c r="B28" s="1" t="s">
        <v>62</v>
      </c>
      <c r="C28" s="1" t="s">
        <v>63</v>
      </c>
      <c r="D28" s="1"/>
      <c r="E28" s="1"/>
      <c r="F28" s="1">
        <v>381.98</v>
      </c>
      <c r="G28" s="1">
        <v>381.98</v>
      </c>
      <c r="H28" s="1"/>
      <c r="I28" s="1"/>
      <c r="J28" s="1"/>
      <c r="K28" s="1"/>
      <c r="L28" s="1"/>
    </row>
    <row r="29" spans="2:12" x14ac:dyDescent="0.3">
      <c r="B29" s="1" t="s">
        <v>64</v>
      </c>
      <c r="C29" s="1" t="s">
        <v>65</v>
      </c>
      <c r="D29" s="1"/>
      <c r="E29" s="1"/>
      <c r="F29" s="1">
        <v>40</v>
      </c>
      <c r="G29" s="1">
        <v>40</v>
      </c>
      <c r="H29" s="1"/>
      <c r="I29" s="1"/>
      <c r="J29" s="1"/>
      <c r="K29" s="1"/>
      <c r="L29" s="1"/>
    </row>
    <row r="30" spans="2:12" x14ac:dyDescent="0.3">
      <c r="B30" s="1" t="s">
        <v>66</v>
      </c>
      <c r="C30" s="1" t="s">
        <v>67</v>
      </c>
      <c r="D30" s="1"/>
      <c r="E30" s="1"/>
      <c r="F30" s="1">
        <v>33.950000000000003</v>
      </c>
      <c r="G30" s="1"/>
      <c r="H30" s="1">
        <v>33.950000000000003</v>
      </c>
      <c r="I30" s="1"/>
      <c r="J30" s="1"/>
      <c r="K30" s="1"/>
      <c r="L30" s="1"/>
    </row>
    <row r="31" spans="2:12" x14ac:dyDescent="0.3">
      <c r="B31" s="1" t="s">
        <v>66</v>
      </c>
      <c r="C31" s="1" t="s">
        <v>68</v>
      </c>
      <c r="D31" s="1"/>
      <c r="E31" s="1"/>
      <c r="F31" s="1">
        <v>48.28</v>
      </c>
      <c r="G31" s="1"/>
      <c r="H31" s="1">
        <v>48.28</v>
      </c>
      <c r="I31" s="1"/>
      <c r="J31" s="1"/>
      <c r="K31" s="1"/>
      <c r="L31" s="1"/>
    </row>
    <row r="32" spans="2:12" x14ac:dyDescent="0.3">
      <c r="B32" s="1" t="s">
        <v>69</v>
      </c>
      <c r="C32" s="1" t="s">
        <v>70</v>
      </c>
      <c r="D32" s="1"/>
      <c r="E32" s="1"/>
      <c r="F32" s="1">
        <v>156.25</v>
      </c>
      <c r="G32" s="1"/>
      <c r="H32" s="1">
        <v>156.25</v>
      </c>
      <c r="I32" s="1"/>
      <c r="J32" s="1"/>
      <c r="K32" s="1"/>
      <c r="L32" s="1"/>
    </row>
    <row r="33" spans="2:12" x14ac:dyDescent="0.3">
      <c r="B33" s="1" t="s">
        <v>71</v>
      </c>
      <c r="C33" s="1" t="s">
        <v>67</v>
      </c>
      <c r="D33" s="1"/>
      <c r="E33" s="1"/>
      <c r="F33" s="1">
        <v>27.16</v>
      </c>
      <c r="G33" s="1"/>
      <c r="H33" s="1">
        <v>27.16</v>
      </c>
      <c r="I33" s="1"/>
      <c r="J33" s="1"/>
      <c r="K33" s="1"/>
      <c r="L33" s="1"/>
    </row>
    <row r="34" spans="2:12" x14ac:dyDescent="0.3">
      <c r="B34" s="1" t="s">
        <v>71</v>
      </c>
      <c r="C34" s="1" t="s">
        <v>68</v>
      </c>
      <c r="D34" s="1"/>
      <c r="E34" s="1"/>
      <c r="F34" s="1">
        <v>28.97</v>
      </c>
      <c r="G34" s="1"/>
      <c r="H34" s="1">
        <v>28.97</v>
      </c>
      <c r="I34" s="1"/>
      <c r="J34" s="1"/>
      <c r="K34" s="1"/>
      <c r="L34" s="1"/>
    </row>
    <row r="35" spans="2:12" x14ac:dyDescent="0.3">
      <c r="B35" s="1" t="s">
        <v>71</v>
      </c>
      <c r="C35" s="1" t="s">
        <v>72</v>
      </c>
      <c r="D35" s="1"/>
      <c r="E35" s="1"/>
      <c r="F35" s="1">
        <v>14.4</v>
      </c>
      <c r="G35" s="1"/>
      <c r="H35" s="1">
        <v>14.4</v>
      </c>
      <c r="I35" s="1"/>
      <c r="J35" s="1"/>
      <c r="K35" s="1"/>
      <c r="L35" s="1"/>
    </row>
    <row r="36" spans="2:12" x14ac:dyDescent="0.3">
      <c r="B36" s="1" t="s">
        <v>64</v>
      </c>
      <c r="C36" s="1" t="s">
        <v>73</v>
      </c>
      <c r="D36" s="1"/>
      <c r="E36" s="1"/>
      <c r="F36" s="1">
        <v>14.2</v>
      </c>
      <c r="G36" s="1"/>
      <c r="H36" s="1">
        <v>14.2</v>
      </c>
      <c r="I36" s="1"/>
      <c r="J36" s="1"/>
      <c r="K36" s="1"/>
      <c r="L36" s="1"/>
    </row>
    <row r="37" spans="2:12" x14ac:dyDescent="0.3">
      <c r="B37" s="1" t="s">
        <v>74</v>
      </c>
      <c r="C37" s="1" t="s">
        <v>73</v>
      </c>
      <c r="D37" s="1"/>
      <c r="E37" s="1"/>
      <c r="F37" s="1">
        <v>11.36</v>
      </c>
      <c r="G37" s="1"/>
      <c r="H37" s="1">
        <v>11.36</v>
      </c>
      <c r="I37" s="1"/>
      <c r="J37" s="1"/>
      <c r="K37" s="1"/>
      <c r="L37" s="1"/>
    </row>
    <row r="38" spans="2:12" x14ac:dyDescent="0.3">
      <c r="B38" s="1" t="s">
        <v>74</v>
      </c>
      <c r="C38" s="1" t="s">
        <v>72</v>
      </c>
      <c r="D38" s="1"/>
      <c r="E38" s="1"/>
      <c r="F38" s="1">
        <v>43.2</v>
      </c>
      <c r="G38" s="1"/>
      <c r="H38" s="1">
        <v>43.2</v>
      </c>
      <c r="I38" s="1"/>
      <c r="J38" s="1"/>
      <c r="K38" s="1"/>
      <c r="L38" s="1"/>
    </row>
    <row r="39" spans="2:12" x14ac:dyDescent="0.3">
      <c r="B39" s="1"/>
      <c r="C39" s="1" t="s">
        <v>138</v>
      </c>
      <c r="D39" s="1"/>
      <c r="E39" s="1"/>
      <c r="F39" s="1">
        <v>700</v>
      </c>
      <c r="G39" s="1"/>
      <c r="H39" s="6">
        <v>700</v>
      </c>
      <c r="I39" s="1"/>
      <c r="J39" s="1"/>
      <c r="K39" s="1"/>
      <c r="L39" s="1"/>
    </row>
    <row r="40" spans="2:12" x14ac:dyDescent="0.3">
      <c r="B40" s="1" t="s">
        <v>75</v>
      </c>
      <c r="C40" s="1" t="s">
        <v>76</v>
      </c>
      <c r="D40" s="1"/>
      <c r="E40" s="1"/>
      <c r="F40" s="1">
        <v>156.25</v>
      </c>
      <c r="G40" s="1"/>
      <c r="H40" s="1"/>
      <c r="I40" s="1">
        <v>156.25</v>
      </c>
      <c r="J40" s="1"/>
      <c r="K40" s="1"/>
      <c r="L40" s="1"/>
    </row>
    <row r="41" spans="2:12" x14ac:dyDescent="0.3">
      <c r="B41" s="1" t="s">
        <v>64</v>
      </c>
      <c r="C41" s="1" t="s">
        <v>68</v>
      </c>
      <c r="D41" s="1"/>
      <c r="E41" s="1"/>
      <c r="F41" s="1">
        <v>19.309999999999999</v>
      </c>
      <c r="G41" s="1"/>
      <c r="H41" s="1"/>
      <c r="I41" s="1">
        <v>19.309999999999999</v>
      </c>
      <c r="J41" s="1"/>
      <c r="K41" s="1"/>
      <c r="L41" s="1"/>
    </row>
    <row r="42" spans="2:12" x14ac:dyDescent="0.3">
      <c r="B42" s="1"/>
      <c r="C42" s="1" t="s">
        <v>139</v>
      </c>
      <c r="D42" s="1"/>
      <c r="E42" s="1"/>
      <c r="F42" s="1">
        <v>399</v>
      </c>
      <c r="G42" s="1"/>
      <c r="H42" s="1"/>
      <c r="I42" s="6">
        <v>399</v>
      </c>
      <c r="J42" s="1"/>
      <c r="K42" s="1"/>
      <c r="L42" s="1"/>
    </row>
    <row r="43" spans="2:12" x14ac:dyDescent="0.3">
      <c r="B43" s="1"/>
      <c r="C43" s="1" t="s">
        <v>58</v>
      </c>
      <c r="D43" s="1"/>
      <c r="E43" s="1"/>
      <c r="F43" s="1">
        <v>56</v>
      </c>
      <c r="G43" s="1"/>
      <c r="H43" s="1"/>
      <c r="I43" s="6">
        <v>56</v>
      </c>
      <c r="J43" s="1"/>
      <c r="K43" s="1"/>
      <c r="L43" s="1"/>
    </row>
    <row r="44" spans="2:12" x14ac:dyDescent="0.3">
      <c r="B44" s="1" t="s">
        <v>77</v>
      </c>
      <c r="C44" s="1" t="s">
        <v>78</v>
      </c>
      <c r="D44" s="1"/>
      <c r="E44" s="1"/>
      <c r="F44" s="1">
        <v>380</v>
      </c>
      <c r="G44" s="1"/>
      <c r="H44" s="1"/>
      <c r="I44" s="1"/>
      <c r="J44" s="1">
        <v>380</v>
      </c>
      <c r="K44" s="1"/>
      <c r="L44" s="1"/>
    </row>
    <row r="45" spans="2:12" x14ac:dyDescent="0.3">
      <c r="B45" s="1" t="s">
        <v>74</v>
      </c>
      <c r="C45" s="1" t="s">
        <v>79</v>
      </c>
      <c r="D45" s="1"/>
      <c r="E45" s="1"/>
      <c r="F45" s="1">
        <v>28.97</v>
      </c>
      <c r="G45" s="1"/>
      <c r="H45" s="1"/>
      <c r="I45" s="1"/>
      <c r="J45" s="1">
        <v>28.97</v>
      </c>
      <c r="K45" s="1"/>
      <c r="L45" s="1"/>
    </row>
    <row r="46" spans="2:12" x14ac:dyDescent="0.3">
      <c r="B46" s="1" t="s">
        <v>80</v>
      </c>
      <c r="C46" s="1" t="s">
        <v>81</v>
      </c>
      <c r="D46" s="1"/>
      <c r="E46" s="1"/>
      <c r="F46" s="1">
        <v>335.75</v>
      </c>
      <c r="G46" s="1"/>
      <c r="H46" s="1"/>
      <c r="I46" s="1"/>
      <c r="J46" s="1">
        <v>335.75</v>
      </c>
      <c r="K46" s="1"/>
      <c r="L46" s="1"/>
    </row>
    <row r="47" spans="2:12" x14ac:dyDescent="0.3">
      <c r="B47" s="1" t="s">
        <v>80</v>
      </c>
      <c r="C47" s="1" t="s">
        <v>82</v>
      </c>
      <c r="D47" s="1"/>
      <c r="E47" s="1"/>
      <c r="F47" s="1">
        <v>16.98</v>
      </c>
      <c r="G47" s="1"/>
      <c r="H47" s="1"/>
      <c r="I47" s="1"/>
      <c r="J47" s="1">
        <v>16.98</v>
      </c>
      <c r="K47" s="1"/>
      <c r="L47" s="1"/>
    </row>
    <row r="48" spans="2:12" x14ac:dyDescent="0.3">
      <c r="B48" s="1" t="s">
        <v>80</v>
      </c>
      <c r="C48" s="1" t="s">
        <v>83</v>
      </c>
      <c r="D48" s="1"/>
      <c r="E48" s="1"/>
      <c r="F48" s="1">
        <v>43.2</v>
      </c>
      <c r="G48" s="1"/>
      <c r="H48" s="1"/>
      <c r="I48" s="1"/>
      <c r="J48" s="1">
        <v>43.2</v>
      </c>
      <c r="K48" s="1"/>
      <c r="L48" s="1"/>
    </row>
    <row r="49" spans="2:12" x14ac:dyDescent="0.3">
      <c r="B49" s="1" t="s">
        <v>80</v>
      </c>
      <c r="C49" s="1" t="s">
        <v>84</v>
      </c>
      <c r="D49" s="1"/>
      <c r="E49" s="1"/>
      <c r="F49" s="1">
        <v>49</v>
      </c>
      <c r="G49" s="1"/>
      <c r="H49" s="1"/>
      <c r="I49" s="1"/>
      <c r="J49" s="1">
        <v>49</v>
      </c>
      <c r="K49" s="1"/>
      <c r="L49" s="1"/>
    </row>
    <row r="50" spans="2:12" x14ac:dyDescent="0.3">
      <c r="B50" s="1"/>
      <c r="C50" s="1" t="s">
        <v>140</v>
      </c>
      <c r="D50" s="1"/>
      <c r="E50" s="1"/>
      <c r="F50" s="1">
        <v>600</v>
      </c>
      <c r="G50" s="1"/>
      <c r="H50" s="1"/>
      <c r="I50" s="1"/>
      <c r="J50" s="6">
        <v>600</v>
      </c>
      <c r="K50" s="1"/>
      <c r="L50" s="1"/>
    </row>
    <row r="51" spans="2:12" x14ac:dyDescent="0.3">
      <c r="B51" s="1" t="s">
        <v>80</v>
      </c>
      <c r="C51" s="1" t="s">
        <v>85</v>
      </c>
      <c r="D51" s="1"/>
      <c r="E51" s="1"/>
      <c r="F51" s="1">
        <v>268</v>
      </c>
      <c r="G51" s="1"/>
      <c r="H51" s="1"/>
      <c r="I51" s="1"/>
      <c r="J51" s="1"/>
      <c r="K51" s="1">
        <v>268</v>
      </c>
      <c r="L51" s="1"/>
    </row>
    <row r="52" spans="2:12" x14ac:dyDescent="0.3">
      <c r="B52" s="1" t="s">
        <v>80</v>
      </c>
      <c r="C52" s="1" t="s">
        <v>86</v>
      </c>
      <c r="D52" s="1"/>
      <c r="E52" s="1"/>
      <c r="F52" s="1">
        <v>268</v>
      </c>
      <c r="G52" s="1"/>
      <c r="H52" s="1"/>
      <c r="I52" s="1"/>
      <c r="J52" s="1"/>
      <c r="K52" s="1">
        <v>268</v>
      </c>
      <c r="L52" s="1"/>
    </row>
    <row r="53" spans="2:12" x14ac:dyDescent="0.3">
      <c r="B53" s="1" t="s">
        <v>80</v>
      </c>
      <c r="C53" s="1" t="s">
        <v>87</v>
      </c>
      <c r="D53" s="1"/>
      <c r="E53" s="1"/>
      <c r="F53" s="1">
        <v>26.97</v>
      </c>
      <c r="G53" s="1"/>
      <c r="H53" s="1"/>
      <c r="I53" s="1"/>
      <c r="J53" s="1"/>
      <c r="K53" s="1">
        <v>26.97</v>
      </c>
      <c r="L53" s="1"/>
    </row>
    <row r="54" spans="2:12" x14ac:dyDescent="0.3">
      <c r="B54" s="1" t="s">
        <v>80</v>
      </c>
      <c r="C54" s="1" t="s">
        <v>84</v>
      </c>
      <c r="D54" s="1"/>
      <c r="E54" s="1"/>
      <c r="F54" s="1">
        <v>147</v>
      </c>
      <c r="G54" s="1"/>
      <c r="H54" s="1"/>
      <c r="I54" s="1"/>
      <c r="J54" s="1"/>
      <c r="K54" s="1">
        <v>147</v>
      </c>
      <c r="L54" s="1"/>
    </row>
    <row r="55" spans="2:12" x14ac:dyDescent="0.3">
      <c r="B55" s="1" t="s">
        <v>80</v>
      </c>
      <c r="C55" s="1" t="s">
        <v>79</v>
      </c>
      <c r="D55" s="1"/>
      <c r="E55" s="1"/>
      <c r="F55" s="1">
        <v>38.630000000000003</v>
      </c>
      <c r="G55" s="1"/>
      <c r="H55" s="1"/>
      <c r="I55" s="1"/>
      <c r="J55" s="1"/>
      <c r="K55" s="1">
        <v>38.630000000000003</v>
      </c>
      <c r="L55" s="1"/>
    </row>
    <row r="56" spans="2:12" x14ac:dyDescent="0.3">
      <c r="B56" s="1" t="s">
        <v>80</v>
      </c>
      <c r="C56" s="1" t="s">
        <v>83</v>
      </c>
      <c r="D56" s="1"/>
      <c r="E56" s="1"/>
      <c r="F56" s="1">
        <v>21.6</v>
      </c>
      <c r="G56" s="1"/>
      <c r="H56" s="1"/>
      <c r="I56" s="1"/>
      <c r="J56" s="1"/>
      <c r="K56" s="1">
        <v>21.6</v>
      </c>
      <c r="L56" s="1"/>
    </row>
    <row r="57" spans="2:12" x14ac:dyDescent="0.3">
      <c r="B57" s="1"/>
      <c r="C57" s="1" t="s">
        <v>108</v>
      </c>
      <c r="D57" s="1"/>
      <c r="E57" s="1"/>
      <c r="F57" s="1">
        <v>900</v>
      </c>
      <c r="G57" s="1"/>
      <c r="H57" s="1"/>
      <c r="I57" s="1"/>
      <c r="J57" s="6">
        <v>300</v>
      </c>
      <c r="K57" s="6">
        <v>600</v>
      </c>
      <c r="L57" s="1"/>
    </row>
    <row r="58" spans="2:12" ht="18" x14ac:dyDescent="0.35">
      <c r="B58" s="1"/>
      <c r="C58" s="1"/>
      <c r="D58" s="1"/>
      <c r="E58" s="1"/>
      <c r="F58" s="8">
        <f t="shared" ref="F58:K58" si="2">SUM(F27:F57)</f>
        <v>5434.41</v>
      </c>
      <c r="G58" s="5">
        <f t="shared" si="2"/>
        <v>601.98</v>
      </c>
      <c r="H58" s="5">
        <f t="shared" si="2"/>
        <v>1077.77</v>
      </c>
      <c r="I58" s="5">
        <f t="shared" si="2"/>
        <v>630.55999999999995</v>
      </c>
      <c r="J58" s="5">
        <f t="shared" si="2"/>
        <v>1753.9</v>
      </c>
      <c r="K58" s="5">
        <f t="shared" si="2"/>
        <v>1370.2</v>
      </c>
      <c r="L58" s="24">
        <f>SUM(G58:K58)</f>
        <v>5434.41</v>
      </c>
    </row>
  </sheetData>
  <mergeCells count="1">
    <mergeCell ref="N11:N14"/>
  </mergeCells>
  <pageMargins left="0.7" right="0.7" top="0.75" bottom="0.75" header="0.3" footer="0.3"/>
  <pageSetup paperSize="9" scale="84" fitToHeight="0" orientation="landscape" r:id="rId1"/>
  <rowBreaks count="1" manualBreakCount="1">
    <brk id="24" min="1" max="1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E7:N47"/>
  <sheetViews>
    <sheetView view="pageBreakPreview" topLeftCell="A10" zoomScale="60" zoomScaleNormal="100" workbookViewId="0">
      <selection activeCell="G28" sqref="G28"/>
    </sheetView>
  </sheetViews>
  <sheetFormatPr defaultRowHeight="14.4" x14ac:dyDescent="0.3"/>
  <cols>
    <col min="5" max="5" width="44.33203125" customWidth="1"/>
    <col min="6" max="6" width="22.33203125" customWidth="1"/>
    <col min="7" max="7" width="22.88671875" customWidth="1"/>
    <col min="8" max="8" width="10" customWidth="1"/>
    <col min="9" max="9" width="14.109375" customWidth="1"/>
    <col min="10" max="10" width="13.6640625" customWidth="1"/>
    <col min="11" max="11" width="12" customWidth="1"/>
    <col min="12" max="12" width="14.5546875" customWidth="1"/>
    <col min="13" max="13" width="14.33203125" customWidth="1"/>
    <col min="14" max="14" width="14.5546875" customWidth="1"/>
  </cols>
  <sheetData>
    <row r="7" spans="5:14" ht="36.6" x14ac:dyDescent="0.7">
      <c r="E7" s="56" t="s">
        <v>52</v>
      </c>
      <c r="F7" s="13"/>
      <c r="G7" s="13"/>
      <c r="H7" s="13"/>
      <c r="I7" s="13" t="s">
        <v>130</v>
      </c>
      <c r="J7" s="13"/>
      <c r="K7" s="13"/>
      <c r="L7" s="13" t="s">
        <v>131</v>
      </c>
      <c r="M7" s="13"/>
      <c r="N7" s="14"/>
    </row>
    <row r="8" spans="5:14" x14ac:dyDescent="0.3">
      <c r="E8" s="15" t="s">
        <v>50</v>
      </c>
      <c r="F8" s="16" t="s">
        <v>210</v>
      </c>
      <c r="G8" s="16" t="s">
        <v>211</v>
      </c>
      <c r="H8" s="15" t="s">
        <v>49</v>
      </c>
      <c r="I8" s="17" t="s">
        <v>0</v>
      </c>
      <c r="J8" s="17" t="s">
        <v>1</v>
      </c>
      <c r="K8" s="17" t="s">
        <v>2</v>
      </c>
      <c r="L8" s="17" t="s">
        <v>3</v>
      </c>
      <c r="M8" s="17" t="s">
        <v>14</v>
      </c>
      <c r="N8" s="16" t="s">
        <v>46</v>
      </c>
    </row>
    <row r="9" spans="5:14" ht="16.05" customHeight="1" x14ac:dyDescent="0.3">
      <c r="E9" s="3" t="s">
        <v>4</v>
      </c>
      <c r="F9" s="3"/>
      <c r="G9" s="3"/>
      <c r="H9" s="3">
        <v>160</v>
      </c>
      <c r="I9" s="3">
        <v>160</v>
      </c>
      <c r="J9" s="3"/>
      <c r="K9" s="3"/>
      <c r="L9" s="3"/>
      <c r="M9" s="3"/>
      <c r="N9" s="3"/>
    </row>
    <row r="10" spans="5:14" ht="16.05" customHeight="1" x14ac:dyDescent="0.3">
      <c r="E10" s="1" t="s">
        <v>5</v>
      </c>
      <c r="F10" s="1"/>
      <c r="G10" s="1"/>
      <c r="H10" s="1">
        <v>265</v>
      </c>
      <c r="I10" s="1">
        <v>265</v>
      </c>
      <c r="J10" s="1"/>
      <c r="K10" s="1"/>
      <c r="L10" s="1"/>
      <c r="M10" s="1"/>
      <c r="N10" s="1"/>
    </row>
    <row r="11" spans="5:14" ht="16.05" customHeight="1" x14ac:dyDescent="0.3">
      <c r="E11" s="1" t="s">
        <v>6</v>
      </c>
      <c r="F11" s="1"/>
      <c r="G11" s="1"/>
      <c r="H11" s="1">
        <v>665</v>
      </c>
      <c r="I11" s="1">
        <v>665</v>
      </c>
      <c r="J11" s="1"/>
      <c r="K11" s="1"/>
      <c r="L11" s="1"/>
      <c r="M11" s="1"/>
      <c r="N11" s="1"/>
    </row>
    <row r="12" spans="5:14" ht="16.05" customHeight="1" x14ac:dyDescent="0.3">
      <c r="E12" s="1" t="s">
        <v>7</v>
      </c>
      <c r="F12" s="1"/>
      <c r="G12" s="1"/>
      <c r="H12" s="1">
        <v>665</v>
      </c>
      <c r="I12" s="1"/>
      <c r="J12" s="1">
        <v>665</v>
      </c>
      <c r="K12" s="1"/>
      <c r="L12" s="1"/>
      <c r="M12" s="1"/>
      <c r="N12" s="1"/>
    </row>
    <row r="13" spans="5:14" ht="16.05" customHeight="1" x14ac:dyDescent="0.3">
      <c r="E13" s="1" t="s">
        <v>8</v>
      </c>
      <c r="F13" s="1"/>
      <c r="G13" s="1"/>
      <c r="H13" s="1">
        <v>576</v>
      </c>
      <c r="I13" s="1"/>
      <c r="J13" s="1">
        <v>576</v>
      </c>
      <c r="K13" s="1"/>
      <c r="L13" s="1"/>
      <c r="M13" s="1"/>
      <c r="N13" s="1"/>
    </row>
    <row r="14" spans="5:14" ht="16.05" customHeight="1" x14ac:dyDescent="0.3">
      <c r="E14" s="1" t="s">
        <v>9</v>
      </c>
      <c r="F14" s="1"/>
      <c r="G14" s="1"/>
      <c r="H14" s="1">
        <v>46.5</v>
      </c>
      <c r="I14" s="1"/>
      <c r="J14" s="1"/>
      <c r="K14" s="1">
        <v>46.5</v>
      </c>
      <c r="L14" s="1"/>
      <c r="M14" s="1"/>
      <c r="N14" s="1"/>
    </row>
    <row r="15" spans="5:14" ht="16.05" customHeight="1" x14ac:dyDescent="0.3">
      <c r="E15" s="1" t="s">
        <v>4</v>
      </c>
      <c r="F15" s="1"/>
      <c r="G15" s="1"/>
      <c r="H15" s="1">
        <v>46.5</v>
      </c>
      <c r="I15" s="1"/>
      <c r="J15" s="1"/>
      <c r="K15" s="1">
        <v>46.5</v>
      </c>
      <c r="L15" s="1"/>
      <c r="M15" s="1"/>
      <c r="N15" s="1"/>
    </row>
    <row r="16" spans="5:14" ht="16.05" customHeight="1" x14ac:dyDescent="0.3">
      <c r="E16" s="1" t="s">
        <v>10</v>
      </c>
      <c r="F16" s="1"/>
      <c r="G16" s="1"/>
      <c r="H16" s="1">
        <v>576</v>
      </c>
      <c r="I16" s="1"/>
      <c r="J16" s="1"/>
      <c r="K16" s="1">
        <v>576</v>
      </c>
      <c r="L16" s="1"/>
      <c r="M16" s="1"/>
      <c r="N16" s="1"/>
    </row>
    <row r="17" spans="5:14" ht="16.05" customHeight="1" x14ac:dyDescent="0.3">
      <c r="E17" s="1" t="s">
        <v>11</v>
      </c>
      <c r="F17" s="1"/>
      <c r="G17" s="1"/>
      <c r="H17" s="1">
        <v>576</v>
      </c>
      <c r="I17" s="1"/>
      <c r="J17" s="1"/>
      <c r="K17" s="1">
        <v>576</v>
      </c>
      <c r="L17" s="1"/>
      <c r="M17" s="1"/>
      <c r="N17" s="1"/>
    </row>
    <row r="18" spans="5:14" ht="16.05" customHeight="1" x14ac:dyDescent="0.3">
      <c r="E18" s="1" t="s">
        <v>12</v>
      </c>
      <c r="F18" s="1"/>
      <c r="G18" s="1"/>
      <c r="H18" s="1">
        <v>470</v>
      </c>
      <c r="I18" s="1"/>
      <c r="J18" s="1"/>
      <c r="K18" s="1"/>
      <c r="L18" s="1">
        <v>470</v>
      </c>
      <c r="M18" s="1"/>
      <c r="N18" s="1"/>
    </row>
    <row r="19" spans="5:14" ht="16.05" customHeight="1" x14ac:dyDescent="0.3">
      <c r="E19" s="1" t="s">
        <v>4</v>
      </c>
      <c r="F19" s="1"/>
      <c r="G19" s="1"/>
      <c r="H19" s="1">
        <v>60</v>
      </c>
      <c r="I19" s="1"/>
      <c r="J19" s="1"/>
      <c r="K19" s="1"/>
      <c r="L19" s="1">
        <v>60</v>
      </c>
      <c r="M19" s="1"/>
      <c r="N19" s="1"/>
    </row>
    <row r="20" spans="5:14" ht="16.05" customHeight="1" x14ac:dyDescent="0.3">
      <c r="E20" s="1" t="s">
        <v>30</v>
      </c>
      <c r="F20" s="1"/>
      <c r="G20" s="1"/>
      <c r="H20" s="1">
        <v>70</v>
      </c>
      <c r="I20" s="1"/>
      <c r="J20" s="1"/>
      <c r="K20" s="1"/>
      <c r="L20" s="1">
        <v>70</v>
      </c>
      <c r="M20" s="1"/>
      <c r="N20" s="1"/>
    </row>
    <row r="21" spans="5:14" ht="16.05" customHeight="1" x14ac:dyDescent="0.3">
      <c r="E21" s="1" t="s">
        <v>13</v>
      </c>
      <c r="F21" s="1"/>
      <c r="G21" s="1"/>
      <c r="H21" s="1">
        <v>230</v>
      </c>
      <c r="I21" s="1"/>
      <c r="J21" s="1"/>
      <c r="K21" s="1"/>
      <c r="L21" s="1"/>
      <c r="M21" s="1">
        <v>230</v>
      </c>
      <c r="N21" s="1"/>
    </row>
    <row r="22" spans="5:14" ht="16.05" customHeight="1" x14ac:dyDescent="0.3">
      <c r="E22" s="1" t="s">
        <v>13</v>
      </c>
      <c r="F22" s="1"/>
      <c r="G22" s="1"/>
      <c r="H22" s="1">
        <v>330</v>
      </c>
      <c r="I22" s="1"/>
      <c r="J22" s="1"/>
      <c r="K22" s="1"/>
      <c r="L22" s="1"/>
      <c r="M22" s="1">
        <v>330</v>
      </c>
      <c r="N22" s="1"/>
    </row>
    <row r="23" spans="5:14" ht="16.05" customHeight="1" x14ac:dyDescent="0.3">
      <c r="E23" s="1" t="s">
        <v>30</v>
      </c>
      <c r="F23" s="1"/>
      <c r="G23" s="1"/>
      <c r="H23" s="1">
        <v>70</v>
      </c>
      <c r="I23" s="1"/>
      <c r="J23" s="1"/>
      <c r="K23" s="1"/>
      <c r="L23" s="1"/>
      <c r="M23" s="1">
        <v>70</v>
      </c>
      <c r="N23" s="1"/>
    </row>
    <row r="24" spans="5:14" ht="18" x14ac:dyDescent="0.35">
      <c r="E24" s="2"/>
      <c r="F24" s="2"/>
      <c r="G24" s="2"/>
      <c r="H24" s="9">
        <f t="shared" ref="H24:M24" si="0">SUM(H9:H23)</f>
        <v>4806</v>
      </c>
      <c r="I24" s="10">
        <f t="shared" si="0"/>
        <v>1090</v>
      </c>
      <c r="J24" s="10">
        <f t="shared" si="0"/>
        <v>1241</v>
      </c>
      <c r="K24" s="10">
        <f t="shared" si="0"/>
        <v>1245</v>
      </c>
      <c r="L24" s="10">
        <f t="shared" si="0"/>
        <v>600</v>
      </c>
      <c r="M24" s="10">
        <f t="shared" si="0"/>
        <v>630</v>
      </c>
      <c r="N24" s="25">
        <f>SUM(I24:M24)</f>
        <v>4806</v>
      </c>
    </row>
    <row r="25" spans="5:14" ht="36.6" x14ac:dyDescent="0.7">
      <c r="E25" s="56" t="s">
        <v>48</v>
      </c>
      <c r="F25" s="13"/>
      <c r="G25" s="13"/>
      <c r="H25" s="13"/>
      <c r="I25" s="13" t="s">
        <v>130</v>
      </c>
      <c r="J25" s="13"/>
      <c r="K25" s="13"/>
      <c r="L25" s="13" t="s">
        <v>132</v>
      </c>
      <c r="M25" s="13"/>
      <c r="N25" s="14"/>
    </row>
    <row r="26" spans="5:14" x14ac:dyDescent="0.3">
      <c r="E26" s="15" t="s">
        <v>50</v>
      </c>
      <c r="F26" s="15"/>
      <c r="G26" s="15"/>
      <c r="H26" s="15" t="s">
        <v>49</v>
      </c>
      <c r="I26" s="16" t="s">
        <v>0</v>
      </c>
      <c r="J26" s="16" t="s">
        <v>1</v>
      </c>
      <c r="K26" s="16" t="s">
        <v>2</v>
      </c>
      <c r="L26" s="16" t="s">
        <v>3</v>
      </c>
      <c r="M26" s="16" t="s">
        <v>14</v>
      </c>
      <c r="N26" s="15" t="s">
        <v>46</v>
      </c>
    </row>
    <row r="27" spans="5:14" x14ac:dyDescent="0.3">
      <c r="E27" s="3" t="s">
        <v>15</v>
      </c>
      <c r="F27" s="3"/>
      <c r="G27" s="3"/>
      <c r="H27" s="3">
        <v>77</v>
      </c>
      <c r="I27" s="3">
        <v>77</v>
      </c>
      <c r="J27" s="3"/>
      <c r="K27" s="3"/>
      <c r="L27" s="3"/>
      <c r="M27" s="3"/>
      <c r="N27" s="3"/>
    </row>
    <row r="28" spans="5:14" x14ac:dyDescent="0.3">
      <c r="E28" s="1" t="s">
        <v>16</v>
      </c>
      <c r="F28" s="1"/>
      <c r="G28" s="1"/>
      <c r="H28" s="1">
        <v>90</v>
      </c>
      <c r="I28" s="1">
        <v>90</v>
      </c>
      <c r="J28" s="1"/>
      <c r="K28" s="1"/>
      <c r="L28" s="1"/>
      <c r="M28" s="1"/>
      <c r="N28" s="1"/>
    </row>
    <row r="29" spans="5:14" x14ac:dyDescent="0.3">
      <c r="E29" s="1" t="s">
        <v>17</v>
      </c>
      <c r="F29" s="1"/>
      <c r="G29" s="1"/>
      <c r="H29" s="1">
        <v>132</v>
      </c>
      <c r="I29" s="1">
        <v>132</v>
      </c>
      <c r="J29" s="1"/>
      <c r="K29" s="1"/>
      <c r="L29" s="1"/>
      <c r="M29" s="1"/>
      <c r="N29" s="1"/>
    </row>
    <row r="30" spans="5:14" x14ac:dyDescent="0.3">
      <c r="E30" s="1" t="s">
        <v>18</v>
      </c>
      <c r="F30" s="1"/>
      <c r="G30" s="1"/>
      <c r="H30" s="1">
        <v>54</v>
      </c>
      <c r="I30" s="1">
        <v>54</v>
      </c>
      <c r="J30" s="1"/>
      <c r="K30" s="1"/>
      <c r="L30" s="1"/>
      <c r="M30" s="1"/>
      <c r="N30" s="1"/>
    </row>
    <row r="31" spans="5:14" x14ac:dyDescent="0.3">
      <c r="E31" s="1" t="s">
        <v>15</v>
      </c>
      <c r="F31" s="1"/>
      <c r="G31" s="1"/>
      <c r="H31" s="1">
        <v>128</v>
      </c>
      <c r="I31" s="1">
        <v>128</v>
      </c>
      <c r="J31" s="1"/>
      <c r="K31" s="1"/>
      <c r="L31" s="1"/>
      <c r="M31" s="1"/>
      <c r="N31" s="1"/>
    </row>
    <row r="32" spans="5:14" x14ac:dyDescent="0.3">
      <c r="E32" s="1" t="s">
        <v>19</v>
      </c>
      <c r="F32" s="1"/>
      <c r="G32" s="1"/>
      <c r="H32" s="1">
        <v>132</v>
      </c>
      <c r="I32" s="1"/>
      <c r="J32" s="1">
        <v>132</v>
      </c>
      <c r="K32" s="1"/>
      <c r="L32" s="1"/>
      <c r="M32" s="1"/>
      <c r="N32" s="1"/>
    </row>
    <row r="33" spans="5:14" x14ac:dyDescent="0.3">
      <c r="E33" s="1" t="s">
        <v>15</v>
      </c>
      <c r="F33" s="1"/>
      <c r="G33" s="1"/>
      <c r="H33" s="1">
        <v>448</v>
      </c>
      <c r="I33" s="1"/>
      <c r="J33" s="1">
        <v>448</v>
      </c>
      <c r="K33" s="1"/>
      <c r="L33" s="1"/>
      <c r="M33" s="1"/>
      <c r="N33" s="1"/>
    </row>
    <row r="34" spans="5:14" x14ac:dyDescent="0.3">
      <c r="E34" s="1" t="s">
        <v>20</v>
      </c>
      <c r="F34" s="1"/>
      <c r="G34" s="1"/>
      <c r="H34" s="1">
        <v>54</v>
      </c>
      <c r="I34" s="1"/>
      <c r="J34" s="1">
        <v>54</v>
      </c>
      <c r="K34" s="1"/>
      <c r="L34" s="1"/>
      <c r="M34" s="1"/>
      <c r="N34" s="1"/>
    </row>
    <row r="35" spans="5:14" x14ac:dyDescent="0.3">
      <c r="E35" s="1" t="s">
        <v>21</v>
      </c>
      <c r="F35" s="1"/>
      <c r="G35" s="1"/>
      <c r="H35" s="1">
        <v>63</v>
      </c>
      <c r="I35" s="1"/>
      <c r="J35" s="1">
        <v>63</v>
      </c>
      <c r="K35" s="1"/>
      <c r="L35" s="1"/>
      <c r="M35" s="1"/>
      <c r="N35" s="1"/>
    </row>
    <row r="36" spans="5:14" x14ac:dyDescent="0.3">
      <c r="E36" s="1" t="s">
        <v>22</v>
      </c>
      <c r="F36" s="1"/>
      <c r="G36" s="1"/>
      <c r="H36" s="1">
        <v>225</v>
      </c>
      <c r="I36" s="1"/>
      <c r="J36" s="1"/>
      <c r="K36" s="1">
        <v>225</v>
      </c>
      <c r="L36" s="1"/>
      <c r="M36" s="1"/>
      <c r="N36" s="1"/>
    </row>
    <row r="37" spans="5:14" x14ac:dyDescent="0.3">
      <c r="E37" s="1" t="s">
        <v>23</v>
      </c>
      <c r="F37" s="1"/>
      <c r="G37" s="1"/>
      <c r="H37" s="1">
        <v>421</v>
      </c>
      <c r="I37" s="1"/>
      <c r="J37" s="1"/>
      <c r="K37" s="1">
        <v>421</v>
      </c>
      <c r="L37" s="1"/>
      <c r="M37" s="1"/>
      <c r="N37" s="1"/>
    </row>
    <row r="38" spans="5:14" x14ac:dyDescent="0.3">
      <c r="E38" s="1" t="s">
        <v>24</v>
      </c>
      <c r="F38" s="1"/>
      <c r="G38" s="1"/>
      <c r="H38" s="1">
        <v>224</v>
      </c>
      <c r="I38" s="1"/>
      <c r="J38" s="1"/>
      <c r="K38" s="1">
        <v>224</v>
      </c>
      <c r="L38" s="1"/>
      <c r="M38" s="1"/>
      <c r="N38" s="1"/>
    </row>
    <row r="39" spans="5:14" x14ac:dyDescent="0.3">
      <c r="E39" s="1" t="s">
        <v>25</v>
      </c>
      <c r="F39" s="1"/>
      <c r="G39" s="1"/>
      <c r="H39" s="1">
        <v>368</v>
      </c>
      <c r="I39" s="1"/>
      <c r="J39" s="1"/>
      <c r="K39" s="1"/>
      <c r="L39" s="1">
        <v>368</v>
      </c>
      <c r="M39" s="1"/>
      <c r="N39" s="1"/>
    </row>
    <row r="40" spans="5:14" x14ac:dyDescent="0.3">
      <c r="E40" s="1" t="s">
        <v>26</v>
      </c>
      <c r="F40" s="1"/>
      <c r="G40" s="1"/>
      <c r="H40" s="1">
        <v>300</v>
      </c>
      <c r="I40" s="1"/>
      <c r="J40" s="1"/>
      <c r="K40" s="1"/>
      <c r="L40" s="1">
        <v>300</v>
      </c>
      <c r="M40" s="1"/>
      <c r="N40" s="1"/>
    </row>
    <row r="41" spans="5:14" x14ac:dyDescent="0.3">
      <c r="E41" s="1" t="s">
        <v>27</v>
      </c>
      <c r="F41" s="1"/>
      <c r="G41" s="1"/>
      <c r="H41" s="1">
        <v>252</v>
      </c>
      <c r="I41" s="1"/>
      <c r="J41" s="1"/>
      <c r="K41" s="1"/>
      <c r="L41" s="1">
        <v>252</v>
      </c>
      <c r="M41" s="1"/>
      <c r="N41" s="1"/>
    </row>
    <row r="42" spans="5:14" x14ac:dyDescent="0.3">
      <c r="E42" s="1" t="s">
        <v>24</v>
      </c>
      <c r="F42" s="1"/>
      <c r="G42" s="1"/>
      <c r="H42" s="1">
        <v>179.20000000000002</v>
      </c>
      <c r="I42" s="1"/>
      <c r="J42" s="1"/>
      <c r="K42" s="1"/>
      <c r="L42" s="1">
        <v>179.20000000000002</v>
      </c>
      <c r="M42" s="1"/>
      <c r="N42" s="1"/>
    </row>
    <row r="43" spans="5:14" x14ac:dyDescent="0.3">
      <c r="E43" s="1" t="s">
        <v>28</v>
      </c>
      <c r="F43" s="1"/>
      <c r="G43" s="1"/>
      <c r="H43" s="1">
        <v>210</v>
      </c>
      <c r="I43" s="1"/>
      <c r="J43" s="1"/>
      <c r="K43" s="1"/>
      <c r="L43" s="1"/>
      <c r="M43" s="1">
        <v>210</v>
      </c>
      <c r="N43" s="1"/>
    </row>
    <row r="44" spans="5:14" x14ac:dyDescent="0.3">
      <c r="E44" s="1" t="s">
        <v>29</v>
      </c>
      <c r="F44" s="1"/>
      <c r="G44" s="1"/>
      <c r="H44" s="1">
        <v>210</v>
      </c>
      <c r="I44" s="1"/>
      <c r="J44" s="1"/>
      <c r="K44" s="1"/>
      <c r="L44" s="1"/>
      <c r="M44" s="1">
        <v>210</v>
      </c>
      <c r="N44" s="1"/>
    </row>
    <row r="45" spans="5:14" x14ac:dyDescent="0.3">
      <c r="E45" s="1" t="s">
        <v>24</v>
      </c>
      <c r="F45" s="1"/>
      <c r="G45" s="1"/>
      <c r="H45" s="1">
        <v>128</v>
      </c>
      <c r="I45" s="1"/>
      <c r="J45" s="1"/>
      <c r="K45" s="1"/>
      <c r="L45" s="1"/>
      <c r="M45" s="1">
        <v>128</v>
      </c>
      <c r="N45" s="1"/>
    </row>
    <row r="46" spans="5:14" ht="18" x14ac:dyDescent="0.35">
      <c r="E46" s="1"/>
      <c r="F46" s="1"/>
      <c r="G46" s="1"/>
      <c r="H46" s="8">
        <f t="shared" ref="H46:M46" si="1">SUM(H27:H45)</f>
        <v>3695.2</v>
      </c>
      <c r="I46" s="11">
        <f t="shared" si="1"/>
        <v>481</v>
      </c>
      <c r="J46" s="11">
        <f t="shared" si="1"/>
        <v>697</v>
      </c>
      <c r="K46" s="11">
        <f t="shared" si="1"/>
        <v>870</v>
      </c>
      <c r="L46" s="11">
        <f t="shared" si="1"/>
        <v>1099.2</v>
      </c>
      <c r="M46" s="11">
        <f t="shared" si="1"/>
        <v>548</v>
      </c>
      <c r="N46" s="20">
        <f>SUM(I46:M46)</f>
        <v>3695.2</v>
      </c>
    </row>
    <row r="47" spans="5:14" x14ac:dyDescent="0.3">
      <c r="H47">
        <f>H46+H24</f>
        <v>8501.2000000000007</v>
      </c>
    </row>
  </sheetData>
  <pageMargins left="0.7" right="0.7" top="0.75" bottom="0.75" header="0.3" footer="0.3"/>
  <pageSetup paperSize="9" scale="71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2:BA80"/>
  <sheetViews>
    <sheetView view="pageBreakPreview" zoomScale="60" zoomScaleNormal="100" workbookViewId="0">
      <selection activeCell="B38" sqref="B38"/>
    </sheetView>
  </sheetViews>
  <sheetFormatPr defaultRowHeight="14.4" x14ac:dyDescent="0.3"/>
  <cols>
    <col min="1" max="1" width="14.109375" customWidth="1"/>
    <col min="2" max="2" width="47.5546875" customWidth="1"/>
    <col min="3" max="3" width="12" bestFit="1" customWidth="1"/>
    <col min="4" max="4" width="9.44140625" customWidth="1"/>
    <col min="5" max="15" width="14.109375" customWidth="1"/>
  </cols>
  <sheetData>
    <row r="2" spans="2:53" x14ac:dyDescent="0.3">
      <c r="L2" s="47">
        <v>43313</v>
      </c>
    </row>
    <row r="6" spans="2:53" ht="36.6" x14ac:dyDescent="0.7">
      <c r="B6" s="56" t="s">
        <v>51</v>
      </c>
      <c r="C6" s="13"/>
      <c r="D6" s="13"/>
      <c r="E6" s="13"/>
      <c r="F6" s="13" t="s">
        <v>125</v>
      </c>
      <c r="G6" s="13"/>
      <c r="H6" s="13"/>
      <c r="I6" s="13"/>
      <c r="J6" s="13" t="s">
        <v>126</v>
      </c>
      <c r="K6" s="13"/>
      <c r="L6" s="14"/>
      <c r="N6">
        <v>30</v>
      </c>
    </row>
    <row r="7" spans="2:53" x14ac:dyDescent="0.3">
      <c r="B7" s="15" t="s">
        <v>50</v>
      </c>
      <c r="C7" s="16" t="s">
        <v>187</v>
      </c>
      <c r="D7" s="16" t="s">
        <v>188</v>
      </c>
      <c r="E7" s="15" t="s">
        <v>49</v>
      </c>
      <c r="F7" s="17" t="s">
        <v>0</v>
      </c>
      <c r="G7" s="17"/>
      <c r="H7" s="17" t="s">
        <v>1</v>
      </c>
      <c r="I7" s="17" t="s">
        <v>2</v>
      </c>
      <c r="J7" s="17" t="s">
        <v>3</v>
      </c>
      <c r="K7" s="17" t="s">
        <v>14</v>
      </c>
      <c r="L7" s="17" t="s">
        <v>31</v>
      </c>
      <c r="N7" s="47">
        <v>43313</v>
      </c>
      <c r="O7" s="47">
        <f>N7+$N$6</f>
        <v>43343</v>
      </c>
      <c r="P7" s="47">
        <f t="shared" ref="P7:AS7" si="0">O7+$N$6</f>
        <v>43373</v>
      </c>
      <c r="Q7" s="47">
        <f t="shared" si="0"/>
        <v>43403</v>
      </c>
      <c r="R7" s="47">
        <f t="shared" si="0"/>
        <v>43433</v>
      </c>
      <c r="S7" s="47">
        <f t="shared" si="0"/>
        <v>43463</v>
      </c>
      <c r="T7" s="47">
        <f t="shared" si="0"/>
        <v>43493</v>
      </c>
      <c r="U7" s="47">
        <f t="shared" si="0"/>
        <v>43523</v>
      </c>
      <c r="V7" s="47">
        <f t="shared" si="0"/>
        <v>43553</v>
      </c>
      <c r="W7" s="47">
        <f t="shared" si="0"/>
        <v>43583</v>
      </c>
      <c r="X7" s="47">
        <f t="shared" si="0"/>
        <v>43613</v>
      </c>
      <c r="Y7" s="47">
        <f t="shared" si="0"/>
        <v>43643</v>
      </c>
      <c r="Z7" s="47">
        <f t="shared" si="0"/>
        <v>43673</v>
      </c>
      <c r="AA7" s="47">
        <f t="shared" si="0"/>
        <v>43703</v>
      </c>
      <c r="AB7" s="47">
        <f t="shared" si="0"/>
        <v>43733</v>
      </c>
      <c r="AC7" s="47">
        <f t="shared" si="0"/>
        <v>43763</v>
      </c>
      <c r="AD7" s="47">
        <f t="shared" si="0"/>
        <v>43793</v>
      </c>
      <c r="AE7" s="47">
        <f t="shared" si="0"/>
        <v>43823</v>
      </c>
      <c r="AF7" s="47">
        <f t="shared" si="0"/>
        <v>43853</v>
      </c>
      <c r="AG7" s="47">
        <f t="shared" si="0"/>
        <v>43883</v>
      </c>
      <c r="AH7" s="47">
        <f t="shared" si="0"/>
        <v>43913</v>
      </c>
      <c r="AI7" s="47">
        <f t="shared" si="0"/>
        <v>43943</v>
      </c>
      <c r="AJ7" s="47">
        <f t="shared" si="0"/>
        <v>43973</v>
      </c>
      <c r="AK7" s="47">
        <f t="shared" si="0"/>
        <v>44003</v>
      </c>
      <c r="AL7" s="47">
        <f t="shared" si="0"/>
        <v>44033</v>
      </c>
      <c r="AM7" s="47">
        <f t="shared" si="0"/>
        <v>44063</v>
      </c>
      <c r="AN7" s="47">
        <f t="shared" si="0"/>
        <v>44093</v>
      </c>
      <c r="AO7" s="47">
        <f t="shared" si="0"/>
        <v>44123</v>
      </c>
      <c r="AP7" s="47">
        <f t="shared" si="0"/>
        <v>44153</v>
      </c>
      <c r="AQ7" s="47">
        <f t="shared" si="0"/>
        <v>44183</v>
      </c>
      <c r="AR7" s="47">
        <f t="shared" si="0"/>
        <v>44213</v>
      </c>
      <c r="AS7" s="47">
        <f t="shared" si="0"/>
        <v>44243</v>
      </c>
      <c r="AT7" s="47"/>
      <c r="AU7" s="47"/>
      <c r="AV7" s="47"/>
      <c r="AW7" s="47"/>
      <c r="AX7" s="47"/>
      <c r="AY7" s="47"/>
      <c r="AZ7" s="47"/>
      <c r="BA7" s="47"/>
    </row>
    <row r="8" spans="2:53" x14ac:dyDescent="0.3">
      <c r="B8" s="1" t="s">
        <v>32</v>
      </c>
      <c r="C8" s="31">
        <v>43316</v>
      </c>
      <c r="D8" s="31">
        <f>C8</f>
        <v>43316</v>
      </c>
      <c r="E8" s="1">
        <v>473</v>
      </c>
      <c r="F8" s="1">
        <v>473</v>
      </c>
      <c r="G8" s="1"/>
      <c r="H8" s="1"/>
      <c r="I8" s="1"/>
      <c r="J8" s="1"/>
      <c r="K8" s="1"/>
      <c r="L8" s="1"/>
      <c r="N8">
        <f t="array" ref="N8:AR8">Barchart($C8,$D8,N$7,1,LOH)*$E8</f>
        <v>175483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2:53" x14ac:dyDescent="0.3">
      <c r="B9" s="1" t="s">
        <v>33</v>
      </c>
      <c r="C9" s="31">
        <v>43312</v>
      </c>
      <c r="D9" s="31">
        <f t="shared" ref="D9:D34" si="1">C9</f>
        <v>43312</v>
      </c>
      <c r="E9" s="1">
        <v>420</v>
      </c>
      <c r="F9" s="1">
        <v>420</v>
      </c>
      <c r="G9" s="1"/>
      <c r="H9" s="1"/>
      <c r="I9" s="1"/>
      <c r="J9" s="1"/>
      <c r="K9" s="1"/>
      <c r="L9" s="1"/>
    </row>
    <row r="10" spans="2:53" x14ac:dyDescent="0.3">
      <c r="B10" s="1" t="s">
        <v>34</v>
      </c>
      <c r="C10" s="6"/>
      <c r="D10" s="6">
        <f t="shared" si="1"/>
        <v>0</v>
      </c>
      <c r="E10" s="1">
        <v>1003</v>
      </c>
      <c r="F10" s="1"/>
      <c r="G10" s="1"/>
      <c r="H10" s="1">
        <v>1003</v>
      </c>
      <c r="I10" s="1"/>
      <c r="J10" s="1"/>
      <c r="K10" s="1"/>
      <c r="L10" s="1"/>
    </row>
    <row r="11" spans="2:53" x14ac:dyDescent="0.3">
      <c r="B11" s="35" t="s">
        <v>185</v>
      </c>
      <c r="C11" s="31">
        <v>43326</v>
      </c>
      <c r="D11" s="31">
        <f t="shared" si="1"/>
        <v>43326</v>
      </c>
      <c r="E11" s="32">
        <f>360/7*2</f>
        <v>102.85714285714286</v>
      </c>
      <c r="F11" s="1"/>
      <c r="G11" s="1"/>
      <c r="H11" s="1"/>
      <c r="I11" s="1"/>
      <c r="J11" s="1"/>
      <c r="K11" s="1"/>
      <c r="L11" s="1"/>
    </row>
    <row r="12" spans="2:53" x14ac:dyDescent="0.3">
      <c r="B12" s="33" t="s">
        <v>175</v>
      </c>
      <c r="C12" s="31">
        <v>43322</v>
      </c>
      <c r="D12" s="31">
        <f t="shared" si="1"/>
        <v>43322</v>
      </c>
      <c r="E12" s="32">
        <f>360/7*3</f>
        <v>154.28571428571428</v>
      </c>
      <c r="F12" s="1"/>
      <c r="G12" s="1"/>
      <c r="H12" s="1"/>
      <c r="I12" s="1"/>
      <c r="J12" s="1"/>
      <c r="K12" s="1"/>
      <c r="L12" s="1"/>
    </row>
    <row r="13" spans="2:53" x14ac:dyDescent="0.3">
      <c r="B13" s="33" t="s">
        <v>176</v>
      </c>
      <c r="C13" s="31">
        <v>43319</v>
      </c>
      <c r="D13" s="31">
        <f t="shared" si="1"/>
        <v>43319</v>
      </c>
      <c r="E13" s="32">
        <f>360/7*1</f>
        <v>51.428571428571431</v>
      </c>
      <c r="F13" s="1"/>
      <c r="G13" s="1"/>
      <c r="H13" s="1"/>
      <c r="I13" s="1"/>
      <c r="J13" s="1"/>
      <c r="K13" s="1"/>
      <c r="L13" s="1"/>
    </row>
    <row r="14" spans="2:53" x14ac:dyDescent="0.3">
      <c r="B14" s="33" t="s">
        <v>177</v>
      </c>
      <c r="C14" s="31">
        <v>43319</v>
      </c>
      <c r="D14" s="31">
        <f t="shared" si="1"/>
        <v>43319</v>
      </c>
      <c r="E14" s="32">
        <f>360/7*1</f>
        <v>51.428571428571431</v>
      </c>
      <c r="F14" s="1"/>
      <c r="G14" s="1"/>
      <c r="H14" s="1"/>
      <c r="I14" s="1"/>
      <c r="J14" s="1"/>
      <c r="K14" s="1"/>
      <c r="L14" s="1"/>
    </row>
    <row r="15" spans="2:53" x14ac:dyDescent="0.3">
      <c r="B15" s="33" t="s">
        <v>186</v>
      </c>
      <c r="C15" s="31">
        <f>C25-3</f>
        <v>43314</v>
      </c>
      <c r="D15" s="31">
        <f t="shared" si="1"/>
        <v>43314</v>
      </c>
      <c r="E15" s="36"/>
      <c r="F15" s="1"/>
      <c r="G15" s="1"/>
      <c r="H15" s="1"/>
      <c r="I15" s="1"/>
      <c r="J15" s="1"/>
      <c r="K15" s="1"/>
      <c r="L15" s="1"/>
    </row>
    <row r="16" spans="2:53" x14ac:dyDescent="0.3">
      <c r="B16" s="1" t="s">
        <v>35</v>
      </c>
      <c r="C16" s="31">
        <v>43329</v>
      </c>
      <c r="D16" s="31">
        <f t="shared" si="1"/>
        <v>43329</v>
      </c>
      <c r="E16" s="1">
        <v>92.3</v>
      </c>
      <c r="F16" s="1"/>
      <c r="G16" s="1"/>
      <c r="H16" s="1"/>
      <c r="I16" s="1">
        <v>92.3</v>
      </c>
      <c r="J16" s="1"/>
      <c r="K16" s="1"/>
      <c r="L16" s="1"/>
    </row>
    <row r="17" spans="2:12" x14ac:dyDescent="0.3">
      <c r="B17" s="1" t="s">
        <v>36</v>
      </c>
      <c r="C17" s="31">
        <v>43332</v>
      </c>
      <c r="D17" s="31">
        <f t="shared" si="1"/>
        <v>43332</v>
      </c>
      <c r="E17" s="1">
        <v>2005</v>
      </c>
      <c r="F17" s="1"/>
      <c r="G17" s="1"/>
      <c r="H17" s="1"/>
      <c r="I17" s="1"/>
      <c r="J17" s="7">
        <v>2005</v>
      </c>
      <c r="K17" s="1"/>
      <c r="L17" s="1"/>
    </row>
    <row r="18" spans="2:12" x14ac:dyDescent="0.3">
      <c r="B18" s="1" t="s">
        <v>178</v>
      </c>
      <c r="C18" s="31">
        <v>43330</v>
      </c>
      <c r="D18" s="31">
        <f t="shared" si="1"/>
        <v>43330</v>
      </c>
      <c r="E18" s="1">
        <f>380/10*3</f>
        <v>114</v>
      </c>
      <c r="F18" s="1"/>
      <c r="G18" s="1"/>
      <c r="H18" s="1"/>
      <c r="I18" s="1"/>
      <c r="J18" s="1">
        <v>380</v>
      </c>
      <c r="K18" s="1"/>
      <c r="L18" s="1"/>
    </row>
    <row r="19" spans="2:12" x14ac:dyDescent="0.3">
      <c r="B19" s="1" t="s">
        <v>178</v>
      </c>
      <c r="C19" s="31">
        <v>43332</v>
      </c>
      <c r="D19" s="31">
        <f t="shared" si="1"/>
        <v>43332</v>
      </c>
      <c r="E19" s="1">
        <f>380/10*3</f>
        <v>114</v>
      </c>
      <c r="F19" s="1"/>
      <c r="G19" s="1"/>
      <c r="H19" s="1"/>
      <c r="I19" s="1"/>
      <c r="J19" s="1"/>
      <c r="K19" s="1"/>
      <c r="L19" s="1"/>
    </row>
    <row r="20" spans="2:12" x14ac:dyDescent="0.3">
      <c r="B20" s="1" t="s">
        <v>179</v>
      </c>
      <c r="C20" s="31">
        <v>43333</v>
      </c>
      <c r="D20" s="31">
        <f t="shared" si="1"/>
        <v>43333</v>
      </c>
      <c r="E20" s="1">
        <f>380/10*4</f>
        <v>152</v>
      </c>
      <c r="F20" s="1"/>
      <c r="G20" s="1"/>
      <c r="H20" s="1"/>
      <c r="I20" s="1"/>
      <c r="J20" s="1"/>
      <c r="K20" s="1"/>
      <c r="L20" s="1"/>
    </row>
    <row r="21" spans="2:12" x14ac:dyDescent="0.3">
      <c r="B21" s="1" t="s">
        <v>37</v>
      </c>
      <c r="C21" s="6"/>
      <c r="D21" s="6">
        <f t="shared" si="1"/>
        <v>0</v>
      </c>
      <c r="E21" s="1">
        <f>82+106</f>
        <v>188</v>
      </c>
      <c r="F21" s="1"/>
      <c r="G21" s="1"/>
      <c r="H21" s="1"/>
      <c r="I21" s="1"/>
      <c r="J21" s="1">
        <f>82+106</f>
        <v>188</v>
      </c>
      <c r="K21" s="1"/>
      <c r="L21" s="1"/>
    </row>
    <row r="22" spans="2:12" x14ac:dyDescent="0.3">
      <c r="B22" s="1" t="s">
        <v>180</v>
      </c>
      <c r="C22" s="31">
        <v>43321</v>
      </c>
      <c r="D22" s="31">
        <f t="shared" si="1"/>
        <v>43321</v>
      </c>
      <c r="E22" s="32">
        <f>73/28*5</f>
        <v>13.035714285714286</v>
      </c>
      <c r="F22" s="1"/>
      <c r="G22" s="1"/>
      <c r="H22" s="1"/>
      <c r="I22" s="1"/>
      <c r="J22" s="1">
        <v>73</v>
      </c>
      <c r="K22" s="1"/>
      <c r="L22" s="1"/>
    </row>
    <row r="23" spans="2:12" x14ac:dyDescent="0.3">
      <c r="B23" s="34" t="s">
        <v>181</v>
      </c>
      <c r="C23" s="31">
        <f>C11+3</f>
        <v>43329</v>
      </c>
      <c r="D23" s="31">
        <f t="shared" si="1"/>
        <v>43329</v>
      </c>
      <c r="E23" s="32">
        <f>73/28*7</f>
        <v>18.25</v>
      </c>
      <c r="F23" s="1"/>
      <c r="G23" s="1"/>
      <c r="H23" s="1"/>
      <c r="I23" s="1"/>
      <c r="J23" s="1"/>
      <c r="K23" s="1"/>
      <c r="L23" s="1"/>
    </row>
    <row r="24" spans="2:12" x14ac:dyDescent="0.3">
      <c r="B24" s="1" t="s">
        <v>182</v>
      </c>
      <c r="C24" s="31">
        <f>C13+7</f>
        <v>43326</v>
      </c>
      <c r="D24" s="31">
        <f t="shared" si="1"/>
        <v>43326</v>
      </c>
      <c r="E24" s="32">
        <f>73/28*7</f>
        <v>18.25</v>
      </c>
      <c r="F24" s="1"/>
      <c r="G24" s="1"/>
      <c r="H24" s="1"/>
      <c r="I24" s="1"/>
      <c r="J24" s="1"/>
      <c r="K24" s="1"/>
      <c r="L24" s="1"/>
    </row>
    <row r="25" spans="2:12" x14ac:dyDescent="0.3">
      <c r="B25" s="1" t="s">
        <v>183</v>
      </c>
      <c r="C25" s="31">
        <v>43317</v>
      </c>
      <c r="D25" s="31">
        <f t="shared" si="1"/>
        <v>43317</v>
      </c>
      <c r="E25" s="32">
        <f>73/28*4</f>
        <v>10.428571428571429</v>
      </c>
      <c r="F25" s="1"/>
      <c r="G25" s="1"/>
      <c r="H25" s="1"/>
      <c r="I25" s="1"/>
      <c r="J25" s="1"/>
      <c r="K25" s="1"/>
      <c r="L25" s="1"/>
    </row>
    <row r="26" spans="2:12" x14ac:dyDescent="0.3">
      <c r="B26" s="1" t="s">
        <v>184</v>
      </c>
      <c r="C26" s="31">
        <v>43332</v>
      </c>
      <c r="D26" s="31">
        <f t="shared" si="1"/>
        <v>43332</v>
      </c>
      <c r="E26" s="32">
        <f>73/28*5</f>
        <v>13.035714285714286</v>
      </c>
      <c r="F26" s="1"/>
      <c r="G26" s="1"/>
      <c r="H26" s="1"/>
      <c r="I26" s="1"/>
      <c r="J26" s="1"/>
      <c r="K26" s="1"/>
      <c r="L26" s="1"/>
    </row>
    <row r="27" spans="2:12" x14ac:dyDescent="0.3">
      <c r="B27" s="1" t="s">
        <v>38</v>
      </c>
      <c r="C27" s="31">
        <v>43332</v>
      </c>
      <c r="D27" s="31">
        <f t="shared" si="1"/>
        <v>43332</v>
      </c>
      <c r="E27" s="1">
        <v>184.2</v>
      </c>
      <c r="F27" s="1"/>
      <c r="G27" s="1"/>
      <c r="H27" s="1"/>
      <c r="I27" s="1"/>
      <c r="J27" s="1">
        <v>184.2</v>
      </c>
      <c r="K27" s="1"/>
      <c r="L27" s="1"/>
    </row>
    <row r="28" spans="2:12" x14ac:dyDescent="0.3">
      <c r="B28" s="1" t="s">
        <v>39</v>
      </c>
      <c r="C28" s="31">
        <v>43331</v>
      </c>
      <c r="D28" s="31">
        <f t="shared" si="1"/>
        <v>43331</v>
      </c>
      <c r="E28" s="1">
        <v>182</v>
      </c>
      <c r="F28" s="1"/>
      <c r="G28" s="1"/>
      <c r="H28" s="1"/>
      <c r="I28" s="1"/>
      <c r="J28" s="1">
        <v>182</v>
      </c>
      <c r="K28" s="1"/>
      <c r="L28" s="1"/>
    </row>
    <row r="29" spans="2:12" x14ac:dyDescent="0.3">
      <c r="B29" s="1" t="s">
        <v>40</v>
      </c>
      <c r="C29" s="31">
        <v>43332</v>
      </c>
      <c r="D29" s="31">
        <f t="shared" si="1"/>
        <v>43332</v>
      </c>
      <c r="E29" s="1">
        <v>94.9</v>
      </c>
      <c r="F29" s="1"/>
      <c r="G29" s="1"/>
      <c r="H29" s="1"/>
      <c r="I29" s="1"/>
      <c r="J29" s="1">
        <v>94.9</v>
      </c>
      <c r="K29" s="1"/>
      <c r="L29" s="1"/>
    </row>
    <row r="30" spans="2:12" x14ac:dyDescent="0.3">
      <c r="B30" s="1" t="s">
        <v>41</v>
      </c>
      <c r="C30" s="31">
        <v>43341</v>
      </c>
      <c r="D30" s="31">
        <f t="shared" si="1"/>
        <v>43341</v>
      </c>
      <c r="E30" s="1">
        <f>96+41</f>
        <v>137</v>
      </c>
      <c r="F30" s="1"/>
      <c r="G30" s="1"/>
      <c r="H30" s="1"/>
      <c r="I30" s="1"/>
      <c r="J30" s="1"/>
      <c r="K30" s="1">
        <v>137</v>
      </c>
      <c r="L30" s="1"/>
    </row>
    <row r="31" spans="2:12" x14ac:dyDescent="0.3">
      <c r="B31" s="1" t="s">
        <v>42</v>
      </c>
      <c r="C31" s="31">
        <v>43334</v>
      </c>
      <c r="D31" s="31">
        <f t="shared" si="1"/>
        <v>43334</v>
      </c>
      <c r="E31" s="1">
        <f>156+133</f>
        <v>289</v>
      </c>
      <c r="F31" s="1"/>
      <c r="G31" s="1"/>
      <c r="H31" s="1"/>
      <c r="I31" s="1"/>
      <c r="J31" s="1"/>
      <c r="K31" s="1">
        <v>289</v>
      </c>
      <c r="L31" s="1"/>
    </row>
    <row r="32" spans="2:12" x14ac:dyDescent="0.3">
      <c r="B32" s="1" t="s">
        <v>43</v>
      </c>
      <c r="C32" s="31">
        <v>43331</v>
      </c>
      <c r="D32" s="31">
        <f t="shared" si="1"/>
        <v>43331</v>
      </c>
      <c r="E32" s="1">
        <v>601</v>
      </c>
      <c r="F32" s="1"/>
      <c r="G32" s="1"/>
      <c r="H32" s="1"/>
      <c r="I32" s="1"/>
      <c r="J32" s="1"/>
      <c r="K32" s="1">
        <f>30+185+386</f>
        <v>601</v>
      </c>
      <c r="L32" s="1"/>
    </row>
    <row r="33" spans="2:12" x14ac:dyDescent="0.3">
      <c r="B33" s="1" t="s">
        <v>44</v>
      </c>
      <c r="C33" s="31">
        <v>43342</v>
      </c>
      <c r="D33" s="31">
        <f t="shared" si="1"/>
        <v>43342</v>
      </c>
      <c r="E33" s="1">
        <v>153.6</v>
      </c>
      <c r="F33" s="1"/>
      <c r="G33" s="1"/>
      <c r="H33" s="1"/>
      <c r="I33" s="1"/>
      <c r="J33" s="1"/>
      <c r="K33" s="1">
        <f>153.6</f>
        <v>153.6</v>
      </c>
      <c r="L33" s="1"/>
    </row>
    <row r="34" spans="2:12" x14ac:dyDescent="0.3">
      <c r="B34" s="1" t="s">
        <v>45</v>
      </c>
      <c r="C34" s="31">
        <v>43340</v>
      </c>
      <c r="D34" s="31">
        <f t="shared" si="1"/>
        <v>43340</v>
      </c>
      <c r="E34" s="1">
        <v>200</v>
      </c>
      <c r="F34" s="1"/>
      <c r="G34" s="1"/>
      <c r="H34" s="1"/>
      <c r="I34" s="1"/>
      <c r="J34" s="1"/>
      <c r="K34" s="1">
        <v>200</v>
      </c>
      <c r="L34" s="1"/>
    </row>
    <row r="35" spans="2:12" x14ac:dyDescent="0.3">
      <c r="B35" s="1"/>
      <c r="C35" s="1"/>
      <c r="D35" s="1"/>
      <c r="E35" s="18">
        <f>SUM(E8:E34)</f>
        <v>6836.0000000000018</v>
      </c>
      <c r="F35" s="11">
        <f>SUM(F8:F34)</f>
        <v>893</v>
      </c>
      <c r="G35" s="11"/>
      <c r="H35" s="11">
        <f>SUM(H8:H34)</f>
        <v>1003</v>
      </c>
      <c r="I35" s="11">
        <f>SUM(I8:I34)</f>
        <v>92.3</v>
      </c>
      <c r="J35" s="11">
        <f>SUM(J8:J34)</f>
        <v>3107.1</v>
      </c>
      <c r="K35" s="11">
        <f>SUM(K8:K34)</f>
        <v>1380.6</v>
      </c>
      <c r="L35" s="18">
        <f>SUM(F35:K35)</f>
        <v>6476</v>
      </c>
    </row>
    <row r="38" spans="2:12" ht="36.6" x14ac:dyDescent="0.7">
      <c r="B38" s="56" t="s">
        <v>111</v>
      </c>
      <c r="C38" s="13"/>
      <c r="D38" s="13"/>
      <c r="E38" s="13"/>
      <c r="F38" s="13" t="s">
        <v>125</v>
      </c>
      <c r="G38" s="13"/>
      <c r="H38" s="13"/>
      <c r="I38" s="13"/>
      <c r="J38" s="13" t="s">
        <v>141</v>
      </c>
      <c r="K38" s="13"/>
      <c r="L38" s="14"/>
    </row>
    <row r="39" spans="2:12" x14ac:dyDescent="0.3">
      <c r="B39" s="15" t="s">
        <v>50</v>
      </c>
      <c r="C39" s="15"/>
      <c r="D39" s="15"/>
      <c r="E39" s="15" t="s">
        <v>49</v>
      </c>
      <c r="F39" s="17" t="s">
        <v>0</v>
      </c>
      <c r="G39" s="17"/>
      <c r="H39" s="17" t="s">
        <v>1</v>
      </c>
      <c r="I39" s="17" t="s">
        <v>2</v>
      </c>
      <c r="J39" s="17" t="s">
        <v>3</v>
      </c>
      <c r="K39" s="17" t="s">
        <v>14</v>
      </c>
      <c r="L39" s="17" t="s">
        <v>31</v>
      </c>
    </row>
    <row r="40" spans="2:12" x14ac:dyDescent="0.3">
      <c r="B40" s="1" t="s">
        <v>142</v>
      </c>
      <c r="C40" s="31">
        <v>43317</v>
      </c>
      <c r="D40" s="31">
        <f>C40</f>
        <v>43317</v>
      </c>
      <c r="E40" s="1">
        <v>61.669999999999987</v>
      </c>
      <c r="F40" s="1">
        <v>61.669999999999987</v>
      </c>
      <c r="G40" s="1"/>
      <c r="H40" s="1"/>
      <c r="I40" s="1"/>
      <c r="J40" s="1"/>
      <c r="K40" s="1"/>
      <c r="L40" s="1"/>
    </row>
    <row r="41" spans="2:12" x14ac:dyDescent="0.3">
      <c r="B41" s="1" t="s">
        <v>143</v>
      </c>
      <c r="C41" s="31">
        <v>43324</v>
      </c>
      <c r="D41" s="31">
        <f t="shared" ref="D41:D47" si="2">C41</f>
        <v>43324</v>
      </c>
      <c r="E41" s="1">
        <v>351.6</v>
      </c>
      <c r="F41" s="1">
        <v>351.6</v>
      </c>
      <c r="G41" s="31">
        <v>43316</v>
      </c>
      <c r="H41" s="1"/>
      <c r="I41" s="1"/>
      <c r="J41" s="1"/>
      <c r="K41" s="1"/>
      <c r="L41" s="1"/>
    </row>
    <row r="42" spans="2:12" x14ac:dyDescent="0.3">
      <c r="B42" s="1" t="s">
        <v>144</v>
      </c>
      <c r="C42" s="31">
        <v>43318</v>
      </c>
      <c r="D42" s="31">
        <f t="shared" si="2"/>
        <v>43318</v>
      </c>
      <c r="E42" s="1">
        <v>61.87</v>
      </c>
      <c r="F42" s="1">
        <v>61.87</v>
      </c>
      <c r="G42" s="1"/>
      <c r="H42" s="1"/>
      <c r="I42" s="1"/>
      <c r="J42" s="1"/>
      <c r="K42" s="1"/>
      <c r="L42" s="1"/>
    </row>
    <row r="43" spans="2:12" x14ac:dyDescent="0.3">
      <c r="B43" s="37" t="s">
        <v>58</v>
      </c>
      <c r="C43" s="1"/>
      <c r="D43" s="31"/>
      <c r="E43" s="1">
        <v>15.8</v>
      </c>
      <c r="F43" s="1">
        <v>15.8</v>
      </c>
      <c r="G43" s="1"/>
      <c r="H43" s="1"/>
      <c r="I43" s="1"/>
      <c r="J43" s="1"/>
      <c r="K43" s="1"/>
      <c r="L43" s="1"/>
    </row>
    <row r="44" spans="2:12" x14ac:dyDescent="0.3">
      <c r="B44" s="1" t="s">
        <v>145</v>
      </c>
      <c r="C44" s="31">
        <v>43318</v>
      </c>
      <c r="D44" s="31">
        <f t="shared" si="2"/>
        <v>43318</v>
      </c>
      <c r="E44" s="1">
        <v>48</v>
      </c>
      <c r="F44" s="1">
        <v>48</v>
      </c>
      <c r="G44" s="1"/>
      <c r="H44" s="1"/>
      <c r="I44" s="1"/>
      <c r="J44" s="1"/>
      <c r="K44" s="1"/>
      <c r="L44" s="1"/>
    </row>
    <row r="45" spans="2:12" x14ac:dyDescent="0.3">
      <c r="B45" s="1" t="s">
        <v>146</v>
      </c>
      <c r="C45" s="31">
        <v>43321</v>
      </c>
      <c r="D45" s="31">
        <f t="shared" si="2"/>
        <v>43321</v>
      </c>
      <c r="E45" s="1">
        <v>228.31</v>
      </c>
      <c r="F45" s="1">
        <v>228.31</v>
      </c>
      <c r="G45" s="1"/>
      <c r="H45" s="1"/>
      <c r="I45" s="1"/>
      <c r="J45" s="1"/>
      <c r="K45" s="1"/>
      <c r="L45" s="1"/>
    </row>
    <row r="46" spans="2:12" x14ac:dyDescent="0.3">
      <c r="B46" s="1" t="s">
        <v>147</v>
      </c>
      <c r="C46" s="31">
        <v>43324</v>
      </c>
      <c r="D46" s="31">
        <f t="shared" si="2"/>
        <v>43324</v>
      </c>
      <c r="E46" s="1">
        <v>203.58</v>
      </c>
      <c r="F46" s="1">
        <v>203.58</v>
      </c>
      <c r="G46" s="1"/>
      <c r="H46" s="1"/>
      <c r="I46" s="1"/>
      <c r="J46" s="1"/>
      <c r="K46" s="1"/>
      <c r="L46" s="1"/>
    </row>
    <row r="47" spans="2:12" x14ac:dyDescent="0.3">
      <c r="B47" s="1" t="s">
        <v>148</v>
      </c>
      <c r="C47" s="31">
        <v>43320</v>
      </c>
      <c r="D47" s="31">
        <f t="shared" si="2"/>
        <v>43320</v>
      </c>
      <c r="E47" s="1">
        <v>68.17</v>
      </c>
      <c r="F47" s="1">
        <v>68.17</v>
      </c>
      <c r="G47" s="1"/>
      <c r="H47" s="1"/>
      <c r="I47" s="1"/>
      <c r="J47" s="1"/>
      <c r="K47" s="1"/>
      <c r="L47" s="1"/>
    </row>
    <row r="48" spans="2:12" x14ac:dyDescent="0.3">
      <c r="B48" s="37" t="s">
        <v>58</v>
      </c>
      <c r="C48" s="1"/>
      <c r="D48" s="1"/>
      <c r="E48" s="6">
        <v>18.399999999999999</v>
      </c>
      <c r="F48" s="6">
        <v>18.399999999999999</v>
      </c>
      <c r="G48" s="1"/>
      <c r="H48" s="1"/>
      <c r="I48" s="1"/>
      <c r="J48" s="1"/>
      <c r="K48" s="1"/>
      <c r="L48" s="1"/>
    </row>
    <row r="49" spans="2:12" x14ac:dyDescent="0.3">
      <c r="B49" s="1" t="s">
        <v>149</v>
      </c>
      <c r="C49" s="31">
        <v>43320</v>
      </c>
      <c r="D49" s="31">
        <v>43322</v>
      </c>
      <c r="E49" s="1">
        <v>18.399999999999999</v>
      </c>
      <c r="F49" s="1"/>
      <c r="G49" s="1"/>
      <c r="H49" s="1">
        <v>18.399999999999999</v>
      </c>
      <c r="I49" s="1"/>
      <c r="J49" s="1"/>
      <c r="K49" s="1"/>
      <c r="L49" s="1"/>
    </row>
    <row r="50" spans="2:12" x14ac:dyDescent="0.3">
      <c r="B50" s="1" t="s">
        <v>150</v>
      </c>
      <c r="C50" s="31">
        <v>43320</v>
      </c>
      <c r="D50" s="31">
        <f t="shared" ref="D50" si="3">C50</f>
        <v>43320</v>
      </c>
      <c r="E50" s="1">
        <v>244.65</v>
      </c>
      <c r="F50" s="1"/>
      <c r="G50" s="1"/>
      <c r="H50" s="1">
        <v>244.65</v>
      </c>
      <c r="I50" s="1"/>
      <c r="J50" s="1"/>
      <c r="K50" s="1"/>
      <c r="L50" s="1"/>
    </row>
    <row r="51" spans="2:12" x14ac:dyDescent="0.3">
      <c r="B51" s="1" t="s">
        <v>151</v>
      </c>
      <c r="C51" s="31">
        <v>43318</v>
      </c>
      <c r="D51" s="31">
        <v>43326</v>
      </c>
      <c r="E51" s="1">
        <v>138</v>
      </c>
      <c r="F51" s="1"/>
      <c r="G51" s="1"/>
      <c r="H51" s="1"/>
      <c r="I51" s="1">
        <v>138</v>
      </c>
      <c r="J51" s="1"/>
      <c r="K51" s="1"/>
      <c r="L51" s="1"/>
    </row>
    <row r="52" spans="2:12" x14ac:dyDescent="0.3">
      <c r="B52" s="1" t="s">
        <v>152</v>
      </c>
      <c r="C52" s="31">
        <v>43324</v>
      </c>
      <c r="D52" s="31">
        <v>43326</v>
      </c>
      <c r="E52" s="1">
        <v>21</v>
      </c>
      <c r="F52" s="1"/>
      <c r="G52" s="1"/>
      <c r="H52" s="1"/>
      <c r="I52" s="1">
        <v>21</v>
      </c>
      <c r="J52" s="1"/>
      <c r="K52" s="1"/>
      <c r="L52" s="1"/>
    </row>
    <row r="53" spans="2:12" x14ac:dyDescent="0.3">
      <c r="B53" s="1" t="s">
        <v>145</v>
      </c>
      <c r="C53" s="31">
        <v>43322</v>
      </c>
      <c r="D53" s="31">
        <f>C53</f>
        <v>43322</v>
      </c>
      <c r="E53" s="1">
        <v>48</v>
      </c>
      <c r="F53" s="1"/>
      <c r="G53" s="1"/>
      <c r="H53" s="1"/>
      <c r="I53" s="1">
        <v>48</v>
      </c>
      <c r="J53" s="1"/>
      <c r="K53" s="1"/>
      <c r="L53" s="1"/>
    </row>
    <row r="54" spans="2:12" x14ac:dyDescent="0.3">
      <c r="B54" s="1" t="s">
        <v>153</v>
      </c>
      <c r="C54" s="31">
        <v>43328</v>
      </c>
      <c r="D54" s="31">
        <v>43331</v>
      </c>
      <c r="E54" s="1">
        <v>27.6</v>
      </c>
      <c r="F54" s="1"/>
      <c r="G54" s="1"/>
      <c r="H54" s="1"/>
      <c r="I54" s="1">
        <v>27.6</v>
      </c>
      <c r="J54" s="1"/>
      <c r="K54" s="1"/>
      <c r="L54" s="1"/>
    </row>
    <row r="55" spans="2:12" x14ac:dyDescent="0.3">
      <c r="B55" s="1" t="s">
        <v>154</v>
      </c>
      <c r="C55" s="31">
        <v>39679</v>
      </c>
      <c r="D55" s="31">
        <f>C55</f>
        <v>39679</v>
      </c>
      <c r="E55" s="1">
        <v>102.24</v>
      </c>
      <c r="F55" s="1"/>
      <c r="G55" s="1"/>
      <c r="H55" s="1"/>
      <c r="I55" s="1">
        <v>102.24</v>
      </c>
      <c r="J55" s="1"/>
      <c r="K55" s="1"/>
      <c r="L55" s="1"/>
    </row>
    <row r="56" spans="2:12" x14ac:dyDescent="0.3">
      <c r="B56" s="1" t="s">
        <v>155</v>
      </c>
      <c r="C56" s="31">
        <v>43323</v>
      </c>
      <c r="D56" s="31">
        <v>43325</v>
      </c>
      <c r="E56" s="1">
        <v>18.399999999999999</v>
      </c>
      <c r="F56" s="1"/>
      <c r="G56" s="1"/>
      <c r="H56" s="1"/>
      <c r="I56" s="1">
        <v>18.399999999999999</v>
      </c>
      <c r="J56" s="1"/>
      <c r="K56" s="1"/>
      <c r="L56" s="1"/>
    </row>
    <row r="57" spans="2:12" x14ac:dyDescent="0.3">
      <c r="B57" s="1" t="s">
        <v>156</v>
      </c>
      <c r="C57" s="31">
        <v>43326</v>
      </c>
      <c r="D57" s="31">
        <v>43329</v>
      </c>
      <c r="E57" s="1">
        <v>19.7</v>
      </c>
      <c r="F57" s="1"/>
      <c r="G57" s="1"/>
      <c r="H57" s="1"/>
      <c r="I57" s="1">
        <v>19.7</v>
      </c>
      <c r="J57" s="1"/>
      <c r="K57" s="1"/>
      <c r="L57" s="1"/>
    </row>
    <row r="58" spans="2:12" x14ac:dyDescent="0.3">
      <c r="B58" s="1" t="s">
        <v>157</v>
      </c>
      <c r="C58" s="31">
        <v>43326</v>
      </c>
      <c r="D58" s="31">
        <f>C58</f>
        <v>43326</v>
      </c>
      <c r="E58" s="1">
        <v>60</v>
      </c>
      <c r="F58" s="1"/>
      <c r="G58" s="1"/>
      <c r="H58" s="1"/>
      <c r="I58" s="1">
        <v>60</v>
      </c>
      <c r="J58" s="1"/>
      <c r="K58" s="1"/>
      <c r="L58" s="1"/>
    </row>
    <row r="59" spans="2:12" x14ac:dyDescent="0.3">
      <c r="B59" s="1" t="s">
        <v>158</v>
      </c>
      <c r="C59" s="31">
        <v>43328</v>
      </c>
      <c r="D59" s="31">
        <f>C59</f>
        <v>43328</v>
      </c>
      <c r="E59" s="1">
        <v>251.86</v>
      </c>
      <c r="F59" s="1"/>
      <c r="G59" s="1"/>
      <c r="H59" s="1"/>
      <c r="I59" s="1">
        <v>251.86</v>
      </c>
      <c r="J59" s="1"/>
      <c r="K59" s="1"/>
      <c r="L59" s="1"/>
    </row>
    <row r="60" spans="2:12" x14ac:dyDescent="0.3">
      <c r="B60" s="1" t="s">
        <v>58</v>
      </c>
      <c r="C60" s="31">
        <v>43330</v>
      </c>
      <c r="D60" s="31">
        <v>43332</v>
      </c>
      <c r="E60" s="1">
        <v>22.31</v>
      </c>
      <c r="F60" s="1"/>
      <c r="G60" s="1"/>
      <c r="H60" s="1"/>
      <c r="I60" s="1">
        <v>22.31</v>
      </c>
      <c r="J60" s="1"/>
      <c r="K60" s="1"/>
      <c r="L60" s="1"/>
    </row>
    <row r="61" spans="2:12" x14ac:dyDescent="0.3">
      <c r="B61" s="1" t="s">
        <v>159</v>
      </c>
      <c r="C61" s="31">
        <v>43330</v>
      </c>
      <c r="D61" s="31">
        <f>C61</f>
        <v>43330</v>
      </c>
      <c r="E61" s="1">
        <v>191.24</v>
      </c>
      <c r="F61" s="1"/>
      <c r="G61" s="1"/>
      <c r="H61" s="1"/>
      <c r="I61" s="1">
        <v>191.24</v>
      </c>
      <c r="J61" s="1"/>
      <c r="K61" s="1"/>
      <c r="L61" s="1"/>
    </row>
    <row r="62" spans="2:12" x14ac:dyDescent="0.3">
      <c r="B62" s="1" t="s">
        <v>160</v>
      </c>
      <c r="C62" s="31">
        <v>43320</v>
      </c>
      <c r="D62" s="31">
        <v>43328</v>
      </c>
      <c r="E62" s="1">
        <v>104.1</v>
      </c>
      <c r="F62" s="1"/>
      <c r="G62" s="1"/>
      <c r="H62" s="1"/>
      <c r="I62" s="1">
        <v>104.1</v>
      </c>
      <c r="J62" s="1"/>
      <c r="K62" s="1"/>
      <c r="L62" s="1"/>
    </row>
    <row r="63" spans="2:12" x14ac:dyDescent="0.3">
      <c r="B63" s="1" t="s">
        <v>161</v>
      </c>
      <c r="C63" s="31">
        <v>43326</v>
      </c>
      <c r="D63" s="31">
        <f>C63</f>
        <v>43326</v>
      </c>
      <c r="E63" s="1">
        <v>242.69</v>
      </c>
      <c r="F63" s="1"/>
      <c r="G63" s="1"/>
      <c r="H63" s="1"/>
      <c r="I63" s="1">
        <v>242.69</v>
      </c>
      <c r="J63" s="1"/>
      <c r="K63" s="1"/>
      <c r="L63" s="1"/>
    </row>
    <row r="64" spans="2:12" x14ac:dyDescent="0.3">
      <c r="B64" s="1" t="s">
        <v>58</v>
      </c>
      <c r="C64" s="31">
        <v>43328</v>
      </c>
      <c r="D64" s="31">
        <v>43330</v>
      </c>
      <c r="E64" s="1">
        <v>19.7</v>
      </c>
      <c r="F64" s="1"/>
      <c r="G64" s="1"/>
      <c r="H64" s="1"/>
      <c r="I64" s="1">
        <v>19.7</v>
      </c>
      <c r="J64" s="1"/>
      <c r="K64" s="1"/>
      <c r="L64" s="1"/>
    </row>
    <row r="65" spans="2:12" x14ac:dyDescent="0.3">
      <c r="B65" s="1" t="s">
        <v>162</v>
      </c>
      <c r="C65" s="31">
        <v>43329</v>
      </c>
      <c r="D65" s="31">
        <f>C65</f>
        <v>43329</v>
      </c>
      <c r="E65" s="1">
        <v>18</v>
      </c>
      <c r="F65" s="1"/>
      <c r="G65" s="1"/>
      <c r="H65" s="1"/>
      <c r="I65" s="1">
        <v>18</v>
      </c>
      <c r="J65" s="1"/>
      <c r="K65" s="1"/>
      <c r="L65" s="1"/>
    </row>
    <row r="66" spans="2:12" x14ac:dyDescent="0.3">
      <c r="B66" s="48" t="s">
        <v>163</v>
      </c>
      <c r="C66" s="31">
        <v>43332</v>
      </c>
      <c r="D66" s="31">
        <f>C66</f>
        <v>43332</v>
      </c>
      <c r="E66" s="1">
        <v>246.44</v>
      </c>
      <c r="F66" s="1"/>
      <c r="G66" s="1"/>
      <c r="H66" s="1"/>
      <c r="I66" s="1">
        <v>246.44</v>
      </c>
      <c r="J66" s="1"/>
      <c r="K66" s="1"/>
      <c r="L66" s="1"/>
    </row>
    <row r="67" spans="2:12" x14ac:dyDescent="0.3">
      <c r="B67" s="1" t="s">
        <v>162</v>
      </c>
      <c r="C67" s="31">
        <v>43331</v>
      </c>
      <c r="D67" s="31">
        <v>43337</v>
      </c>
      <c r="E67" s="1">
        <v>18</v>
      </c>
      <c r="F67" s="1"/>
      <c r="G67" s="1"/>
      <c r="H67" s="1"/>
      <c r="I67" s="1">
        <v>18</v>
      </c>
      <c r="J67" s="1"/>
      <c r="K67" s="1"/>
      <c r="L67" s="1"/>
    </row>
    <row r="68" spans="2:12" x14ac:dyDescent="0.3">
      <c r="B68" s="1" t="s">
        <v>164</v>
      </c>
      <c r="C68" s="31">
        <v>43336</v>
      </c>
      <c r="D68" s="31">
        <v>43336</v>
      </c>
      <c r="E68" s="1">
        <v>127.8</v>
      </c>
      <c r="F68" s="1"/>
      <c r="G68" s="1"/>
      <c r="H68" s="1"/>
      <c r="I68" s="1"/>
      <c r="J68" s="1">
        <v>127.8</v>
      </c>
      <c r="K68" s="1"/>
      <c r="L68" s="1"/>
    </row>
    <row r="69" spans="2:12" x14ac:dyDescent="0.3">
      <c r="B69" s="1" t="s">
        <v>165</v>
      </c>
      <c r="C69" s="31">
        <v>43334</v>
      </c>
      <c r="D69" s="31">
        <v>43335</v>
      </c>
      <c r="E69" s="1">
        <v>11.8</v>
      </c>
      <c r="F69" s="1"/>
      <c r="G69" s="1"/>
      <c r="H69" s="1"/>
      <c r="I69" s="1"/>
      <c r="J69" s="1">
        <v>11.8</v>
      </c>
      <c r="K69" s="1"/>
      <c r="L69" s="1"/>
    </row>
    <row r="70" spans="2:12" x14ac:dyDescent="0.3">
      <c r="B70" s="1" t="s">
        <v>166</v>
      </c>
      <c r="C70" s="31">
        <v>43329</v>
      </c>
      <c r="D70" s="31">
        <v>43334</v>
      </c>
      <c r="E70" s="1">
        <v>120</v>
      </c>
      <c r="F70" s="1"/>
      <c r="G70" s="1"/>
      <c r="H70" s="1"/>
      <c r="I70" s="1"/>
      <c r="J70" s="1">
        <v>120</v>
      </c>
      <c r="K70" s="1"/>
      <c r="L70" s="1"/>
    </row>
    <row r="71" spans="2:12" x14ac:dyDescent="0.3">
      <c r="B71" s="1" t="s">
        <v>167</v>
      </c>
      <c r="C71" s="31">
        <v>43338</v>
      </c>
      <c r="D71" s="31">
        <v>43338</v>
      </c>
      <c r="E71" s="1">
        <v>19.27</v>
      </c>
      <c r="F71" s="1"/>
      <c r="G71" s="1"/>
      <c r="H71" s="1"/>
      <c r="I71" s="1"/>
      <c r="J71" s="1">
        <v>19.27</v>
      </c>
      <c r="K71" s="1"/>
      <c r="L71" s="1"/>
    </row>
    <row r="72" spans="2:12" x14ac:dyDescent="0.3">
      <c r="B72" s="48" t="s">
        <v>168</v>
      </c>
      <c r="C72" s="49"/>
      <c r="D72" s="49"/>
      <c r="E72" s="1">
        <v>102.7</v>
      </c>
      <c r="F72" s="1"/>
      <c r="G72" s="1"/>
      <c r="H72" s="1"/>
      <c r="I72" s="1"/>
      <c r="J72" s="1">
        <v>102.7</v>
      </c>
      <c r="K72" s="1"/>
      <c r="L72" s="1"/>
    </row>
    <row r="73" spans="2:12" x14ac:dyDescent="0.3">
      <c r="B73" s="48" t="s">
        <v>58</v>
      </c>
      <c r="C73" s="49"/>
      <c r="D73" s="49"/>
      <c r="E73" s="1">
        <v>9.6300000000000008</v>
      </c>
      <c r="F73" s="1"/>
      <c r="G73" s="1"/>
      <c r="H73" s="1"/>
      <c r="I73" s="1"/>
      <c r="J73" s="1">
        <v>9.6300000000000008</v>
      </c>
      <c r="K73" s="1"/>
      <c r="L73" s="1"/>
    </row>
    <row r="74" spans="2:12" x14ac:dyDescent="0.3">
      <c r="B74" s="50" t="s">
        <v>169</v>
      </c>
      <c r="C74" s="31">
        <v>43332</v>
      </c>
      <c r="D74" s="31">
        <v>43337</v>
      </c>
      <c r="E74" s="1">
        <v>90</v>
      </c>
      <c r="F74" s="1"/>
      <c r="G74" s="1"/>
      <c r="H74" s="1"/>
      <c r="I74" s="1"/>
      <c r="J74" s="1">
        <v>90</v>
      </c>
      <c r="K74" s="1"/>
      <c r="L74" s="1"/>
    </row>
    <row r="75" spans="2:12" x14ac:dyDescent="0.3">
      <c r="B75" s="1" t="s">
        <v>170</v>
      </c>
      <c r="C75" s="31">
        <v>43323</v>
      </c>
      <c r="D75" s="31">
        <v>43337</v>
      </c>
      <c r="E75" s="1">
        <v>293.94</v>
      </c>
      <c r="F75" s="1"/>
      <c r="G75" s="1"/>
      <c r="H75" s="1"/>
      <c r="I75" s="1"/>
      <c r="J75" s="1"/>
      <c r="K75" s="1">
        <v>293.94</v>
      </c>
      <c r="L75" s="1"/>
    </row>
    <row r="76" spans="2:12" x14ac:dyDescent="0.3">
      <c r="B76" s="1" t="s">
        <v>171</v>
      </c>
      <c r="C76" s="31">
        <v>43339</v>
      </c>
      <c r="D76" s="31">
        <v>43340</v>
      </c>
      <c r="E76" s="1">
        <v>51.12</v>
      </c>
      <c r="F76" s="1"/>
      <c r="G76" s="1"/>
      <c r="H76" s="1"/>
      <c r="I76" s="1"/>
      <c r="J76" s="1"/>
      <c r="K76" s="1">
        <v>51.12</v>
      </c>
      <c r="L76" s="1"/>
    </row>
    <row r="77" spans="2:12" x14ac:dyDescent="0.3">
      <c r="B77" s="1" t="s">
        <v>172</v>
      </c>
      <c r="C77" s="31">
        <v>43342</v>
      </c>
      <c r="D77" s="31">
        <v>43343</v>
      </c>
      <c r="E77" s="1">
        <v>72</v>
      </c>
      <c r="F77" s="1"/>
      <c r="G77" s="1"/>
      <c r="H77" s="1"/>
      <c r="I77" s="1"/>
      <c r="J77" s="1"/>
      <c r="K77" s="1">
        <v>72</v>
      </c>
      <c r="L77" s="1"/>
    </row>
    <row r="78" spans="2:12" x14ac:dyDescent="0.3">
      <c r="B78" s="1" t="s">
        <v>173</v>
      </c>
      <c r="C78" s="31">
        <v>43314</v>
      </c>
      <c r="D78" s="31">
        <v>43314</v>
      </c>
      <c r="E78" s="1">
        <v>76.680000000000007</v>
      </c>
      <c r="F78" s="1"/>
      <c r="G78" s="1"/>
      <c r="H78" s="1"/>
      <c r="I78" s="1"/>
      <c r="J78" s="1"/>
      <c r="K78" s="1">
        <v>76.680000000000007</v>
      </c>
      <c r="L78" s="1"/>
    </row>
    <row r="79" spans="2:12" x14ac:dyDescent="0.3">
      <c r="B79" s="1" t="s">
        <v>174</v>
      </c>
      <c r="C79" s="31">
        <v>43325</v>
      </c>
      <c r="D79" s="31">
        <v>43331</v>
      </c>
      <c r="E79" s="1">
        <v>221.73</v>
      </c>
      <c r="F79" s="1"/>
      <c r="G79" s="1"/>
      <c r="H79" s="1"/>
      <c r="I79" s="1"/>
      <c r="J79" s="1"/>
      <c r="K79" s="1">
        <v>221.73</v>
      </c>
      <c r="L79" s="1"/>
    </row>
    <row r="80" spans="2:12" ht="15.6" x14ac:dyDescent="0.3">
      <c r="B80" s="1"/>
      <c r="C80" s="1"/>
      <c r="D80" s="1"/>
      <c r="E80" s="29">
        <f>SUM(E40:E79)</f>
        <v>4066.4</v>
      </c>
      <c r="F80" s="30">
        <f t="shared" ref="F80:K80" si="4">SUM(F40:F79)</f>
        <v>1057.4000000000001</v>
      </c>
      <c r="G80" s="30"/>
      <c r="H80" s="30">
        <f t="shared" si="4"/>
        <v>263.05</v>
      </c>
      <c r="I80" s="30">
        <f t="shared" si="4"/>
        <v>1549.28</v>
      </c>
      <c r="J80" s="30">
        <f t="shared" si="4"/>
        <v>481.2</v>
      </c>
      <c r="K80" s="30">
        <f t="shared" si="4"/>
        <v>715.47</v>
      </c>
      <c r="L80" s="29">
        <f>SUM(F80:K80)</f>
        <v>4066.3999999999996</v>
      </c>
    </row>
  </sheetData>
  <pageMargins left="0.7" right="0.7" top="0.75" bottom="0.75" header="0.3" footer="0.3"/>
  <pageSetup paperSize="9" scale="72" fitToHeight="0" orientation="landscape" r:id="rId1"/>
  <rowBreaks count="1" manualBreakCount="1">
    <brk id="37" min="1" max="11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D3:K13"/>
  <sheetViews>
    <sheetView workbookViewId="0">
      <selection activeCell="E11" sqref="E11"/>
    </sheetView>
  </sheetViews>
  <sheetFormatPr defaultRowHeight="14.4" x14ac:dyDescent="0.3"/>
  <cols>
    <col min="4" max="4" width="27.33203125" customWidth="1"/>
    <col min="5" max="5" width="20" customWidth="1"/>
    <col min="6" max="11" width="9.6640625" customWidth="1"/>
  </cols>
  <sheetData>
    <row r="3" spans="4:11" x14ac:dyDescent="0.3">
      <c r="D3" s="15" t="s">
        <v>115</v>
      </c>
      <c r="E3" s="15" t="s">
        <v>116</v>
      </c>
      <c r="F3" s="15" t="s">
        <v>49</v>
      </c>
      <c r="G3" s="17" t="s">
        <v>0</v>
      </c>
      <c r="H3" s="17" t="s">
        <v>1</v>
      </c>
      <c r="I3" s="17" t="s">
        <v>2</v>
      </c>
      <c r="J3" s="17" t="s">
        <v>3</v>
      </c>
      <c r="K3" s="17" t="s">
        <v>14</v>
      </c>
    </row>
    <row r="4" spans="4:11" x14ac:dyDescent="0.3">
      <c r="D4" s="37" t="s">
        <v>51</v>
      </c>
      <c r="E4" s="1" t="s">
        <v>117</v>
      </c>
      <c r="F4" s="26">
        <f t="shared" ref="F4:F9" si="0">SUM(G4:K4)</f>
        <v>6476</v>
      </c>
      <c r="G4" s="27">
        <f>' CC &amp; CCCP'!F35</f>
        <v>893</v>
      </c>
      <c r="H4" s="27">
        <f>' CC &amp; CCCP'!H35</f>
        <v>1003</v>
      </c>
      <c r="I4" s="27">
        <f>' CC &amp; CCCP'!I35</f>
        <v>92.3</v>
      </c>
      <c r="J4" s="27">
        <f>' CC &amp; CCCP'!J35</f>
        <v>3107.1</v>
      </c>
      <c r="K4" s="27">
        <f>' CC &amp; CCCP'!K35</f>
        <v>1380.6</v>
      </c>
    </row>
    <row r="5" spans="4:11" x14ac:dyDescent="0.3">
      <c r="D5" s="37" t="s">
        <v>111</v>
      </c>
      <c r="E5" s="1" t="s">
        <v>118</v>
      </c>
      <c r="F5" s="26">
        <f t="shared" si="0"/>
        <v>4066.3999999999996</v>
      </c>
      <c r="G5" s="27">
        <f>' CC &amp; CCCP'!F80</f>
        <v>1057.4000000000001</v>
      </c>
      <c r="H5" s="27">
        <f>' CC &amp; CCCP'!H80</f>
        <v>263.05</v>
      </c>
      <c r="I5" s="27">
        <f>' CC &amp; CCCP'!I80</f>
        <v>1549.28</v>
      </c>
      <c r="J5" s="27">
        <f>' CC &amp; CCCP'!J80</f>
        <v>481.2</v>
      </c>
      <c r="K5" s="27">
        <f>' CC &amp; CCCP'!K80</f>
        <v>715.47</v>
      </c>
    </row>
    <row r="6" spans="4:11" x14ac:dyDescent="0.3">
      <c r="D6" s="37" t="s">
        <v>47</v>
      </c>
      <c r="E6" s="1" t="s">
        <v>119</v>
      </c>
      <c r="F6" s="26">
        <f t="shared" si="0"/>
        <v>3385.9489999999996</v>
      </c>
      <c r="G6" s="27">
        <f>'EH and F1'!G23</f>
        <v>265</v>
      </c>
      <c r="H6" s="27">
        <f>'EH and F1'!H23</f>
        <v>1041.694</v>
      </c>
      <c r="I6" s="27">
        <f>'EH and F1'!I23</f>
        <v>442.04</v>
      </c>
      <c r="J6" s="27">
        <f>'EH and F1'!J23</f>
        <v>989.21499999999992</v>
      </c>
      <c r="K6" s="27">
        <f>'EH and F1'!K23</f>
        <v>648</v>
      </c>
    </row>
    <row r="7" spans="4:11" x14ac:dyDescent="0.3">
      <c r="D7" s="37" t="s">
        <v>59</v>
      </c>
      <c r="E7" s="1" t="s">
        <v>120</v>
      </c>
      <c r="F7" s="26">
        <f t="shared" si="0"/>
        <v>5434.41</v>
      </c>
      <c r="G7" s="27">
        <f>'EH and F1'!G58</f>
        <v>601.98</v>
      </c>
      <c r="H7" s="27">
        <f>'EH and F1'!H58</f>
        <v>1077.77</v>
      </c>
      <c r="I7" s="27">
        <f>'EH and F1'!I58</f>
        <v>630.55999999999995</v>
      </c>
      <c r="J7" s="27">
        <f>'EH and F1'!J58</f>
        <v>1753.9</v>
      </c>
      <c r="K7" s="27">
        <f>'EH and F1'!K58</f>
        <v>1370.2</v>
      </c>
    </row>
    <row r="8" spans="4:11" x14ac:dyDescent="0.3">
      <c r="D8" s="37" t="s">
        <v>112</v>
      </c>
      <c r="E8" s="1" t="s">
        <v>121</v>
      </c>
      <c r="F8" s="26">
        <f t="shared" si="0"/>
        <v>4806</v>
      </c>
      <c r="G8" s="27">
        <f>'EH and F2'!I24</f>
        <v>1090</v>
      </c>
      <c r="H8" s="27">
        <f>'EH and F2'!J24</f>
        <v>1241</v>
      </c>
      <c r="I8" s="27">
        <f>'EH and F2'!K24</f>
        <v>1245</v>
      </c>
      <c r="J8" s="27">
        <f>'EH and F2'!L24</f>
        <v>600</v>
      </c>
      <c r="K8" s="27">
        <f>'EH and F2'!M24</f>
        <v>630</v>
      </c>
    </row>
    <row r="9" spans="4:11" x14ac:dyDescent="0.3">
      <c r="D9" s="37" t="s">
        <v>113</v>
      </c>
      <c r="E9" s="1" t="s">
        <v>133</v>
      </c>
      <c r="F9" s="26">
        <f t="shared" si="0"/>
        <v>3695.2</v>
      </c>
      <c r="G9" s="27">
        <f>'EH and F2'!I46</f>
        <v>481</v>
      </c>
      <c r="H9" s="27">
        <f>'EH and F2'!J46</f>
        <v>697</v>
      </c>
      <c r="I9" s="27">
        <f>'EH and F2'!K46</f>
        <v>870</v>
      </c>
      <c r="J9" s="27">
        <f>'EH and F2'!L46</f>
        <v>1099.2</v>
      </c>
      <c r="K9" s="27">
        <f>'EH and F2'!M46</f>
        <v>548</v>
      </c>
    </row>
    <row r="10" spans="4:11" x14ac:dyDescent="0.3">
      <c r="D10" s="37" t="s">
        <v>114</v>
      </c>
      <c r="E10" s="1" t="s">
        <v>122</v>
      </c>
      <c r="F10" s="26">
        <f>SUM(G10:K10)</f>
        <v>808.46</v>
      </c>
      <c r="G10" s="27">
        <f>'Zone 8'!G35</f>
        <v>157.46</v>
      </c>
      <c r="H10" s="27">
        <f>'Zone 8'!H35</f>
        <v>217</v>
      </c>
      <c r="I10" s="27">
        <f>'Zone 8'!I35</f>
        <v>272</v>
      </c>
      <c r="J10" s="27">
        <f>'Zone 8'!J35</f>
        <v>162</v>
      </c>
      <c r="K10" s="27">
        <f>'Zone 8'!K35</f>
        <v>0</v>
      </c>
    </row>
    <row r="11" spans="4:11" x14ac:dyDescent="0.3">
      <c r="D11" s="37" t="s">
        <v>104</v>
      </c>
      <c r="E11" s="1" t="s">
        <v>123</v>
      </c>
      <c r="F11" s="26">
        <f>SUM(G11:K11)</f>
        <v>196.75</v>
      </c>
      <c r="G11" s="27">
        <f>'Zone 8'!G23</f>
        <v>12.75</v>
      </c>
      <c r="H11" s="27">
        <f>'Zone 8'!H23</f>
        <v>40</v>
      </c>
      <c r="I11" s="27">
        <f>'Zone 8'!I23</f>
        <v>72</v>
      </c>
      <c r="J11" s="27">
        <f>'Zone 8'!J23</f>
        <v>72</v>
      </c>
      <c r="K11" s="27">
        <f>'Zone 8'!K23</f>
        <v>0</v>
      </c>
    </row>
    <row r="12" spans="4:11" x14ac:dyDescent="0.3">
      <c r="D12" s="37" t="s">
        <v>107</v>
      </c>
      <c r="E12" s="1" t="s">
        <v>124</v>
      </c>
      <c r="F12" s="26">
        <f>SUM(G12:K12)</f>
        <v>1370</v>
      </c>
      <c r="G12" s="27">
        <f>'Zone 8'!G29</f>
        <v>350</v>
      </c>
      <c r="H12" s="27">
        <f>'Zone 8'!H29</f>
        <v>430</v>
      </c>
      <c r="I12" s="27">
        <f>'Zone 8'!I29</f>
        <v>250</v>
      </c>
      <c r="J12" s="27">
        <f>'Zone 8'!J29</f>
        <v>340</v>
      </c>
      <c r="K12" s="27">
        <f>'Zone 8'!K29</f>
        <v>0</v>
      </c>
    </row>
    <row r="13" spans="4:11" ht="15.6" x14ac:dyDescent="0.3">
      <c r="D13" s="20" t="s">
        <v>31</v>
      </c>
      <c r="E13" s="20"/>
      <c r="F13" s="28">
        <f t="shared" ref="F13:K13" si="1">SUM(F4:F12)</f>
        <v>30239.168999999998</v>
      </c>
      <c r="G13" s="28">
        <f t="shared" si="1"/>
        <v>4908.59</v>
      </c>
      <c r="H13" s="28">
        <f t="shared" si="1"/>
        <v>6010.5139999999992</v>
      </c>
      <c r="I13" s="28">
        <f t="shared" si="1"/>
        <v>5423.18</v>
      </c>
      <c r="J13" s="28">
        <f t="shared" si="1"/>
        <v>8604.614999999998</v>
      </c>
      <c r="K13" s="28">
        <f t="shared" si="1"/>
        <v>5292.2699999999995</v>
      </c>
    </row>
  </sheetData>
  <pageMargins left="0.7" right="0.7" top="0.75" bottom="0.75" header="0.3" footer="0.3"/>
  <pageSetup paperSize="9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  <pageSetUpPr fitToPage="1"/>
  </sheetPr>
  <dimension ref="A1:H16"/>
  <sheetViews>
    <sheetView view="pageBreakPreview" zoomScaleNormal="100" zoomScaleSheetLayoutView="100" workbookViewId="0">
      <pane xSplit="2" ySplit="1" topLeftCell="C2" activePane="bottomRight" state="frozen"/>
      <selection activeCell="G26" sqref="G26"/>
      <selection pane="topRight" activeCell="G26" sqref="G26"/>
      <selection pane="bottomLeft" activeCell="G26" sqref="G26"/>
      <selection pane="bottomRight" activeCell="G26" sqref="G26"/>
    </sheetView>
  </sheetViews>
  <sheetFormatPr defaultRowHeight="14.4" x14ac:dyDescent="0.3"/>
  <cols>
    <col min="2" max="2" width="24.33203125" bestFit="1" customWidth="1"/>
    <col min="3" max="3" width="15.109375" bestFit="1" customWidth="1"/>
    <col min="4" max="4" width="15.44140625" bestFit="1" customWidth="1"/>
    <col min="5" max="5" width="15.33203125" bestFit="1" customWidth="1"/>
    <col min="6" max="6" width="15.109375" bestFit="1" customWidth="1"/>
  </cols>
  <sheetData>
    <row r="1" spans="1:8" x14ac:dyDescent="0.3">
      <c r="A1" s="38" t="s">
        <v>189</v>
      </c>
      <c r="B1" s="38" t="s">
        <v>190</v>
      </c>
      <c r="C1" s="38">
        <v>2016</v>
      </c>
      <c r="D1" s="38">
        <v>2017</v>
      </c>
      <c r="E1" s="38">
        <v>2018</v>
      </c>
      <c r="F1" s="38">
        <v>2019</v>
      </c>
      <c r="G1" s="38">
        <v>2020</v>
      </c>
      <c r="H1" s="38">
        <v>2021</v>
      </c>
    </row>
    <row r="2" spans="1:8" x14ac:dyDescent="0.3">
      <c r="A2" s="39">
        <v>1</v>
      </c>
      <c r="B2" s="40" t="s">
        <v>191</v>
      </c>
      <c r="C2" s="41"/>
      <c r="D2" s="41">
        <v>42761</v>
      </c>
      <c r="E2" s="41">
        <v>43126</v>
      </c>
      <c r="F2" s="41">
        <v>43491</v>
      </c>
      <c r="G2" s="1"/>
      <c r="H2" s="1"/>
    </row>
    <row r="3" spans="1:8" x14ac:dyDescent="0.3">
      <c r="A3" s="39">
        <f>A2+ 1</f>
        <v>2</v>
      </c>
      <c r="B3" s="40" t="s">
        <v>192</v>
      </c>
      <c r="C3" s="41"/>
      <c r="D3" s="41">
        <v>42807</v>
      </c>
      <c r="E3" s="41">
        <v>43161</v>
      </c>
      <c r="F3" s="41">
        <v>43545</v>
      </c>
      <c r="G3" s="1"/>
      <c r="H3" s="1"/>
    </row>
    <row r="4" spans="1:8" x14ac:dyDescent="0.3">
      <c r="A4" s="39">
        <f t="shared" ref="A4:A14" si="0">A3+ 1</f>
        <v>3</v>
      </c>
      <c r="B4" s="40" t="s">
        <v>193</v>
      </c>
      <c r="C4" s="41"/>
      <c r="D4" s="41">
        <v>42839</v>
      </c>
      <c r="E4" s="41">
        <v>43189</v>
      </c>
      <c r="F4" s="41">
        <v>43546</v>
      </c>
      <c r="G4" s="1"/>
      <c r="H4" s="1"/>
    </row>
    <row r="5" spans="1:8" x14ac:dyDescent="0.3">
      <c r="A5" s="39">
        <f t="shared" si="0"/>
        <v>4</v>
      </c>
      <c r="B5" s="40" t="s">
        <v>194</v>
      </c>
      <c r="C5" s="41"/>
      <c r="D5" s="41">
        <v>42912</v>
      </c>
      <c r="E5" s="41">
        <v>43266</v>
      </c>
      <c r="F5" s="41">
        <v>43621</v>
      </c>
      <c r="G5" s="1"/>
      <c r="H5" s="1"/>
    </row>
    <row r="6" spans="1:8" x14ac:dyDescent="0.3">
      <c r="A6" s="39">
        <f t="shared" si="0"/>
        <v>5</v>
      </c>
      <c r="B6" s="40" t="s">
        <v>195</v>
      </c>
      <c r="C6" s="41"/>
      <c r="D6" s="41">
        <v>42962</v>
      </c>
      <c r="E6" s="41">
        <v>43327</v>
      </c>
      <c r="F6" s="41">
        <v>43692</v>
      </c>
      <c r="G6" s="1"/>
      <c r="H6" s="1"/>
    </row>
    <row r="7" spans="1:8" x14ac:dyDescent="0.3">
      <c r="A7" s="39">
        <f t="shared" si="0"/>
        <v>6</v>
      </c>
      <c r="B7" s="40" t="s">
        <v>196</v>
      </c>
      <c r="C7" s="41"/>
      <c r="D7" s="41">
        <v>43010</v>
      </c>
      <c r="E7" s="41">
        <v>43375</v>
      </c>
      <c r="F7" s="41">
        <v>43740</v>
      </c>
      <c r="G7" s="1"/>
      <c r="H7" s="1"/>
    </row>
    <row r="8" spans="1:8" x14ac:dyDescent="0.3">
      <c r="A8" s="39">
        <f t="shared" si="0"/>
        <v>7</v>
      </c>
      <c r="B8" s="40" t="s">
        <v>197</v>
      </c>
      <c r="C8" s="41">
        <v>42654</v>
      </c>
      <c r="D8" s="41">
        <v>43008</v>
      </c>
      <c r="E8" s="41">
        <v>43392</v>
      </c>
      <c r="F8" s="41">
        <v>43746</v>
      </c>
      <c r="G8" s="1"/>
      <c r="H8" s="1"/>
    </row>
    <row r="9" spans="1:8" x14ac:dyDescent="0.3">
      <c r="A9" s="39">
        <f t="shared" si="0"/>
        <v>8</v>
      </c>
      <c r="B9" s="40" t="s">
        <v>198</v>
      </c>
      <c r="C9" s="41">
        <v>42673</v>
      </c>
      <c r="D9" s="41">
        <v>43027</v>
      </c>
      <c r="E9" s="41">
        <v>43411</v>
      </c>
      <c r="F9" s="41">
        <v>43765</v>
      </c>
      <c r="G9" s="1"/>
      <c r="H9" s="1"/>
    </row>
    <row r="10" spans="1:8" x14ac:dyDescent="0.3">
      <c r="A10" s="39">
        <f t="shared" si="0"/>
        <v>9</v>
      </c>
      <c r="B10" s="40" t="s">
        <v>199</v>
      </c>
      <c r="C10" s="41">
        <v>42688</v>
      </c>
      <c r="D10" s="41">
        <v>43043</v>
      </c>
      <c r="E10" s="41">
        <v>43427</v>
      </c>
      <c r="F10" s="41">
        <v>43781</v>
      </c>
      <c r="G10" s="1"/>
      <c r="H10" s="1"/>
    </row>
    <row r="11" spans="1:8" x14ac:dyDescent="0.3">
      <c r="A11" s="39">
        <f t="shared" si="0"/>
        <v>10</v>
      </c>
      <c r="B11" s="40" t="s">
        <v>200</v>
      </c>
      <c r="C11" s="41">
        <v>42729</v>
      </c>
      <c r="D11" s="41">
        <v>43094</v>
      </c>
      <c r="E11" s="41">
        <v>43459</v>
      </c>
      <c r="F11" s="41">
        <v>43824</v>
      </c>
      <c r="G11" s="1"/>
      <c r="H11" s="1"/>
    </row>
    <row r="12" spans="1:8" x14ac:dyDescent="0.3">
      <c r="A12" s="39">
        <f t="shared" si="0"/>
        <v>11</v>
      </c>
      <c r="B12" s="1"/>
      <c r="C12" s="1"/>
      <c r="D12" s="1"/>
      <c r="E12" s="31"/>
      <c r="F12" s="1"/>
      <c r="G12" s="1"/>
      <c r="H12" s="1"/>
    </row>
    <row r="13" spans="1:8" x14ac:dyDescent="0.3">
      <c r="A13" s="39">
        <f t="shared" si="0"/>
        <v>12</v>
      </c>
      <c r="B13" s="1"/>
      <c r="C13" s="1"/>
      <c r="D13" s="1"/>
      <c r="E13" s="1"/>
      <c r="F13" s="1"/>
      <c r="G13" s="1"/>
      <c r="H13" s="1"/>
    </row>
    <row r="14" spans="1:8" x14ac:dyDescent="0.3">
      <c r="A14" s="39">
        <f t="shared" si="0"/>
        <v>13</v>
      </c>
      <c r="B14" s="1"/>
      <c r="C14" s="1"/>
      <c r="D14" s="1"/>
      <c r="E14" s="1"/>
      <c r="F14" s="1"/>
      <c r="G14" s="1"/>
      <c r="H14" s="1"/>
    </row>
    <row r="16" spans="1:8" x14ac:dyDescent="0.3">
      <c r="A16" t="s">
        <v>201</v>
      </c>
      <c r="B16" t="s">
        <v>202</v>
      </c>
    </row>
  </sheetData>
  <pageMargins left="0.7" right="0.7" top="0.75" bottom="0.75" header="0.3" footer="0.3"/>
  <pageSetup fitToHeight="0" orientation="landscape" horizont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14"/>
  <sheetViews>
    <sheetView workbookViewId="0">
      <selection activeCell="G26" sqref="G26"/>
    </sheetView>
  </sheetViews>
  <sheetFormatPr defaultRowHeight="14.4" x14ac:dyDescent="0.3"/>
  <cols>
    <col min="2" max="2" width="17.6640625" bestFit="1" customWidth="1"/>
  </cols>
  <sheetData>
    <row r="1" spans="1:24" ht="28.8" x14ac:dyDescent="0.3">
      <c r="A1" s="42" t="s">
        <v>203</v>
      </c>
      <c r="B1" s="43" t="s">
        <v>204</v>
      </c>
      <c r="C1" s="43">
        <v>0</v>
      </c>
      <c r="D1" s="43">
        <v>5</v>
      </c>
      <c r="E1" s="43">
        <f t="shared" ref="E1:W1" si="0">D1+5</f>
        <v>10</v>
      </c>
      <c r="F1" s="43">
        <f t="shared" si="0"/>
        <v>15</v>
      </c>
      <c r="G1" s="43">
        <f t="shared" si="0"/>
        <v>20</v>
      </c>
      <c r="H1" s="43">
        <f t="shared" si="0"/>
        <v>25</v>
      </c>
      <c r="I1" s="43">
        <f t="shared" si="0"/>
        <v>30</v>
      </c>
      <c r="J1" s="43">
        <f t="shared" si="0"/>
        <v>35</v>
      </c>
      <c r="K1" s="43">
        <f t="shared" si="0"/>
        <v>40</v>
      </c>
      <c r="L1" s="43">
        <f t="shared" si="0"/>
        <v>45</v>
      </c>
      <c r="M1" s="43">
        <f t="shared" si="0"/>
        <v>50</v>
      </c>
      <c r="N1" s="43">
        <f t="shared" si="0"/>
        <v>55</v>
      </c>
      <c r="O1" s="43">
        <f t="shared" si="0"/>
        <v>60</v>
      </c>
      <c r="P1" s="43">
        <f t="shared" si="0"/>
        <v>65</v>
      </c>
      <c r="Q1" s="43">
        <f t="shared" si="0"/>
        <v>70</v>
      </c>
      <c r="R1" s="43">
        <f t="shared" si="0"/>
        <v>75</v>
      </c>
      <c r="S1" s="43">
        <f t="shared" si="0"/>
        <v>80</v>
      </c>
      <c r="T1" s="43">
        <f t="shared" si="0"/>
        <v>85</v>
      </c>
      <c r="U1" s="43">
        <f t="shared" si="0"/>
        <v>90</v>
      </c>
      <c r="V1" s="43">
        <f t="shared" si="0"/>
        <v>95</v>
      </c>
      <c r="W1" s="43">
        <f t="shared" si="0"/>
        <v>100</v>
      </c>
      <c r="X1" s="44" t="s">
        <v>31</v>
      </c>
    </row>
    <row r="2" spans="1:24" x14ac:dyDescent="0.3">
      <c r="A2" s="45">
        <v>1</v>
      </c>
      <c r="B2" s="37" t="s">
        <v>205</v>
      </c>
      <c r="C2" s="1">
        <v>0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5</v>
      </c>
      <c r="V2" s="1">
        <v>5</v>
      </c>
      <c r="W2" s="1">
        <v>5</v>
      </c>
      <c r="X2" s="46">
        <f>SUM(C2:W2)</f>
        <v>100</v>
      </c>
    </row>
    <row r="3" spans="1:24" x14ac:dyDescent="0.3">
      <c r="A3" s="45">
        <f>A2+ 1</f>
        <v>2</v>
      </c>
      <c r="B3" s="37" t="s">
        <v>206</v>
      </c>
      <c r="C3" s="1">
        <v>0</v>
      </c>
      <c r="D3" s="1">
        <v>1</v>
      </c>
      <c r="E3" s="1">
        <v>1</v>
      </c>
      <c r="F3" s="1">
        <v>1.5</v>
      </c>
      <c r="G3" s="1">
        <v>1.5</v>
      </c>
      <c r="H3" s="1">
        <v>3</v>
      </c>
      <c r="I3" s="1">
        <v>3</v>
      </c>
      <c r="J3" s="1">
        <v>3.5</v>
      </c>
      <c r="K3" s="1">
        <v>3.5</v>
      </c>
      <c r="L3" s="1">
        <v>4.5</v>
      </c>
      <c r="M3" s="1">
        <v>4.5</v>
      </c>
      <c r="N3" s="1">
        <v>5.5</v>
      </c>
      <c r="O3" s="1">
        <v>5.5</v>
      </c>
      <c r="P3" s="1">
        <v>6.5</v>
      </c>
      <c r="Q3" s="1">
        <v>6.5</v>
      </c>
      <c r="R3" s="1">
        <v>7</v>
      </c>
      <c r="S3" s="1">
        <v>7</v>
      </c>
      <c r="T3" s="1">
        <v>8.5</v>
      </c>
      <c r="U3" s="1">
        <v>8.5</v>
      </c>
      <c r="V3" s="1">
        <v>9</v>
      </c>
      <c r="W3" s="1">
        <v>9</v>
      </c>
      <c r="X3" s="46">
        <f>SUM(C3:W3)</f>
        <v>100</v>
      </c>
    </row>
    <row r="4" spans="1:24" x14ac:dyDescent="0.3">
      <c r="A4" s="45">
        <f t="shared" ref="A4:A5" si="1">A3+ 1</f>
        <v>3</v>
      </c>
      <c r="B4" s="37" t="s">
        <v>207</v>
      </c>
      <c r="C4" s="1">
        <v>0</v>
      </c>
      <c r="D4" s="1">
        <v>9</v>
      </c>
      <c r="E4" s="1">
        <v>9</v>
      </c>
      <c r="F4" s="1">
        <v>8.5</v>
      </c>
      <c r="G4" s="1">
        <v>8.5</v>
      </c>
      <c r="H4" s="1">
        <v>7</v>
      </c>
      <c r="I4" s="1">
        <v>7</v>
      </c>
      <c r="J4" s="1">
        <v>6.5</v>
      </c>
      <c r="K4" s="1">
        <v>6.5</v>
      </c>
      <c r="L4" s="1">
        <v>5.5</v>
      </c>
      <c r="M4" s="1">
        <v>5.5</v>
      </c>
      <c r="N4" s="1">
        <v>4.5</v>
      </c>
      <c r="O4" s="1">
        <v>4.5</v>
      </c>
      <c r="P4" s="1">
        <v>3.5</v>
      </c>
      <c r="Q4" s="1">
        <v>3.5</v>
      </c>
      <c r="R4" s="1">
        <v>3</v>
      </c>
      <c r="S4" s="1">
        <v>3</v>
      </c>
      <c r="T4" s="1">
        <v>1.5</v>
      </c>
      <c r="U4" s="1">
        <v>1.5</v>
      </c>
      <c r="V4" s="1">
        <v>1</v>
      </c>
      <c r="W4" s="1">
        <v>1</v>
      </c>
      <c r="X4" s="46">
        <f>SUM(C4:W4)</f>
        <v>100</v>
      </c>
    </row>
    <row r="5" spans="1:24" x14ac:dyDescent="0.3">
      <c r="A5" s="45">
        <f t="shared" si="1"/>
        <v>4</v>
      </c>
      <c r="B5" s="37" t="s">
        <v>208</v>
      </c>
      <c r="C5" s="1">
        <v>0</v>
      </c>
      <c r="D5" s="1">
        <v>3.5</v>
      </c>
      <c r="E5" s="1">
        <v>3.5</v>
      </c>
      <c r="F5" s="1">
        <v>3.5</v>
      </c>
      <c r="G5" s="1">
        <v>3.5</v>
      </c>
      <c r="H5" s="1">
        <v>3.5</v>
      </c>
      <c r="I5" s="1">
        <v>3.5</v>
      </c>
      <c r="J5" s="1">
        <v>3.5</v>
      </c>
      <c r="K5" s="1">
        <v>3.5</v>
      </c>
      <c r="L5" s="1">
        <v>3.5</v>
      </c>
      <c r="M5" s="1">
        <v>3.5</v>
      </c>
      <c r="N5" s="1">
        <v>6.5</v>
      </c>
      <c r="O5" s="1">
        <v>6.5</v>
      </c>
      <c r="P5" s="1">
        <v>6.5</v>
      </c>
      <c r="Q5" s="1">
        <v>6.5</v>
      </c>
      <c r="R5" s="1">
        <v>6.5</v>
      </c>
      <c r="S5" s="1">
        <v>6.5</v>
      </c>
      <c r="T5" s="1">
        <v>6.5</v>
      </c>
      <c r="U5" s="1">
        <v>6.5</v>
      </c>
      <c r="V5" s="1">
        <v>6.5</v>
      </c>
      <c r="W5" s="1">
        <v>6.5</v>
      </c>
      <c r="X5" s="46">
        <f>SUM(C5:W5)</f>
        <v>100</v>
      </c>
    </row>
    <row r="6" spans="1:24" x14ac:dyDescent="0.3">
      <c r="A6" s="45">
        <v>5</v>
      </c>
      <c r="B6" s="37" t="s">
        <v>209</v>
      </c>
      <c r="C6" s="1">
        <v>0</v>
      </c>
      <c r="D6" s="1">
        <v>0.5</v>
      </c>
      <c r="E6" s="1">
        <v>0.5</v>
      </c>
      <c r="F6" s="1">
        <v>1.5</v>
      </c>
      <c r="G6" s="1">
        <v>1.5</v>
      </c>
      <c r="H6" s="1">
        <v>4</v>
      </c>
      <c r="I6" s="1">
        <v>4</v>
      </c>
      <c r="J6" s="1">
        <v>7.5</v>
      </c>
      <c r="K6" s="1">
        <v>7.5</v>
      </c>
      <c r="L6" s="1">
        <v>11.5</v>
      </c>
      <c r="M6" s="1">
        <v>11.5</v>
      </c>
      <c r="N6" s="1">
        <v>11.5</v>
      </c>
      <c r="O6" s="1">
        <v>11.5</v>
      </c>
      <c r="P6" s="1">
        <v>7.5</v>
      </c>
      <c r="Q6" s="1">
        <v>7.5</v>
      </c>
      <c r="R6" s="1">
        <v>4</v>
      </c>
      <c r="S6" s="1">
        <v>4</v>
      </c>
      <c r="T6" s="1">
        <v>1.5</v>
      </c>
      <c r="U6" s="1">
        <v>1.5</v>
      </c>
      <c r="V6" s="1">
        <v>0.5</v>
      </c>
      <c r="W6" s="1">
        <v>0.5</v>
      </c>
      <c r="X6" s="46">
        <f>SUM(C6:W6)</f>
        <v>100</v>
      </c>
    </row>
    <row r="7" spans="1:24" x14ac:dyDescent="0.3">
      <c r="A7" s="45"/>
      <c r="B7" s="37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46"/>
    </row>
    <row r="8" spans="1:24" x14ac:dyDescent="0.3">
      <c r="A8" s="45"/>
      <c r="B8" s="37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46"/>
    </row>
    <row r="9" spans="1:24" x14ac:dyDescent="0.3">
      <c r="A9" s="45"/>
      <c r="B9" s="37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46"/>
    </row>
    <row r="10" spans="1:24" x14ac:dyDescent="0.3">
      <c r="A10" s="45"/>
      <c r="B10" s="37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46"/>
    </row>
    <row r="11" spans="1:24" x14ac:dyDescent="0.3">
      <c r="A11" s="45"/>
      <c r="B11" s="37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46"/>
    </row>
    <row r="12" spans="1:24" x14ac:dyDescent="0.3">
      <c r="A12" s="45"/>
      <c r="B12" s="37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46"/>
    </row>
    <row r="13" spans="1:24" x14ac:dyDescent="0.3">
      <c r="A13" s="45"/>
      <c r="B13" s="37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46"/>
    </row>
    <row r="14" spans="1:24" x14ac:dyDescent="0.3">
      <c r="A14" s="45"/>
      <c r="B14" s="37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4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Zone 8</vt:lpstr>
      <vt:lpstr>EH and F1</vt:lpstr>
      <vt:lpstr>EH and F2</vt:lpstr>
      <vt:lpstr> CC &amp; CCCP</vt:lpstr>
      <vt:lpstr>Summary</vt:lpstr>
      <vt:lpstr>List of Holidays - DMICDC</vt:lpstr>
      <vt:lpstr>Curve Sheet</vt:lpstr>
      <vt:lpstr>Curves</vt:lpstr>
      <vt:lpstr>ListofHolidays</vt:lpstr>
      <vt:lpstr>LOH</vt:lpstr>
      <vt:lpstr>' CC &amp; CCCP'!Print_Area</vt:lpstr>
      <vt:lpstr>'EH and F1'!Print_Area</vt:lpstr>
      <vt:lpstr>'EH and F2'!Print_Area</vt:lpstr>
      <vt:lpstr>'List of Holidays - DMICDC'!Print_Area</vt:lpstr>
      <vt:lpstr>Summary!Print_Area</vt:lpstr>
      <vt:lpstr>'Zone 8'!Print_Area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2018-08-06T08:08:00Z</dcterms:modified>
</cp:coreProperties>
</file>